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61638066-69CD-5DBD-CD94-FFEC8A4DF156}"/>
  <workbookPr codeName="ThisWorkbook"/>
  <workbookProtection workbookAlgorithmName="SHA-512" workbookHashValue="XXAgVVzkNMcIXyFXom89C+fUFul0DfhAJxdjIsVo++CuN+wXcbQtQh4x5I5m5wBBiGdRvSBv0Yax2i0s4jLMKw==" workbookSaltValue="jz8ncLonU1hu8+PlxLwXRw==" workbookSpinCount="100000" lockStructure="1"/>
  <bookViews>
    <workbookView xWindow="0" yWindow="0" windowWidth="20490" windowHeight="7080" activeTab="2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" l="1"/>
  <c r="C24" i="1"/>
  <c r="C30" i="1" l="1"/>
  <c r="C29" i="1"/>
</calcChain>
</file>

<file path=xl/comments1.xml><?xml version="1.0" encoding="utf-8"?>
<comments xmlns="http://schemas.openxmlformats.org/spreadsheetml/2006/main">
  <authors>
    <author>julienne</author>
  </authors>
  <commentList>
    <comment ref="B28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<sst xmlns="http://schemas.openxmlformats.org/spreadsheetml/2006/main" count="1976" uniqueCount="1115">
  <si>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</si>
  <si>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</si>
  <si>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</si>
  <si>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</si>
  <si>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</si>
  <si>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</si>
  <si>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</si>
  <si>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</si>
  <si>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</si>
  <si>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</si>
  <si>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</si>
  <si>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</si>
  <si>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</si>
  <si>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</si>
  <si>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</si>
  <si>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</si>
  <si>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</si>
  <si>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</si>
  <si>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</si>
  <si>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</si>
  <si>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</si>
  <si>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</si>
  <si>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</si>
  <si>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</si>
  <si>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</si>
  <si>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</si>
  <si>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</si>
  <si>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</si>
  <si>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</si>
  <si>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</si>
  <si>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</si>
  <si>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</si>
  <si>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</si>
  <si>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</si>
  <si>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</si>
  <si>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</si>
  <si>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</si>
  <si>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</si>
  <si>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</si>
  <si>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</si>
  <si>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</si>
  <si>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</si>
  <si>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</si>
  <si>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</si>
  <si>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</si>
  <si>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</si>
  <si>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</si>
  <si>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</si>
  <si>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</si>
  <si>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</si>
  <si>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</si>
  <si>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</si>
  <si>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</si>
  <si>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</si>
  <si>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</si>
  <si>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</si>
  <si>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</si>
  <si>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</si>
  <si>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</si>
  <si>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</si>
  <si>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</si>
  <si>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</si>
  <si>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</si>
  <si>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</si>
  <si>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</si>
  <si>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</si>
  <si>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</si>
  <si>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</si>
  <si>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</si>
  <si>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</si>
  <si>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</si>
  <si>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</si>
  <si>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</si>
  <si>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</si>
  <si>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</si>
  <si>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</si>
  <si>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</si>
  <si>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</si>
  <si>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</si>
  <si>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</si>
  <si>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</si>
  <si>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</si>
  <si>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</si>
  <si>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</si>
  <si>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</si>
  <si>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</si>
  <si>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</si>
  <si>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</si>
  <si>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</si>
  <si>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</si>
  <si>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</si>
  <si>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</si>
  <si>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</si>
  <si>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</si>
  <si>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</si>
  <si>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</si>
  <si>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</si>
  <si>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</si>
  <si>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</si>
  <si>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</si>
  <si>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</si>
  <si>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</si>
  <si>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</si>
  <si>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</si>
  <si>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</si>
  <si>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</si>
  <si>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</si>
  <si>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</si>
  <si>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</si>
  <si>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</si>
  <si>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</si>
  <si>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JOSE B. LINGAD MEMORIAL REGIONAL HOSPITAL</t>
  </si>
  <si>
    <t>DOLORES, CITY OF SAN FERNANDO, PAMPANGA</t>
  </si>
  <si>
    <t>REGION III - CENTRAL LUZON</t>
  </si>
  <si>
    <t>LEVEL III</t>
  </si>
  <si>
    <t>NATIONAL - DOH RETAINED/RENATIONALIZED</t>
  </si>
  <si>
    <t>MAY 28-JUNE 1, 2018</t>
  </si>
  <si>
    <t>G4P4 (4004) PU DELIVERED LIVE TERM CEPHALIC BABY GIRL, APGAR SCORE 8,9; BW 3140 GRMAS VIA LTCS III FOR REPEAT, CONDYLOMA ACUMINATA</t>
  </si>
  <si>
    <t xml:space="preserve">O34.2, </t>
  </si>
  <si>
    <t>O98.3, A63.0</t>
  </si>
  <si>
    <t xml:space="preserve"> O82.0, </t>
  </si>
  <si>
    <t>G5P4 (4014) PU DELIVERED LIVE TERM BREECH BABY GIRL, APGAR SCORE 8,9; BW 2175 GRAMS VIA LTCS I FOR MALPRESENTATION</t>
  </si>
  <si>
    <t xml:space="preserve">O64.1, </t>
  </si>
  <si>
    <t xml:space="preserve">O82.1, </t>
  </si>
  <si>
    <t xml:space="preserve"> Z37.0</t>
  </si>
  <si>
    <t xml:space="preserve">G3P3 (3003) PU DELIVERED LIVE TERM CEPHALIC </t>
  </si>
  <si>
    <t xml:space="preserve">O62.3, </t>
  </si>
  <si>
    <t>O80.0,</t>
  </si>
  <si>
    <t>G1P1 (1001) PU DLEIVETED LIVE TERM CEHALIC BABY GIRL, APGAR SCORE 8,9; BW 2700 GRAMS, MATURITY TESTING 37 WKS, APPROPRIATE FOR GESTATIONAL AGE VIA NSD</t>
  </si>
  <si>
    <t>O80.0</t>
  </si>
  <si>
    <t>G1P1 (1001) PU DELIVERED LIVE TERM CEPHALIC BABY GIRL, APGAR SCORE 8,9; BW 2900 GRAMS VIA NSD, GESTATIONAL HYPERTENSION</t>
  </si>
  <si>
    <t>O13</t>
  </si>
  <si>
    <t>G1P1 (1001) PU DELIVERED LIVE TERM CEPHALIC BABY GIRL, APGAR SCORE 8,9; BW 1800 GRAMS, MATURITY TESTING 37 WEEKS, SMALL FOR GESTATIONAL AGE VIA NSD, PRE ECLAMPSIA WITHOUT SEVERE FEATURES</t>
  </si>
  <si>
    <t>O36.5</t>
  </si>
  <si>
    <t>O14.1</t>
  </si>
  <si>
    <t>G3P3 (1202) PU DELIVERED CEPHALIC TO A LIVE PRETERM BABY BOY, APGAR SCORE 8,9; BW 1400 GRAMS, BALLARD'S SCORE 32 WKS, APPROPRIATE FOR GESTATIONAL AGE VIA NSD</t>
  </si>
  <si>
    <t>O60.1</t>
  </si>
  <si>
    <t>G1P1 (1001) PU DELIVERED LIVE TERM CEPHALIC BABY GIRL, APGAR SCORE 8,9; BW 3000 GARMS , BW 49 CM., ; MATURITY TESTING 38-39 WKS, DOUBLE CORD COIL, YOUNG PRIMIPARA, GESTATIONAL HYPERTENSION</t>
  </si>
  <si>
    <t>O69.9</t>
  </si>
  <si>
    <t>G3P3 (3003) PU DELIVERED LIVE TERM CEPHALIC BABY BOY, APGAR SCORE 8,9; BW 2500 GMRAS VIA NSD PERINEAL SUPPORT, THICKLY MECONIUM STAINED</t>
  </si>
  <si>
    <t>O68.1</t>
  </si>
  <si>
    <t>G1P1 (1001) PU DELIVERED TERM CEHALIC LIVE BABY GIRL, APGAR SCORE 8,9; BW 3200 GRAMS VIA NSD</t>
  </si>
  <si>
    <t>G3P3 (3003) U DELIVERED LIVE TERM BABY BOY, APGAR SCORE 8,9; BW 2710 GRAMS VIA LTCS III FOR REPEAT</t>
  </si>
  <si>
    <t>O34.2</t>
  </si>
  <si>
    <t>Z37.0</t>
  </si>
  <si>
    <t>G1P1 PU DELIVERED LIVE TERM CEPHALIC BABY GIRL, APGAR SCORE 8,9; BW 2600 GRAMS VIA LTCS I FOR ABRUPTIO PLACENTA</t>
  </si>
  <si>
    <t>O45.9</t>
  </si>
  <si>
    <t>G7P7 (2504) PU DELIVERED LIVE PRETERM BABY BOY, APGAR SCORE 8,9; BW 1000 GRAMS, MATURITY TESTING 29 WKS AOG IN LTCS III WITH BTL, FOR NON REASSURING FETAL STATUS, ANHYDROSIS</t>
  </si>
  <si>
    <t>O68.0</t>
  </si>
  <si>
    <t>O35.8</t>
  </si>
  <si>
    <t>G6P4 (3112) ABORTION INCOMPLETE 12 4/7 WK AOG NON SEPTIC NON INDUCED COMPLETED BY CURETTAGE</t>
  </si>
  <si>
    <t>O03.49</t>
  </si>
  <si>
    <t>G8P7 (7007) PU 32 4/7 WK AOG CEPHALIC IN PRETERM LABOR- ARRESTED</t>
  </si>
  <si>
    <t>O60.0</t>
  </si>
  <si>
    <t>G1P1 (0010) RIGHT AMPULLARY PREGNANCY RUPTURED, ECTOPIC PREGNANCY S/P EXLAP, EVACUATIN OF HEMOPERITONEUM, RIGHT SALPINGECTOMY</t>
  </si>
  <si>
    <t>O00.11</t>
  </si>
  <si>
    <t>HYPOVOLEMIC SHOCK SECONDARY TO ACUTE BLOOD LOSS SECODNARY TO EARLY POSTPARTUM HEMORRHAGE SECONDARY TO TRANSIENT UTERINE ATONY, ANEMIA SECONDARY</t>
  </si>
  <si>
    <t>O72.1</t>
  </si>
  <si>
    <t>O62.2</t>
  </si>
  <si>
    <t>O75.1</t>
  </si>
  <si>
    <t>COMPLICATED UTI, RESOLVING; G3P2 (2002) PU 29 3/7 WK AOG NOT IN LABOR</t>
  </si>
  <si>
    <t>O23.4</t>
  </si>
  <si>
    <t>G1P1 (1001) PU DELIVERED LIVE TERM CEPHALIC BABY BOY, APGAR SCORE 8,9; BW 2500 GRAMS VIA NSD</t>
  </si>
  <si>
    <t>G4P4 (5005) PU DLEIVERED LIVE TERM CEPHALIC BABY BOY, APGAR SCORE 8,9; BW 3000 GRAMS VIA NSD, OLIGOHYDRAMNIOS</t>
  </si>
  <si>
    <t>O41.0</t>
  </si>
  <si>
    <t>G7P7 (7007) PU DELIVERED LIVE TERM CEPHALIC BABY BOY, APGAR SCORE 8,9; BW 3500 GRAMS, SINGLE NUCHAL CORD COIL VIA NSD WITH PERINEAL SUPPORT</t>
  </si>
  <si>
    <t>O69.8</t>
  </si>
  <si>
    <t>G1P1 (1001) PU DELIVERED LIVE TERM BABY BOY, APGAR SCORE 8,9; BW 2900 GRAMS VIA NSD</t>
  </si>
  <si>
    <t>G1P1 (1001) PU DELIVERED LIVE TERM CEPHALIC BABY GIRL, APGAR SCORE 8,9; BW 3200 GRAMS VIA NSD, THICKLY MECONIUM STAINED</t>
  </si>
  <si>
    <t>G1P1 (1001) PU DELIVERED LIVE TERM CEPHALIC BABY BOY, AGPAR SCORE 8,9; BW 2600 GRAMS VIA NSD, PRE ECLAMPSIA SEVERE FETAURES</t>
  </si>
  <si>
    <t>G2P2 (2002) PU DELIVERED LIVE TERM CEPHALIC LIVE BABY BOY, APGAR SCCORE 8,9; BW 3200 GRAMS VIA NSD, PRELABOR RUPTURE OF MEMBRANES</t>
  </si>
  <si>
    <t>O75.6</t>
  </si>
  <si>
    <t>G2P2 (2002) PU DELIVERED LIVE TERM CEPHALIC BABY BOY, APGAR SCORE 8,9; BW 3100 GRAMS VIA NSD</t>
  </si>
  <si>
    <t>G1P1 (1001) PU DELIVERED LIVE TERM CEPHALIC BABY BOY, APGAR SCORE 8,9; BW 2400 GRAMS, MATURITY TESTING OF 37 WEEKS, VIA NSD</t>
  </si>
  <si>
    <t>G2P2 (2002) PU DELIVERED LIVE TERM BABY GIRL, APGAR SCORE 8,9; BW 2800 GRAMS VIA NSD</t>
  </si>
  <si>
    <t>G2P2 (2002) PU DELIVERED LIVE TERM COMPLETE BREECH BABY GIRL, APGAR SCORE 8,9; BW 2245 GRAMS VIA LTCS II FOR CEPHALOPELVIC DISPROPORTION, GESTATIONAL DIABETES MELLITUS, MULTIPLE CONGENITAL ANOMALY</t>
  </si>
  <si>
    <t>O64.1</t>
  </si>
  <si>
    <t>O65.4</t>
  </si>
  <si>
    <t>O24.4</t>
  </si>
  <si>
    <t>G1P1 (1001) PU DELIVERED LIVE FOOTLING BREECH TERM FRESH DEAD BABY GIRL, BW 2335 GARMS VIA LTCS I FOR MALPRESENTATIN, FETAL BRADYCARDIA, CORD PROLAPSE</t>
  </si>
  <si>
    <t>O69.0</t>
  </si>
  <si>
    <t>G1P1 (1001) PU DELIVERED LIVE TERM CEPHALIC BABY BOY, APGAR SCORE 8,9; BW 2800 GRAMS VIA NSD</t>
  </si>
  <si>
    <t>Z30.2</t>
  </si>
  <si>
    <t>G1P1 (1001) PU DELIVERED LIVE TERM CEPHALIC BABY BOY, APGAR SCORE 8,9; BW 3000 GRAMS, APPROPRIATE FOR GESTATIONAL AGE VIA NSD</t>
  </si>
  <si>
    <t>G2P2 (2002) PU DELIVERED LIVE TERM CEPHALIC BABY BOY, APGAR SCORE 8,9; BW 3200 GRAMS VIA NSD</t>
  </si>
  <si>
    <t>G4P3 (3003) PU  34 5/7  WK AOG BREECH NOT IN LABOR, CHRONIC HPN WITH SUPERIMPOSED PRE ECLAMPSIA SEVERE FEATURES CONTROLLED</t>
  </si>
  <si>
    <t>O11</t>
  </si>
  <si>
    <t>O32.1</t>
  </si>
  <si>
    <t>G4P4 (3103) PU DELIVERED LIVE TERM DEAD BABY BOY, BW 900 GRAMS VIA SFE, UFD</t>
  </si>
  <si>
    <t>O36.4</t>
  </si>
  <si>
    <t>O80.8</t>
  </si>
  <si>
    <t>Z37.1</t>
  </si>
  <si>
    <t>G3P2 (2012) PU DELIVERED  TO DEAD MACERATED BABY GIRL, BW 1100 GRAMS VIA SFE</t>
  </si>
  <si>
    <t>G4P4 LATE POSTPARTUM HEMORRHAGE SECONDARY TO RETAINED PLACENTAL TISSUE COMPLETED BY CURERTTAGE, ANEMIA SECONDARY TO ACUTE BLOOD LOSS</t>
  </si>
  <si>
    <t>O72.0</t>
  </si>
  <si>
    <t>O99.0, D62</t>
  </si>
  <si>
    <t>G2P2 (2001) PU DELIVERED LIVE TERM CEPHALIC BABY BOY, APGAR SCORE 8,9; BW 3400 GRAMS VIA NSD</t>
  </si>
  <si>
    <t>G5P5 (5004) PU DLEIVERED LIVE TERM CEPHALIC BABY GIRL ,APGAR SCORE 8,9; B W 2500 GRAMS , MATURITY TESTING OF 37 WEEKS, VIA NSD</t>
  </si>
  <si>
    <t>Z30.1</t>
  </si>
  <si>
    <t>G1P1 (1001) PU DELIVERED LIVE TERM CEPHALIC BABY GIRL, APGAR SCORE 8,9; BW 3100 GRAMS VIA NSD</t>
  </si>
  <si>
    <t xml:space="preserve">G5P5 (5005) PU DELIVERED LIVE TERM CEPHALIC BABY BOY, APGAR SCORE 7,9 BW 3400 GRAMS VIA PRIMARY LTCS I FOR FAILURE OF DESCENT SEC TO FETOPELVIC DISPROPORTION, EARLY POSTPARTUM HEMORRHAGE SECONDNARY DISSECTING HEMATOMA, ANEMIA SECONDARY </t>
  </si>
  <si>
    <t>O32.4</t>
  </si>
  <si>
    <t>O33.9</t>
  </si>
  <si>
    <t>UTI COMPLICATED RESOLVING</t>
  </si>
  <si>
    <t>G4P2 (2012) PU 27 WEEK AGE OF GESTATION CEPHALIC IN PRETERM LABOR RESOLVED</t>
  </si>
  <si>
    <t>URINARY TRACT INFECTION COMPLICATED, RESOLVING; G3P2 (2002) PREGNANCY UTERINE 24 1/7 WK AGE OF GESTATION NOT IN LABOR</t>
  </si>
  <si>
    <t>G1P1 (1001) PU DELIVERED LIVE TERM CEPHALIC BABY BOY, APGAR SCORE 8,9; BW 1800 GRAMS, MATURITY TESTING 38 WEEKS VIA PRIMARY LTCS I FOR ECLAMPSIA, PRE ECLAMPSIA SEVERE</t>
  </si>
  <si>
    <t>O15.9</t>
  </si>
  <si>
    <t>O61.8</t>
  </si>
  <si>
    <t>O82.1</t>
  </si>
  <si>
    <t>G2P2 (2002) PREGNANCY UTERINE DELIVERED TO A LIVE TERM CEPHALIC BABY GIRL, APGAR SCORE 8,9; BW 3400 GRAMS VIA NSD</t>
  </si>
  <si>
    <t>G1P1 (1001) PREGNANCY UTERINE DELIVERED LIKVE TERM CEPHALIC BABY GIRL, APGAR SCORE 8,9; BW 2700 GRAMS, APPROPRIATE FOR GESTATIONAL AGE VIA NSD</t>
  </si>
  <si>
    <t>G2P1 (1011) INCOMPLETE ABORTION COMPLETED BY CURETTAGE NON SEPTIC NON INDUCED</t>
  </si>
  <si>
    <t>O03.99</t>
  </si>
  <si>
    <t>G4P4 (4004) PREGNANCY UTERINE DELIVERED LIVE TERM CEPHALIC BABY BOY, APGAR SCORE 8,9; BW 3600 GRAMS VIA NSD</t>
  </si>
  <si>
    <t>G1P1 (1001) PU DELIVERED LIVE ERM CEPHALIC BABY BOY APGAR SCORE 8,9; BW 3800 GRAMS VIA LTCS FOR FAILURE OF FETAL HEAD DESCENT SECONDARY TO CEPHALOPELVIC DISPROPORTION ANEMIA SECONDARY</t>
  </si>
  <si>
    <t>O64.9</t>
  </si>
  <si>
    <t>O99.0, D64.9</t>
  </si>
  <si>
    <t>G3P3 (3003) PU DELIVERED LIVE TERM CEPHALIC BABY GIRL, APGAR SCORE 8,9; BW 2900 GRAMS VIA NSD</t>
  </si>
  <si>
    <t>G4P1 (1021) PU DELIVERED LIVE TERM CEPHALIC BABY GIRL, APGAR SCORE 8,9; BW 2200 GRAMS VIA NSD</t>
  </si>
  <si>
    <t>ACUTE REPIRATORY FAILURE SECONDARY TO PULMONARY CONGESTION SECONDARY TO POSTPARTUM CARDIOMYOPATHY, CONGESTIVE HEART FAILURE IV, CARDIOGENIC SHOCK SECONDARY RESOLVED; HOSPITAL ACQUIRED PNEUMONIA, RESOLVED; S/P NSD</t>
  </si>
  <si>
    <t>O99.5, J96.0, J81</t>
  </si>
  <si>
    <t>O90.3</t>
  </si>
  <si>
    <t>O99.4, I50.0</t>
  </si>
  <si>
    <t>G2P2 (2002) PU DELIVERED LIVE TERM CEPHALIC LIVE BABY GIRL, APGAR SCORE 8,9; BW 2600 GRAMS VIA LTCS II FOR REPEAT, PREVIOUS LTCS I FOR CEPHALOPELVIC DISPROPORTION, GESTATIONAL DIABETES MELLITUS, PRE ECLAMPSIA SEVERE</t>
  </si>
  <si>
    <t>G6P6 (6006) PU DELIVERED LIVE TERM CEPHALIC BABY BOY, APGAR SCORE 8,9; BW 3100 GRAMS VIA NSD CHRONIC HYPERTENSION</t>
  </si>
  <si>
    <t>O10.0</t>
  </si>
  <si>
    <t>G4P4 (4004) PU DELIVERED LIVE TERM CEPHALIC BABY BOY, APGAR SCORE 8,9; BW 3400 GRAMS VIA NSD</t>
  </si>
  <si>
    <t>G1P1 (1001) PU DELIVERED LIVE TERM CEPHALIC BABY GIRL, AGPAR SCORE 8,9; BW 2600 GRAMS VIA NSD</t>
  </si>
  <si>
    <t>MULTIPLE ELECTROLYTE IMBALANCE CONGENITAL HEART DISEASE, ACYANOTIC TYPE VENTRICULAR SEPTAL DEFECT, PU 35 5/7 WK AOG NOT IN LABOR</t>
  </si>
  <si>
    <t>O99.2, E87.8</t>
  </si>
  <si>
    <t>O99.8, Q21.0</t>
  </si>
  <si>
    <t>G3P1 (1011) PU 33 3/7 WK AOG CEPHALIC NOT IN LABOR, PLACENTA PREVIA NOT IN HEMORRHAGE</t>
  </si>
  <si>
    <t>O44.0</t>
  </si>
  <si>
    <t>G1P0 PU 27 1/7 WK AOG TRANSVERSE LIE IN THREATENED PRETERM LABOR, RSOLVED; PLACENTA PREVIA TOTALIS NOT IN HEMORRHAGE</t>
  </si>
  <si>
    <t>G2P1(1011) MOLAR PREGNANCY PARTIAL EVACUATED BY SUCTION CURETTAGE, ANEMIA SECONDARY TO ACUTE BLOOD LOSS</t>
  </si>
  <si>
    <t>O01.9</t>
  </si>
  <si>
    <t>O08.1</t>
  </si>
  <si>
    <t>Z51.2</t>
  </si>
  <si>
    <t>G3P2 (2011) PU DELIVERED LIVE TERM CEPHALIC BABY BOY, APGAR SCORE 8,9; BW 2900 GRAMS VIA LTCS II FOR REPEAT, GESTATIONAL HYPERTENSION, GESTATIONAL DIABETES MELLITUS</t>
  </si>
  <si>
    <t>G3P3 (3003) PU DELIVERED LIVE TERM CEPHALIC BBAY BOY, APGAR SCORE 8,9; BW 3300 GRAMS VIA LTCS II FOR SCARRED UTERUS, PREVIOUS LTCS II FOR CPD</t>
  </si>
  <si>
    <t>G1P1 (1001) PU DELIVERED LIVE TERM CEPHALIC BABY GIRL, APGAR SCORE 8,9; BW 3285 GRAMS VIA PRIMARY LTCS I FOR NON REASSURIN FETAL HEART RAT E PATTERN, PERSISTENT VARIABLE DECELERATIONS THICKLY MECONIUM STAINED, AMNIOTIC FLUID, PRE ECLAMPSIA SEVERE FEATURES</t>
  </si>
  <si>
    <t>O68.2</t>
  </si>
  <si>
    <t>G1P0 PU 35 4/7 WK AOG CEPHALIC PRETERM LABOR CONTROLLED</t>
  </si>
  <si>
    <t>G1P1 (1001) PU DELIVERD LIVE TERM CEPHALIC BABY BOY, APGAR SCORE 8,9; BW 3000 GRAMS VIA NSD</t>
  </si>
  <si>
    <t>G3P3 (3003) PU DELIVERED LIVE TERM CEPHALIC BABY GIRL, APGAR SCORE 8,9; BW 2600 GRAMS VIA NSD</t>
  </si>
  <si>
    <t>G2P1 (1102) PU DELIVERED LIVE PRETERM BABY GIRL, APGAR SCORE 8,9; BW 2300 GRAMS APPROPRIATE FOR GESTATIONAL AGE VIA LTCS II , PREVIOUS LTCS I FOR CPD, GESTATIONAL DIABETES MELLITUS DIET CONTROLLED</t>
  </si>
  <si>
    <t>G3P3 (3003) PU DLEIVERD LIVE TERM BABY GIRL, APGAR SCORE 8,9; BW 2900 GRMAS VIA NSD</t>
  </si>
  <si>
    <t>G7P7 (6016) PU DELIVERED LIVE TERM CEPHALIC BABY BOY, APGAR SCORE 8,9; BW 3200 GRAMS VIA NSD</t>
  </si>
  <si>
    <t>G4P4 (4004) PU DLEIVERD LIVE TERM CEPHALIC BABY BOY, APGAR SCORE 8,9; BW 3000 GRAMS VIA NSD, DIFFUSE TOXIC GOITER  STORM, UNLIKELY  CLINICALLY AND BIOCHEMICALLY EUTHYROID</t>
  </si>
  <si>
    <t xml:space="preserve">O99.2, </t>
  </si>
  <si>
    <t>G2P2 (1102) PU DELIVERED LIVE PRETERM CEPHALIC BABY GIRL, BW 500 GRAMS VIA VBACS PREVIOUS LTCS I FOR UKNOWN INDICATION UNKNOWN UTERINE SCAR</t>
  </si>
  <si>
    <t>O75.7</t>
  </si>
  <si>
    <t>G1P1 (1001) PU DELIVERED LIVE FULL TERM CEPHALIC BABY BOY, APGAR SCORE 8,9; BW 3300 GRAMS JVIA NSD</t>
  </si>
  <si>
    <t>G1P0 INCOMPLETE ABORTION COMPLETED BY CURETTAGE</t>
  </si>
  <si>
    <t>G1P1 (1001) PU DELIVERED LIVE TERM BABY GIRL, APGAR SCORE 8,9; BW 3400 GRAMS, APPROPRIATE FOR GESTATIONAL AGE VIA NSD</t>
  </si>
  <si>
    <t>G1P0 PU DELIVERED LIVE PRETERM CEPHALIC BABY BOY APGAR SCORE 8,9; BW 1100 GRAMS, MATURITY TESTING 32 WKS, NSD, INCOMPLETE LONGITUDINAL VAGINAL SEPTUM T/C BACTERIAL VAGINOSIS</t>
  </si>
  <si>
    <t>O34.6</t>
  </si>
  <si>
    <t>Z03.8</t>
  </si>
  <si>
    <t>G2P2 (2002) PU DELIVERED LIVE TERM CEPHALIC BABY BOY, APGAR SCORE 8,9; BW 2900 GRAMS VIA NSD</t>
  </si>
  <si>
    <t>G2P2 (2001) PU DELIVERED DEAD BABY BOY, BW 3645 GRAMS VIA HYSTEROTOMY, FETOPELVIC DISPORORTION ANEMIA SECONDARY TO ACUTE BLOOD LOSS</t>
  </si>
  <si>
    <t>G2P1 (1001) ECTOPIC PREGNANCY RIGHT ISTHMIC PREGNANCY RUPTURED</t>
  </si>
  <si>
    <t>G1P0 (0010) RUPTURED RIGHT AMPULLARY ANEMIA SECONDARY</t>
  </si>
  <si>
    <t>G1P0 PU 33 4/7 WK AOG PRELABOR RUPTURE OF MEMBRANES</t>
  </si>
  <si>
    <t>O42.0</t>
  </si>
  <si>
    <t>G3P2 (2012) PU DLEIVERED LIVE TERM CEPHALIC BABY APGAR SCORE 4,5,7 BW 2000 GRAMS VIA LTCS I FOR ABRUPTIO PLACENTA, PRE ECLAMPSIA SEVERE</t>
  </si>
  <si>
    <t>G2P0 (0020) RUPTURED LEFT AMPULLARY PREGNANCY</t>
  </si>
  <si>
    <t>O00.10</t>
  </si>
  <si>
    <t>G4P4 (4004) PU DELIVERED LIVE TERM BABY GIRL, APGAR SCORE 8,9 BW 3400 GRAMS APPROPRIATE FOR GESTATIONAL AGE VIA NSD, PRE ECLAMPSIA SEVERE FEATURES</t>
  </si>
  <si>
    <t>G2P1 (1011) ABORTION INCOMPLETE 7 6/7 WK AOG NON SEPTIC NON INDUCED COMPLETED BY CURETTAGE</t>
  </si>
  <si>
    <t>G4P2 (2022) ABORTION INCOMPLETE 6 1/7 WK AOG NON SEPTIC NON INDUCED COMPLETED BY CURETTAGE DIFFUSE NON TOXIC GOITER, CHRONIC HYPERTENSION</t>
  </si>
  <si>
    <t>O10.1</t>
  </si>
  <si>
    <t>O99.2, E05.0</t>
  </si>
  <si>
    <t>G2P1 (1011) RIGHT AMPULLARY PREGNANCY RUPTURED</t>
  </si>
  <si>
    <t>G1P1 (0202) PU DELIVRED TO TWIN A: LIVE PRETERM CEPHALIC BABY BOY, APGAR SCORE 8,9; BW 820 GRAMS, TWIN B: LIVE PRETERM CEPHALIC BABY BOY, APGAR SCORE 8,9; BW 730 GRAMS VIA NSD</t>
  </si>
  <si>
    <t>O30.0</t>
  </si>
  <si>
    <t>O84.0</t>
  </si>
  <si>
    <t>G1P1 (0101) PU DELIVERED LIVE TERM CEPHALIC BABY GIRL, APGAR SCORE 8,9; BW 1900 GRAMS VIA NSD</t>
  </si>
  <si>
    <t>G2P1 (1011) PU DELIVERED LIVE TERM CEPHALIC BABY GIRL, APGAR SCORE 8,9; BW 2900 GRAMS VIA NSD PRELABOR RUPTURE OF MEMBRANES</t>
  </si>
  <si>
    <t>G1P1 (1001) PU DELIVERED LIVE TERM CEPHALIC BABY BOY, APGAR SCORE 8,9; BW 2600 GRAMS VIA NSD, PRELABOR RUPTURE OF MEMBRANES</t>
  </si>
  <si>
    <t>G2P2 (1102) PU DELIVERED LIVE PRETERM CPEHALIC BABY GIRL, APGAR SCORE 8,9; BW 2100 GRAMS, BALLARD'S SCORE 35 WEEKS OF GESTATION, VIA NSD, PRE ECLAMPSIA SEVERE FEATURES</t>
  </si>
  <si>
    <t>G4P3 (3103) PU DELIVERED LIVE TERM CEPHALIC BABY GIRL, APGAR SCORE 8,9; BW 3000 GRAMS VIA NSD, PRE ECLAMPSIA SEVERE FEATURES</t>
  </si>
  <si>
    <t>O70.0</t>
  </si>
  <si>
    <t>G4P4 (4004) PU DELIVERED LIVE TERM CEPHALIC LIVE BABY BOY, APGAR SCORE 8,9; BW 2580 GRAMS VIA NSD</t>
  </si>
  <si>
    <t>G1P1 (0101) PU DELIVERED LIVE PRETERM CEPHALIC BABY BOY, APGAR SCORE 8,9; BW 1750 GRAMS BALLARD'S SCORE 33 WKS VIA LTCS I FOR NON REASSURING FETAL HEART RATE STATUS; SEIZURE D/O</t>
  </si>
  <si>
    <t>O99.8, R56.8</t>
  </si>
  <si>
    <t>G6P4 (4024) PU DELIVERED LIVE TERM CEPHALIC BABY GIRL, APGAR SCORE 8,9; BW 2800 GRAMS VIA NSD</t>
  </si>
  <si>
    <t xml:space="preserve">G2P1 (0111) PU DELIVERED PRETERM LIVE BABY GIRL CEPHALIC APGAR SCORE 8,9; BW 910 GRAMS VIA LTCS I FOR MALPRESENTATION, MYOMA UTERI, ANEMIA SECONDARY TO ACUTE BLOOD LOSS </t>
  </si>
  <si>
    <t>G5P4 (4014) ASCITES SECONDARY TO NON-ALCOHOLIC FATTY LIVER DISEASE, CHOLELITHIASIS</t>
  </si>
  <si>
    <t>O99.6, K76.0</t>
  </si>
  <si>
    <t>O99.6, K80.2</t>
  </si>
  <si>
    <t>R18</t>
  </si>
  <si>
    <t>G5P4 (5014) COMPLETE ABORTION SUPPURATIVE APPENDICITIS</t>
  </si>
  <si>
    <t>O06.8</t>
  </si>
  <si>
    <t>O99.6, K35.8</t>
  </si>
  <si>
    <t>G2P2 (2002) AUB LEIOMYOMA SUBMUCOUS PROLAPSED ANEMIA SECONDARY</t>
  </si>
  <si>
    <t>D25.0</t>
  </si>
  <si>
    <t>N93.8</t>
  </si>
  <si>
    <t>D50.0</t>
  </si>
  <si>
    <t>CERVICAL CANCER STAGE IIIB, ANEMIA SECONDARY, URINARTY TRACT INFECTION, COMPLICATED, ESCHERICHIA COLI INFECTION</t>
  </si>
  <si>
    <t>C53.9+D63.0*</t>
  </si>
  <si>
    <t>N39.0</t>
  </si>
  <si>
    <t>B96.2</t>
  </si>
  <si>
    <t>HEMORRHAGIC CORPUS LETUEUM CYST LEFT, HEMATOSALPINX LEFT, TWISTED TWO TIMES</t>
  </si>
  <si>
    <t>N83.10</t>
  </si>
  <si>
    <t>N83.60</t>
  </si>
  <si>
    <t>NULLIGRAVID OVARIAN NEW GROWTH PROB BENIGN</t>
  </si>
  <si>
    <t>D39.1</t>
  </si>
  <si>
    <t>AUB MALIGNANCY, COMMUNITY ACQUIRED PNEUMONIA LOW RISK, RESOLVED; ANEMIA SECONDARY CORRECTED</t>
  </si>
  <si>
    <t>D64.8</t>
  </si>
  <si>
    <t>J18.91</t>
  </si>
  <si>
    <t>AUB LEIOMYOMA SUBMUCOUS G3P3 (3003) ANEMIA SECONDARY TO ACUTE BLOOD LOSS CORRECTED</t>
  </si>
  <si>
    <t>D62</t>
  </si>
  <si>
    <t>G2P2 (2002) ABNORMAL UTERINE BLEEDING, MALIGNANT; OVARIAN NEW GROWTH PROB BENIGN, ANEMIA SECONDARY</t>
  </si>
  <si>
    <t>ABNORMAL UTERINE BLEEDING LEIOMYOMA ANEMIA SECONDARY</t>
  </si>
  <si>
    <t>D25.9</t>
  </si>
  <si>
    <t>G1P0 (0010) POSTMENOPAUSAL BLEEDING</t>
  </si>
  <si>
    <t>N95.0</t>
  </si>
  <si>
    <t>HYPOVOLEMIC SHOCK SECONDARY TO ACUTE BLOOD LOSS POSTCOITAL BLEEDING SECONDARY TO GENITAL TRACT LACERATION, ANEMIA SEC</t>
  </si>
  <si>
    <t>S31.5</t>
  </si>
  <si>
    <t>X58.99</t>
  </si>
  <si>
    <t>N93.0</t>
  </si>
  <si>
    <t>NULLIGRAVID ABNORMAL UTERINE BLEEDING ANEMIA SECONDARY</t>
  </si>
  <si>
    <t>N93.9</t>
  </si>
  <si>
    <t>D64.9</t>
  </si>
  <si>
    <t>ABNORMAL UTERINE BLEEDING, LEIOMYOMA</t>
  </si>
  <si>
    <t>ABNORMAL UTERINE BLEEDING POLYP ENDOMETRIAL</t>
  </si>
  <si>
    <t>N84.0</t>
  </si>
  <si>
    <t>ABNORMAL UTERINE BLEEDING, POLYP MALIGNANCY</t>
  </si>
  <si>
    <t>AUB LEIOMYOMA SUBMUCOUS ANEMIA SECONDARY</t>
  </si>
  <si>
    <t>PNEUMOHYDROTHORAX LEFT RESOLVING SEC TO PTB V; ANEMIA SECONDARY</t>
  </si>
  <si>
    <t>J94.8</t>
  </si>
  <si>
    <t>A16.2</t>
  </si>
  <si>
    <t xml:space="preserve"> D64.9</t>
  </si>
  <si>
    <t>CVD RIGHT MCA TERRITORY; HYPERTENSION STAGE II CONTROLLED; TYPE2  DM CONTROLLED</t>
  </si>
  <si>
    <t>I63.9</t>
  </si>
  <si>
    <t>I10.1</t>
  </si>
  <si>
    <t xml:space="preserve"> E11.9</t>
  </si>
  <si>
    <t>ACUTE LEUKEMIC DISEASE</t>
  </si>
  <si>
    <t>C95.0</t>
  </si>
  <si>
    <t>UREMIA RESOLVED SEC TO CKD V SEC TO NSAID INDUCED NEPHROPATHY; GOUTY ARTHRITIS, NOT IN FALRE</t>
  </si>
  <si>
    <t>N18.5+ D63.8</t>
  </si>
  <si>
    <t xml:space="preserve"> N14.1+Y45.3</t>
  </si>
  <si>
    <t>M10.39</t>
  </si>
  <si>
    <t>CAD UNSTABLE ANGINA IIIB2, SINUS, CHF III; URTI, CANNOT TOTALLY R/O PULMONARY MASS</t>
  </si>
  <si>
    <t>I20.0</t>
  </si>
  <si>
    <t>I50.0</t>
  </si>
  <si>
    <t xml:space="preserve"> J06.9</t>
  </si>
  <si>
    <t>CAD UNSTABLE ANGINA IIIB2, SINUS, CHF ; ANEMIA CORRECTED SEC TO CKD V SEC TO HYPERTENSIVE NEPHROSCLEROSIS; HYPERTENSION STAGE II CONTROLLED</t>
  </si>
  <si>
    <t>I13.0</t>
  </si>
  <si>
    <t xml:space="preserve"> N18.5+D63.8</t>
  </si>
  <si>
    <t>CAP RESOLVING; CAD UNSTABLE ANGINA IIIB1, SINUS, NOT IN FAILURE; TYPE 2 DM CONTROLLED</t>
  </si>
  <si>
    <t>J18.92</t>
  </si>
  <si>
    <t xml:space="preserve"> I20.0</t>
  </si>
  <si>
    <t>UGIB SEC TO STRESS INDUCED GASTRITIS; NECK ABSCESS RESOLVING; TYPE 2 DM; HYPERTENSION STAGE II ; AKI SECONDARY</t>
  </si>
  <si>
    <t>K92.2</t>
  </si>
  <si>
    <t>K29.6</t>
  </si>
  <si>
    <t>L02.1</t>
  </si>
  <si>
    <t>CAD UNSTABLE ANGINA IIIB2, SINUS, CHF IV; HYPERTENSION STAGE II CONTROLLED; TYPE 2 DM CONTROLLED</t>
  </si>
  <si>
    <t>I25.1</t>
  </si>
  <si>
    <t xml:space="preserve"> I50.0</t>
  </si>
  <si>
    <t>SEPSIS RESOLVED SEC TO DIABETIC FOOT RIGHT; TYPE 2 DM CONTROLLED</t>
  </si>
  <si>
    <t xml:space="preserve">E11.51 </t>
  </si>
  <si>
    <t>A41.9</t>
  </si>
  <si>
    <t>CAD UNSTABLE ANGINA IIIB2, SINUS, CHF II; HYPERTENSION STAGE II CONTROLLED</t>
  </si>
  <si>
    <t>I20.0+ I50.0</t>
  </si>
  <si>
    <t>CVD RIGHT MCA TERRITORY</t>
  </si>
  <si>
    <t>I63.80</t>
  </si>
  <si>
    <t>UREMIA RESOLVED SEC TO CKD V SEC TO CGN; ANEMIA SECONDARY; HYPERTENSION STAGE II</t>
  </si>
  <si>
    <t xml:space="preserve">N03.9 </t>
  </si>
  <si>
    <t>I12.0</t>
  </si>
  <si>
    <t>UREMIA RESOLVED , ANEMIA SEC TO CKD V SEC TO HYPERTENSIVE NEPHROSCLEROSIS; HYPERTENSION STAGE II CONTROLLED</t>
  </si>
  <si>
    <t>CVD REINFARCT LEFT MCA; HYPERTENSION STAGE II CONTROLLED; TYPE 2 DM CONTROLLED</t>
  </si>
  <si>
    <t xml:space="preserve"> I10.1 </t>
  </si>
  <si>
    <t>E11.9</t>
  </si>
  <si>
    <t>HYPERSENSITIVITY REACTION CONTROLLED SEC TO COTRIMOXAZOLE; ICS</t>
  </si>
  <si>
    <t xml:space="preserve">T78.4 </t>
  </si>
  <si>
    <t xml:space="preserve"> D84.8</t>
  </si>
  <si>
    <t>CAD UNSTABLE ANGINA IIB1, SINUS, TACHYCARDIA, KILLIP III; TYPE 2 DM; UTI COMPLICATED RESOLVING; CKD V SEC TO DIABETIC NEPHROPATHY; ANEMIA SECONDARY</t>
  </si>
  <si>
    <t xml:space="preserve">I20.0 </t>
  </si>
  <si>
    <t>I47.1</t>
  </si>
  <si>
    <t xml:space="preserve"> N39.0 </t>
  </si>
  <si>
    <t>ANEMIA SEC TO IDA</t>
  </si>
  <si>
    <t>D50.9</t>
  </si>
  <si>
    <t>INTESTINAL AMOEBIASIS RESOLVING; TYPE 2 DM CONTROLLED</t>
  </si>
  <si>
    <t>A06.0</t>
  </si>
  <si>
    <t xml:space="preserve">NASOPHARYNGEAL CARCINOMA </t>
  </si>
  <si>
    <t xml:space="preserve">C11.9 </t>
  </si>
  <si>
    <t>Z51.1</t>
  </si>
  <si>
    <t>CAD ANTEROSEPTAL WALL MYOCARDIAL INFARCTION SINUS, KILLIP I</t>
  </si>
  <si>
    <t>I21.0</t>
  </si>
  <si>
    <t>PANCYTOPENIA PROB SEC TO BONE MARROW FAILURE</t>
  </si>
  <si>
    <t>D61.9</t>
  </si>
  <si>
    <t xml:space="preserve"> Z03.8</t>
  </si>
  <si>
    <t>HAP RESOLVING; TYPE 2; DM CONTROLLED</t>
  </si>
  <si>
    <t>J18.99</t>
  </si>
  <si>
    <t xml:space="preserve"> Y95 </t>
  </si>
  <si>
    <t>COPD CONTROLLED; CAP MR RESOLVING; PTB PRESUMPTIVE; ANEMIA SECONDARY CORRECTED</t>
  </si>
  <si>
    <t xml:space="preserve">J15.23 </t>
  </si>
  <si>
    <t xml:space="preserve">J44.9 </t>
  </si>
  <si>
    <t xml:space="preserve">Z03.8 </t>
  </si>
  <si>
    <t>ANEMIA SEC TO CKD V SEC TO CGN ON MAINTENANCE HD; HYPERTENSION STAGE II CONTROLLED</t>
  </si>
  <si>
    <t xml:space="preserve"> N03.9</t>
  </si>
  <si>
    <t xml:space="preserve"> I12.0 </t>
  </si>
  <si>
    <t>ARF RESOLVED SEC TO COPD CONTROLLED; HAP RESOLVING; CAD ANTEROSEPTAL WALL ISCHEMIA, SINUS, CHF II</t>
  </si>
  <si>
    <t>J96.0</t>
  </si>
  <si>
    <t>J18.99+Y95</t>
  </si>
  <si>
    <t>CKD V SEC TO COBSTRUCTIVE UROPATHY SEC TO CERVICAL CANCER STAGE IIIB; ANEMIA SECONDARY; HEMITHORAX RIGHT RESOLVED ; ARF RESOLVED; HAP RESOLVING</t>
  </si>
  <si>
    <t>N18.5,Z49.1</t>
  </si>
  <si>
    <t>N13.9</t>
  </si>
  <si>
    <t>C53.9+D63.0</t>
  </si>
  <si>
    <t>CARDIOGENIC SHOCK SEC CAD NSTEMI, SINUS, KILLIP IV; AKI SECONDARY</t>
  </si>
  <si>
    <t>I21.4</t>
  </si>
  <si>
    <t>N17.9</t>
  </si>
  <si>
    <t>R57.0</t>
  </si>
  <si>
    <t>ARF SEC TO CAP HR RESOLVING; COPDIAE</t>
  </si>
  <si>
    <t>J18.93</t>
  </si>
  <si>
    <t>J44.1</t>
  </si>
  <si>
    <t>ARF SEC TO HAP; COMPLICATED UTI; SEPSIS SECONDARY; SPINAL CORD INJURY SEC TO METASTASIS SEC TO GLUTEAL MASS RIGHT PROB MALIGNANT</t>
  </si>
  <si>
    <t>J18.99+ Y95</t>
  </si>
  <si>
    <t>G95.5</t>
  </si>
  <si>
    <t>ARF SEC TO CAP HR; COPDNIAE; PTB SUSPECT</t>
  </si>
  <si>
    <t>J44.8</t>
  </si>
  <si>
    <t>CARDIOGENIC SHOCK SEC TO RHD; SEVERE STENOSIS, CHF IV; ARF ; CHOLELITHIASIS</t>
  </si>
  <si>
    <t>I05.0</t>
  </si>
  <si>
    <t>ARF SEC TO ICH PROB BRAINSTEM AREA; HYPERTENSION STAGE II; ARF SECONDARY</t>
  </si>
  <si>
    <t>I63.3</t>
  </si>
  <si>
    <t>ARF SEC TO BRAIN HERNIATION SYNDROME SEC TO CVD; HYPERTENSION STAGE II UNCONTROLLED; TYPE 2 DM CONTROLLED</t>
  </si>
  <si>
    <t>I67.9</t>
  </si>
  <si>
    <t>G93.5</t>
  </si>
  <si>
    <t>CARDIOGENIC SHOCK SEC TO HEART FAILURE SEC TO CONGENITAL HEART DISEASE, CHF IV</t>
  </si>
  <si>
    <t>CELLULITIS RIGHT FOOT; TYPE2  DM PC; HYPERTENSION STAGE II UNCONTROLLED</t>
  </si>
  <si>
    <t>BREAST CARCINOMA WITH PULMONARY METASTASIS; S/P MODIFIED REDICAL MASTECTOMY RIGHT; T/C BRAIN METASTASIS</t>
  </si>
  <si>
    <t>C78.0</t>
  </si>
  <si>
    <t>C50.9</t>
  </si>
  <si>
    <t>Z90.11</t>
  </si>
  <si>
    <t>UGIB UNINVESTIGATED RESOLVED; ANEMIA SECONDARY; TYPE 2 DM CONTROLLED</t>
  </si>
  <si>
    <t xml:space="preserve">COMPLICATED UTI RESOLVING; TYPE 2 DM CONTROLLED </t>
  </si>
  <si>
    <t>CAP MR RESOLVING; PULMONARY MASS RIGHT; CEREBRAL PALSY</t>
  </si>
  <si>
    <t>J98.4</t>
  </si>
  <si>
    <t>G80.9</t>
  </si>
  <si>
    <t>Z49.1</t>
  </si>
  <si>
    <t>BAIAE CONTROLLED; CAP RESOLVING; TYPE 2 DM CONTROLLED</t>
  </si>
  <si>
    <t>J45.90</t>
  </si>
  <si>
    <t>CAD UNSTABLE ANGINA IIIB2, SINUS, CHF III; CKD V SEC TO DIABETIC NEPHROPATHY; TYPE 2 DM CONTROLLED</t>
  </si>
  <si>
    <t>N18.5</t>
  </si>
  <si>
    <t>CAD UNSTABLE ANGINA IIB2, SINUS, NOT IN FAILURE</t>
  </si>
  <si>
    <t>HYPOKALEMIA PARALYSIS RESOLVED</t>
  </si>
  <si>
    <t>G72.3</t>
  </si>
  <si>
    <t>HAP RESOLVING; CONGESTION RESOLVED, ANEMIA SEC TO CKD V SEC TO HYPERTENSIVE NEPHROSCLEROSIS ON MAINTENANCE HD; HYPERTENSION STAGE II CONTROLLED</t>
  </si>
  <si>
    <t>J81</t>
  </si>
  <si>
    <t>CAP MR RESOLVING; COPDNIAE; HYPERTENSION STAGE II CONTROLLED; TYPE 2 DM PC</t>
  </si>
  <si>
    <t>ARF RESOLVED SEC TO CAD NSTEMI, SINUS, KILLIP II; HAP RESOLVING</t>
  </si>
  <si>
    <t>UTI COMPLICATED RESOLVING; CKD V SEC TO DIABETIC NEPHROPATHY; ANEMIA SECONDARY; TYPE2  DM CONTROLLED</t>
  </si>
  <si>
    <t>N18.5+D63.8</t>
  </si>
  <si>
    <t>E11.2+N08.3</t>
  </si>
  <si>
    <t>BAIAE CONTROLLED; URTI RESOLVING</t>
  </si>
  <si>
    <t>J06.9</t>
  </si>
  <si>
    <t>CAD NSTEMI, SINUS, KILLIP I; HYPERTENSION STAGE II CONTROLLED</t>
  </si>
  <si>
    <t>CAD NSTEMI, SINUS, KILLIP I</t>
  </si>
  <si>
    <t>UGIB UNINVESTIGATED SEC TO BPUD; ANEMIA SECONDARY</t>
  </si>
  <si>
    <t>K27.4</t>
  </si>
  <si>
    <t>DENGUE FEVER WITH WARNING SIGNS RESOLVING; TYPE 2 DM PC</t>
  </si>
  <si>
    <t>A97.1</t>
  </si>
  <si>
    <t xml:space="preserve"> EMPYEMA THORACIS RIGHT RESOLVING; PNEUMOTHORAX RIGHT RESOLVED; PTB III ON INTENSIVE PHASE; TYPE 2 DM CONTROLLED</t>
  </si>
  <si>
    <t>J86.91</t>
  </si>
  <si>
    <t>CAP MR RESOLVING; TYPE 2 DM</t>
  </si>
  <si>
    <t>COPDIAE CONTROLLED; PTB TRETAMENT COMPLETED; URTI RESOLVING</t>
  </si>
  <si>
    <t>B90.9</t>
  </si>
  <si>
    <t>UREMI, ANEMIA SEC TO CKD V SEC TO CGN</t>
  </si>
  <si>
    <t>UGIB SEC TO BPUD RESOLVED; ANEMIA SECONDARY</t>
  </si>
  <si>
    <t>CAD UNSTABLE ANGINA IIIB2, SINUS, CHF II; CAP MR RESOLVING</t>
  </si>
  <si>
    <t>ARF SEC TO CAD NSTEMI, SINUS, KILLIP IV; UREMIA, ANEMIA, ACIDOSIS SEC TO CKD V SEC TO SENILE NEPHROPATHY</t>
  </si>
  <si>
    <t>N19</t>
  </si>
  <si>
    <t>N25.8</t>
  </si>
  <si>
    <t xml:space="preserve">DIABETIC FOOT INFECTION LEFT ;S/P DEBRIDEMENT; TYPE 2 DM </t>
  </si>
  <si>
    <t>E11.50</t>
  </si>
  <si>
    <t>Z98.8</t>
  </si>
  <si>
    <t>ORGANOPHOSPHATE INHALATION ACCIDENTAL</t>
  </si>
  <si>
    <t>T60.0</t>
  </si>
  <si>
    <t>X48.62</t>
  </si>
  <si>
    <t>CAD STEMI, ANTEROSEPTAL MYOCARDIAL INFRACTION, KILLIP I</t>
  </si>
  <si>
    <t>HYPOKALEMIC PERIODIC PARALYSIS RESOLVED</t>
  </si>
  <si>
    <t>COPDIAE CONTROLLED</t>
  </si>
  <si>
    <t>IMPENDING THYROID STORM RESOLVED; THYROID MASS PROB MALIGNANT; INTESTINAL ASCARIASIS</t>
  </si>
  <si>
    <t>E05.5</t>
  </si>
  <si>
    <t>E07.9</t>
  </si>
  <si>
    <t>B77.0+K93.8</t>
  </si>
  <si>
    <t>ACUTE LIMB ISCHEMIA, BILATERAL LOWER EXTERITIES PROB SEC TO PERIPHERAL ARTERIAL OCCLUSIVE DISEASE</t>
  </si>
  <si>
    <t>M62.262</t>
  </si>
  <si>
    <t>HYPERTENSIVE URGENCY; S/P CVD (2013)</t>
  </si>
  <si>
    <t>I10.9</t>
  </si>
  <si>
    <t>I69.8</t>
  </si>
  <si>
    <t>ARF RESOLVED SEC TO CAD NSTEMI, SINUS, KILLIP IV; TYPE 2 DM ; HYPERTENSION STAGE II</t>
  </si>
  <si>
    <t>CVD PROB ICH; HYPERTENSION STAGE II CONTROLLED</t>
  </si>
  <si>
    <t>Z03.5</t>
  </si>
  <si>
    <t>CVD INFARCT RIGHT MCA TERRITIORY; HYPERTENSION STAGE II</t>
  </si>
  <si>
    <t>HYPERKALEMIA CORRECTED, ANEMIA SEC TO CKD V SEC TO OBSTRUCTIVE UROPATHY SEC TO NEPHROSLITHIASIS RIGHT ON MAINTENACE HD</t>
  </si>
  <si>
    <t>E87.5</t>
  </si>
  <si>
    <t>N13.8, N20.01</t>
  </si>
  <si>
    <t>PANCYTOPENIA SEC TO LIVER CIRRHOSIS; TYPE 2 DM; S/P UPPER GASTROINTESTINAL ENDOSCOPY</t>
  </si>
  <si>
    <t>K74.6</t>
  </si>
  <si>
    <t>UREMIA RESOLVED , ANEMIA CORRECTED SEC TO CKD V SEC TO CGN; HYPERTENSION STAGE II CONTROLLED</t>
  </si>
  <si>
    <t>CAD UNSTABLE ANGINA IIIB1, SINUS, NOT IN FAILURE; HYPERTENSION STAGE II CONTROLLED; CAP MR RESOLVING; PTB PRESUMPTIVE</t>
  </si>
  <si>
    <t>UREMIA RESOLVED, ANEMIA CORRECTED SEC TO CKD V SEC TO CGN; HYPERTENSION STAGE II CONTROLLED</t>
  </si>
  <si>
    <t>UTI COMPLICATED RESOLVING; CKD V SEC TO HYPERTENSIVE NEPHROSCLEROSIS; ANEMIA SECONDARY; HYPERTENSION STAGE II; S/P CVD WITHOUT FRESIDUALS</t>
  </si>
  <si>
    <t>SEPSIS SEC TO CNS INFECTION; ARF SECONDARY; ANEMIA, HYPERKALEMIA SEC TO CKD IV SEC TO DIABETIC NEPHROPATHY; TYPE2  DM; UTI COMPLICATED</t>
  </si>
  <si>
    <t>G04.9</t>
  </si>
  <si>
    <t>ARF SEC TO PULMONARY CONGESTION SEC TO CAD NSTEMI, SINUS, KILLIP IV</t>
  </si>
  <si>
    <t>ARF SEC TO CAD NSTEMI, SINUS, KILLIP IV; PLEURAL EFFUSION RIGHT SEC TO CAP HR</t>
  </si>
  <si>
    <t>J90</t>
  </si>
  <si>
    <t>ARF SEC TO CAP HR</t>
  </si>
  <si>
    <t>ARF PROB SEC TO PULMONARY EMBOLISM; BREAST  CARCINOMA; S/P MODIFIED RADICAL MASTECTOMY RIGHT; S/P CHEMOTHERAPY X 5 CYCLES</t>
  </si>
  <si>
    <t>I26.9</t>
  </si>
  <si>
    <t>CAP MR RESOLVING</t>
  </si>
  <si>
    <t>ACALCULOUS CHOLECYSTITIS</t>
  </si>
  <si>
    <t>K80.1</t>
  </si>
  <si>
    <t>UTI COMPLICATED RESOLVING; TYPE 2 DM CONTROLLED; HYPERTENSION STAGE II CONTROLLED; S/P CVD WITHOUT RESIDUALS (2000)</t>
  </si>
  <si>
    <t>E11. 9</t>
  </si>
  <si>
    <t>CAD UNSTABLE ANGINA IIB2, SINUS, CHF III; UGIB UNINVESTIGATED; HYPERTENSION STAGE II CONTROLLED; TYPE 2 DM CONTROLLED</t>
  </si>
  <si>
    <t>POST STROKE SEIZURE; CVD INFARCTRIGHT  MCA TERRITORY; HYPERTENSION STAGE II CONTROLLED</t>
  </si>
  <si>
    <t>R56.8</t>
  </si>
  <si>
    <t>CAD NSTEMI, SINUS, KILLIP II; COPDNIAE</t>
  </si>
  <si>
    <t>CAP MR RESOLVING; TYPE 2 DM CONTROLLED</t>
  </si>
  <si>
    <t>ANEMIA OF CHRONIC DISEASE; ICS;PTB V</t>
  </si>
  <si>
    <t>B20.0+D63.8</t>
  </si>
  <si>
    <t xml:space="preserve">CAD NSTEMI, SINUS, KILLIP II </t>
  </si>
  <si>
    <t>HYPOKALEMIC PERIODIC PARALYSIS CONTROLLED; AKI SECONDARY</t>
  </si>
  <si>
    <t>CAD UNSTABLE ANGINA IIB1, SINUS, CHF II; PRESUMPTIVE TB</t>
  </si>
  <si>
    <t>ANEMIA EC TO IDA</t>
  </si>
  <si>
    <t>CAP MR RESOLVING; COPDIAE CONTROLLED; CAD, SINUS, NOT IN FAILURE</t>
  </si>
  <si>
    <t xml:space="preserve">ANEMIA SEC TO CKD V SEC TO HYPERTENSIVE NEPHROSCLEROSIS; HYPERTENSION STAGE II </t>
  </si>
  <si>
    <t>I12.9</t>
  </si>
  <si>
    <t xml:space="preserve">MASSIVE HEMOPTYSIS CONTROLLED SEC TO PTB </t>
  </si>
  <si>
    <t>R04.2</t>
  </si>
  <si>
    <t>UGIB SEC TO BPUD; ANEMIA SECONDARY CORRECTED</t>
  </si>
  <si>
    <t>CAP MR RESOLVING; COPDIAE CONTROLLED; PRESUMPTIVE PTB</t>
  </si>
  <si>
    <t>CVD INFARCT RIGHT MCA TERRITORY; HYPERTENSION STAGE II CONTROLLED</t>
  </si>
  <si>
    <t>CAD NSTEMI, SINUS, KILLIP I; HYPERTENSION STAGE II ; TYPE2  DM</t>
  </si>
  <si>
    <t xml:space="preserve"> CHRONIC OSTEOMYELITIS FOOT RIGHT; S/P BKA RIGHT; TYPE 2 DM; UTI COMPLICATED RESOLVED</t>
  </si>
  <si>
    <t>M86.671</t>
  </si>
  <si>
    <t>ANEMIA CORRECTED SEC TO UGIB SEC TO BPUD; MULTIPLE ELECTROLYTE IMBALNCE (HYPOMAGNESEMIA, HYPOKALEMIA) CORRECTED SEC TO POOR ORAL INTAKE</t>
  </si>
  <si>
    <t>I25.0</t>
  </si>
  <si>
    <t>CAD UNSTABLE ANGINA IIIB2, INFEROLATERAL WALL ISCHEMIA, SINUS, CHF II; HYPERTENSION STAGE II CONTROLLED</t>
  </si>
  <si>
    <t>I25.8</t>
  </si>
  <si>
    <t>CVD; CANNOT TOTALLY R/O TRANSIENT ISCHEMIC ATTACK; HYPERTENSION STAGE II ; TYPE 2 DM CONTROLLED</t>
  </si>
  <si>
    <t>ANEMIA CORRECTED SEC TO CKD V SEC TO CGN ; HYPERTENSION STAGE II CONTROLLED</t>
  </si>
  <si>
    <t>MASSIVE HEMOPTYSIS SEC TO PTB; ALCOHOLIC LIVER CIRRHOSIS</t>
  </si>
  <si>
    <t>K70.3</t>
  </si>
  <si>
    <t>SEPTIC SHOCK SEC TO HAP; CKD V SEC TO DM NEPHROPATHY; TYPE2  DM CONTROLLED</t>
  </si>
  <si>
    <t>J18.99, Y95</t>
  </si>
  <si>
    <t>ARF SEC TO CAD NSTEMI, SINUS, KILLIP IV; COPDNIAE; HYPERTHYROIDISM</t>
  </si>
  <si>
    <t>E05.9</t>
  </si>
  <si>
    <t>MULTI-ORGAN SEC TO UREMIA SEC TO CKD V SEC TO OBSTRUCTIVE NEPHROPATHY; TYPE 2 DM; SEPTIC SHOCK SEC TO HAP</t>
  </si>
  <si>
    <t>HYPOVOLEMIC SHOCK SEC TO UGIB SEC TO BPUD UNINVESTIGATED; ANEMIA SECONDARY</t>
  </si>
  <si>
    <t>ARF SEC TO CARDIOGENIC SHOCK SEC TO CAD NSTEMI, SINUS, KILLIP IV; ANEMIA SEC TO CKD V SEC TO HYPERTENSIVE NEPHROSCLEROSIS</t>
  </si>
  <si>
    <t>SEPSIS RESOLVED SEC TO DIABETIC FOOT RIGHT; TYPE2  DM CONTROLLED; ANEMIA SECONDARY</t>
  </si>
  <si>
    <t>ASPIRATION PNEUMONIA; S/P CVD (ICH- JAN 2015); HYPERTENSION STAGE II CONTROLLED</t>
  </si>
  <si>
    <t>J69.0</t>
  </si>
  <si>
    <t>I69.2</t>
  </si>
  <si>
    <t>DYSPEPSIA UNINVESTIGATED; CAD UNSTABLE ANGINA IIIB3, LEFT ATRILA ENLARGEMENT, SINUS, CHF II</t>
  </si>
  <si>
    <t>K30</t>
  </si>
  <si>
    <t>ANEMIA CORRECTED SEC TO CKD V SEC TO CGN ON MAINTENANCE HD; HYPERTENSION STAGE II CONTROLLED</t>
  </si>
  <si>
    <t>PTB PRESUMPTIVE; APSIRATION PNEUMONIA RESOLVING; HYPERTENSION STAGE II CONTROLLED</t>
  </si>
  <si>
    <t>CVD HEMORRHAGE RIGHTRIGHT GANGLIA; HYPERTENSION STAGE II</t>
  </si>
  <si>
    <t>I61.0</t>
  </si>
  <si>
    <t>ICH THALAMIC AREA RIGHT; HYPERTENSION STAGE II CONTROLLED</t>
  </si>
  <si>
    <t>I61.1</t>
  </si>
  <si>
    <t>POST STROKE SEIZURE; S/P CVD WITH RIGHT SIDED RESIDUALS; HYPERTENSION STAGE II</t>
  </si>
  <si>
    <t>I69.4</t>
  </si>
  <si>
    <t>ANEMIA SEC TO CKD V SEC TO DIABETIC NEPHROPATHY; TYPE 2 DM CONTROLLE</t>
  </si>
  <si>
    <t>ARF SEC TO CAD NSTEMI, SINUS, KILLIP IV; CKD V SEC TO HYPERTENSIVE NEPHROSCLEROSIS; HYPERTENSION STAGE II CONTROLLED; HAP</t>
  </si>
  <si>
    <t>BRONCHIAL ASTHMA CONTROLLED; URTI RESOLVING; HYPERTENSION STAGE II CONTROLLED</t>
  </si>
  <si>
    <t>J45.9</t>
  </si>
  <si>
    <t>UNINVESTIGATED DYSPEPSIA</t>
  </si>
  <si>
    <t>COPDIAE CONTROLLED; CAD ATRIAL FIBRILLATION IN MODERATE RESPONSE, NOT IN FAILURE; URTI</t>
  </si>
  <si>
    <t>I48</t>
  </si>
  <si>
    <t>ACUTE LEUKEMIC DISEASE; MULTIPLE ELECTROLYTE IMBALANCE (HYPOKALEMIA, HYPOMAGNESEMIA) CORRECTED</t>
  </si>
  <si>
    <t>E87.8</t>
  </si>
  <si>
    <t>E87.6</t>
  </si>
  <si>
    <t xml:space="preserve">AGE WITH MODERATE SIGNS OF DEHYDRATION RESOLVING </t>
  </si>
  <si>
    <t>A09.9</t>
  </si>
  <si>
    <t>E86.1</t>
  </si>
  <si>
    <t>CAD UNSTABLE ANGINA IIB1, LATERAL WALL ISCHEMIA, CHF III; TYPE2  DM; HYPERTENSION STAGE II; CKD V SEC TO DIABETIC NEPHROPATHY; ANEMIA SECONDARY</t>
  </si>
  <si>
    <t>ARF SEC TO BRAIN HERNIATION SYNDROME SEC TO CVD PROB BLEED; ANEMIA SECONDARY</t>
  </si>
  <si>
    <t>ARF SEC TO CAD NSTEMI, SINUS, KILLIP IV; S/P ARREST</t>
  </si>
  <si>
    <t>DILATED CARDIOMYOPATHY, SINUS, CHF IV; ARF SECONDARY RESOLVED; CAP HR RESOLVED; TRAUMATIC HEMORRHAGIC CYSTITIS; AKI RESOLVING</t>
  </si>
  <si>
    <t>I42.0</t>
  </si>
  <si>
    <t>TETANUS SEVERE RESOLVING; HAP RESOLVED</t>
  </si>
  <si>
    <t>A35</t>
  </si>
  <si>
    <t xml:space="preserve">J18.99 </t>
  </si>
  <si>
    <t>Y95</t>
  </si>
  <si>
    <t>CARDIOGENIC SHOCK SEC TO CAD NSTEMI, SINUS, KILLIP IV;CVD INFARCT LEFT MCA TERRITORY; HYPERTENSION STAGE II CONTROLLED</t>
  </si>
  <si>
    <t>ARF SEC TSEPTIC SHOCK SEC TO HAP; COPD</t>
  </si>
  <si>
    <t>J44.9</t>
  </si>
  <si>
    <t>J18.99,Y95</t>
  </si>
  <si>
    <t>MULTI-ORGAN SEC TO UREMIA SEC TO CKD V SEC TO 1. URIC ACID NEPHROPATHY, 2. CGN; UROSEPSIS; ARF SECONDARY</t>
  </si>
  <si>
    <t>N28.8</t>
  </si>
  <si>
    <t>N03.9</t>
  </si>
  <si>
    <t>CARDIOGENIC SHOCK SEC TO DILATED CARDIOMYOPATHY, ATRIAL FIBRILLATION IN MODERATE VENTRICULAR RESPONSE, CHF IV; HAP</t>
  </si>
  <si>
    <t>CARDIOGENIC SHOCK SEC TO COR PULMONALE; PULMONARY HYPERTENSION , CHF IV; COPD; CAP HR</t>
  </si>
  <si>
    <t>I27.9</t>
  </si>
  <si>
    <t>I27.0</t>
  </si>
  <si>
    <t xml:space="preserve">CAD NSTEMI, COMPLETE RIGHT BUNDLE BRANCH BLOCK , SINUS, TACHYCARDIA, KILLIP IV; HYPOVOLEMIA SEC TO MASSIVE UGIB UNINVESTIGATED PROB BPUD; CKD V SEC TO CGN ON MAINTENANCE HD; ANEMIA SECONDARY; HAP </t>
  </si>
  <si>
    <t>ARF SEC TO CAD NSTEMI, KILLIP IV; HAP; SEPTIC SHOCK SECONDARY; DERMATOMYOSITIS</t>
  </si>
  <si>
    <t>M33.1</t>
  </si>
  <si>
    <t>ARF SEC TO POOLING OF SECRETIONS; CVD, ICH RIGHT BASAL GANGLIA; CKD V SEC TO HYPERTENSIVE NEPHROSCLEROSIS ON MAINTENANCE HD; HYPERTENSION STAGE II CONTROLLED</t>
  </si>
  <si>
    <t>K11.7</t>
  </si>
  <si>
    <t>CARDIOGENIC SHOCK SEC TO CAD NSTEMI, SINUS, TACHYCARDIA, KILLIP IV; HYPERTENSWION STAGE II CONTROLLED; TYPE2  DM CONTROLLED</t>
  </si>
  <si>
    <t>UTI COMPLICATED; CKD V SEC TO HYPERTENSIVE NEPHROSCLEROSIS; HYPERTENSION STAGE II CONTROLLED</t>
  </si>
  <si>
    <t>CAD USNATBLE ANGINA IIIB2, COMPLETE LEFT BUNDLE BRANCH BLOCK, ATRIAL FIBRILLATION IN MODERATE VENTRICULAR RESPONSE, CHF III; HYPERTENSION STAGE II CONTROLLED;PTB PRESUMPTIVE</t>
  </si>
  <si>
    <t>I44.7</t>
  </si>
  <si>
    <t>BENIGN PAROXYSMAL POSITIONAL VERTIGO; CVD INFARCT CEREBELLAR AREA; UTI COMPLICATED RESOLVING; HYPERTENSION STAGE II CONTROLLED</t>
  </si>
  <si>
    <t>H81.1</t>
  </si>
  <si>
    <t>CAD UNSTABLE ANGINA IIIB2, ATRILA FIBRILLATION IN MODERATE VENTRICULAR RESPONSE, CHF II; HYPERTENSION STAGE II CONTROLLED</t>
  </si>
  <si>
    <t>CAD UNSTABLE ANGINA IIB1, OLD SEPTAL WALL MYOCARDIAL INFARCTION ATRIAL FIBRILLATION IN MODERATE VENTRICULAR RESPONSE, NOT IN FAILURE</t>
  </si>
  <si>
    <t>I52.2</t>
  </si>
  <si>
    <t>SEPTIC SHOCK RESOLVED SEC TO UTI RESOLVING; DECUBITUS ULCER, SACRAL AREA GRADE IV; AKI SECONDARY RESOLVING; SPINAL CORD INJURY SEC TO ELECTRICAL INJURY (2016); S/P CVD WITH LEFT SIDED RESIDUALS (2002); HYPERTENSION STAGE II CONTROLLED</t>
  </si>
  <si>
    <t>L89</t>
  </si>
  <si>
    <t>INFECTED BREST MASS LEFT WITH PULMONARY AND LIVER METASTASIS; HAP RESOLVED; ANEMIA SECONDARY CORRECTED</t>
  </si>
  <si>
    <t>N63</t>
  </si>
  <si>
    <t>C78.7</t>
  </si>
  <si>
    <t>HYPOKALEMIC PERIODIC PARALYSIS RESOLVED; PTB V; URTI RESOLVING</t>
  </si>
  <si>
    <t>BRONCHIAL ASTHMA CONTROLLED; CAP MR RESOLVING; PTB PRESUMPTIVE</t>
  </si>
  <si>
    <t>J8.92</t>
  </si>
  <si>
    <t>NON-ULCERATIVE DYSPEPSIA; ANEMIA SEC TO IRON DEFICIENCY</t>
  </si>
  <si>
    <t>ANEMIA SEC TO CKD V SEC TO CGN ON MAINTENANCE HD; HYPERTENSION STAGE II CONTROLLED; HEMOTHORAX RIGHT ; S/P CTT INSERTION; PTB III ON INTENSIVE PHASE</t>
  </si>
  <si>
    <t>J94.21</t>
  </si>
  <si>
    <t>CVD INFACT RIGHT MCA TERRITORY; HYPERTENSION STAGE II CONTROLLED</t>
  </si>
  <si>
    <t>I63.4</t>
  </si>
  <si>
    <t>ICH CEREBELLUM; HYPERTENSION STAGE II CONTROLLED</t>
  </si>
  <si>
    <t>I61.4</t>
  </si>
  <si>
    <t>CAD UNSTABLE ANGINA IIB1, LEFT AXIS DEVIATION NYHA FUNCTIONAL CLASS II; PRESUMPTIVE PTB</t>
  </si>
  <si>
    <t>RHD, MITRAL STENOSIS, AORTIC REGURGITATION, TRICUSPID REGURGITATION, ATRIAL FIBRILLATION IN MODERATE VENTRICULAR RESPONSE, CHF III</t>
  </si>
  <si>
    <t>I09.9</t>
  </si>
  <si>
    <t>I35.1</t>
  </si>
  <si>
    <t xml:space="preserve">CAD UNSTABLE ANGINA IIB2, ATRIAL FIBRILLATION IN MODERATE VENMTRICULAR RESPONSE WITH OCCASSIONAL PREMATURE ECTOPIC BEATS, CHF III; HYPERTENSION STAGE II </t>
  </si>
  <si>
    <t>HAP RESOLVING; CKD V SEC TO DIABETIC NEPHROPATHY ON MAINTENANCE HD; TYPE 2 DM CONTROLLED</t>
  </si>
  <si>
    <t xml:space="preserve">N18.5 </t>
  </si>
  <si>
    <t>CTT; 2 UNITS PRBC</t>
  </si>
  <si>
    <t>R91</t>
  </si>
  <si>
    <t>K76.8</t>
  </si>
  <si>
    <t>HYPONATREMIA SEC TO PPOOR ORAL INTAKE CORRECTED; VARICELLA INFECTION RESOLVING</t>
  </si>
  <si>
    <t>E87.1</t>
  </si>
  <si>
    <t>R63.8</t>
  </si>
  <si>
    <t>B01.9</t>
  </si>
  <si>
    <t>ACUTE PYELONEPHRITIS RESOLVING</t>
  </si>
  <si>
    <t>N10</t>
  </si>
  <si>
    <t>CKD V SEC TO GOUTY NEPHROPATHY ON MAINTENANCE HD; GOUTY ARTHRITIS NOT IN FLARE; HYPERTENSION STAGE II CONTROLLED; CAD ATRILA FIBRILLATION INMODERATE VENTRICULAR RESPONSE, CHF II</t>
  </si>
  <si>
    <t>UREMIA RESOLVED, ANEMIA CORRECTED SEC TO CKD V SEC TO GOUTY NEPHROPATHY ON MAINTENANCE HD; GOUTY ARTHRITIS NOT IN FLARE; TYPE 2 DM CONTROLLED</t>
  </si>
  <si>
    <t>M10.30</t>
  </si>
  <si>
    <t>SYSTEMIC LUPUS ERYTHEMATOSUS; ANEMIA SECONDARY CORRECTED; CAP MR RESOLVED; ACUTE GASTRITIS RESOLVED</t>
  </si>
  <si>
    <t>M32.9</t>
  </si>
  <si>
    <t>CKD V SEC TO GOUTY NEPHROPATHY ON MAINTENANCE HD; INFECTED WOUND SEC TO CHRONIC TOPHACEOUS CYST; ANEMIA SECONDARY; GOUTY ARTHRITIS, NOT IN FLARE; HYPERTENSION STAGE II</t>
  </si>
  <si>
    <t xml:space="preserve">M10.3 </t>
  </si>
  <si>
    <t>M10.9</t>
  </si>
  <si>
    <t>UREMIA RESOLVED , ANEMIA SEC TO CKD V SEC TO CGN; UTI COMPLICATED RESOLVING; HYPERTERSION STAGE II CONTROLLED</t>
  </si>
  <si>
    <t>UGIB RESOLVED SEC TO BLEEDING ESOPHAGEAL VARICES SEC TO PORTAL HYPERTENSION SEC TO ALCOHOLIC LIVER CIRRHOSIS; ASCITES SECONDARY</t>
  </si>
  <si>
    <t>I85.0</t>
  </si>
  <si>
    <t>K76.6</t>
  </si>
  <si>
    <t>UGIB UNINVESTIGATED PROB SEC TO BPUD; ANEMIA SECONDARY; CYSTOLITHIASIS; UTI COMPLICATED; TYPE 2 DM</t>
  </si>
  <si>
    <t>N21.0</t>
  </si>
  <si>
    <t>ARF SEC TO BRAIN HERNIATION SYNDROME EC TO HEMORRHAGE; DM II</t>
  </si>
  <si>
    <t>I61.9</t>
  </si>
  <si>
    <t>ACUTE PULMONARY CONGESTION SEC TO CKD V SEC TO DIABETIC NEPHROPATHY ON MAINTENANCE HD; TYPE 2 DM CONTROLLED; HYPERTENSION STAGE II PC; CAD INFEROLATERAL WALL ISCHEMIA, SINUS, CHF III</t>
  </si>
  <si>
    <t>METABOLIC ENCEPHALOPATHY SEC TO POOR ORAL INTAKE; ANEMIA SECONDARY; CAD NSTEMI. SINUS, TACHYCARDIA, KILLIP IV</t>
  </si>
  <si>
    <t>ARF SEC TO POOLING OF SECRETIONS SEC TO ADULT ONSET; SEIZURE DISORDER; CANNOT TOTALLY R/O PSYCHIATRIC DISORDER</t>
  </si>
  <si>
    <t>J98.8</t>
  </si>
  <si>
    <t>ARF SEC TO BRAIN HERNIATION SYNDROME SECONADRY; CVD PROB HEMORRHAGE; HYPERTENSION STAGE II PC; UGIB SECONDARY SEC TO STRESS INDUCED GASTRITIS</t>
  </si>
  <si>
    <t>HYPOVOLEMIC SHOCK SEC TO UGIB UNINVESTIGATED; ANEMIA SECONDARY; ARF SECONDARY ,CANNOT R/O MALIGNANCY</t>
  </si>
  <si>
    <t>HAP; NASOPHARYNGEAL CARCINOMA; ANEMIA SECONDARY; HYPOXIA SEC TO ARF; PULMONARY CONGESTION; T/C PULMONARY METASTASIS</t>
  </si>
  <si>
    <t>C11.9+D63.0</t>
  </si>
  <si>
    <t>R09.0</t>
  </si>
  <si>
    <t>SEPTIC SHOCK SEC TO DECUBITUS ULCER, SACRAL AREA; ARF SECONDRAY; TYPE 2 DM</t>
  </si>
  <si>
    <t>ARF SEC TO CAD ANTEROSEPTAL WALL STEMI, KILLIP IV; PNEUMOTHORAX LEFT; PRESUMPTIVE TB</t>
  </si>
  <si>
    <t>J93.9</t>
  </si>
  <si>
    <t>Z03.0</t>
  </si>
  <si>
    <t>CAD NSTEMI, ATRILA FIBRILLATION IN SLOW VENTRICULAR RESPONSE, KILLIP IV; ANEMIA SEC TO UGIB SEC TO BLEEDING ESOPHAGEAL VARICES SEC TO ALCOHOLIC LIVER DISEASE</t>
  </si>
  <si>
    <t>SEPTIC SHOCK SEC TO HAP; ARF SECONDARY; TYPE 2 DM</t>
  </si>
  <si>
    <t>E11.90</t>
  </si>
  <si>
    <t>AGE WITH MODERATE DEHYDRATION; ELECTROLYTE IMBALNCE SEC TO POOR ORAL INTAKE (HYPONATREMIA); ACUTE GASTRITIS; 
ACUTE CYSTITIS</t>
  </si>
  <si>
    <t xml:space="preserve">A09.9 </t>
  </si>
  <si>
    <t xml:space="preserve">E86.1 </t>
  </si>
  <si>
    <t xml:space="preserve">E87.1 </t>
  </si>
  <si>
    <t>ANEMIA SEC TO IDA; CANNOT TOTALLY RULE OUT CONNECTIVE
 TISSUE DISEASE; T/C AUB; ACUTE CYSTITIS</t>
  </si>
  <si>
    <t>N30.0</t>
  </si>
  <si>
    <t>ACUTE PYELONEPHRITIS</t>
  </si>
  <si>
    <t>DM TYPE 2  CONTROLLED; MULTIPLE ELECTROLYTE IMBALANCE PROB 
SEC TO POOR ORAL INTAKE CORRECTED; CAP LR</t>
  </si>
  <si>
    <t xml:space="preserve"> E87.8 </t>
  </si>
  <si>
    <t>DENGUE FEVER WITH WARNING SIGNS; ACUTE PYELONEPHRITIS;
 ACUTE TONSILLOPHARYNGITIS, NON-EXUDATIVE</t>
  </si>
  <si>
    <t>J06.8</t>
  </si>
  <si>
    <t>ACUTE GASTRITIS RESOLVING; DENGUE FEVER WITH WARNING SIGNS</t>
  </si>
  <si>
    <t>K29.1</t>
  </si>
  <si>
    <t>ARF SEC TO UREMIC ENCEPHALOPATHY; PULMONARY CONGESTION 
SEC TO CKD V SEC TO HYPERTENSIVE NEPHROSCLEROSIS; HYPERTENSION STAGE II CONTROLLED; UGIB SEC TO UREMIC GASTRITIS; ANEMIA SECONDARY</t>
  </si>
  <si>
    <t>AGE WITH SIGNS OF MODERATE DEHYDRATION; INTESTINAL AMOEBIASIS; HYPONATREMIA SEC TO GI LOSSES CORRECTED</t>
  </si>
  <si>
    <t>A09.9, E86.1</t>
  </si>
  <si>
    <t>A06.9</t>
  </si>
  <si>
    <t>AGE WITH MODERATE SIGNS OF DEHYDRATION; INTESTINAL AMOEBIASIS; ELECTROLYTE IMBLANCE SEC TO GI LOSSES CORRECTED</t>
  </si>
  <si>
    <t xml:space="preserve">NEONATAL SEPSIS, ANEMIA SECONDARY TO SEPSIS </t>
  </si>
  <si>
    <t>P36.9</t>
  </si>
  <si>
    <t>NEONATAL PNEUMONIA</t>
  </si>
  <si>
    <t>P23.9</t>
  </si>
  <si>
    <t>ACUTE CYTITIS WITH MODERATE DEHYDRATION</t>
  </si>
  <si>
    <t>N30.0, E86.1</t>
  </si>
  <si>
    <t>PNEUMONIA MR</t>
  </si>
  <si>
    <t>SEPSIS MENINGITIS</t>
  </si>
  <si>
    <t>G00.9</t>
  </si>
  <si>
    <t>NEONATAL SEPSIS</t>
  </si>
  <si>
    <t>DENGUE WITH WARNING SIGNS, HYPERTHYROIDISM</t>
  </si>
  <si>
    <t>PERTUSSIS</t>
  </si>
  <si>
    <t>A37.9</t>
  </si>
  <si>
    <t>BACTERIAL MENINGITIS, SEPSIS (STAPHYLOCOCCUS SANGUINIS) ANEMIA SECONDARY , ACUTE RESPIRATORY FAILURE- RESOLVED</t>
  </si>
  <si>
    <t>A41.8</t>
  </si>
  <si>
    <t>B95.4</t>
  </si>
  <si>
    <t>TUBERCULOSIS OF THE SPINE, PNEUMONIA  MR RESOLVED, SEPSIS (STAPHYLOCOCCUS COHNII) ANEMIA OF CHRONIC DISEASE</t>
  </si>
  <si>
    <t>A18.0+M49.09</t>
  </si>
  <si>
    <t>A41.2</t>
  </si>
  <si>
    <t>ACUTE RESPIRATORY FAILURE, RESPIRATORY DISTRESS SYNDROME, PREMATURITY</t>
  </si>
  <si>
    <t>P07.3</t>
  </si>
  <si>
    <t>P22.0</t>
  </si>
  <si>
    <t>P28.5</t>
  </si>
  <si>
    <t>PREMATURITY, RESPIRATORY DISTRESS SYNDROME, CULTURE PROVEN SEPSIS (STAPHYLOCOCCUS HAEMOLYTICUS) MICROCOCCUS LUTEUS</t>
  </si>
  <si>
    <t>P07.1</t>
  </si>
  <si>
    <t>P36.3</t>
  </si>
  <si>
    <t xml:space="preserve">CHRONIC KIDNEY DISEASE SECONDARY TO CHRONIC GLOMERULONEPHRITIS, ANEMIA SECONDARY </t>
  </si>
  <si>
    <t>N18.9+D63.8*</t>
  </si>
  <si>
    <t>ACUTE RESPIRATORY FAILURE, RESPIRATORY DISTRESS SYNDROME, PNEUMOTHORAX LEFT LUNG, PREMATURITY</t>
  </si>
  <si>
    <t>P25.1</t>
  </si>
  <si>
    <t>ACUTE RESPIRATORY FAILURE, PNEUMONIA HR, MYOCARDITIS SECONDARY TO SEPSIS, ANEMIA</t>
  </si>
  <si>
    <t>I51.4</t>
  </si>
  <si>
    <t>ACUTE CYSTITIS WITH MODERATE DEHYDRATION</t>
  </si>
  <si>
    <t>NEONATAL SEPSIS (METHICILIN RESISTANT STAPHYLOCOCCUS EPIDERMIDIS)</t>
  </si>
  <si>
    <t>B95.1</t>
  </si>
  <si>
    <t>ACUTE GASTROENTERITIS WITH MODERATE DEHYDRATION</t>
  </si>
  <si>
    <t>ACUTE GASTROENTERITIS WITH MODERATE DEHYDFRATION MODERATE ACUTE MALNUTRIITION, FURUNCULOSIS</t>
  </si>
  <si>
    <t>E44.0</t>
  </si>
  <si>
    <t>LO2.9</t>
  </si>
  <si>
    <t>ACUTE GASTRONETERITIS WITH MODERATE DEHYDRATION</t>
  </si>
  <si>
    <t>COMPLEX FEBRILE SEIZURE PROBABLY SECONDARY TO UPPER RESPIRATORY TRACT INFECTION</t>
  </si>
  <si>
    <t>PNEUMONIA MR, HYDROCEPHALUS</t>
  </si>
  <si>
    <t>G91.9</t>
  </si>
  <si>
    <t>ENCEPHALOCELE, NEONATAL SEPSIS</t>
  </si>
  <si>
    <t>Q01.9</t>
  </si>
  <si>
    <t>RESPIRATORY DISTRESS SYNDROME- RESOLVED, PREMATURITY, NEONATAL SEPSIS</t>
  </si>
  <si>
    <t>CLINICAL SEPSIS</t>
  </si>
  <si>
    <t>CLINICAL SEPSIS, RESOLVED , PREMATURITY</t>
  </si>
  <si>
    <t>P07.9</t>
  </si>
  <si>
    <t>ACUTE RESPIRATORY FAILURE, PNEUMONIA HIGH RISK, MYOCARDITIS SECONDARY TO SEPSIS, ANEMIA</t>
  </si>
  <si>
    <t>MECONIUM ASPIRATION PNEUMONIA</t>
  </si>
  <si>
    <t>P24.0</t>
  </si>
  <si>
    <t>PNEUMONIA HR WITH HYPERACTIVE AIRWAY</t>
  </si>
  <si>
    <t>J68.3</t>
  </si>
  <si>
    <t>KAWASAKI DISEASE, PNEUMONIA MR</t>
  </si>
  <si>
    <t>M30.3</t>
  </si>
  <si>
    <t>HYPERTHYROIDISM</t>
  </si>
  <si>
    <t>APLASTIC ANEMIA, ACUTE BRONCHITIS</t>
  </si>
  <si>
    <t>J20</t>
  </si>
  <si>
    <t>BACTERIAL MENINGITIS</t>
  </si>
  <si>
    <t>SEIZURE DISORDER</t>
  </si>
  <si>
    <t>PNEUMONA MR WITH ACUTE GASTROENTERITIS WITH SOME DEHYDRATION</t>
  </si>
  <si>
    <t>A09.9,  E86.1</t>
  </si>
  <si>
    <t>PNEUMONIA MR WITH ACUTE GASTROENTERITIS WITH MODERATE DEHYDRATION</t>
  </si>
  <si>
    <t>ACUTE GASTRITIS WITH MODERATE DEHYDRATION</t>
  </si>
  <si>
    <t>K29.1, E86.1</t>
  </si>
  <si>
    <t>ACUTE GASTROENTERITIS WITH MODERATE DEHYDRATION, STATUS POST COLOSTOMY (JULY 2016)</t>
  </si>
  <si>
    <t>Z93.3</t>
  </si>
  <si>
    <t>PNEUMONIA HR, SEVERE ACUTE MALNUTRITION</t>
  </si>
  <si>
    <t>E43</t>
  </si>
  <si>
    <t>FEBRILE RELATED SEIZURE</t>
  </si>
  <si>
    <t>R56.0</t>
  </si>
  <si>
    <t>URINARY TRACT INFECTION UNSPECIFIED</t>
  </si>
  <si>
    <t>RESPIRATORY DISTRESS SYNDROME, CLINICAL SEPSIS</t>
  </si>
  <si>
    <t>ACUTE RESPIRATORY FAILURE, RESOLVED RESPIRATORY DISTRESS SYNDROME, PREMATURITY, CLINICAL SEPSIS, ANEMIA SECONDARY TO SEPSIS</t>
  </si>
  <si>
    <t>CLINICAL SEPSIS, CONGENITAL TUBERCULOSIS, PREMATURITY</t>
  </si>
  <si>
    <t>P37.0</t>
  </si>
  <si>
    <t>NEONATAL PNEUMONIA, RESOLVED</t>
  </si>
  <si>
    <t>CLINICAL SEPSIS, RESOLVED</t>
  </si>
  <si>
    <t xml:space="preserve">NEONATAL SEPSIS </t>
  </si>
  <si>
    <t>ACUTE RESPIRATORY FAILURE, CENTRAL NERVOUS SYSTEM INFECTION, SEPTIC SHOCK, RESOLVED, INTESTINAL PARASITISM</t>
  </si>
  <si>
    <t>B82.9</t>
  </si>
  <si>
    <t>ACUTE RESPIRATORY FAILURE, PNEUMONIA HIGH RISK WITH
CONSOLIDATION, RIGHT, CONGENITAL HEART DISEASE, DEXTRO TRANSPOSITION OF GREAT
ARTERIES, VENTRICULAR SEPTAL DEFECT, PATENT DUCTUS ARTERIOSUS, COARCTATION OF
AORTA, STATUS POST COARCTECTOMY (2-22-18, philippine heart center)</t>
  </si>
  <si>
    <t>Q24.8</t>
  </si>
  <si>
    <t>Q20.3</t>
  </si>
  <si>
    <t>Q21.0</t>
  </si>
  <si>
    <t>ACUTE RESPIRATORY FAILURE, ACUTE GASTROENTERITIS WITH SEVERE DEHYDRATION</t>
  </si>
  <si>
    <t>E86.2</t>
  </si>
  <si>
    <t>ACUTE RESPIRATORY FAILURE, PNEUMONIA HR, ACUTE GASTROENTERITIS WITH SEVERE DEHYDRATION, METABOLIC ACIDOSIS SECONDARY TO GASTROINTESTINAL LOSSES</t>
  </si>
  <si>
    <t>A09.9, E86.2, E87.2, K92.8, J96.0</t>
  </si>
  <si>
    <t>ACUTE RESPIRATORY FAILURE, PREMATURITY, RES[PIRATORY DISTRESS SYNDROME</t>
  </si>
  <si>
    <t>P22.0,</t>
  </si>
  <si>
    <t xml:space="preserve"> P28.5</t>
  </si>
  <si>
    <t>ACUTE RESPIRATORY FAILURE, CLINICAL SEPSIS, RESPIRATORY DISTRESS SYNDROME, PREMATURITY, ANEMIA SECONDARY TO SEPSIS</t>
  </si>
  <si>
    <t xml:space="preserve">P07.9 </t>
  </si>
  <si>
    <t>ACUTE GASTROENTERITIS WITH MODERATE SIGNS OF DEHYDRATION</t>
  </si>
  <si>
    <t>SIMPLE FEBRILE SEIZURE SECONDARY TO INTESTINAL AMOEBIASIS</t>
  </si>
  <si>
    <t>ACUTE TONSILLOPHARYNGITIS WITH MODERATE DEHYDRATION</t>
  </si>
  <si>
    <t>ANEMIA OF CHRONIC DISEASE, PORTAL HYPERTENSION</t>
  </si>
  <si>
    <t>ANAPHYLAXIS SECONDARY TO FOOD INGESTION (CHICKEN AND SEAFOOD)</t>
  </si>
  <si>
    <t>T78.0</t>
  </si>
  <si>
    <t>DENGUE WITH WARNING SIGNS STATUS POST DENGVAXIA X 3 DOSES</t>
  </si>
  <si>
    <t>Z92.8</t>
  </si>
  <si>
    <t>CLINICAL SEPSIS, PREMATURITY, HYPERBILIRUBINEMIA SECONDARY TO ABO INCOMPATIBILITY</t>
  </si>
  <si>
    <t>P59.9</t>
  </si>
  <si>
    <t>ACUTE RESPIRATORY FAILURE, RESOLVED; PNEUMONIA HIGH RISK, BRONCHOPULMONARY DYSPLASIA, INFECTIVE ENDOCARDITIS RESOLVED; CLINICAL SEPSIS, ANEMIA SECONDARY</t>
  </si>
  <si>
    <t>P27.1</t>
  </si>
  <si>
    <t>RESPIRATORY DISTRESS SYDROME, RESOLVED, PREMATURITY, CLINICAL SEPSIS, RESOLVED</t>
  </si>
  <si>
    <t>ACUTE GASTROENTERITIS WITH MODERATE DEHYDRATION, INTESTINAL PARASITISM, ELECTROLYTE IMBALANCE (HYPOKALEMIA) CORRECTED, SEVERE ACUTE MALNUTRITION</t>
  </si>
  <si>
    <t>ACUTE GASTROENTERITIS WITH MODERATE DEHYDRATION, HYPERKALEMIA, HYPONATREMIA, CORRECTED, RHEUMATIC HEART DISEASE NOT IN FAILURE</t>
  </si>
  <si>
    <t>PNEUMONIA MR WITH HYPERACTIVE AIRWAY</t>
  </si>
  <si>
    <t>SODIUM HYPOCHLORITE INGESTION NON ACCIDENTAL</t>
  </si>
  <si>
    <t>T54.3</t>
  </si>
  <si>
    <t>X49.99</t>
  </si>
  <si>
    <t>ANEMIA SECONDARY TO BLEEDING AT EXTRACTION SITE, HEMOPHILIA A, ACUTE BRONCHITIS</t>
  </si>
  <si>
    <t>K92.8</t>
  </si>
  <si>
    <t>D66</t>
  </si>
  <si>
    <t>NEONATAL SEPSIS, ILEUS, DOWN'S SYNDROME</t>
  </si>
  <si>
    <t>P76.1</t>
  </si>
  <si>
    <t>Q90.9</t>
  </si>
  <si>
    <t>RESPIRATORY DISTRESS SYNDROME, PREMATURITY</t>
  </si>
  <si>
    <t>SEPTIC SHOCK, HYPERBILIRUBINEMIA</t>
  </si>
  <si>
    <t>S/P APPENDECTOMY RULE OUT RETAINED ABSCESS DIABETES MELLITUS TYPE II</t>
  </si>
  <si>
    <t>T81.4</t>
  </si>
  <si>
    <t>Y83.8</t>
  </si>
  <si>
    <t>BILATERAL EPIDIDYMOORCHITIS</t>
  </si>
  <si>
    <t>N45.9</t>
  </si>
  <si>
    <t>N43.31</t>
  </si>
  <si>
    <t>CHOLECYSTOLITHIASIS</t>
  </si>
  <si>
    <t>K82.1</t>
  </si>
  <si>
    <t>ACUTE APPENDICITIS</t>
  </si>
  <si>
    <t>K35.3</t>
  </si>
  <si>
    <t>MECHANICAL LARGE BOWEL OBSTRUCTION COMPLETE PROB SEC TO LEFT SIDED COLONIC MASS VERSUS ILEUS</t>
  </si>
  <si>
    <t>K56.6</t>
  </si>
  <si>
    <t>Q43.0</t>
  </si>
  <si>
    <t>EPIDURAL HEMATOMA LEFT TEMPORAL LOBE CONTUSION HEMATOMA RIGHT TEMPORAL LOBE, SUBARACHNOID HEMORRHAGE TEMPORAL BONE FRACTURE LEFT LACERATED WOUND OCCIPITAL AREA SEC TO MVC (PEDESTRIAN)</t>
  </si>
  <si>
    <t>S06.400</t>
  </si>
  <si>
    <t>S06.20</t>
  </si>
  <si>
    <t>S06.60</t>
  </si>
  <si>
    <t>TBI, SEVERE T/C INTRACRANIAL BLEED AVULSED WOUND LEFT ABRASIONS FRONTAL AREA RIGHT SHOULDER MULTIPLE RIB FRACTURE 2ND AND 3RD LATERAL RIB LEFT PNEUMOTHORAX LEFT SEC TO MVC (PEDESTRIAN)</t>
  </si>
  <si>
    <t>V09.99</t>
  </si>
  <si>
    <t>S06.80</t>
  </si>
  <si>
    <t>S01.30</t>
  </si>
  <si>
    <t>INFECTED WOUND BILATERAL DISTAL THIRD OF LEGS, BILATERAL DORSAL ASPECT OF FOOT SECONDARY TO INSECT BITE DIABETES MELLITUS II POORLY CONTROLLED</t>
  </si>
  <si>
    <t>ACUTE ABDOMEN SEC TO RUPTURED APPENDICITIS</t>
  </si>
  <si>
    <t>K35.8</t>
  </si>
  <si>
    <t>K65.0</t>
  </si>
  <si>
    <t>INDIRECT INGUINAL HERNIA BILATERAL INCARCERATED</t>
  </si>
  <si>
    <t>K40.9</t>
  </si>
  <si>
    <t>ILEOCECAL MASS PROB TUBERCULOSIS VS. MALIGNANCY</t>
  </si>
  <si>
    <t>K31.8</t>
  </si>
  <si>
    <t>ASCENDING ADENOCARCINOMA STAGE II; S/P EXLAP EXTENDED RIGHT HEMICOLECTOMY; S/P CHEMOTHERAPY 4 CYCLE (FOLFOX)</t>
  </si>
  <si>
    <t>C18.2</t>
  </si>
  <si>
    <t>Z90.4</t>
  </si>
  <si>
    <t>ACUTE ABDOMEN PROB SEC TO RUPTURED VISCOUS VERSUS RUPTURED APPENDICITIS</t>
  </si>
  <si>
    <t>K27.5</t>
  </si>
  <si>
    <t>INDIRECT INGUINAL HERNIA LEFT, REDUCIBLE</t>
  </si>
  <si>
    <t>K40.90</t>
  </si>
  <si>
    <t>THORACOABDOMINAL STAB WOUND 6TH INTERCOSTAL SPACE MIDCLAVICULAR RIGHT LACERATED WOUND ELBOW LEFT SEC TO STABBING INJURY</t>
  </si>
  <si>
    <t>S27.21</t>
  </si>
  <si>
    <t>S21.8</t>
  </si>
  <si>
    <t>X99.99</t>
  </si>
  <si>
    <t>INVASSIVE DUCTAL CARCINOMA RIGHT; S/P CORE NEEDLE BIOPSY RIGHT</t>
  </si>
  <si>
    <t>C50.91</t>
  </si>
  <si>
    <t>K81.1</t>
  </si>
  <si>
    <t>SUPERFICIAL PARTIAL THICKNESS BURN 7% TOTAL BODY SURFACE AREA 3% HAND 4% LEG LEFT</t>
  </si>
  <si>
    <t>T29.2</t>
  </si>
  <si>
    <t>T31.0</t>
  </si>
  <si>
    <t>X08.99</t>
  </si>
  <si>
    <t>THROMBOSED HEMORRHOIDS</t>
  </si>
  <si>
    <t>I84.9</t>
  </si>
  <si>
    <t>TBI, MILD SEC TO MVC (DRIVER)</t>
  </si>
  <si>
    <t>S06.2</t>
  </si>
  <si>
    <t>V49.49</t>
  </si>
  <si>
    <t>TBI, MILD; CEREBRAL CONCUSSION; LACERATED WOUND FRONTAL AREA, R/O INTRACEREBRAL HEMORRHAGE SEC TO MAULING</t>
  </si>
  <si>
    <t>S06.00</t>
  </si>
  <si>
    <t>S01.8</t>
  </si>
  <si>
    <t>T/C INTUSSUSCEPTION</t>
  </si>
  <si>
    <t>T81.3</t>
  </si>
  <si>
    <t>K91.8</t>
  </si>
  <si>
    <t>BREAST MASS RIGHT PROB MALIGNANT</t>
  </si>
  <si>
    <t>Z03.1</t>
  </si>
  <si>
    <t>SKIN AND SOFT TISSUE AVULSION POSTERIOR ASPECT OF THE LEG RIGHT SEC TO MVA (PEDESTRIAN)</t>
  </si>
  <si>
    <t>S85.81</t>
  </si>
  <si>
    <t>S81.81</t>
  </si>
  <si>
    <t>T79.4</t>
  </si>
  <si>
    <t>RADIAL ARTERY TRANSECTION, TENDON TRANSECTION RIGHT SEC TO GLASS INJURY</t>
  </si>
  <si>
    <t>S51.81</t>
  </si>
  <si>
    <t>S35.81</t>
  </si>
  <si>
    <t>S56.21</t>
  </si>
  <si>
    <t>ACUTE ABDOMEN PROB SEC TO HOLLOW VISCOUS INJURY SEC TO BLUNT ABDOMINAL TRAUMA</t>
  </si>
  <si>
    <t>S36.8</t>
  </si>
  <si>
    <t>S37.2</t>
  </si>
  <si>
    <t>S39.9</t>
  </si>
  <si>
    <t>CHOLECYSTECTOMY</t>
  </si>
  <si>
    <t>ACUTE ABDOMEN PROB SEC TO RUPTURED PERFORATED ULCER</t>
  </si>
  <si>
    <t>CHOLECYSTITHIASIS</t>
  </si>
  <si>
    <t>SIGMOID MANO CARCINOMA; S/P DIVERTING COLOSTOMY FOR A SIGMOID MASS</t>
  </si>
  <si>
    <t>C19 + D63.0</t>
  </si>
  <si>
    <t>CHRONIC SUBDURAL HEMATOMA FRONTOPARIETAL REGION LEFT SEC TO FALL; DM POORLY CONTROLLED</t>
  </si>
  <si>
    <t>S06.50</t>
  </si>
  <si>
    <t>W19.99</t>
  </si>
  <si>
    <t>MECHANICAL INTESTINAL OSBTRUCTION COMPLETE SEC TO AN ASCENDING COLON MASS</t>
  </si>
  <si>
    <t>K63.8</t>
  </si>
  <si>
    <t>RECTOSIGMOID MASS PROB MALIGNANT</t>
  </si>
  <si>
    <t>D37.5</t>
  </si>
  <si>
    <t>N32.1</t>
  </si>
  <si>
    <t>ACUTE ABDOMEN PROB SEC TO A RUPTURED APPENDICITIS</t>
  </si>
  <si>
    <t>K35.2</t>
  </si>
  <si>
    <t>ELECTRICAL INJURY PoEn: 1ST DIGIT PALMAR ASPECT HAND RIGHT PoEx: NONE</t>
  </si>
  <si>
    <t>T23.0</t>
  </si>
  <si>
    <t>W86.99</t>
  </si>
  <si>
    <t>TBI, MILD; CEREBRAL CONCUSSION; SOFT TISSUE SWELLING FRONTAL AREA; MULTIPLE ABRASION FRONTAL AREA; ABDOMEN SEC TO FALL</t>
  </si>
  <si>
    <t>S30.8</t>
  </si>
  <si>
    <t>R22.0</t>
  </si>
  <si>
    <t>ACUTE ABDOMEN PROB SEC TO RUPTURED APPENDICITIS</t>
  </si>
  <si>
    <t>WOUND DEHISCENCE S/P APPENDECTOMY</t>
  </si>
  <si>
    <t>Y83.6</t>
  </si>
  <si>
    <t>K35.9</t>
  </si>
  <si>
    <t>FX 5TH RIB SEC TO MVC (DRIVER)</t>
  </si>
  <si>
    <t>S22.301</t>
  </si>
  <si>
    <t>TBI, MILD; COMPLEX SUBDURAL HEMATOMA, RIGHT LOBE; PERIORBITAL HEMATOMA RIGHT; ABRASIONS RIGHT HEMIFACIAL AREA, BILATERAL LEGS SEC TO MVA (DRIVER)</t>
  </si>
  <si>
    <t>S06.501</t>
  </si>
  <si>
    <t>S05.11</t>
  </si>
  <si>
    <t>TBI, MILD; CEREBRAL CONCUSSION R/O INTRACRANIAL BLEED; ABRASION OCCIPITAL AREA SEC TO FALL</t>
  </si>
  <si>
    <t>S06.0</t>
  </si>
  <si>
    <t>S00.8</t>
  </si>
  <si>
    <t>MUCINOUS RECTAL ADENOCARCINOMA</t>
  </si>
  <si>
    <t>C20</t>
  </si>
  <si>
    <t>HYDROPS OF THE GALLBLADDER, CHRONIC KIDNEY DISEASE V ON MAINTENANCE HEMODIALYSIS SEC TO DIABETES MELLITUS NEPHROPATHY</t>
  </si>
  <si>
    <t>N18.5 + D63.8</t>
  </si>
  <si>
    <t>E11.2 + N08.3</t>
  </si>
  <si>
    <t>LACERATED WOUND CUTENOUS ASPECT FOREARM RIGHT SEC TO GLASS INJURY</t>
  </si>
  <si>
    <t>S51.91</t>
  </si>
  <si>
    <t>BLADDER MASS PROB MALIGNANT</t>
  </si>
  <si>
    <t>D41.4</t>
  </si>
  <si>
    <t>INGUINAL CYST RIGHT</t>
  </si>
  <si>
    <t>R19.0</t>
  </si>
  <si>
    <t>PERIANAL ABSCESS T/C FISTULA IN ANO</t>
  </si>
  <si>
    <t>K61.0</t>
  </si>
  <si>
    <t>OBSTRUCTIVE JUANDICE SEC TO PANCREATIC HEAD MASS PROB MALIGNANT CHOLEDOCHOLITHIASIS; ANEMIA SEC</t>
  </si>
  <si>
    <t>K80.5</t>
  </si>
  <si>
    <t>INVASIVE DUCTAL CANCER LEFT BREAST</t>
  </si>
  <si>
    <t>SKIN AND SOFT TISSUE AVULSION ANTERIOR ASPECT LEG LEFT SEC TO MVC (DRIVER)</t>
  </si>
  <si>
    <t>S81.80</t>
  </si>
  <si>
    <t>V89.99</t>
  </si>
  <si>
    <t>PERIAPPENDICEAL ABSCESS</t>
  </si>
  <si>
    <t>K35.1</t>
  </si>
  <si>
    <t>RUPTURED APPENDICITIS WITH LOCALIZED PERITONITIS</t>
  </si>
  <si>
    <t>MECHANICAL INTESTINAL OBSTRUCTION COMPLETE SEC TO POST OPERATIVE ADHESIONS WITH ILEAL STRICTURE</t>
  </si>
  <si>
    <t>K56.5</t>
  </si>
  <si>
    <t>OBSTRUCTIVE JAUNDICE SEC TO CHOLEDOCHOLITHIASIS</t>
  </si>
  <si>
    <t>K83.1</t>
  </si>
  <si>
    <t>FX 7TH POSTERIOR RIB LEFT; ABRASIONS ON LEFT SHOULDER, LEFT HAND, LEFT FLANK SEC TO MVA (PASSENGER OF MOTORCYCLE VERSUS CAR); DM TYPE 2</t>
  </si>
  <si>
    <t>S22.300</t>
  </si>
  <si>
    <t>S40.80</t>
  </si>
  <si>
    <t>S60.90</t>
  </si>
  <si>
    <t>EXTERNAL HEMORRHOIDS; RECTAL PROLAPSE S/P ALTEMEIER PROCEDURE (2013)</t>
  </si>
  <si>
    <t>K64.9</t>
  </si>
  <si>
    <t>TBI, MILD; CEREBRAL CONCUSSION; SOFT TISSUE SWELLING AND CONTUSION LEFT THIGH, T/C COMPARTMENT SYNDROME, RULED OUT; MULTIPLE ABRASIONS ZYGOMATIC AREA LEFT, ELBOW AND FOREARM RIGHT, ELBOW LEFT, FLANK AREA LEFT; PELVIC (ASIS) BILATERAL SEC TO MVC (PASSENGER)</t>
  </si>
  <si>
    <t>T00.9</t>
  </si>
  <si>
    <t>S00.80</t>
  </si>
  <si>
    <t>S50.90</t>
  </si>
  <si>
    <t>PNEUMOTHORAX RIGHT SEC TO BLUNT CHEST TRAUMA; ABRASIONS UPPER BACK SEC TO MAULING</t>
  </si>
  <si>
    <t>S27.001</t>
  </si>
  <si>
    <t>Y09.99</t>
  </si>
  <si>
    <t>OBSTRUCTIVE JAUNDICE SEC TO CHOLEDOCHOLITHIASIS; ANEMIA SEC</t>
  </si>
  <si>
    <t>MECHANICAL SMALL BOWEL OBSTRUCTION PROB SEC TO POST OPERATIVE ADHESIONS, RESOLVED; S/P EXLAP, COLOSTOMY (JULY 2009); S/P TAKEDOWN COLOSTOMY (DEC. 2009)</t>
  </si>
  <si>
    <t>ABRASIONS LEFT FLANK AREA AND ZYGOMATIC AREA RIGHT; BLUNT ABDOMINAL TRAUMA SEC TO MVC (DRIVER); ANEMIA SEC; FX C/C DISPLACED DISTAL RADIUS LEFT; FX C/C DISPLACED MIDDLE 3RD FIBULA LEFT</t>
  </si>
  <si>
    <t>S52.800</t>
  </si>
  <si>
    <t>S82.400</t>
  </si>
  <si>
    <t>S30.80</t>
  </si>
  <si>
    <t>MILD LATERAL INJURY SEC TO BLUNT NECK TRAUMA SEC TO MVC (DRIVER); LACERATED WOUND MENTUM AREA; S/P SUTURING AT ARAYAT DISTRICT HOSPITAL</t>
  </si>
  <si>
    <t>S19.8</t>
  </si>
  <si>
    <t>Z48.02</t>
  </si>
  <si>
    <t>ASCENDING CHOLANGITIS PROB SEC TO CHOLANGIOCARCINOMA</t>
  </si>
  <si>
    <t>K83.0</t>
  </si>
  <si>
    <t>C22.1</t>
  </si>
  <si>
    <t>TBI, MILD T/C BLUNT CHEST TRAUMA ABRASION LEFT HEMIFACIAL AREA ANTERIOR CHEST BILATERAL SEC TO MVC (PEDESTRIAN)</t>
  </si>
  <si>
    <t>S09.7</t>
  </si>
  <si>
    <t>GLUTEAL ABSCESS LEFT; DM II, POORLY CONTROLLED; S/P BKA RIGHT</t>
  </si>
  <si>
    <t>L02.30</t>
  </si>
  <si>
    <t>Z89.5</t>
  </si>
  <si>
    <t>PERIANAL ABSCESS, LEFT</t>
  </si>
  <si>
    <t>PUNCTURED WOUND LEFT LATERAL ASPECT OF LEG SEC TO SNAKE BITE NO SIGNS OF ENVENOMATION</t>
  </si>
  <si>
    <t>S81.9</t>
  </si>
  <si>
    <t>W59.99</t>
  </si>
  <si>
    <t>SKIN AND SOFT TISSUE AVULSION ANTEROMEDIAL ASPECT FOREARM RIGHT SEC TO INDUSTRIAL ACCIDENT</t>
  </si>
  <si>
    <t>CP ARREST SEC TO ARF SEC TO SEPTIC SHOCK SEC TO HAP; OBSTRUCTIVE JAUNDICE SEC TO PANCREATIC MASS ; AKI SEC ANEMIA SEC</t>
  </si>
  <si>
    <t>K86.8</t>
  </si>
  <si>
    <t xml:space="preserve">CP ARREST SEC TO ARF SEC TO SEPTIC SHOCK SEC TO INFLECT WOUND LEFT FOOT AND LEFT LEG, COMPARTMENT SYNDROME; AKI SEC TO SEPSIS; DIABETES MELLITUS TYPE 2 POORLY CONTROLLED </t>
  </si>
  <si>
    <t>E11.8</t>
  </si>
  <si>
    <t>T79.6</t>
  </si>
  <si>
    <t>CRANIAL NERVE VI PALSY LEFT EYE</t>
  </si>
  <si>
    <t>H49.20</t>
  </si>
  <si>
    <t>SUPERFICIAL SCLERAL LACERATION, RIGHT EYE WITH EMBEDDED FOREIGN BODY (HAIR)</t>
  </si>
  <si>
    <t>S05.91</t>
  </si>
  <si>
    <t>Other (Family Medicine)</t>
  </si>
  <si>
    <t>Other (Opthalmology)</t>
  </si>
  <si>
    <t>ACUTE EXUDATIVE TONSILLOPHARYNGITIS</t>
  </si>
  <si>
    <t>SUBMANDIBULAR SPACE ABSCESS LEFT SEC TO CARIOUS TOOTH (TOOTH NUMBER 13)</t>
  </si>
  <si>
    <t>K12.2</t>
  </si>
  <si>
    <t>K02.9</t>
  </si>
  <si>
    <t>RECURRENT TONSILLITIS</t>
  </si>
  <si>
    <t>J03.9</t>
  </si>
  <si>
    <t>SQUAMOUS CELL CARCINOMA OF THE LARYNX STAGE III T3N0M0</t>
  </si>
  <si>
    <t>C32.9</t>
  </si>
  <si>
    <t>INTRANASAL MASS, RIGHT T/C ADENOID CYSTIC CARCINOMA; ANEMIA SEC</t>
  </si>
  <si>
    <t>ZYGOMATIC COMPLEX FRACTURE LEFT SEC TO VA (DRIVER)</t>
  </si>
  <si>
    <t>S02.400</t>
  </si>
  <si>
    <t>NASAL VESTIBULITIS SEC TO FURONCLE NASAL TIP</t>
  </si>
  <si>
    <t>J34.8</t>
  </si>
  <si>
    <t>J34.0</t>
  </si>
  <si>
    <t>SUBMANDIBULAR SPACE ABSCESS SEC TO CARIOUS TOOTH NUMBER 11</t>
  </si>
  <si>
    <t>FRONTAL &amp; ANTERIOR ETHMOID SINUS MUCOCELE</t>
  </si>
  <si>
    <t>J34.1</t>
  </si>
  <si>
    <t>J35.0</t>
  </si>
  <si>
    <t>MULTIPLE ABRASIONS BILATERAL LOWER EXTREMITY; CENTRAL CORD SYNDROME ASIA B INCOMPLETE SEC TO FALL</t>
  </si>
  <si>
    <t>S14.1</t>
  </si>
  <si>
    <t>T00.3</t>
  </si>
  <si>
    <t>TBI, MILD; CEREBRAL CONCUSSION SEC TO MVC (PEDESTRIAN); FX C/C DISPLACED INTERTROCHANTORIC FEMUR RIGHT</t>
  </si>
  <si>
    <t>S72.101</t>
  </si>
  <si>
    <t>FX C/C TRANVERSE DISPLACED MIDDLE 3RD TIBIA-FIBULA LEFT SEC TO VA (PASSENGER)</t>
  </si>
  <si>
    <t>S82.200</t>
  </si>
  <si>
    <t>SPINAL CORD INJURY SEC TO BURST FRACTURE T4, SEC TO MVC (DRIVER); ACUTE RESPIRATORY FAILURE SEC TO VENTILATOR ASSOCIATED PNEUMONIA</t>
  </si>
  <si>
    <t>T08.1</t>
  </si>
  <si>
    <t>T09.3</t>
  </si>
  <si>
    <t>V29.99</t>
  </si>
  <si>
    <t>FX OPEN TYPE COMPLETE DISPLACED PROXIMAL PHALANX 4TH TOE LEFT SEC TO VA (PASSENGER)</t>
  </si>
  <si>
    <t>S92.510</t>
  </si>
  <si>
    <t>FX C/C FEMORAL SHAFT LEFT SEC TO FALL; ANEMIA SEC</t>
  </si>
  <si>
    <t>S72.300</t>
  </si>
  <si>
    <t>W17.99</t>
  </si>
  <si>
    <t>S/P PLATING RADIUS ULNA LEFT (2017)</t>
  </si>
  <si>
    <t>Z47.0</t>
  </si>
  <si>
    <t>T92.1</t>
  </si>
  <si>
    <t>Y86</t>
  </si>
  <si>
    <t>FX C/C DISPLACED DISTAL 3RD RADIUS RIGHT; FX C/C DISPLACED FEMORAL NECK RIGHT SEC TO FALL</t>
  </si>
  <si>
    <t>S52.501</t>
  </si>
  <si>
    <t>S72.001</t>
  </si>
  <si>
    <t>INFECTED WOUND LEFT FOOT SEC TO VA (PASSENGER); S/P DEBRIDEMENT &amp; SUTURING</t>
  </si>
  <si>
    <t>T79.3</t>
  </si>
  <si>
    <t>B96.8</t>
  </si>
  <si>
    <t>S81.90</t>
  </si>
  <si>
    <t>FX C/C DISPLACED FEMUR LEFT SEC TO VA (DRIVER); ANEMIA SEC</t>
  </si>
  <si>
    <t>S72.900</t>
  </si>
  <si>
    <t>S/P PLATING TIBIA LEFT 2016</t>
  </si>
  <si>
    <t>T93.2</t>
  </si>
  <si>
    <t>Y89.9</t>
  </si>
  <si>
    <t>INFECTED WOUND THUMB RIGHT HAND</t>
  </si>
  <si>
    <t>Z91.6</t>
  </si>
  <si>
    <t>CHRONIC OSTEOMYELITIS TIBIA LEFT</t>
  </si>
  <si>
    <t>M86.660</t>
  </si>
  <si>
    <t>HEALED FRACTURE DISTAL RADIUS RIGHT; S/P PLATING DISTAL RADIUS RIGHT (2017)</t>
  </si>
  <si>
    <t>FX C/C DISPLACED INTERTROCHANTERIC FEMUR LEFT SEC TO FALL</t>
  </si>
  <si>
    <t>S72.100</t>
  </si>
  <si>
    <t>W01.99</t>
  </si>
  <si>
    <t>FX C/C COMMINUTED DISPLACED PROXIMAL 3RD FEMUR LEFT SEC TO MVA (DRIVER); ANEMIA SEC</t>
  </si>
  <si>
    <t>S72.400</t>
  </si>
  <si>
    <t>HEALED FRACTURE FEMUR RIGHT; S/P NAILING FEMUR RIGHT 2015</t>
  </si>
  <si>
    <t>T93.1</t>
  </si>
  <si>
    <t>METACARPOPHALANGEAL JOINT DISLOCATION OF INDEX FINGER LEFT SEC TO SPORTS INJURY</t>
  </si>
  <si>
    <t>S63.10</t>
  </si>
  <si>
    <t>W01.30</t>
  </si>
  <si>
    <t>FX C/C DISPLACED TRANSCERVICAL FEMORAL NECK SEC TO FALL</t>
  </si>
  <si>
    <t>HEALED FRACTURE FEMUR AND TIBIA LEFT; S/P OPEN REDUCTION INTRAMEDULLARY NAILING FEMUR LEFT; OPEN REDUCTION INTERNAL FIXATION PLATING TIBIA LEFT</t>
  </si>
  <si>
    <t>PERI-IMPLANT INFECTION PROXIMAL 3RD FEMUR RIGHT, S/P PROXIMAL FEMUR NAILING RIGHT (JANUARY 2018); ANEMIA SEC</t>
  </si>
  <si>
    <t>T84.6</t>
  </si>
  <si>
    <t>FX C/C COMMINUTED DISPLACED MIDDLE 3RD FEMUR LEFT; FX OPEN TYPE I COMPLETE COMMINUTED DISPLACED MIDDLE 3RD TIBIA FIBULA LEFT SEC TO MVC (PASSENGER); ANEMIA SEC</t>
  </si>
  <si>
    <t>S82.210</t>
  </si>
  <si>
    <t>FX C/C PROXIMAL 3RD ULNA RIGHT; S/P OPEN TREATMENT INTERNAL FIXATION ULNA RIGHT</t>
  </si>
  <si>
    <t>MALUNITED FRACTURE TIBIA RIGHT SEC TO VA (DRIVER)</t>
  </si>
  <si>
    <t>M84.061</t>
  </si>
  <si>
    <t>ANTERIOR CRUCIATE LIGAMENT TEAR RIGHT KNEE SEC TO FALL</t>
  </si>
  <si>
    <t>M23.211</t>
  </si>
  <si>
    <t>T93.3</t>
  </si>
  <si>
    <t>NON UNION MIDDLE 3RD TIBIA RIGHT SEC TO VA (DRIVER)</t>
  </si>
  <si>
    <t>M84.161</t>
  </si>
  <si>
    <t>HEALED FRACTURE PATELLA RIGHT; S/P OPEN REDUCTION INTERNAL FIXATION PATELLA RIGHT</t>
  </si>
  <si>
    <t>Y85.0</t>
  </si>
  <si>
    <t>MANGLED EXTREMITY LEFT LEG SEC TO MVC (PEDESTRIAN); ANEMIA SEC</t>
  </si>
  <si>
    <t>S88.90</t>
  </si>
  <si>
    <t>V14.49</t>
  </si>
  <si>
    <t>SURGICAL SITE INFECTION LEFT KNEE</t>
  </si>
  <si>
    <t>CONTRACTED LEFT FOOT</t>
  </si>
  <si>
    <t>M21.670</t>
  </si>
  <si>
    <t>T93.8</t>
  </si>
  <si>
    <t>HEALED FRACTURE TIBIA LEFT; S/P PLATING TIBIA LEFT</t>
  </si>
  <si>
    <t>FX C/C COMMINUTED DISPLACED DISTAL 3RD RADIUS RIGHT SEC TO FALL</t>
  </si>
  <si>
    <t>FX C/C DISPLACED PROXIMAL 3RD FEMUR RIGHT SEC TO MVA (DRIVER); ANEMIA SEC</t>
  </si>
  <si>
    <t>S/P PLATING HUMERUS RIGHT 2015</t>
  </si>
  <si>
    <t>POST TRAUMATIC ARTHRITIS HIP RIGHT; ANEMIA SEC</t>
  </si>
  <si>
    <t>M16.451</t>
  </si>
  <si>
    <t>HEALED FRACTURE FEMUR RIGHT; S/P PLATING FEMUR RIGHT</t>
  </si>
  <si>
    <t>FX C/C DISPLACED MIDDLE 3RD RADIUS ULNA RIGHT SEC TO MVC (DRIVER)</t>
  </si>
  <si>
    <t>S52.401</t>
  </si>
  <si>
    <t>FX C/C OBLIQUE DISPLACED MIDDLE 3RD FEMUR LEFT SEC TO FALL</t>
  </si>
  <si>
    <t>FX OPEN TYPE COMPLETE COMMINUTED DISPLACED DISTAL 3RD FEMUR LEFT SEC TO MVC (DRIVER)</t>
  </si>
  <si>
    <t>S72.410</t>
  </si>
  <si>
    <t>FRACTURE MALUNION INTERTROCHANTERIC FEMUR LEFT, DISTAL FEMUR LEFT, TIBIAL PLATEAU LEFT SEC TO VA (DRIVER)</t>
  </si>
  <si>
    <t>M84.050</t>
  </si>
  <si>
    <t>M84.060</t>
  </si>
  <si>
    <t>FX C/C TRANSVERSE DISPLACED MIDDLE 3RD FEMUR LEFT SEC TO MVA (DRIVER); PERIORBITAL HEMATOMA WITH UPPER EYELID LACERATION, RIGHT EYE, AVULSED WOUND LEFT EYE SEC TO MVA (DRIVER); ANEMIA SEC</t>
  </si>
  <si>
    <t>S01.11</t>
  </si>
  <si>
    <t>OPEN DISLOCATION 1ST METATARASAL RIGHT FOOT; FX OPEN TYPE COMPLETE DISPLACED 2ND AND 3RD METATARSAL NECK RIGHT FOOT; FX OPEN TYPE COMPLETE 2ND PROXIMAL PHALANX RIGHT FOOT SEC TO CRUSHING INJURY</t>
  </si>
  <si>
    <t>S92.311</t>
  </si>
  <si>
    <t>S92.511</t>
  </si>
  <si>
    <t>S93.31</t>
  </si>
  <si>
    <t>SURGICAL SITE INFECTION THIGH LEFT; S/P OPEN REDUCTION INTERNAL FIXATION PLATING DISTAL FEMUR LEFT; ANEMIA SEC</t>
  </si>
  <si>
    <t>B95.6</t>
  </si>
  <si>
    <t>X59.99</t>
  </si>
  <si>
    <t>FX C/C TRANSVERSE DISPLACED DISTAL RADIUS RIGHT SEC TO FALL</t>
  </si>
  <si>
    <t>S52.801</t>
  </si>
  <si>
    <t>SEPTIC KNEE LEFT</t>
  </si>
  <si>
    <t>M00.96</t>
  </si>
  <si>
    <t>S52.701</t>
  </si>
  <si>
    <t>FAMILY MEDICINE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</si>
</sst>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88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164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164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1" fillId="0" borderId="1" xfId="0" applyFont="1" applyBorder="1" applyAlignment="1" applyProtection="1">
      <alignment vertical="center" wrapText="1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vertical="center" wrapText="1"/>
      <protection locked="0"/>
    </xf>
    <xf numFmtId="0" fontId="21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3" fontId="12" fillId="2" borderId="1" xfId="0" applyNumberFormat="1" applyFont="1" applyFill="1" applyBorder="1" applyAlignment="1" applyProtection="1">
      <alignment wrapText="1"/>
      <protection locked="0"/>
    </xf>
    <xf numFmtId="4" fontId="12" fillId="2" borderId="1" xfId="0" applyNumberFormat="1" applyFont="1" applyFill="1" applyBorder="1" applyAlignment="1" applyProtection="1">
      <alignment wrapText="1"/>
      <protection locked="0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161925</xdr:rowOff>
        </xdr:from>
        <xdr:to>
          <xdr:col>2</xdr:col>
          <xdr:colOff>1209675</xdr:colOff>
          <xdr:row>8</xdr:row>
          <xdr:rowOff>161925</xdr:rowOff>
        </xdr:to>
        <xdr:sp macro="" textlink="">
          <xdr:nvSpPr>
            <xdr:cNvPr id="1026" name="Select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7</xdr:row>
          <xdr:rowOff>161925</xdr:rowOff>
        </xdr:from>
        <xdr:to>
          <xdr:col>2</xdr:col>
          <xdr:colOff>2562225</xdr:colOff>
          <xdr:row>8</xdr:row>
          <xdr:rowOff>161925</xdr:rowOff>
        </xdr:to>
        <xdr:sp macro="" textlink="">
          <xdr:nvSpPr>
            <xdr:cNvPr id="1027" name="SelectIIandII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view="pageBreakPreview" topLeftCell="A31" zoomScale="80" zoomScaleNormal="80" zoomScaleSheetLayoutView="80" workbookViewId="0">
      <selection activeCell="D37" sqref="D37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hidden="1" customWidth="1"/>
    <col min="15" max="17" width="9.5703125" style="4" hidden="1" customWidth="1"/>
    <col min="18" max="23" width="9.5703125" style="2" hidden="1" customWidth="1"/>
    <col min="24" max="32" width="9.5703125" style="4" hidden="1" customWidth="1"/>
    <col min="33" max="35" width="9.5703125" style="2" hidden="1" customWidth="1"/>
    <col min="36" max="36" width="2.140625" style="2" customWidth="1"/>
    <col min="37" max="46" width="9.5703125" style="2" customWidth="1"/>
    <col min="47" max="51" width="9.5703125" style="4" customWidth="1"/>
    <col min="52" max="55" width="9.5703125" style="2" customWidth="1"/>
    <col min="56" max="56" width="11" style="2" customWidth="1"/>
    <col min="57" max="65" width="9.5703125" style="4" customWidth="1"/>
    <col min="66" max="72" width="9.5703125" style="2" customWidth="1"/>
    <col min="73" max="73" width="10.5703125" style="4" customWidth="1"/>
    <col min="74" max="16384" width="8.7109375" style="2"/>
  </cols>
  <sheetData>
    <row r="2" spans="1:85" s="11" customFormat="1" ht="14.25" customHeight="1" x14ac:dyDescent="0.3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64" t="s">
        <v>26</v>
      </c>
      <c r="C6" s="65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2017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ht="33" x14ac:dyDescent="0.3">
      <c r="B12" s="3" t="s">
        <v>0</v>
      </c>
      <c r="C12" s="12" t="s">
        <v>111</v>
      </c>
      <c r="BU12" s="44"/>
    </row>
    <row r="13" spans="1:85" ht="33" x14ac:dyDescent="0.3">
      <c r="B13" s="3" t="s">
        <v>1</v>
      </c>
      <c r="C13" s="12" t="s">
        <v>112</v>
      </c>
      <c r="BU13" s="47"/>
    </row>
    <row r="14" spans="1:85" x14ac:dyDescent="0.3">
      <c r="B14" s="3" t="s">
        <v>2</v>
      </c>
      <c r="C14" s="12" t="s">
        <v>113</v>
      </c>
    </row>
    <row r="15" spans="1:85" x14ac:dyDescent="0.3">
      <c r="B15" s="3" t="s">
        <v>3</v>
      </c>
      <c r="C15" s="12" t="s">
        <v>114</v>
      </c>
    </row>
    <row r="16" spans="1:85" ht="33" x14ac:dyDescent="0.3">
      <c r="B16" s="3" t="s">
        <v>4</v>
      </c>
      <c r="C16" s="12" t="s">
        <v>115</v>
      </c>
    </row>
    <row r="17" spans="2:3" x14ac:dyDescent="0.3">
      <c r="B17" s="3" t="s">
        <v>5</v>
      </c>
      <c r="C17" s="14">
        <v>250</v>
      </c>
    </row>
    <row r="18" spans="2:3" x14ac:dyDescent="0.3">
      <c r="B18" s="3" t="s">
        <v>6</v>
      </c>
      <c r="C18" s="14">
        <v>794</v>
      </c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>
        <v>794</v>
      </c>
    </row>
    <row r="22" spans="2:3" x14ac:dyDescent="0.3">
      <c r="B22" s="6" t="s">
        <v>8</v>
      </c>
      <c r="C22" s="14">
        <v>250</v>
      </c>
    </row>
    <row r="23" spans="2:3" x14ac:dyDescent="0.3">
      <c r="B23" s="6" t="s">
        <v>9</v>
      </c>
      <c r="C23" s="14">
        <f>47372+65209</f>
        <v>112581</v>
      </c>
    </row>
    <row r="24" spans="2:3" x14ac:dyDescent="0.3">
      <c r="B24" s="6" t="s">
        <v>22</v>
      </c>
      <c r="C24" s="14">
        <f>3316+2671+2537+2394+2315+2224+2035+1866+1515+1065</f>
        <v>21938</v>
      </c>
    </row>
    <row r="25" spans="2:3" x14ac:dyDescent="0.3">
      <c r="B25" s="6" t="s">
        <v>10</v>
      </c>
      <c r="C25" s="14">
        <v>34482</v>
      </c>
    </row>
    <row r="26" spans="2:3" x14ac:dyDescent="0.3">
      <c r="B26" s="6" t="s">
        <v>11</v>
      </c>
      <c r="C26" s="14">
        <v>31773</v>
      </c>
    </row>
    <row r="27" spans="2:3" x14ac:dyDescent="0.3">
      <c r="B27" s="6" t="s">
        <v>12</v>
      </c>
      <c r="C27" s="14">
        <v>2569</v>
      </c>
    </row>
    <row r="28" spans="2:3" x14ac:dyDescent="0.3">
      <c r="B28" s="6" t="s">
        <v>28</v>
      </c>
      <c r="C28" s="14">
        <v>212676</v>
      </c>
    </row>
    <row r="29" spans="2:3" x14ac:dyDescent="0.3">
      <c r="B29" s="6" t="s">
        <v>13</v>
      </c>
      <c r="C29" s="34">
        <f>IFERROR(C28/C21,"Calculated automatically")</f>
        <v>267.85390428211588</v>
      </c>
    </row>
    <row r="30" spans="2:3" x14ac:dyDescent="0.3">
      <c r="B30" s="6" t="s">
        <v>14</v>
      </c>
      <c r="C30" s="35">
        <f>IFERROR(C28/(C26+C27),"Calculated automatically")</f>
        <v>6.1928833498340223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>
        <v>1</v>
      </c>
    </row>
    <row r="34" spans="2:72" x14ac:dyDescent="0.3">
      <c r="B34" s="42" t="s">
        <v>79</v>
      </c>
      <c r="C34" s="12">
        <v>129</v>
      </c>
    </row>
    <row r="35" spans="2:72" x14ac:dyDescent="0.3">
      <c r="B35" s="42" t="s">
        <v>80</v>
      </c>
      <c r="C35" s="12">
        <v>75</v>
      </c>
    </row>
    <row r="36" spans="2:72" x14ac:dyDescent="0.3">
      <c r="B36" s="42" t="s">
        <v>81</v>
      </c>
      <c r="C36" s="12"/>
    </row>
    <row r="37" spans="2:72" x14ac:dyDescent="0.3">
      <c r="B37" s="42" t="s">
        <v>82</v>
      </c>
      <c r="C37" s="12">
        <v>697</v>
      </c>
    </row>
    <row r="38" spans="2:72" x14ac:dyDescent="0.3">
      <c r="B38" s="42" t="s">
        <v>83</v>
      </c>
      <c r="C38" s="62">
        <v>4136</v>
      </c>
    </row>
    <row r="39" spans="2:72" x14ac:dyDescent="0.3">
      <c r="B39" s="42" t="s">
        <v>84</v>
      </c>
      <c r="C39" s="62">
        <v>1482</v>
      </c>
    </row>
    <row r="40" spans="2:72" x14ac:dyDescent="0.3">
      <c r="B40" s="42" t="s">
        <v>85</v>
      </c>
      <c r="C40" s="12"/>
    </row>
    <row r="41" spans="2:72" x14ac:dyDescent="0.3">
      <c r="B41" s="42" t="s">
        <v>86</v>
      </c>
      <c r="C41" s="12"/>
    </row>
    <row r="42" spans="2:72" x14ac:dyDescent="0.3">
      <c r="B42" s="42" t="s">
        <v>87</v>
      </c>
      <c r="C42" s="12"/>
    </row>
    <row r="43" spans="2:72" x14ac:dyDescent="0.3">
      <c r="B43" s="42" t="s">
        <v>88</v>
      </c>
      <c r="C43" s="12"/>
    </row>
    <row r="44" spans="2:72" x14ac:dyDescent="0.3">
      <c r="B44" s="42" t="s">
        <v>89</v>
      </c>
      <c r="C44" s="12">
        <v>99</v>
      </c>
    </row>
    <row r="45" spans="2:72" x14ac:dyDescent="0.3">
      <c r="B45" s="42" t="s">
        <v>90</v>
      </c>
      <c r="C45" s="12">
        <v>53</v>
      </c>
    </row>
    <row r="47" spans="2:72" x14ac:dyDescent="0.3">
      <c r="B47" s="68" t="s">
        <v>97</v>
      </c>
      <c r="C47" s="68" t="s">
        <v>77</v>
      </c>
      <c r="E47" s="66" t="s">
        <v>110</v>
      </c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K47" s="66" t="s">
        <v>110</v>
      </c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</row>
    <row r="48" spans="2:72" x14ac:dyDescent="0.3">
      <c r="B48" s="69"/>
      <c r="C48" s="69"/>
      <c r="E48" s="71" t="s">
        <v>102</v>
      </c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2"/>
      <c r="W48" s="73"/>
      <c r="X48" s="67" t="s">
        <v>103</v>
      </c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K48" s="71" t="s">
        <v>102</v>
      </c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2"/>
      <c r="BD48" s="73"/>
      <c r="BE48" s="67" t="s">
        <v>103</v>
      </c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</row>
    <row r="49" spans="2:72" ht="173.25" thickBot="1" x14ac:dyDescent="0.35">
      <c r="B49" s="70"/>
      <c r="C49" s="70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62">
        <v>58865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>
        <v>111</v>
      </c>
      <c r="AL50" s="14">
        <v>38</v>
      </c>
      <c r="AM50" s="14"/>
      <c r="AN50" s="14"/>
      <c r="AO50" s="14"/>
      <c r="AP50" s="14"/>
      <c r="AQ50" s="14"/>
      <c r="AR50" s="14"/>
      <c r="AS50" s="14"/>
      <c r="AT50" s="14"/>
      <c r="AU50" s="14">
        <v>314</v>
      </c>
      <c r="AV50" s="14"/>
      <c r="AW50" s="14"/>
      <c r="AX50" s="14"/>
      <c r="AY50" s="14"/>
      <c r="AZ50" s="14"/>
      <c r="BA50" s="14"/>
      <c r="BB50" s="14">
        <v>476</v>
      </c>
      <c r="BC50" s="14">
        <v>1612</v>
      </c>
      <c r="BD50" s="14">
        <v>25887</v>
      </c>
      <c r="BE50" s="14">
        <v>6145</v>
      </c>
      <c r="BF50" s="14">
        <v>4528</v>
      </c>
      <c r="BG50" s="14">
        <v>3246</v>
      </c>
      <c r="BH50" s="14">
        <v>4101</v>
      </c>
      <c r="BI50" s="14"/>
      <c r="BJ50" s="14"/>
      <c r="BK50" s="14">
        <v>3690</v>
      </c>
      <c r="BL50" s="14"/>
      <c r="BM50" s="14"/>
      <c r="BN50" s="14">
        <v>3102</v>
      </c>
      <c r="BO50" s="14">
        <v>3156</v>
      </c>
      <c r="BP50" s="14">
        <v>2317</v>
      </c>
      <c r="BQ50" s="14">
        <v>142</v>
      </c>
      <c r="BR50" s="14"/>
      <c r="BS50" s="14"/>
      <c r="BT50" s="14"/>
    </row>
    <row r="51" spans="2:72" x14ac:dyDescent="0.3">
      <c r="B51" s="42" t="s">
        <v>99</v>
      </c>
      <c r="C51" s="62">
        <v>2381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>
        <v>875</v>
      </c>
      <c r="AL51" s="14"/>
      <c r="AM51" s="14">
        <v>65</v>
      </c>
      <c r="AN51" s="14">
        <v>119</v>
      </c>
      <c r="AO51" s="14"/>
      <c r="AP51" s="14"/>
      <c r="AQ51" s="14"/>
      <c r="AR51" s="14"/>
      <c r="AS51" s="14"/>
      <c r="AT51" s="14">
        <v>693</v>
      </c>
      <c r="AU51" s="14">
        <v>3</v>
      </c>
      <c r="AV51" s="14"/>
      <c r="AW51" s="14"/>
      <c r="AX51" s="14"/>
      <c r="AY51" s="14"/>
      <c r="AZ51" s="14"/>
      <c r="BA51" s="14"/>
      <c r="BB51" s="14"/>
      <c r="BC51" s="14"/>
      <c r="BD51" s="14">
        <v>1</v>
      </c>
      <c r="BE51" s="14">
        <v>570</v>
      </c>
      <c r="BF51" s="14">
        <v>267</v>
      </c>
      <c r="BG51" s="14">
        <v>357</v>
      </c>
      <c r="BH51" s="14">
        <v>883</v>
      </c>
      <c r="BI51" s="14"/>
      <c r="BJ51" s="14"/>
      <c r="BK51" s="14">
        <v>241</v>
      </c>
      <c r="BL51" s="14"/>
      <c r="BM51" s="14">
        <v>15</v>
      </c>
      <c r="BN51" s="14">
        <v>5</v>
      </c>
      <c r="BO51" s="14">
        <v>30</v>
      </c>
      <c r="BP51" s="14">
        <v>10</v>
      </c>
      <c r="BQ51" s="14">
        <v>2</v>
      </c>
      <c r="BR51" s="14"/>
      <c r="BS51" s="14"/>
      <c r="BT51" s="14"/>
    </row>
    <row r="52" spans="2:72" x14ac:dyDescent="0.3">
      <c r="B52" s="42" t="s">
        <v>100</v>
      </c>
      <c r="C52" s="62">
        <v>14037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>
        <v>3208</v>
      </c>
      <c r="BF52" s="14">
        <v>1977</v>
      </c>
      <c r="BG52" s="14">
        <v>2376</v>
      </c>
      <c r="BH52" s="14">
        <v>2576</v>
      </c>
      <c r="BI52" s="14"/>
      <c r="BJ52" s="14"/>
      <c r="BK52" s="14">
        <v>2184</v>
      </c>
      <c r="BL52" s="14"/>
      <c r="BM52" s="14"/>
      <c r="BN52" s="14">
        <v>447</v>
      </c>
      <c r="BO52" s="14">
        <v>593</v>
      </c>
      <c r="BP52" s="14">
        <v>180</v>
      </c>
      <c r="BQ52" s="14">
        <v>330</v>
      </c>
      <c r="BR52" s="14"/>
      <c r="BS52" s="14"/>
      <c r="BT52" s="14">
        <v>166</v>
      </c>
    </row>
    <row r="53" spans="2:72" x14ac:dyDescent="0.3">
      <c r="B53" s="42" t="s">
        <v>101</v>
      </c>
      <c r="C53" s="63">
        <v>1550.6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>
        <v>35</v>
      </c>
      <c r="BD53" s="14"/>
      <c r="BE53" s="14">
        <v>282</v>
      </c>
      <c r="BF53" s="14">
        <v>194</v>
      </c>
      <c r="BG53" s="14">
        <v>283.5</v>
      </c>
      <c r="BH53" s="14">
        <v>456</v>
      </c>
      <c r="BI53" s="14"/>
      <c r="BJ53" s="14"/>
      <c r="BK53" s="14">
        <v>228.5</v>
      </c>
      <c r="BL53" s="14"/>
      <c r="BM53" s="14"/>
      <c r="BN53" s="14">
        <v>36</v>
      </c>
      <c r="BO53" s="14">
        <v>35.6</v>
      </c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algorithmName="SHA-512" hashValue="OBGfu45xJ0RZaWBGkcWBCvvDCUZCQFWiUF3x7a8rewQ59IDiS0CR0xMsPEYmF91F21e1QBGenM178yKyF56FVA==" saltValue="F43x0Rr4WZLj1/KXfnP3sA==" spinCount="100000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123825</xdr:colOff>
                    <xdr:row>7</xdr:row>
                    <xdr:rowOff>161925</xdr:rowOff>
                  </from>
                  <to>
                    <xdr:col>2</xdr:col>
                    <xdr:colOff>1209675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1476375</xdr:colOff>
                    <xdr:row>7</xdr:row>
                    <xdr:rowOff>161925</xdr:rowOff>
                  </from>
                  <to>
                    <xdr:col>2</xdr:col>
                    <xdr:colOff>2562225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zoomScale="80" zoomScaleNormal="80" workbookViewId="0">
      <selection activeCell="C21" sqref="C21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9.75" customHeight="1" x14ac:dyDescent="0.3"/>
    <row r="4" spans="1:15" s="2" customFormat="1" ht="41.25" customHeight="1" x14ac:dyDescent="0.3">
      <c r="B4" s="78" t="s">
        <v>94</v>
      </c>
      <c r="C4" s="79"/>
      <c r="D4" s="80" t="s">
        <v>96</v>
      </c>
      <c r="E4" s="80"/>
    </row>
    <row r="5" spans="1:15" s="2" customFormat="1" ht="16.5" x14ac:dyDescent="0.3">
      <c r="B5" s="17" t="s">
        <v>95</v>
      </c>
      <c r="C5" s="18"/>
      <c r="D5" s="80"/>
      <c r="E5" s="80"/>
    </row>
    <row r="6" spans="1:15" s="2" customFormat="1" ht="16.5" x14ac:dyDescent="0.3">
      <c r="B6" s="64" t="s">
        <v>30</v>
      </c>
      <c r="C6" s="65"/>
      <c r="D6" s="80"/>
      <c r="E6" s="80"/>
    </row>
    <row r="7" spans="1:15" s="2" customFormat="1" ht="27" customHeight="1" x14ac:dyDescent="0.3">
      <c r="B7" s="33" t="s">
        <v>32</v>
      </c>
      <c r="C7" s="13">
        <v>2017</v>
      </c>
      <c r="D7" s="80"/>
      <c r="E7" s="80"/>
    </row>
    <row r="9" spans="1:15" ht="15" customHeight="1" x14ac:dyDescent="0.2">
      <c r="B9" s="74" t="s">
        <v>31</v>
      </c>
      <c r="C9" s="75" t="s">
        <v>92</v>
      </c>
      <c r="D9" s="76"/>
      <c r="E9" s="76"/>
      <c r="F9" s="76"/>
      <c r="G9" s="77"/>
    </row>
    <row r="10" spans="1:15" s="5" customFormat="1" x14ac:dyDescent="0.2">
      <c r="B10" s="74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2"/>
    <row r="12" spans="1:15" s="28" customFormat="1" ht="16.5" hidden="1" x14ac:dyDescent="0.3">
      <c r="B12" s="37" t="s">
        <v>44</v>
      </c>
      <c r="C12" s="14"/>
      <c r="D12" s="14"/>
      <c r="E12" s="14"/>
      <c r="F12" s="14"/>
      <c r="G12" s="14"/>
    </row>
    <row r="13" spans="1:15" s="28" customFormat="1" ht="16.5" hidden="1" x14ac:dyDescent="0.3">
      <c r="B13" s="37" t="s">
        <v>38</v>
      </c>
      <c r="C13" s="14"/>
      <c r="D13" s="14"/>
      <c r="E13" s="14"/>
      <c r="F13" s="14"/>
      <c r="G13" s="14"/>
    </row>
    <row r="14" spans="1:15" s="28" customFormat="1" ht="16.5" hidden="1" x14ac:dyDescent="0.3">
      <c r="B14" s="37" t="s">
        <v>39</v>
      </c>
      <c r="C14" s="14"/>
      <c r="D14" s="14"/>
      <c r="E14" s="14"/>
      <c r="F14" s="14"/>
      <c r="G14" s="14"/>
    </row>
    <row r="15" spans="1:15" s="28" customFormat="1" ht="16.5" hidden="1" x14ac:dyDescent="0.3">
      <c r="B15" s="37" t="s">
        <v>45</v>
      </c>
      <c r="C15" s="14"/>
      <c r="D15" s="14"/>
      <c r="E15" s="14"/>
      <c r="F15" s="14"/>
      <c r="G15" s="14"/>
    </row>
    <row r="16" spans="1:15" s="28" customFormat="1" ht="16.5" hidden="1" x14ac:dyDescent="0.3">
      <c r="B16" s="37" t="s">
        <v>40</v>
      </c>
      <c r="C16" s="14"/>
      <c r="D16" s="14"/>
      <c r="E16" s="14"/>
      <c r="F16" s="14"/>
      <c r="G16" s="14"/>
    </row>
    <row r="17" spans="2:7" s="28" customFormat="1" ht="16.5" hidden="1" x14ac:dyDescent="0.3">
      <c r="B17" s="39" t="s">
        <v>72</v>
      </c>
      <c r="C17" s="14"/>
      <c r="D17" s="14"/>
      <c r="E17" s="14"/>
      <c r="F17" s="14"/>
      <c r="G17" s="14"/>
    </row>
    <row r="18" spans="2:7" ht="3.4" customHeight="1" x14ac:dyDescent="0.2"/>
    <row r="19" spans="2:7" ht="16.5" x14ac:dyDescent="0.3">
      <c r="B19" s="38" t="s">
        <v>44</v>
      </c>
      <c r="C19" s="14">
        <v>52252</v>
      </c>
      <c r="D19" s="14">
        <v>8298</v>
      </c>
      <c r="E19" s="14">
        <v>8697</v>
      </c>
      <c r="F19" s="14">
        <v>1579</v>
      </c>
      <c r="G19" s="14">
        <v>6</v>
      </c>
    </row>
    <row r="20" spans="2:7" ht="16.5" x14ac:dyDescent="0.3">
      <c r="B20" s="38" t="s">
        <v>38</v>
      </c>
      <c r="C20" s="14">
        <v>50647</v>
      </c>
      <c r="D20" s="14">
        <v>6957</v>
      </c>
      <c r="E20" s="14">
        <v>7941</v>
      </c>
      <c r="F20" s="14">
        <v>602</v>
      </c>
      <c r="G20" s="14">
        <v>7</v>
      </c>
    </row>
    <row r="21" spans="2:7" ht="16.5" x14ac:dyDescent="0.3">
      <c r="B21" s="38" t="s">
        <v>39</v>
      </c>
      <c r="C21" s="14">
        <v>47354</v>
      </c>
      <c r="D21" s="14">
        <v>8724</v>
      </c>
      <c r="E21" s="14">
        <v>7681</v>
      </c>
      <c r="F21" s="14">
        <v>363</v>
      </c>
      <c r="G21" s="14">
        <v>7.25</v>
      </c>
    </row>
    <row r="22" spans="2:7" ht="16.5" x14ac:dyDescent="0.3">
      <c r="B22" s="38" t="s">
        <v>45</v>
      </c>
      <c r="C22" s="14">
        <v>43931</v>
      </c>
      <c r="D22" s="14">
        <v>8130</v>
      </c>
      <c r="E22" s="14">
        <v>8611</v>
      </c>
      <c r="F22" s="14">
        <v>20</v>
      </c>
      <c r="G22" s="14">
        <v>4.5</v>
      </c>
    </row>
    <row r="23" spans="2:7" ht="16.5" x14ac:dyDescent="0.3">
      <c r="B23" s="38" t="s">
        <v>40</v>
      </c>
      <c r="C23" s="14"/>
      <c r="D23" s="14"/>
      <c r="E23" s="14"/>
      <c r="F23" s="14"/>
      <c r="G23" s="14"/>
    </row>
    <row r="24" spans="2:7" ht="16.5" x14ac:dyDescent="0.3">
      <c r="B24" s="38" t="s">
        <v>46</v>
      </c>
      <c r="C24" s="14"/>
      <c r="D24" s="14"/>
      <c r="E24" s="14"/>
      <c r="F24" s="14"/>
      <c r="G24" s="14"/>
    </row>
    <row r="25" spans="2:7" ht="16.5" x14ac:dyDescent="0.3">
      <c r="B25" s="38" t="s">
        <v>47</v>
      </c>
      <c r="C25" s="14"/>
      <c r="D25" s="14"/>
      <c r="E25" s="14"/>
      <c r="F25" s="14"/>
      <c r="G25" s="14"/>
    </row>
    <row r="26" spans="2:7" ht="16.5" x14ac:dyDescent="0.3">
      <c r="B26" s="38" t="s">
        <v>48</v>
      </c>
      <c r="C26" s="14"/>
      <c r="D26" s="14"/>
      <c r="E26" s="14"/>
      <c r="F26" s="14"/>
      <c r="G26" s="14"/>
    </row>
    <row r="27" spans="2:7" ht="16.5" x14ac:dyDescent="0.3">
      <c r="B27" s="38" t="s">
        <v>49</v>
      </c>
      <c r="C27" s="14"/>
      <c r="D27" s="14"/>
      <c r="E27" s="14"/>
      <c r="F27" s="14"/>
      <c r="G27" s="14"/>
    </row>
    <row r="28" spans="2:7" ht="16.5" x14ac:dyDescent="0.3">
      <c r="B28" s="39" t="s">
        <v>1114</v>
      </c>
      <c r="C28" s="14">
        <v>7572</v>
      </c>
      <c r="D28" s="14">
        <v>2373</v>
      </c>
      <c r="E28" s="14">
        <v>1412</v>
      </c>
      <c r="F28" s="14">
        <v>5</v>
      </c>
      <c r="G28" s="14">
        <v>3</v>
      </c>
    </row>
  </sheetData>
  <sheetProtection algorithmName="SHA-512" hashValue="4V1N0vik10ezOucdBqAm9e0TU5Lr+Wp5r45nB07rgLmMIwBBBbPo7GLQp1MWdC+4TKL/6YUQ/3mmMwAQEeEEiw==" saltValue="s+s+4Q4jZyoVPtuODQhWzQ==" spinCount="100000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L557"/>
  <sheetViews>
    <sheetView tabSelected="1" topLeftCell="A65" zoomScale="60" zoomScaleNormal="60" workbookViewId="0">
      <selection activeCell="G14" sqref="G14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hidden="1" customWidth="1"/>
    <col min="21" max="21" width="1.5703125" style="2" customWidth="1"/>
    <col min="22" max="38" width="9.5703125" style="2" customWidth="1"/>
    <col min="39" max="16384" width="8.7109375" style="2"/>
  </cols>
  <sheetData>
    <row r="2" spans="2:38" x14ac:dyDescent="0.3">
      <c r="B2" s="1" t="s">
        <v>24</v>
      </c>
    </row>
    <row r="4" spans="2:38" hidden="1" outlineLevel="1" x14ac:dyDescent="0.3">
      <c r="B4" s="2" t="s">
        <v>75</v>
      </c>
      <c r="C4" s="2">
        <v>550</v>
      </c>
    </row>
    <row r="5" spans="2:38" collapsed="1" x14ac:dyDescent="0.3">
      <c r="B5" s="15" t="s">
        <v>37</v>
      </c>
      <c r="C5" s="30"/>
      <c r="D5" s="30"/>
      <c r="E5" s="30"/>
      <c r="F5" s="30"/>
      <c r="G5" s="30"/>
    </row>
    <row r="6" spans="2:38" x14ac:dyDescent="0.3">
      <c r="B6" s="17" t="s">
        <v>29</v>
      </c>
      <c r="C6" s="31"/>
      <c r="D6" s="31"/>
      <c r="E6" s="31"/>
      <c r="F6" s="31"/>
      <c r="G6" s="31"/>
    </row>
    <row r="7" spans="2:38" x14ac:dyDescent="0.3">
      <c r="B7" s="17" t="s">
        <v>30</v>
      </c>
      <c r="C7" s="31"/>
      <c r="D7" s="31"/>
      <c r="E7" s="31"/>
      <c r="F7" s="31"/>
      <c r="G7" s="31"/>
    </row>
    <row r="8" spans="2:38" x14ac:dyDescent="0.3">
      <c r="B8" s="19" t="s">
        <v>32</v>
      </c>
      <c r="C8" s="13" t="s">
        <v>116</v>
      </c>
      <c r="D8" s="31"/>
      <c r="E8" s="31"/>
      <c r="F8" s="31"/>
      <c r="G8" s="31"/>
    </row>
    <row r="9" spans="2:38" x14ac:dyDescent="0.3">
      <c r="B9" s="19" t="s">
        <v>42</v>
      </c>
      <c r="C9" s="31"/>
      <c r="D9" s="31"/>
      <c r="E9" s="31"/>
      <c r="F9" s="31"/>
      <c r="G9" s="31"/>
    </row>
    <row r="10" spans="2:38" x14ac:dyDescent="0.3">
      <c r="B10" s="20" t="s">
        <v>43</v>
      </c>
      <c r="C10" s="32"/>
      <c r="D10" s="32"/>
      <c r="E10" s="32"/>
      <c r="F10" s="32"/>
      <c r="G10" s="32"/>
    </row>
    <row r="12" spans="2:38" ht="29.25" customHeight="1" x14ac:dyDescent="0.3">
      <c r="B12" s="82" t="s">
        <v>33</v>
      </c>
      <c r="C12" s="83" t="s">
        <v>74</v>
      </c>
      <c r="D12" s="84" t="s">
        <v>73</v>
      </c>
      <c r="E12" s="85"/>
      <c r="F12" s="86"/>
      <c r="G12" s="87" t="s">
        <v>91</v>
      </c>
      <c r="I12" s="81" t="s">
        <v>41</v>
      </c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V12" s="81" t="s">
        <v>41</v>
      </c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</row>
    <row r="13" spans="2:38" ht="112.5" x14ac:dyDescent="0.3">
      <c r="B13" s="82"/>
      <c r="C13" s="83"/>
      <c r="D13" s="36" t="s">
        <v>34</v>
      </c>
      <c r="E13" s="36" t="s">
        <v>35</v>
      </c>
      <c r="F13" s="36" t="s">
        <v>36</v>
      </c>
      <c r="G13" s="87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995</v>
      </c>
      <c r="AL13" s="41" t="s">
        <v>996</v>
      </c>
    </row>
    <row r="14" spans="2:38" ht="120" x14ac:dyDescent="0.3">
      <c r="B14" s="61">
        <v>1</v>
      </c>
      <c r="C14" s="50" t="s">
        <v>117</v>
      </c>
      <c r="D14" s="51" t="s">
        <v>118</v>
      </c>
      <c r="E14" s="51" t="s">
        <v>119</v>
      </c>
      <c r="F14" s="51" t="s">
        <v>120</v>
      </c>
      <c r="G14" s="52">
        <v>3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/>
      <c r="W14" s="14"/>
      <c r="X14" s="14"/>
      <c r="Y14" s="14">
        <v>1</v>
      </c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</row>
    <row r="15" spans="2:38" ht="105" x14ac:dyDescent="0.3">
      <c r="B15" s="61">
        <v>2</v>
      </c>
      <c r="C15" s="50" t="s">
        <v>121</v>
      </c>
      <c r="D15" s="51" t="s">
        <v>122</v>
      </c>
      <c r="E15" s="51" t="s">
        <v>123</v>
      </c>
      <c r="F15" s="51" t="s">
        <v>124</v>
      </c>
      <c r="G15" s="52">
        <v>1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>
        <v>1</v>
      </c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</row>
    <row r="16" spans="2:38" ht="45" x14ac:dyDescent="0.3">
      <c r="B16" s="61">
        <v>3</v>
      </c>
      <c r="C16" s="50" t="s">
        <v>125</v>
      </c>
      <c r="D16" s="51" t="s">
        <v>126</v>
      </c>
      <c r="E16" s="51" t="s">
        <v>127</v>
      </c>
      <c r="F16" s="51" t="s">
        <v>124</v>
      </c>
      <c r="G16" s="52">
        <v>1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>
        <v>1</v>
      </c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</row>
    <row r="17" spans="2:38" ht="135" x14ac:dyDescent="0.3">
      <c r="B17" s="61">
        <v>4</v>
      </c>
      <c r="C17" s="50" t="s">
        <v>128</v>
      </c>
      <c r="D17" s="51" t="s">
        <v>129</v>
      </c>
      <c r="E17" s="51" t="s">
        <v>124</v>
      </c>
      <c r="F17" s="51"/>
      <c r="G17" s="52">
        <v>2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>
        <v>1</v>
      </c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</row>
    <row r="18" spans="2:38" ht="105" x14ac:dyDescent="0.3">
      <c r="B18" s="61">
        <v>5</v>
      </c>
      <c r="C18" s="50" t="s">
        <v>130</v>
      </c>
      <c r="D18" s="51" t="s">
        <v>131</v>
      </c>
      <c r="E18" s="51" t="s">
        <v>127</v>
      </c>
      <c r="F18" s="51" t="s">
        <v>124</v>
      </c>
      <c r="G18" s="52">
        <v>3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>
        <v>1</v>
      </c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</row>
    <row r="19" spans="2:38" ht="165" x14ac:dyDescent="0.3">
      <c r="B19" s="61">
        <v>6</v>
      </c>
      <c r="C19" s="50" t="s">
        <v>132</v>
      </c>
      <c r="D19" s="51" t="s">
        <v>133</v>
      </c>
      <c r="E19" s="51" t="s">
        <v>134</v>
      </c>
      <c r="F19" s="51" t="s">
        <v>129</v>
      </c>
      <c r="G19" s="52">
        <v>4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>
        <v>1</v>
      </c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</row>
    <row r="20" spans="2:38" ht="150" x14ac:dyDescent="0.3">
      <c r="B20" s="61">
        <v>7</v>
      </c>
      <c r="C20" s="50" t="s">
        <v>135</v>
      </c>
      <c r="D20" s="51" t="s">
        <v>136</v>
      </c>
      <c r="E20" s="51" t="s">
        <v>129</v>
      </c>
      <c r="F20" s="51" t="s">
        <v>124</v>
      </c>
      <c r="G20" s="52">
        <v>1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/>
      <c r="X20" s="14"/>
      <c r="Y20" s="14">
        <v>1</v>
      </c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</row>
    <row r="21" spans="2:38" ht="165" x14ac:dyDescent="0.3">
      <c r="B21" s="61">
        <v>8</v>
      </c>
      <c r="C21" s="50" t="s">
        <v>137</v>
      </c>
      <c r="D21" s="51" t="s">
        <v>138</v>
      </c>
      <c r="E21" s="51" t="s">
        <v>131</v>
      </c>
      <c r="F21" s="51" t="s">
        <v>129</v>
      </c>
      <c r="G21" s="52">
        <v>0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</row>
    <row r="22" spans="2:38" ht="120" x14ac:dyDescent="0.3">
      <c r="B22" s="61">
        <v>9</v>
      </c>
      <c r="C22" s="50" t="s">
        <v>139</v>
      </c>
      <c r="D22" s="51" t="s">
        <v>140</v>
      </c>
      <c r="E22" s="51" t="s">
        <v>129</v>
      </c>
      <c r="F22" s="51" t="s">
        <v>124</v>
      </c>
      <c r="G22" s="52">
        <v>1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</row>
    <row r="23" spans="2:38" ht="90" x14ac:dyDescent="0.3">
      <c r="B23" s="61">
        <v>10</v>
      </c>
      <c r="C23" s="50" t="s">
        <v>141</v>
      </c>
      <c r="D23" s="51" t="s">
        <v>129</v>
      </c>
      <c r="E23" s="51" t="s">
        <v>124</v>
      </c>
      <c r="F23" s="51"/>
      <c r="G23" s="52">
        <v>1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>
        <v>1</v>
      </c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</row>
    <row r="24" spans="2:38" ht="90" x14ac:dyDescent="0.3">
      <c r="B24" s="61">
        <v>11</v>
      </c>
      <c r="C24" s="50" t="s">
        <v>142</v>
      </c>
      <c r="D24" s="51" t="s">
        <v>143</v>
      </c>
      <c r="E24" s="51" t="s">
        <v>123</v>
      </c>
      <c r="F24" s="51" t="s">
        <v>144</v>
      </c>
      <c r="G24" s="52">
        <v>2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V24" s="14"/>
      <c r="W24" s="14"/>
      <c r="X24" s="14"/>
      <c r="Y24" s="14">
        <v>1</v>
      </c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</row>
    <row r="25" spans="2:38" ht="90" x14ac:dyDescent="0.3">
      <c r="B25" s="61">
        <v>12</v>
      </c>
      <c r="C25" s="50" t="s">
        <v>145</v>
      </c>
      <c r="D25" s="51" t="s">
        <v>146</v>
      </c>
      <c r="E25" s="51" t="s">
        <v>123</v>
      </c>
      <c r="F25" s="51" t="s">
        <v>144</v>
      </c>
      <c r="G25" s="52">
        <v>2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V25" s="14"/>
      <c r="W25" s="14"/>
      <c r="X25" s="14"/>
      <c r="Y25" s="14">
        <v>1</v>
      </c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</row>
    <row r="26" spans="2:38" ht="150" x14ac:dyDescent="0.3">
      <c r="B26" s="61">
        <v>13</v>
      </c>
      <c r="C26" s="50" t="s">
        <v>147</v>
      </c>
      <c r="D26" s="51" t="s">
        <v>148</v>
      </c>
      <c r="E26" s="51" t="s">
        <v>136</v>
      </c>
      <c r="F26" s="51" t="s">
        <v>149</v>
      </c>
      <c r="G26" s="52">
        <v>10</v>
      </c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V26" s="14"/>
      <c r="W26" s="14"/>
      <c r="X26" s="14"/>
      <c r="Y26" s="14">
        <v>1</v>
      </c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</row>
    <row r="27" spans="2:38" ht="75" x14ac:dyDescent="0.3">
      <c r="B27" s="61">
        <v>14</v>
      </c>
      <c r="C27" s="50" t="s">
        <v>150</v>
      </c>
      <c r="D27" s="51" t="s">
        <v>151</v>
      </c>
      <c r="E27" s="51"/>
      <c r="F27" s="51"/>
      <c r="G27" s="52">
        <v>0</v>
      </c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V27" s="14"/>
      <c r="W27" s="14"/>
      <c r="X27" s="14"/>
      <c r="Y27" s="14">
        <v>1</v>
      </c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</row>
    <row r="28" spans="2:38" ht="60" x14ac:dyDescent="0.3">
      <c r="B28" s="61">
        <v>15</v>
      </c>
      <c r="C28" s="50" t="s">
        <v>152</v>
      </c>
      <c r="D28" s="51" t="s">
        <v>153</v>
      </c>
      <c r="E28" s="51"/>
      <c r="F28" s="51"/>
      <c r="G28" s="52">
        <v>2</v>
      </c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V28" s="14"/>
      <c r="W28" s="14"/>
      <c r="X28" s="14"/>
      <c r="Y28" s="14">
        <v>1</v>
      </c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</row>
    <row r="29" spans="2:38" ht="120" x14ac:dyDescent="0.3">
      <c r="B29" s="61">
        <v>16</v>
      </c>
      <c r="C29" s="50" t="s">
        <v>154</v>
      </c>
      <c r="D29" s="51" t="s">
        <v>155</v>
      </c>
      <c r="E29" s="51"/>
      <c r="F29" s="51"/>
      <c r="G29" s="52">
        <v>2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V29" s="14"/>
      <c r="W29" s="14"/>
      <c r="X29" s="14"/>
      <c r="Y29" s="14">
        <v>1</v>
      </c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</row>
    <row r="30" spans="2:38" ht="150" x14ac:dyDescent="0.3">
      <c r="B30" s="61">
        <v>17</v>
      </c>
      <c r="C30" s="50" t="s">
        <v>156</v>
      </c>
      <c r="D30" s="51" t="s">
        <v>157</v>
      </c>
      <c r="E30" s="51" t="s">
        <v>158</v>
      </c>
      <c r="F30" s="51" t="s">
        <v>159</v>
      </c>
      <c r="G30" s="52">
        <v>4</v>
      </c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V30" s="14"/>
      <c r="W30" s="14"/>
      <c r="X30" s="14"/>
      <c r="Y30" s="14">
        <v>1</v>
      </c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</row>
    <row r="31" spans="2:38" ht="60" x14ac:dyDescent="0.3">
      <c r="B31" s="61">
        <v>18</v>
      </c>
      <c r="C31" s="50" t="s">
        <v>160</v>
      </c>
      <c r="D31" s="51" t="s">
        <v>161</v>
      </c>
      <c r="E31" s="51"/>
      <c r="F31" s="51"/>
      <c r="G31" s="52">
        <v>3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V31" s="14"/>
      <c r="W31" s="14"/>
      <c r="X31" s="14"/>
      <c r="Y31" s="14">
        <v>1</v>
      </c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</row>
    <row r="32" spans="2:38" ht="75" x14ac:dyDescent="0.3">
      <c r="B32" s="61">
        <v>19</v>
      </c>
      <c r="C32" s="50" t="s">
        <v>162</v>
      </c>
      <c r="D32" s="51" t="s">
        <v>129</v>
      </c>
      <c r="E32" s="51" t="s">
        <v>144</v>
      </c>
      <c r="F32" s="51"/>
      <c r="G32" s="52">
        <v>1</v>
      </c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V32" s="14"/>
      <c r="W32" s="14"/>
      <c r="X32" s="14"/>
      <c r="Y32" s="14">
        <v>1</v>
      </c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</row>
    <row r="33" spans="2:38" ht="90" x14ac:dyDescent="0.3">
      <c r="B33" s="61">
        <v>20</v>
      </c>
      <c r="C33" s="50" t="s">
        <v>163</v>
      </c>
      <c r="D33" s="51" t="s">
        <v>164</v>
      </c>
      <c r="E33" s="51" t="s">
        <v>129</v>
      </c>
      <c r="F33" s="51" t="s">
        <v>144</v>
      </c>
      <c r="G33" s="52">
        <v>1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V33" s="14"/>
      <c r="W33" s="14"/>
      <c r="X33" s="14"/>
      <c r="Y33" s="14">
        <v>1</v>
      </c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</row>
    <row r="34" spans="2:38" ht="120" x14ac:dyDescent="0.3">
      <c r="B34" s="61">
        <v>21</v>
      </c>
      <c r="C34" s="50" t="s">
        <v>165</v>
      </c>
      <c r="D34" s="51" t="s">
        <v>166</v>
      </c>
      <c r="E34" s="51" t="s">
        <v>129</v>
      </c>
      <c r="F34" s="51" t="s">
        <v>144</v>
      </c>
      <c r="G34" s="52">
        <v>1</v>
      </c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V34" s="14"/>
      <c r="W34" s="14"/>
      <c r="X34" s="14"/>
      <c r="Y34" s="14">
        <v>1</v>
      </c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</row>
    <row r="35" spans="2:38" ht="75" x14ac:dyDescent="0.3">
      <c r="B35" s="61">
        <v>22</v>
      </c>
      <c r="C35" s="50" t="s">
        <v>167</v>
      </c>
      <c r="D35" s="51" t="s">
        <v>129</v>
      </c>
      <c r="E35" s="51" t="s">
        <v>144</v>
      </c>
      <c r="F35" s="51"/>
      <c r="G35" s="52">
        <v>2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V35" s="14"/>
      <c r="W35" s="14"/>
      <c r="X35" s="14"/>
      <c r="Y35" s="14">
        <v>1</v>
      </c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</row>
    <row r="36" spans="2:38" ht="105" x14ac:dyDescent="0.3">
      <c r="B36" s="61">
        <v>23</v>
      </c>
      <c r="C36" s="50" t="s">
        <v>168</v>
      </c>
      <c r="D36" s="51" t="s">
        <v>140</v>
      </c>
      <c r="E36" s="51" t="s">
        <v>129</v>
      </c>
      <c r="F36" s="51" t="s">
        <v>144</v>
      </c>
      <c r="G36" s="52">
        <v>1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V36" s="14"/>
      <c r="W36" s="14"/>
      <c r="X36" s="14"/>
      <c r="Y36" s="14">
        <v>1</v>
      </c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</row>
    <row r="37" spans="2:38" ht="105" x14ac:dyDescent="0.3">
      <c r="B37" s="61">
        <v>24</v>
      </c>
      <c r="C37" s="50" t="s">
        <v>169</v>
      </c>
      <c r="D37" s="51" t="s">
        <v>134</v>
      </c>
      <c r="E37" s="51" t="s">
        <v>129</v>
      </c>
      <c r="F37" s="51" t="s">
        <v>144</v>
      </c>
      <c r="G37" s="52">
        <v>2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V37" s="14"/>
      <c r="W37" s="14"/>
      <c r="X37" s="14"/>
      <c r="Y37" s="14">
        <v>1</v>
      </c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</row>
    <row r="38" spans="2:38" ht="120" x14ac:dyDescent="0.3">
      <c r="B38" s="61">
        <v>25</v>
      </c>
      <c r="C38" s="50" t="s">
        <v>170</v>
      </c>
      <c r="D38" s="51" t="s">
        <v>171</v>
      </c>
      <c r="E38" s="51" t="s">
        <v>129</v>
      </c>
      <c r="F38" s="51" t="s">
        <v>144</v>
      </c>
      <c r="G38" s="52">
        <v>2</v>
      </c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V38" s="14"/>
      <c r="W38" s="14"/>
      <c r="X38" s="14"/>
      <c r="Y38" s="14">
        <v>1</v>
      </c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</row>
    <row r="39" spans="2:38" ht="75" x14ac:dyDescent="0.3">
      <c r="B39" s="61">
        <v>26</v>
      </c>
      <c r="C39" s="50" t="s">
        <v>172</v>
      </c>
      <c r="D39" s="51" t="s">
        <v>129</v>
      </c>
      <c r="E39" s="51" t="s">
        <v>144</v>
      </c>
      <c r="F39" s="51"/>
      <c r="G39" s="52">
        <v>1</v>
      </c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V39" s="14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</row>
    <row r="40" spans="2:38" ht="105" x14ac:dyDescent="0.3">
      <c r="B40" s="61">
        <v>27</v>
      </c>
      <c r="C40" s="50" t="s">
        <v>173</v>
      </c>
      <c r="D40" s="51" t="s">
        <v>129</v>
      </c>
      <c r="E40" s="51" t="s">
        <v>144</v>
      </c>
      <c r="F40" s="51"/>
      <c r="G40" s="52">
        <v>1</v>
      </c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V40" s="14"/>
      <c r="W40" s="14"/>
      <c r="X40" s="14"/>
      <c r="Y40" s="14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</row>
    <row r="41" spans="2:38" ht="75" x14ac:dyDescent="0.3">
      <c r="B41" s="61">
        <v>28</v>
      </c>
      <c r="C41" s="50" t="s">
        <v>174</v>
      </c>
      <c r="D41" s="51" t="s">
        <v>129</v>
      </c>
      <c r="E41" s="51" t="s">
        <v>144</v>
      </c>
      <c r="F41" s="51"/>
      <c r="G41" s="52">
        <v>1</v>
      </c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V41" s="14"/>
      <c r="W41" s="14"/>
      <c r="X41" s="14"/>
      <c r="Y41" s="14">
        <v>1</v>
      </c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</row>
    <row r="42" spans="2:38" ht="165" x14ac:dyDescent="0.3">
      <c r="B42" s="61">
        <v>29</v>
      </c>
      <c r="C42" s="50" t="s">
        <v>175</v>
      </c>
      <c r="D42" s="51" t="s">
        <v>176</v>
      </c>
      <c r="E42" s="51" t="s">
        <v>177</v>
      </c>
      <c r="F42" s="51" t="s">
        <v>178</v>
      </c>
      <c r="G42" s="52">
        <v>3</v>
      </c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V42" s="14"/>
      <c r="W42" s="14"/>
      <c r="X42" s="14"/>
      <c r="Y42" s="14">
        <v>1</v>
      </c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</row>
    <row r="43" spans="2:38" ht="135" x14ac:dyDescent="0.3">
      <c r="B43" s="61">
        <v>30</v>
      </c>
      <c r="C43" s="50" t="s">
        <v>179</v>
      </c>
      <c r="D43" s="51" t="s">
        <v>176</v>
      </c>
      <c r="E43" s="51" t="s">
        <v>148</v>
      </c>
      <c r="F43" s="51" t="s">
        <v>180</v>
      </c>
      <c r="G43" s="52">
        <v>2</v>
      </c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V43" s="14"/>
      <c r="W43" s="14"/>
      <c r="X43" s="14"/>
      <c r="Y43" s="14">
        <v>1</v>
      </c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</row>
    <row r="44" spans="2:38" ht="75" x14ac:dyDescent="0.3">
      <c r="B44" s="61">
        <v>31</v>
      </c>
      <c r="C44" s="50" t="s">
        <v>181</v>
      </c>
      <c r="D44" s="51" t="s">
        <v>129</v>
      </c>
      <c r="E44" s="51" t="s">
        <v>144</v>
      </c>
      <c r="F44" s="51" t="s">
        <v>182</v>
      </c>
      <c r="G44" s="52">
        <v>1</v>
      </c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V44" s="14"/>
      <c r="W44" s="14"/>
      <c r="X44" s="14"/>
      <c r="Y44" s="14">
        <v>1</v>
      </c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</row>
    <row r="45" spans="2:38" ht="120" x14ac:dyDescent="0.3">
      <c r="B45" s="61">
        <v>32</v>
      </c>
      <c r="C45" s="50" t="s">
        <v>183</v>
      </c>
      <c r="D45" s="51" t="s">
        <v>129</v>
      </c>
      <c r="E45" s="51" t="s">
        <v>144</v>
      </c>
      <c r="F45" s="51"/>
      <c r="G45" s="52">
        <v>3</v>
      </c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V45" s="14"/>
      <c r="W45" s="14"/>
      <c r="X45" s="14"/>
      <c r="Y45" s="14">
        <v>1</v>
      </c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</row>
    <row r="46" spans="2:38" ht="75" x14ac:dyDescent="0.3">
      <c r="B46" s="61">
        <v>33</v>
      </c>
      <c r="C46" s="50" t="s">
        <v>184</v>
      </c>
      <c r="D46" s="51" t="s">
        <v>129</v>
      </c>
      <c r="E46" s="51" t="s">
        <v>144</v>
      </c>
      <c r="F46" s="51"/>
      <c r="G46" s="52">
        <v>1</v>
      </c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V46" s="14"/>
      <c r="W46" s="14"/>
      <c r="X46" s="14"/>
      <c r="Y46" s="14">
        <v>1</v>
      </c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</row>
    <row r="47" spans="2:38" ht="105" x14ac:dyDescent="0.3">
      <c r="B47" s="61">
        <v>34</v>
      </c>
      <c r="C47" s="50" t="s">
        <v>185</v>
      </c>
      <c r="D47" s="51" t="s">
        <v>186</v>
      </c>
      <c r="E47" s="51" t="s">
        <v>187</v>
      </c>
      <c r="F47" s="51"/>
      <c r="G47" s="52">
        <v>7</v>
      </c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V47" s="14"/>
      <c r="W47" s="14"/>
      <c r="X47" s="14"/>
      <c r="Y47" s="14">
        <v>1</v>
      </c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</row>
    <row r="48" spans="2:38" ht="75" x14ac:dyDescent="0.3">
      <c r="B48" s="61">
        <v>35</v>
      </c>
      <c r="C48" s="50" t="s">
        <v>188</v>
      </c>
      <c r="D48" s="51" t="s">
        <v>189</v>
      </c>
      <c r="E48" s="51" t="s">
        <v>190</v>
      </c>
      <c r="F48" s="51" t="s">
        <v>191</v>
      </c>
      <c r="G48" s="52">
        <v>1</v>
      </c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V48" s="14"/>
      <c r="W48" s="14"/>
      <c r="X48" s="14"/>
      <c r="Y48" s="14">
        <v>1</v>
      </c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</row>
    <row r="49" spans="2:38" ht="75" x14ac:dyDescent="0.3">
      <c r="B49" s="61">
        <v>36</v>
      </c>
      <c r="C49" s="50" t="s">
        <v>192</v>
      </c>
      <c r="D49" s="51" t="s">
        <v>189</v>
      </c>
      <c r="E49" s="51" t="s">
        <v>190</v>
      </c>
      <c r="F49" s="51" t="s">
        <v>191</v>
      </c>
      <c r="G49" s="52">
        <v>1</v>
      </c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V49" s="14"/>
      <c r="W49" s="14"/>
      <c r="X49" s="14"/>
      <c r="Y49" s="14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</row>
    <row r="50" spans="2:38" ht="135" x14ac:dyDescent="0.3">
      <c r="B50" s="61">
        <v>37</v>
      </c>
      <c r="C50" s="50" t="s">
        <v>193</v>
      </c>
      <c r="D50" s="51" t="s">
        <v>194</v>
      </c>
      <c r="E50" s="51" t="s">
        <v>195</v>
      </c>
      <c r="F50" s="51"/>
      <c r="G50" s="52">
        <v>3</v>
      </c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V50" s="14"/>
      <c r="W50" s="14"/>
      <c r="X50" s="14"/>
      <c r="Y50" s="14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</row>
    <row r="51" spans="2:38" ht="75" x14ac:dyDescent="0.3">
      <c r="B51" s="61">
        <v>38</v>
      </c>
      <c r="C51" s="50" t="s">
        <v>196</v>
      </c>
      <c r="D51" s="51" t="s">
        <v>129</v>
      </c>
      <c r="E51" s="51" t="s">
        <v>144</v>
      </c>
      <c r="F51" s="51"/>
      <c r="G51" s="52">
        <v>1</v>
      </c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V51" s="14"/>
      <c r="W51" s="14"/>
      <c r="X51" s="14"/>
      <c r="Y51" s="14">
        <v>1</v>
      </c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</row>
    <row r="52" spans="2:38" ht="105" x14ac:dyDescent="0.3">
      <c r="B52" s="61">
        <v>39</v>
      </c>
      <c r="C52" s="50" t="s">
        <v>197</v>
      </c>
      <c r="D52" s="51" t="s">
        <v>129</v>
      </c>
      <c r="E52" s="51" t="s">
        <v>144</v>
      </c>
      <c r="F52" s="51" t="s">
        <v>198</v>
      </c>
      <c r="G52" s="52">
        <v>1</v>
      </c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V52" s="14"/>
      <c r="W52" s="14"/>
      <c r="X52" s="14"/>
      <c r="Y52" s="14">
        <v>1</v>
      </c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</row>
    <row r="53" spans="2:38" ht="75" x14ac:dyDescent="0.3">
      <c r="B53" s="61">
        <v>40</v>
      </c>
      <c r="C53" s="50" t="s">
        <v>199</v>
      </c>
      <c r="D53" s="51" t="s">
        <v>129</v>
      </c>
      <c r="E53" s="51" t="s">
        <v>144</v>
      </c>
      <c r="F53" s="51"/>
      <c r="G53" s="52">
        <v>3</v>
      </c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V53" s="14"/>
      <c r="W53" s="14"/>
      <c r="X53" s="14"/>
      <c r="Y53" s="14">
        <v>1</v>
      </c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</row>
    <row r="54" spans="2:38" ht="225" x14ac:dyDescent="0.3">
      <c r="B54" s="61">
        <v>41</v>
      </c>
      <c r="C54" s="50" t="s">
        <v>200</v>
      </c>
      <c r="D54" s="51" t="s">
        <v>201</v>
      </c>
      <c r="E54" s="51" t="s">
        <v>202</v>
      </c>
      <c r="F54" s="51" t="s">
        <v>157</v>
      </c>
      <c r="G54" s="52">
        <v>10</v>
      </c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V54" s="14"/>
      <c r="W54" s="14"/>
      <c r="X54" s="14"/>
      <c r="Y54" s="14">
        <v>1</v>
      </c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</row>
    <row r="55" spans="2:38" ht="30" x14ac:dyDescent="0.3">
      <c r="B55" s="61">
        <v>42</v>
      </c>
      <c r="C55" s="50" t="s">
        <v>203</v>
      </c>
      <c r="D55" s="51" t="s">
        <v>161</v>
      </c>
      <c r="E55" s="51"/>
      <c r="F55" s="51"/>
      <c r="G55" s="52">
        <v>3</v>
      </c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V55" s="14"/>
      <c r="W55" s="14"/>
      <c r="X55" s="14"/>
      <c r="Y55" s="14">
        <v>1</v>
      </c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</row>
    <row r="56" spans="2:38" ht="60" x14ac:dyDescent="0.3">
      <c r="B56" s="61">
        <v>43</v>
      </c>
      <c r="C56" s="50" t="s">
        <v>204</v>
      </c>
      <c r="D56" s="51" t="s">
        <v>153</v>
      </c>
      <c r="E56" s="51"/>
      <c r="F56" s="51"/>
      <c r="G56" s="52">
        <v>2</v>
      </c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V56" s="14"/>
      <c r="W56" s="14"/>
      <c r="X56" s="14"/>
      <c r="Y56" s="14">
        <v>1</v>
      </c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</row>
    <row r="57" spans="2:38" ht="120" x14ac:dyDescent="0.3">
      <c r="B57" s="61">
        <v>44</v>
      </c>
      <c r="C57" s="50" t="s">
        <v>205</v>
      </c>
      <c r="D57" s="51" t="s">
        <v>161</v>
      </c>
      <c r="E57" s="51"/>
      <c r="F57" s="51"/>
      <c r="G57" s="52">
        <v>3</v>
      </c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V57" s="14"/>
      <c r="W57" s="14"/>
      <c r="X57" s="14"/>
      <c r="Y57" s="14">
        <v>1</v>
      </c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</row>
    <row r="58" spans="2:38" ht="135" x14ac:dyDescent="0.3">
      <c r="B58" s="61">
        <v>45</v>
      </c>
      <c r="C58" s="50" t="s">
        <v>206</v>
      </c>
      <c r="D58" s="51" t="s">
        <v>207</v>
      </c>
      <c r="E58" s="51" t="s">
        <v>208</v>
      </c>
      <c r="F58" s="51" t="s">
        <v>209</v>
      </c>
      <c r="G58" s="52">
        <v>4</v>
      </c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V58" s="14"/>
      <c r="W58" s="14"/>
      <c r="X58" s="14"/>
      <c r="Y58" s="14">
        <v>1</v>
      </c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</row>
    <row r="59" spans="2:38" ht="105" x14ac:dyDescent="0.3">
      <c r="B59" s="61">
        <v>46</v>
      </c>
      <c r="C59" s="50" t="s">
        <v>210</v>
      </c>
      <c r="D59" s="51" t="s">
        <v>129</v>
      </c>
      <c r="E59" s="51" t="s">
        <v>144</v>
      </c>
      <c r="F59" s="51"/>
      <c r="G59" s="52">
        <v>1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V59" s="14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</row>
    <row r="60" spans="2:38" ht="135" x14ac:dyDescent="0.3">
      <c r="B60" s="61">
        <v>47</v>
      </c>
      <c r="C60" s="50" t="s">
        <v>211</v>
      </c>
      <c r="D60" s="51" t="s">
        <v>129</v>
      </c>
      <c r="E60" s="51" t="s">
        <v>144</v>
      </c>
      <c r="F60" s="51"/>
      <c r="G60" s="52">
        <v>1</v>
      </c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V60" s="14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</row>
    <row r="61" spans="2:38" ht="75" x14ac:dyDescent="0.3">
      <c r="B61" s="61">
        <v>48</v>
      </c>
      <c r="C61" s="50" t="s">
        <v>212</v>
      </c>
      <c r="D61" s="51" t="s">
        <v>213</v>
      </c>
      <c r="E61" s="51"/>
      <c r="F61" s="51"/>
      <c r="G61" s="52">
        <v>1</v>
      </c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V61" s="14"/>
      <c r="W61" s="14"/>
      <c r="X61" s="14"/>
      <c r="Y61" s="14">
        <v>1</v>
      </c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</row>
    <row r="62" spans="2:38" ht="90" x14ac:dyDescent="0.3">
      <c r="B62" s="61">
        <v>49</v>
      </c>
      <c r="C62" s="50" t="s">
        <v>214</v>
      </c>
      <c r="D62" s="51" t="s">
        <v>129</v>
      </c>
      <c r="E62" s="51" t="s">
        <v>144</v>
      </c>
      <c r="F62" s="51"/>
      <c r="G62" s="52">
        <v>1</v>
      </c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V62" s="14"/>
      <c r="W62" s="14"/>
      <c r="X62" s="14"/>
      <c r="Y62" s="14">
        <v>1</v>
      </c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</row>
    <row r="63" spans="2:38" ht="165" x14ac:dyDescent="0.3">
      <c r="B63" s="61">
        <v>50</v>
      </c>
      <c r="C63" s="50" t="s">
        <v>215</v>
      </c>
      <c r="D63" s="51" t="s">
        <v>216</v>
      </c>
      <c r="E63" s="51" t="s">
        <v>202</v>
      </c>
      <c r="F63" s="51" t="s">
        <v>217</v>
      </c>
      <c r="G63" s="52">
        <v>5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V63" s="14"/>
      <c r="W63" s="14"/>
      <c r="X63" s="14"/>
      <c r="Y63" s="14">
        <v>1</v>
      </c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</row>
    <row r="64" spans="2:38" ht="75" x14ac:dyDescent="0.3">
      <c r="B64" s="61">
        <v>51</v>
      </c>
      <c r="C64" s="50" t="s">
        <v>218</v>
      </c>
      <c r="D64" s="51" t="s">
        <v>129</v>
      </c>
      <c r="E64" s="51" t="s">
        <v>144</v>
      </c>
      <c r="F64" s="51"/>
      <c r="G64" s="52">
        <v>1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V64" s="14"/>
      <c r="W64" s="14"/>
      <c r="X64" s="14"/>
      <c r="Y64" s="14">
        <v>1</v>
      </c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</row>
    <row r="65" spans="2:38" ht="75" x14ac:dyDescent="0.3">
      <c r="B65" s="61">
        <v>52</v>
      </c>
      <c r="C65" s="50" t="s">
        <v>219</v>
      </c>
      <c r="D65" s="51" t="s">
        <v>129</v>
      </c>
      <c r="E65" s="51" t="s">
        <v>144</v>
      </c>
      <c r="F65" s="51"/>
      <c r="G65" s="52">
        <v>1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V65" s="14"/>
      <c r="W65" s="14"/>
      <c r="X65" s="14"/>
      <c r="Y65" s="14">
        <v>1</v>
      </c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</row>
    <row r="66" spans="2:38" ht="210" x14ac:dyDescent="0.3">
      <c r="B66" s="61">
        <v>53</v>
      </c>
      <c r="C66" s="50" t="s">
        <v>220</v>
      </c>
      <c r="D66" s="51" t="s">
        <v>221</v>
      </c>
      <c r="E66" s="51" t="s">
        <v>222</v>
      </c>
      <c r="F66" s="51" t="s">
        <v>223</v>
      </c>
      <c r="G66" s="52">
        <v>6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V66" s="14"/>
      <c r="W66" s="14"/>
      <c r="X66" s="14"/>
      <c r="Y66" s="14">
        <v>1</v>
      </c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</row>
    <row r="67" spans="2:38" ht="180" x14ac:dyDescent="0.3">
      <c r="B67" s="61">
        <v>54</v>
      </c>
      <c r="C67" s="50" t="s">
        <v>224</v>
      </c>
      <c r="D67" s="51" t="s">
        <v>143</v>
      </c>
      <c r="E67" s="51" t="s">
        <v>202</v>
      </c>
      <c r="F67" s="51" t="s">
        <v>178</v>
      </c>
      <c r="G67" s="52">
        <v>5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V67" s="14"/>
      <c r="W67" s="14"/>
      <c r="X67" s="14"/>
      <c r="Y67" s="14">
        <v>1</v>
      </c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</row>
    <row r="68" spans="2:38" ht="105" x14ac:dyDescent="0.3">
      <c r="B68" s="61">
        <v>55</v>
      </c>
      <c r="C68" s="50" t="s">
        <v>225</v>
      </c>
      <c r="D68" s="51" t="s">
        <v>226</v>
      </c>
      <c r="E68" s="51" t="s">
        <v>129</v>
      </c>
      <c r="F68" s="51">
        <v>243</v>
      </c>
      <c r="G68" s="52">
        <v>4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V68" s="14"/>
      <c r="W68" s="14"/>
      <c r="X68" s="14"/>
      <c r="Y68" s="14">
        <v>1</v>
      </c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</row>
    <row r="69" spans="2:38" ht="75" x14ac:dyDescent="0.3">
      <c r="B69" s="61">
        <v>56</v>
      </c>
      <c r="C69" s="50" t="s">
        <v>227</v>
      </c>
      <c r="D69" s="51" t="s">
        <v>129</v>
      </c>
      <c r="E69" s="51" t="s">
        <v>144</v>
      </c>
      <c r="F69" s="51"/>
      <c r="G69" s="52">
        <v>0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V69" s="14"/>
      <c r="W69" s="14"/>
      <c r="X69" s="14"/>
      <c r="Y69" s="14">
        <v>1</v>
      </c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</row>
    <row r="70" spans="2:38" ht="75" x14ac:dyDescent="0.3">
      <c r="B70" s="61">
        <v>57</v>
      </c>
      <c r="C70" s="50" t="s">
        <v>228</v>
      </c>
      <c r="D70" s="51" t="s">
        <v>129</v>
      </c>
      <c r="E70" s="51" t="s">
        <v>144</v>
      </c>
      <c r="F70" s="51"/>
      <c r="G70" s="52">
        <v>3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V70" s="14"/>
      <c r="W70" s="14"/>
      <c r="X70" s="14"/>
      <c r="Y70" s="14">
        <v>1</v>
      </c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</row>
    <row r="71" spans="2:38" ht="120" x14ac:dyDescent="0.3">
      <c r="B71" s="61">
        <v>58</v>
      </c>
      <c r="C71" s="50" t="s">
        <v>229</v>
      </c>
      <c r="D71" s="51" t="s">
        <v>230</v>
      </c>
      <c r="E71" s="51" t="s">
        <v>231</v>
      </c>
      <c r="F71" s="51"/>
      <c r="G71" s="52">
        <v>7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V71" s="14"/>
      <c r="W71" s="14"/>
      <c r="X71" s="14"/>
      <c r="Y71" s="14">
        <v>1</v>
      </c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</row>
    <row r="72" spans="2:38" ht="75" x14ac:dyDescent="0.3">
      <c r="B72" s="61">
        <v>59</v>
      </c>
      <c r="C72" s="50" t="s">
        <v>232</v>
      </c>
      <c r="D72" s="51" t="s">
        <v>233</v>
      </c>
      <c r="E72" s="51"/>
      <c r="F72" s="51"/>
      <c r="G72" s="52">
        <v>2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V72" s="14"/>
      <c r="W72" s="14"/>
      <c r="X72" s="14"/>
      <c r="Y72" s="14">
        <v>1</v>
      </c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</row>
    <row r="73" spans="2:38" ht="105" x14ac:dyDescent="0.3">
      <c r="B73" s="61">
        <v>60</v>
      </c>
      <c r="C73" s="50" t="s">
        <v>234</v>
      </c>
      <c r="D73" s="51" t="s">
        <v>153</v>
      </c>
      <c r="E73" s="51" t="s">
        <v>233</v>
      </c>
      <c r="F73" s="51"/>
      <c r="G73" s="52">
        <v>2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V73" s="14"/>
      <c r="W73" s="14"/>
      <c r="X73" s="14"/>
      <c r="Y73" s="14">
        <v>1</v>
      </c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</row>
    <row r="74" spans="2:38" ht="90" x14ac:dyDescent="0.3">
      <c r="B74" s="61">
        <v>61</v>
      </c>
      <c r="C74" s="50" t="s">
        <v>235</v>
      </c>
      <c r="D74" s="51" t="s">
        <v>236</v>
      </c>
      <c r="E74" s="51" t="s">
        <v>237</v>
      </c>
      <c r="F74" s="51" t="s">
        <v>238</v>
      </c>
      <c r="G74" s="52">
        <v>15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V74" s="14"/>
      <c r="W74" s="14"/>
      <c r="X74" s="14"/>
      <c r="Y74" s="14">
        <v>1</v>
      </c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</row>
    <row r="75" spans="2:38" ht="150" x14ac:dyDescent="0.3">
      <c r="B75" s="61">
        <v>62</v>
      </c>
      <c r="C75" s="50" t="s">
        <v>239</v>
      </c>
      <c r="D75" s="51" t="s">
        <v>143</v>
      </c>
      <c r="E75" s="51" t="s">
        <v>131</v>
      </c>
      <c r="F75" s="51" t="s">
        <v>178</v>
      </c>
      <c r="G75" s="52">
        <v>3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V75" s="14"/>
      <c r="W75" s="14"/>
      <c r="X75" s="14"/>
      <c r="Y75" s="14">
        <v>1</v>
      </c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2:38" ht="120" x14ac:dyDescent="0.3">
      <c r="B76" s="61">
        <v>63</v>
      </c>
      <c r="C76" s="50" t="s">
        <v>240</v>
      </c>
      <c r="D76" s="51" t="s">
        <v>143</v>
      </c>
      <c r="E76" s="51" t="s">
        <v>177</v>
      </c>
      <c r="F76" s="51" t="s">
        <v>209</v>
      </c>
      <c r="G76" s="52">
        <v>3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V76" s="14"/>
      <c r="W76" s="14"/>
      <c r="X76" s="14"/>
      <c r="Y76" s="14">
        <v>1</v>
      </c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</row>
    <row r="77" spans="2:38" ht="210" x14ac:dyDescent="0.3">
      <c r="B77" s="61">
        <v>64</v>
      </c>
      <c r="C77" s="50" t="s">
        <v>241</v>
      </c>
      <c r="D77" s="51" t="s">
        <v>242</v>
      </c>
      <c r="E77" s="51" t="s">
        <v>140</v>
      </c>
      <c r="F77" s="51" t="s">
        <v>134</v>
      </c>
      <c r="G77" s="52">
        <v>3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V77" s="14"/>
      <c r="W77" s="14"/>
      <c r="X77" s="14"/>
      <c r="Y77" s="14">
        <v>1</v>
      </c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</row>
    <row r="78" spans="2:38" ht="45" x14ac:dyDescent="0.3">
      <c r="B78" s="61">
        <v>65</v>
      </c>
      <c r="C78" s="50" t="s">
        <v>243</v>
      </c>
      <c r="D78" s="51" t="s">
        <v>153</v>
      </c>
      <c r="E78" s="51"/>
      <c r="F78" s="51"/>
      <c r="G78" s="52">
        <v>3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V78" s="14"/>
      <c r="W78" s="14"/>
      <c r="X78" s="14"/>
      <c r="Y78" s="14">
        <v>1</v>
      </c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</row>
    <row r="79" spans="2:38" ht="75" x14ac:dyDescent="0.3">
      <c r="B79" s="61">
        <v>66</v>
      </c>
      <c r="C79" s="50" t="s">
        <v>244</v>
      </c>
      <c r="D79" s="51" t="s">
        <v>129</v>
      </c>
      <c r="E79" s="51" t="s">
        <v>144</v>
      </c>
      <c r="F79" s="51"/>
      <c r="G79" s="52">
        <v>1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V79" s="14"/>
      <c r="W79" s="14"/>
      <c r="X79" s="14"/>
      <c r="Y79" s="14">
        <v>1</v>
      </c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</row>
    <row r="80" spans="2:38" ht="75" x14ac:dyDescent="0.3">
      <c r="B80" s="61">
        <v>67</v>
      </c>
      <c r="C80" s="50" t="s">
        <v>227</v>
      </c>
      <c r="D80" s="51" t="s">
        <v>129</v>
      </c>
      <c r="E80" s="51" t="s">
        <v>144</v>
      </c>
      <c r="F80" s="51"/>
      <c r="G80" s="52">
        <v>2</v>
      </c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V80" s="14"/>
      <c r="W80" s="14"/>
      <c r="X80" s="14"/>
      <c r="Y80" s="14">
        <v>1</v>
      </c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</row>
    <row r="81" spans="2:38" ht="75" x14ac:dyDescent="0.3">
      <c r="B81" s="61">
        <v>68</v>
      </c>
      <c r="C81" s="50" t="s">
        <v>245</v>
      </c>
      <c r="D81" s="51" t="s">
        <v>129</v>
      </c>
      <c r="E81" s="51" t="s">
        <v>144</v>
      </c>
      <c r="F81" s="51"/>
      <c r="G81" s="52">
        <v>1</v>
      </c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V81" s="14"/>
      <c r="W81" s="14"/>
      <c r="X81" s="14"/>
      <c r="Y81" s="14">
        <v>1</v>
      </c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</row>
    <row r="82" spans="2:38" ht="180" x14ac:dyDescent="0.3">
      <c r="B82" s="61">
        <v>69</v>
      </c>
      <c r="C82" s="50" t="s">
        <v>246</v>
      </c>
      <c r="D82" s="51" t="s">
        <v>136</v>
      </c>
      <c r="E82" s="51" t="s">
        <v>143</v>
      </c>
      <c r="F82" s="51" t="s">
        <v>177</v>
      </c>
      <c r="G82" s="52">
        <v>2</v>
      </c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V82" s="14"/>
      <c r="W82" s="14"/>
      <c r="X82" s="14"/>
      <c r="Y82" s="14">
        <v>1</v>
      </c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</row>
    <row r="83" spans="2:38" ht="75" x14ac:dyDescent="0.3">
      <c r="B83" s="61">
        <v>70</v>
      </c>
      <c r="C83" s="50" t="s">
        <v>247</v>
      </c>
      <c r="D83" s="51" t="s">
        <v>129</v>
      </c>
      <c r="E83" s="51" t="s">
        <v>144</v>
      </c>
      <c r="F83" s="51"/>
      <c r="G83" s="52">
        <v>1</v>
      </c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V83" s="14"/>
      <c r="W83" s="14"/>
      <c r="X83" s="14"/>
      <c r="Y83" s="14">
        <v>1</v>
      </c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</row>
    <row r="84" spans="2:38" ht="75" x14ac:dyDescent="0.3">
      <c r="B84" s="61">
        <v>71</v>
      </c>
      <c r="C84" s="50" t="s">
        <v>248</v>
      </c>
      <c r="D84" s="51" t="s">
        <v>129</v>
      </c>
      <c r="E84" s="51" t="s">
        <v>144</v>
      </c>
      <c r="F84" s="51" t="s">
        <v>182</v>
      </c>
      <c r="G84" s="52">
        <v>1</v>
      </c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V84" s="14"/>
      <c r="W84" s="14"/>
      <c r="X84" s="14"/>
      <c r="Y84" s="14">
        <v>1</v>
      </c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</row>
    <row r="85" spans="2:38" ht="150" x14ac:dyDescent="0.3">
      <c r="B85" s="61">
        <v>72</v>
      </c>
      <c r="C85" s="50" t="s">
        <v>249</v>
      </c>
      <c r="D85" s="51" t="s">
        <v>250</v>
      </c>
      <c r="E85" s="51" t="s">
        <v>129</v>
      </c>
      <c r="F85" s="51" t="s">
        <v>144</v>
      </c>
      <c r="G85" s="52">
        <v>1</v>
      </c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V85" s="14"/>
      <c r="W85" s="14"/>
      <c r="X85" s="14"/>
      <c r="Y85" s="14">
        <v>1</v>
      </c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</row>
    <row r="86" spans="2:38" ht="135" x14ac:dyDescent="0.3">
      <c r="B86" s="61">
        <v>73</v>
      </c>
      <c r="C86" s="50" t="s">
        <v>251</v>
      </c>
      <c r="D86" s="51" t="s">
        <v>136</v>
      </c>
      <c r="E86" s="51" t="s">
        <v>252</v>
      </c>
      <c r="F86" s="51" t="s">
        <v>143</v>
      </c>
      <c r="G86" s="52">
        <v>1</v>
      </c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V86" s="14"/>
      <c r="W86" s="14"/>
      <c r="X86" s="14"/>
      <c r="Y86" s="14">
        <v>1</v>
      </c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</row>
    <row r="87" spans="2:38" ht="90" x14ac:dyDescent="0.3">
      <c r="B87" s="61">
        <v>74</v>
      </c>
      <c r="C87" s="50" t="s">
        <v>253</v>
      </c>
      <c r="D87" s="51" t="s">
        <v>129</v>
      </c>
      <c r="E87" s="51" t="s">
        <v>144</v>
      </c>
      <c r="F87" s="51"/>
      <c r="G87" s="52">
        <v>3</v>
      </c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V87" s="14"/>
      <c r="W87" s="14"/>
      <c r="X87" s="14"/>
      <c r="Y87" s="14">
        <v>1</v>
      </c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</row>
    <row r="88" spans="2:38" ht="45" x14ac:dyDescent="0.3">
      <c r="B88" s="61">
        <v>75</v>
      </c>
      <c r="C88" s="50" t="s">
        <v>254</v>
      </c>
      <c r="D88" s="51" t="s">
        <v>151</v>
      </c>
      <c r="E88" s="51"/>
      <c r="F88" s="51"/>
      <c r="G88" s="52">
        <v>1</v>
      </c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V88" s="14"/>
      <c r="W88" s="14"/>
      <c r="X88" s="14"/>
      <c r="Y88" s="14">
        <v>1</v>
      </c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</row>
    <row r="89" spans="2:38" ht="105" x14ac:dyDescent="0.3">
      <c r="B89" s="61">
        <v>76</v>
      </c>
      <c r="C89" s="50" t="s">
        <v>255</v>
      </c>
      <c r="D89" s="51" t="s">
        <v>129</v>
      </c>
      <c r="E89" s="51" t="s">
        <v>144</v>
      </c>
      <c r="F89" s="51"/>
      <c r="G89" s="52">
        <v>3</v>
      </c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V89" s="14"/>
      <c r="W89" s="14"/>
      <c r="X89" s="14"/>
      <c r="Y89" s="14">
        <v>1</v>
      </c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</row>
    <row r="90" spans="2:38" ht="150" x14ac:dyDescent="0.3">
      <c r="B90" s="61">
        <v>77</v>
      </c>
      <c r="C90" s="50" t="s">
        <v>256</v>
      </c>
      <c r="D90" s="51" t="s">
        <v>257</v>
      </c>
      <c r="E90" s="51" t="s">
        <v>258</v>
      </c>
      <c r="F90" s="51" t="s">
        <v>136</v>
      </c>
      <c r="G90" s="52">
        <v>3</v>
      </c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V90" s="14"/>
      <c r="W90" s="14"/>
      <c r="X90" s="14"/>
      <c r="Y90" s="14">
        <v>1</v>
      </c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</row>
    <row r="91" spans="2:38" ht="75" x14ac:dyDescent="0.3">
      <c r="B91" s="61">
        <v>78</v>
      </c>
      <c r="C91" s="50" t="s">
        <v>259</v>
      </c>
      <c r="D91" s="51" t="s">
        <v>129</v>
      </c>
      <c r="E91" s="51" t="s">
        <v>144</v>
      </c>
      <c r="F91" s="51"/>
      <c r="G91" s="52">
        <v>2</v>
      </c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V91" s="14"/>
      <c r="W91" s="14"/>
      <c r="X91" s="14"/>
      <c r="Y91" s="14">
        <v>1</v>
      </c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</row>
    <row r="92" spans="2:38" ht="120" x14ac:dyDescent="0.3">
      <c r="B92" s="61">
        <v>79</v>
      </c>
      <c r="C92" s="50" t="s">
        <v>260</v>
      </c>
      <c r="D92" s="51" t="s">
        <v>189</v>
      </c>
      <c r="E92" s="51" t="s">
        <v>202</v>
      </c>
      <c r="F92" s="51" t="s">
        <v>195</v>
      </c>
      <c r="G92" s="52">
        <v>7</v>
      </c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V92" s="14"/>
      <c r="W92" s="14"/>
      <c r="X92" s="14"/>
      <c r="Y92" s="14">
        <v>1</v>
      </c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</row>
    <row r="93" spans="2:38" ht="60" x14ac:dyDescent="0.3">
      <c r="B93" s="61">
        <v>80</v>
      </c>
      <c r="C93" s="50" t="s">
        <v>261</v>
      </c>
      <c r="D93" s="51" t="s">
        <v>155</v>
      </c>
      <c r="E93" s="51"/>
      <c r="F93" s="51"/>
      <c r="G93" s="52">
        <v>6</v>
      </c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V93" s="14"/>
      <c r="W93" s="14"/>
      <c r="X93" s="14"/>
      <c r="Y93" s="14">
        <v>1</v>
      </c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</row>
    <row r="94" spans="2:38" ht="45" x14ac:dyDescent="0.3">
      <c r="B94" s="61">
        <v>81</v>
      </c>
      <c r="C94" s="50" t="s">
        <v>262</v>
      </c>
      <c r="D94" s="51" t="s">
        <v>155</v>
      </c>
      <c r="E94" s="51" t="s">
        <v>217</v>
      </c>
      <c r="F94" s="51"/>
      <c r="G94" s="52">
        <v>2</v>
      </c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V94" s="14"/>
      <c r="W94" s="14"/>
      <c r="X94" s="14"/>
      <c r="Y94" s="14">
        <v>1</v>
      </c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</row>
    <row r="95" spans="2:38" ht="45" x14ac:dyDescent="0.3">
      <c r="B95" s="61">
        <v>82</v>
      </c>
      <c r="C95" s="50" t="s">
        <v>263</v>
      </c>
      <c r="D95" s="51" t="s">
        <v>153</v>
      </c>
      <c r="E95" s="51" t="s">
        <v>264</v>
      </c>
      <c r="F95" s="51"/>
      <c r="G95" s="52">
        <v>4</v>
      </c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V95" s="14"/>
      <c r="W95" s="14"/>
      <c r="X95" s="14"/>
      <c r="Y95" s="14">
        <v>1</v>
      </c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</row>
    <row r="96" spans="2:38" ht="105" x14ac:dyDescent="0.3">
      <c r="B96" s="61">
        <v>83</v>
      </c>
      <c r="C96" s="50" t="s">
        <v>265</v>
      </c>
      <c r="D96" s="51" t="s">
        <v>134</v>
      </c>
      <c r="E96" s="51" t="s">
        <v>123</v>
      </c>
      <c r="F96" s="51" t="s">
        <v>144</v>
      </c>
      <c r="G96" s="52">
        <v>3</v>
      </c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V96" s="14"/>
      <c r="W96" s="14"/>
      <c r="X96" s="14"/>
      <c r="Y96" s="14">
        <v>1</v>
      </c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</row>
    <row r="97" spans="2:38" ht="45" x14ac:dyDescent="0.3">
      <c r="B97" s="61">
        <v>84</v>
      </c>
      <c r="C97" s="50" t="s">
        <v>266</v>
      </c>
      <c r="D97" s="51" t="s">
        <v>267</v>
      </c>
      <c r="E97" s="51"/>
      <c r="F97" s="51"/>
      <c r="G97" s="52">
        <v>2</v>
      </c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V97" s="14"/>
      <c r="W97" s="14"/>
      <c r="X97" s="14"/>
      <c r="Y97" s="14">
        <v>1</v>
      </c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</row>
    <row r="98" spans="2:38" ht="135" x14ac:dyDescent="0.3">
      <c r="B98" s="61">
        <v>85</v>
      </c>
      <c r="C98" s="50" t="s">
        <v>268</v>
      </c>
      <c r="D98" s="51" t="s">
        <v>134</v>
      </c>
      <c r="E98" s="51" t="s">
        <v>129</v>
      </c>
      <c r="F98" s="51" t="s">
        <v>144</v>
      </c>
      <c r="G98" s="52">
        <v>3</v>
      </c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V98" s="14"/>
      <c r="W98" s="14"/>
      <c r="X98" s="14"/>
      <c r="Y98" s="14">
        <v>1</v>
      </c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</row>
    <row r="99" spans="2:38" ht="75" x14ac:dyDescent="0.3">
      <c r="B99" s="61">
        <v>86</v>
      </c>
      <c r="C99" s="50" t="s">
        <v>269</v>
      </c>
      <c r="D99" s="51" t="s">
        <v>213</v>
      </c>
      <c r="E99" s="51"/>
      <c r="F99" s="51"/>
      <c r="G99" s="52">
        <v>2</v>
      </c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V99" s="14"/>
      <c r="W99" s="14"/>
      <c r="X99" s="14"/>
      <c r="Y99" s="14">
        <v>1</v>
      </c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</row>
    <row r="100" spans="2:38" ht="120" x14ac:dyDescent="0.3">
      <c r="B100" s="61">
        <v>87</v>
      </c>
      <c r="C100" s="50" t="s">
        <v>270</v>
      </c>
      <c r="D100" s="51" t="s">
        <v>213</v>
      </c>
      <c r="E100" s="51" t="s">
        <v>271</v>
      </c>
      <c r="F100" s="51" t="s">
        <v>272</v>
      </c>
      <c r="G100" s="52">
        <v>2</v>
      </c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V100" s="14"/>
      <c r="W100" s="14"/>
      <c r="X100" s="14"/>
      <c r="Y100" s="14">
        <v>1</v>
      </c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</row>
    <row r="101" spans="2:38" ht="45" x14ac:dyDescent="0.3">
      <c r="B101" s="61">
        <v>88</v>
      </c>
      <c r="C101" s="50" t="s">
        <v>273</v>
      </c>
      <c r="D101" s="51" t="s">
        <v>155</v>
      </c>
      <c r="E101" s="51"/>
      <c r="F101" s="51"/>
      <c r="G101" s="52">
        <v>3</v>
      </c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V101" s="14"/>
      <c r="W101" s="14"/>
      <c r="X101" s="14"/>
      <c r="Y101" s="14">
        <v>1</v>
      </c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</row>
    <row r="102" spans="2:38" ht="75" x14ac:dyDescent="0.3">
      <c r="B102" s="61">
        <v>89</v>
      </c>
      <c r="C102" s="50" t="s">
        <v>162</v>
      </c>
      <c r="D102" s="51" t="s">
        <v>129</v>
      </c>
      <c r="E102" s="51" t="s">
        <v>144</v>
      </c>
      <c r="F102" s="51"/>
      <c r="G102" s="52">
        <v>0</v>
      </c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V102" s="14"/>
      <c r="W102" s="14"/>
      <c r="X102" s="14"/>
      <c r="Y102" s="14">
        <v>1</v>
      </c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</row>
    <row r="103" spans="2:38" ht="150" x14ac:dyDescent="0.3">
      <c r="B103" s="61">
        <v>90</v>
      </c>
      <c r="C103" s="50" t="s">
        <v>274</v>
      </c>
      <c r="D103" s="51" t="s">
        <v>136</v>
      </c>
      <c r="E103" s="51" t="s">
        <v>275</v>
      </c>
      <c r="F103" s="51" t="s">
        <v>276</v>
      </c>
      <c r="G103" s="52">
        <v>1</v>
      </c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V103" s="14"/>
      <c r="W103" s="14"/>
      <c r="X103" s="14"/>
      <c r="Y103" s="14">
        <v>1</v>
      </c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</row>
    <row r="104" spans="2:38" ht="75" x14ac:dyDescent="0.3">
      <c r="B104" s="61">
        <v>91</v>
      </c>
      <c r="C104" s="50" t="s">
        <v>277</v>
      </c>
      <c r="D104" s="51" t="s">
        <v>136</v>
      </c>
      <c r="E104" s="51" t="s">
        <v>129</v>
      </c>
      <c r="F104" s="51" t="s">
        <v>144</v>
      </c>
      <c r="G104" s="52">
        <v>2</v>
      </c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V104" s="14"/>
      <c r="W104" s="14"/>
      <c r="X104" s="14"/>
      <c r="Y104" s="14">
        <v>1</v>
      </c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</row>
    <row r="105" spans="2:38" ht="75" x14ac:dyDescent="0.3">
      <c r="B105" s="61">
        <v>92</v>
      </c>
      <c r="C105" s="50" t="s">
        <v>227</v>
      </c>
      <c r="D105" s="51" t="s">
        <v>129</v>
      </c>
      <c r="E105" s="51" t="s">
        <v>144</v>
      </c>
      <c r="F105" s="51"/>
      <c r="G105" s="52">
        <v>1</v>
      </c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V105" s="14"/>
      <c r="W105" s="14"/>
      <c r="X105" s="14"/>
      <c r="Y105" s="14">
        <v>1</v>
      </c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</row>
    <row r="106" spans="2:38" ht="105" x14ac:dyDescent="0.3">
      <c r="B106" s="61">
        <v>93</v>
      </c>
      <c r="C106" s="50" t="s">
        <v>278</v>
      </c>
      <c r="D106" s="51" t="s">
        <v>264</v>
      </c>
      <c r="E106" s="51" t="s">
        <v>129</v>
      </c>
      <c r="F106" s="51" t="s">
        <v>144</v>
      </c>
      <c r="G106" s="52">
        <v>1</v>
      </c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V106" s="14"/>
      <c r="W106" s="14"/>
      <c r="X106" s="14"/>
      <c r="Y106" s="14">
        <v>1</v>
      </c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</row>
    <row r="107" spans="2:38" ht="105" x14ac:dyDescent="0.3">
      <c r="B107" s="61">
        <v>94</v>
      </c>
      <c r="C107" s="50" t="s">
        <v>279</v>
      </c>
      <c r="D107" s="51" t="s">
        <v>264</v>
      </c>
      <c r="E107" s="51" t="s">
        <v>129</v>
      </c>
      <c r="F107" s="51" t="s">
        <v>144</v>
      </c>
      <c r="G107" s="52">
        <v>1</v>
      </c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V107" s="14"/>
      <c r="W107" s="14"/>
      <c r="X107" s="14"/>
      <c r="Y107" s="14">
        <v>1</v>
      </c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</row>
    <row r="108" spans="2:38" ht="150" x14ac:dyDescent="0.3">
      <c r="B108" s="61">
        <v>95</v>
      </c>
      <c r="C108" s="50" t="s">
        <v>280</v>
      </c>
      <c r="D108" s="51" t="s">
        <v>136</v>
      </c>
      <c r="E108" s="51" t="s">
        <v>134</v>
      </c>
      <c r="F108" s="51" t="s">
        <v>129</v>
      </c>
      <c r="G108" s="52">
        <v>5</v>
      </c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V108" s="14"/>
      <c r="W108" s="14"/>
      <c r="X108" s="14"/>
      <c r="Y108" s="14">
        <v>1</v>
      </c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</row>
    <row r="109" spans="2:38" ht="105" x14ac:dyDescent="0.3">
      <c r="B109" s="61">
        <v>96</v>
      </c>
      <c r="C109" s="50" t="s">
        <v>281</v>
      </c>
      <c r="D109" s="51" t="s">
        <v>134</v>
      </c>
      <c r="E109" s="51" t="s">
        <v>282</v>
      </c>
      <c r="F109" s="51" t="s">
        <v>129</v>
      </c>
      <c r="G109" s="52">
        <v>2</v>
      </c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V109" s="14"/>
      <c r="W109" s="14"/>
      <c r="X109" s="14"/>
      <c r="Y109" s="14">
        <v>1</v>
      </c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2:38" ht="90" x14ac:dyDescent="0.3">
      <c r="B110" s="61">
        <v>97</v>
      </c>
      <c r="C110" s="50" t="s">
        <v>283</v>
      </c>
      <c r="D110" s="51" t="s">
        <v>129</v>
      </c>
      <c r="E110" s="51" t="s">
        <v>144</v>
      </c>
      <c r="F110" s="51"/>
      <c r="G110" s="52">
        <v>1</v>
      </c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V110" s="14"/>
      <c r="W110" s="14"/>
      <c r="X110" s="14"/>
      <c r="Y110" s="14">
        <v>1</v>
      </c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</row>
    <row r="111" spans="2:38" ht="150" x14ac:dyDescent="0.3">
      <c r="B111" s="61">
        <v>98</v>
      </c>
      <c r="C111" s="50" t="s">
        <v>284</v>
      </c>
      <c r="D111" s="51" t="s">
        <v>136</v>
      </c>
      <c r="E111" s="51" t="s">
        <v>148</v>
      </c>
      <c r="F111" s="51" t="s">
        <v>285</v>
      </c>
      <c r="G111" s="52">
        <v>6</v>
      </c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V111" s="14"/>
      <c r="W111" s="14"/>
      <c r="X111" s="14"/>
      <c r="Y111" s="14">
        <v>1</v>
      </c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</row>
    <row r="112" spans="2:38" ht="75" x14ac:dyDescent="0.3">
      <c r="B112" s="61">
        <v>99</v>
      </c>
      <c r="C112" s="50" t="s">
        <v>286</v>
      </c>
      <c r="D112" s="51" t="s">
        <v>129</v>
      </c>
      <c r="E112" s="51" t="s">
        <v>144</v>
      </c>
      <c r="F112" s="51"/>
      <c r="G112" s="52">
        <v>1</v>
      </c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V112" s="14"/>
      <c r="W112" s="14"/>
      <c r="X112" s="14"/>
      <c r="Y112" s="14">
        <v>1</v>
      </c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</row>
    <row r="113" spans="2:38" ht="150" x14ac:dyDescent="0.3">
      <c r="B113" s="61">
        <v>100</v>
      </c>
      <c r="C113" s="50" t="s">
        <v>287</v>
      </c>
      <c r="D113" s="51" t="s">
        <v>136</v>
      </c>
      <c r="E113" s="51" t="s">
        <v>216</v>
      </c>
      <c r="F113" s="51" t="s">
        <v>195</v>
      </c>
      <c r="G113" s="52">
        <v>5</v>
      </c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V113" s="14"/>
      <c r="W113" s="14"/>
      <c r="X113" s="14"/>
      <c r="Y113" s="14">
        <v>1</v>
      </c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</row>
    <row r="114" spans="2:38" ht="75" x14ac:dyDescent="0.3">
      <c r="B114" s="61">
        <v>101</v>
      </c>
      <c r="C114" s="50" t="s">
        <v>288</v>
      </c>
      <c r="D114" s="51" t="s">
        <v>289</v>
      </c>
      <c r="E114" s="51" t="s">
        <v>290</v>
      </c>
      <c r="F114" s="51" t="s">
        <v>291</v>
      </c>
      <c r="G114" s="52">
        <v>5</v>
      </c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V114" s="14"/>
      <c r="W114" s="14"/>
      <c r="X114" s="14"/>
      <c r="Y114" s="14">
        <v>1</v>
      </c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</row>
    <row r="115" spans="2:38" ht="60" x14ac:dyDescent="0.3">
      <c r="B115" s="61">
        <v>102</v>
      </c>
      <c r="C115" s="50" t="s">
        <v>292</v>
      </c>
      <c r="D115" s="51" t="s">
        <v>293</v>
      </c>
      <c r="E115" s="51" t="s">
        <v>294</v>
      </c>
      <c r="F115" s="51"/>
      <c r="G115" s="52">
        <v>5</v>
      </c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V115" s="14"/>
      <c r="W115" s="14"/>
      <c r="X115" s="14"/>
      <c r="Y115" s="14">
        <v>1</v>
      </c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</row>
    <row r="116" spans="2:38" ht="75" x14ac:dyDescent="0.3">
      <c r="B116" s="61">
        <v>103</v>
      </c>
      <c r="C116" s="50" t="s">
        <v>295</v>
      </c>
      <c r="D116" s="51" t="s">
        <v>296</v>
      </c>
      <c r="E116" s="51" t="s">
        <v>297</v>
      </c>
      <c r="F116" s="51" t="s">
        <v>298</v>
      </c>
      <c r="G116" s="52">
        <v>6</v>
      </c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V116" s="14"/>
      <c r="W116" s="14"/>
      <c r="X116" s="14"/>
      <c r="Y116" s="14">
        <v>1</v>
      </c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</row>
    <row r="117" spans="2:38" ht="105" x14ac:dyDescent="0.3">
      <c r="B117" s="61">
        <v>104</v>
      </c>
      <c r="C117" s="50" t="s">
        <v>299</v>
      </c>
      <c r="D117" s="51" t="s">
        <v>300</v>
      </c>
      <c r="E117" s="51" t="s">
        <v>301</v>
      </c>
      <c r="F117" s="51" t="s">
        <v>302</v>
      </c>
      <c r="G117" s="52">
        <v>10</v>
      </c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V117" s="14"/>
      <c r="W117" s="14"/>
      <c r="X117" s="14"/>
      <c r="Y117" s="14">
        <v>1</v>
      </c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</row>
    <row r="118" spans="2:38" ht="60" x14ac:dyDescent="0.3">
      <c r="B118" s="61">
        <v>105</v>
      </c>
      <c r="C118" s="50" t="s">
        <v>303</v>
      </c>
      <c r="D118" s="51" t="s">
        <v>304</v>
      </c>
      <c r="E118" s="51" t="s">
        <v>305</v>
      </c>
      <c r="F118" s="51" t="s">
        <v>305</v>
      </c>
      <c r="G118" s="52">
        <v>3</v>
      </c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V118" s="14"/>
      <c r="W118" s="14"/>
      <c r="X118" s="14"/>
      <c r="Y118" s="14">
        <v>1</v>
      </c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2:38" ht="45" x14ac:dyDescent="0.3">
      <c r="B119" s="61">
        <v>106</v>
      </c>
      <c r="C119" s="50" t="s">
        <v>306</v>
      </c>
      <c r="D119" s="51" t="s">
        <v>307</v>
      </c>
      <c r="E119" s="51" t="s">
        <v>258</v>
      </c>
      <c r="F119" s="51"/>
      <c r="G119" s="52">
        <v>3</v>
      </c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V119" s="14"/>
      <c r="W119" s="14"/>
      <c r="X119" s="14"/>
      <c r="Y119" s="14">
        <v>1</v>
      </c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2:38" ht="90" x14ac:dyDescent="0.3">
      <c r="B120" s="61">
        <v>107</v>
      </c>
      <c r="C120" s="50" t="s">
        <v>308</v>
      </c>
      <c r="D120" s="51" t="s">
        <v>297</v>
      </c>
      <c r="E120" s="51" t="s">
        <v>309</v>
      </c>
      <c r="F120" s="51" t="s">
        <v>310</v>
      </c>
      <c r="G120" s="52">
        <v>5</v>
      </c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V120" s="14"/>
      <c r="W120" s="14"/>
      <c r="X120" s="14"/>
      <c r="Y120" s="14">
        <v>1</v>
      </c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2:38" ht="90" x14ac:dyDescent="0.3">
      <c r="B121" s="61">
        <v>108</v>
      </c>
      <c r="C121" s="50" t="s">
        <v>311</v>
      </c>
      <c r="D121" s="51" t="s">
        <v>296</v>
      </c>
      <c r="E121" s="51" t="s">
        <v>297</v>
      </c>
      <c r="F121" s="51" t="s">
        <v>312</v>
      </c>
      <c r="G121" s="52">
        <v>5</v>
      </c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V121" s="14"/>
      <c r="W121" s="14"/>
      <c r="X121" s="14"/>
      <c r="Y121" s="14">
        <v>1</v>
      </c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</row>
    <row r="122" spans="2:38" ht="90" x14ac:dyDescent="0.3">
      <c r="B122" s="61">
        <v>109</v>
      </c>
      <c r="C122" s="50" t="s">
        <v>313</v>
      </c>
      <c r="D122" s="51" t="s">
        <v>297</v>
      </c>
      <c r="E122" s="51" t="s">
        <v>307</v>
      </c>
      <c r="F122" s="51" t="s">
        <v>258</v>
      </c>
      <c r="G122" s="52">
        <v>4</v>
      </c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V122" s="14"/>
      <c r="W122" s="14"/>
      <c r="X122" s="14"/>
      <c r="Y122" s="14">
        <v>1</v>
      </c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</row>
    <row r="123" spans="2:38" ht="45" x14ac:dyDescent="0.3">
      <c r="B123" s="61">
        <v>110</v>
      </c>
      <c r="C123" s="50" t="s">
        <v>314</v>
      </c>
      <c r="D123" s="51" t="s">
        <v>315</v>
      </c>
      <c r="E123" s="51" t="s">
        <v>297</v>
      </c>
      <c r="F123" s="51" t="s">
        <v>298</v>
      </c>
      <c r="G123" s="52">
        <v>3</v>
      </c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V123" s="14"/>
      <c r="W123" s="14"/>
      <c r="X123" s="14"/>
      <c r="Y123" s="14">
        <v>1</v>
      </c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</row>
    <row r="124" spans="2:38" ht="45" x14ac:dyDescent="0.3">
      <c r="B124" s="61">
        <v>111</v>
      </c>
      <c r="C124" s="50" t="s">
        <v>316</v>
      </c>
      <c r="D124" s="51" t="s">
        <v>317</v>
      </c>
      <c r="E124" s="51"/>
      <c r="F124" s="51"/>
      <c r="G124" s="52">
        <v>2</v>
      </c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V124" s="14"/>
      <c r="W124" s="14"/>
      <c r="X124" s="14"/>
      <c r="Y124" s="14">
        <v>1</v>
      </c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</row>
    <row r="125" spans="2:38" ht="120" x14ac:dyDescent="0.3">
      <c r="B125" s="61">
        <v>112</v>
      </c>
      <c r="C125" s="50" t="s">
        <v>318</v>
      </c>
      <c r="D125" s="51" t="s">
        <v>319</v>
      </c>
      <c r="E125" s="51" t="s">
        <v>320</v>
      </c>
      <c r="F125" s="51" t="s">
        <v>321</v>
      </c>
      <c r="G125" s="52">
        <v>2</v>
      </c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V125" s="14"/>
      <c r="W125" s="14"/>
      <c r="X125" s="14"/>
      <c r="Y125" s="14">
        <v>1</v>
      </c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</row>
    <row r="126" spans="2:38" ht="60" x14ac:dyDescent="0.3">
      <c r="B126" s="61">
        <v>113</v>
      </c>
      <c r="C126" s="50" t="s">
        <v>322</v>
      </c>
      <c r="D126" s="51" t="s">
        <v>323</v>
      </c>
      <c r="E126" s="51" t="s">
        <v>324</v>
      </c>
      <c r="F126" s="51"/>
      <c r="G126" s="52">
        <v>3</v>
      </c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V126" s="14"/>
      <c r="W126" s="14"/>
      <c r="X126" s="14"/>
      <c r="Y126" s="14">
        <v>1</v>
      </c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</row>
    <row r="127" spans="2:38" ht="30" x14ac:dyDescent="0.3">
      <c r="B127" s="61">
        <v>114</v>
      </c>
      <c r="C127" s="50" t="s">
        <v>325</v>
      </c>
      <c r="D127" s="51" t="s">
        <v>297</v>
      </c>
      <c r="E127" s="51"/>
      <c r="F127" s="51"/>
      <c r="G127" s="52">
        <v>2</v>
      </c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V127" s="14"/>
      <c r="W127" s="14"/>
      <c r="X127" s="14"/>
      <c r="Y127" s="14">
        <v>1</v>
      </c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</row>
    <row r="128" spans="2:38" ht="45" x14ac:dyDescent="0.3">
      <c r="B128" s="61">
        <v>115</v>
      </c>
      <c r="C128" s="50" t="s">
        <v>326</v>
      </c>
      <c r="D128" s="51" t="s">
        <v>323</v>
      </c>
      <c r="E128" s="51" t="s">
        <v>327</v>
      </c>
      <c r="F128" s="51"/>
      <c r="G128" s="52">
        <v>2</v>
      </c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V128" s="14"/>
      <c r="W128" s="14"/>
      <c r="X128" s="14"/>
      <c r="Y128" s="14">
        <v>1</v>
      </c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</row>
    <row r="129" spans="2:38" ht="45" x14ac:dyDescent="0.3">
      <c r="B129" s="61">
        <v>116</v>
      </c>
      <c r="C129" s="50" t="s">
        <v>328</v>
      </c>
      <c r="D129" s="51" t="s">
        <v>297</v>
      </c>
      <c r="E129" s="51"/>
      <c r="F129" s="51"/>
      <c r="G129" s="52">
        <v>2</v>
      </c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V129" s="14"/>
      <c r="W129" s="14"/>
      <c r="X129" s="14"/>
      <c r="Y129" s="14">
        <v>1</v>
      </c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</row>
    <row r="130" spans="2:38" ht="45" x14ac:dyDescent="0.3">
      <c r="B130" s="61">
        <v>117</v>
      </c>
      <c r="C130" s="50" t="s">
        <v>329</v>
      </c>
      <c r="D130" s="51" t="s">
        <v>297</v>
      </c>
      <c r="E130" s="51" t="s">
        <v>324</v>
      </c>
      <c r="F130" s="51"/>
      <c r="G130" s="52">
        <v>2</v>
      </c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V130" s="14"/>
      <c r="W130" s="14"/>
      <c r="X130" s="14"/>
      <c r="Y130" s="14">
        <v>1</v>
      </c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</row>
    <row r="131" spans="2:38" ht="60" x14ac:dyDescent="0.3">
      <c r="B131" s="61">
        <v>118</v>
      </c>
      <c r="C131" s="53" t="s">
        <v>330</v>
      </c>
      <c r="D131" s="54" t="s">
        <v>331</v>
      </c>
      <c r="E131" s="54" t="s">
        <v>332</v>
      </c>
      <c r="F131" s="54" t="s">
        <v>333</v>
      </c>
      <c r="G131" s="51">
        <v>6</v>
      </c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V131" s="14">
        <v>1</v>
      </c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</row>
    <row r="132" spans="2:38" ht="75" x14ac:dyDescent="0.3">
      <c r="B132" s="61">
        <v>119</v>
      </c>
      <c r="C132" s="53" t="s">
        <v>334</v>
      </c>
      <c r="D132" s="54" t="s">
        <v>335</v>
      </c>
      <c r="E132" s="54" t="s">
        <v>336</v>
      </c>
      <c r="F132" s="54" t="s">
        <v>337</v>
      </c>
      <c r="G132" s="51">
        <v>2</v>
      </c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V132" s="14">
        <v>1</v>
      </c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</row>
    <row r="133" spans="2:38" ht="30" x14ac:dyDescent="0.3">
      <c r="B133" s="61">
        <v>120</v>
      </c>
      <c r="C133" s="53" t="s">
        <v>338</v>
      </c>
      <c r="D133" s="54" t="s">
        <v>339</v>
      </c>
      <c r="E133" s="54"/>
      <c r="F133" s="54"/>
      <c r="G133" s="51">
        <v>12</v>
      </c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V133" s="14">
        <v>1</v>
      </c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</row>
    <row r="134" spans="2:38" ht="90" x14ac:dyDescent="0.3">
      <c r="B134" s="61">
        <v>121</v>
      </c>
      <c r="C134" s="53" t="s">
        <v>340</v>
      </c>
      <c r="D134" s="54" t="s">
        <v>341</v>
      </c>
      <c r="E134" s="54" t="s">
        <v>342</v>
      </c>
      <c r="F134" s="54" t="s">
        <v>343</v>
      </c>
      <c r="G134" s="54">
        <v>4</v>
      </c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V134" s="14">
        <v>1</v>
      </c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</row>
    <row r="135" spans="2:38" ht="60" x14ac:dyDescent="0.3">
      <c r="B135" s="61">
        <v>122</v>
      </c>
      <c r="C135" s="53" t="s">
        <v>344</v>
      </c>
      <c r="D135" s="54" t="s">
        <v>345</v>
      </c>
      <c r="E135" s="54" t="s">
        <v>346</v>
      </c>
      <c r="F135" s="54" t="s">
        <v>347</v>
      </c>
      <c r="G135" s="51">
        <v>2</v>
      </c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V135" s="14">
        <v>1</v>
      </c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</row>
    <row r="136" spans="2:38" ht="120" x14ac:dyDescent="0.3">
      <c r="B136" s="61">
        <v>123</v>
      </c>
      <c r="C136" s="53" t="s">
        <v>348</v>
      </c>
      <c r="D136" s="54" t="s">
        <v>345</v>
      </c>
      <c r="E136" s="54" t="s">
        <v>349</v>
      </c>
      <c r="F136" s="54" t="s">
        <v>350</v>
      </c>
      <c r="G136" s="51">
        <v>4</v>
      </c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V136" s="14">
        <v>1</v>
      </c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</row>
    <row r="137" spans="2:38" ht="75" x14ac:dyDescent="0.3">
      <c r="B137" s="61">
        <v>124</v>
      </c>
      <c r="C137" s="53" t="s">
        <v>351</v>
      </c>
      <c r="D137" s="54" t="s">
        <v>352</v>
      </c>
      <c r="E137" s="54" t="s">
        <v>353</v>
      </c>
      <c r="F137" s="54" t="s">
        <v>337</v>
      </c>
      <c r="G137" s="51">
        <v>3</v>
      </c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V137" s="14">
        <v>1</v>
      </c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</row>
    <row r="138" spans="2:38" ht="90" x14ac:dyDescent="0.3">
      <c r="B138" s="61">
        <v>125</v>
      </c>
      <c r="C138" s="53" t="s">
        <v>354</v>
      </c>
      <c r="D138" s="54" t="s">
        <v>355</v>
      </c>
      <c r="E138" s="54" t="s">
        <v>356</v>
      </c>
      <c r="F138" s="54" t="s">
        <v>357</v>
      </c>
      <c r="G138" s="51">
        <v>8</v>
      </c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V138" s="14">
        <v>1</v>
      </c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</row>
    <row r="139" spans="2:38" ht="75" x14ac:dyDescent="0.3">
      <c r="B139" s="61">
        <v>126</v>
      </c>
      <c r="C139" s="53" t="s">
        <v>358</v>
      </c>
      <c r="D139" s="54" t="s">
        <v>359</v>
      </c>
      <c r="E139" s="54" t="s">
        <v>345</v>
      </c>
      <c r="F139" s="54" t="s">
        <v>360</v>
      </c>
      <c r="G139" s="51">
        <v>3</v>
      </c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V139" s="14">
        <v>1</v>
      </c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</row>
    <row r="140" spans="2:38" ht="60" x14ac:dyDescent="0.3">
      <c r="B140" s="61">
        <v>127</v>
      </c>
      <c r="C140" s="53" t="s">
        <v>361</v>
      </c>
      <c r="D140" s="54" t="s">
        <v>362</v>
      </c>
      <c r="E140" s="54" t="s">
        <v>363</v>
      </c>
      <c r="F140" s="54"/>
      <c r="G140" s="51">
        <v>7</v>
      </c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V140" s="14">
        <v>1</v>
      </c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</row>
    <row r="141" spans="2:38" ht="60" x14ac:dyDescent="0.3">
      <c r="B141" s="61">
        <v>128</v>
      </c>
      <c r="C141" s="53" t="s">
        <v>364</v>
      </c>
      <c r="D141" s="54" t="s">
        <v>365</v>
      </c>
      <c r="E141" s="54"/>
      <c r="F141" s="54"/>
      <c r="G141" s="51">
        <v>2</v>
      </c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V141" s="14">
        <v>1</v>
      </c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</row>
    <row r="142" spans="2:38" ht="30" x14ac:dyDescent="0.3">
      <c r="B142" s="61">
        <v>129</v>
      </c>
      <c r="C142" s="53" t="s">
        <v>366</v>
      </c>
      <c r="D142" s="54" t="s">
        <v>367</v>
      </c>
      <c r="E142" s="54"/>
      <c r="F142" s="54"/>
      <c r="G142" s="51">
        <v>2</v>
      </c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V142" s="14">
        <v>1</v>
      </c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</row>
    <row r="143" spans="2:38" ht="60" x14ac:dyDescent="0.3">
      <c r="B143" s="61">
        <v>130</v>
      </c>
      <c r="C143" s="53" t="s">
        <v>368</v>
      </c>
      <c r="D143" s="54" t="s">
        <v>341</v>
      </c>
      <c r="E143" s="54" t="s">
        <v>369</v>
      </c>
      <c r="F143" s="54" t="s">
        <v>370</v>
      </c>
      <c r="G143" s="51">
        <v>5</v>
      </c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V143" s="14">
        <v>1</v>
      </c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</row>
    <row r="144" spans="2:38" ht="90" x14ac:dyDescent="0.3">
      <c r="B144" s="61">
        <v>131</v>
      </c>
      <c r="C144" s="53" t="s">
        <v>371</v>
      </c>
      <c r="D144" s="54" t="s">
        <v>341</v>
      </c>
      <c r="E144" s="54" t="s">
        <v>370</v>
      </c>
      <c r="F144" s="54"/>
      <c r="G144" s="51">
        <v>2</v>
      </c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V144" s="14">
        <v>1</v>
      </c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</row>
    <row r="145" spans="2:38" ht="60" x14ac:dyDescent="0.3">
      <c r="B145" s="61">
        <v>132</v>
      </c>
      <c r="C145" s="53" t="s">
        <v>372</v>
      </c>
      <c r="D145" s="54" t="s">
        <v>335</v>
      </c>
      <c r="E145" s="54" t="s">
        <v>373</v>
      </c>
      <c r="F145" s="54" t="s">
        <v>374</v>
      </c>
      <c r="G145" s="51">
        <v>3</v>
      </c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V145" s="14">
        <v>1</v>
      </c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</row>
    <row r="146" spans="2:38" ht="60" x14ac:dyDescent="0.3">
      <c r="B146" s="61">
        <v>133</v>
      </c>
      <c r="C146" s="53" t="s">
        <v>375</v>
      </c>
      <c r="D146" s="54" t="s">
        <v>376</v>
      </c>
      <c r="E146" s="54" t="s">
        <v>258</v>
      </c>
      <c r="F146" s="54" t="s">
        <v>377</v>
      </c>
      <c r="G146" s="51">
        <v>5</v>
      </c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V146" s="14">
        <v>1</v>
      </c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</row>
    <row r="147" spans="2:38" ht="135" x14ac:dyDescent="0.3">
      <c r="B147" s="61">
        <v>134</v>
      </c>
      <c r="C147" s="53" t="s">
        <v>378</v>
      </c>
      <c r="D147" s="54" t="s">
        <v>379</v>
      </c>
      <c r="E147" s="54" t="s">
        <v>380</v>
      </c>
      <c r="F147" s="54" t="s">
        <v>381</v>
      </c>
      <c r="G147" s="51">
        <v>7</v>
      </c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V147" s="14">
        <v>1</v>
      </c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</row>
    <row r="148" spans="2:38" x14ac:dyDescent="0.3">
      <c r="B148" s="61">
        <v>135</v>
      </c>
      <c r="C148" s="53" t="s">
        <v>382</v>
      </c>
      <c r="D148" s="54" t="s">
        <v>383</v>
      </c>
      <c r="E148" s="54"/>
      <c r="F148" s="54"/>
      <c r="G148" s="51">
        <v>6</v>
      </c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V148" s="14">
        <v>1</v>
      </c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</row>
    <row r="149" spans="2:38" ht="60" x14ac:dyDescent="0.3">
      <c r="B149" s="61">
        <v>136</v>
      </c>
      <c r="C149" s="53" t="s">
        <v>384</v>
      </c>
      <c r="D149" s="54" t="s">
        <v>385</v>
      </c>
      <c r="E149" s="54" t="s">
        <v>374</v>
      </c>
      <c r="F149" s="54"/>
      <c r="G149" s="51">
        <v>3</v>
      </c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V149" s="14">
        <v>1</v>
      </c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</row>
    <row r="150" spans="2:38" ht="30" x14ac:dyDescent="0.3">
      <c r="B150" s="61">
        <v>137</v>
      </c>
      <c r="C150" s="53" t="s">
        <v>386</v>
      </c>
      <c r="D150" s="54" t="s">
        <v>387</v>
      </c>
      <c r="E150" s="54" t="s">
        <v>388</v>
      </c>
      <c r="F150" s="54"/>
      <c r="G150" s="51">
        <v>3</v>
      </c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V150" s="14">
        <v>1</v>
      </c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</row>
    <row r="151" spans="2:38" ht="60" x14ac:dyDescent="0.3">
      <c r="B151" s="61">
        <v>138</v>
      </c>
      <c r="C151" s="53" t="s">
        <v>389</v>
      </c>
      <c r="D151" s="54" t="s">
        <v>390</v>
      </c>
      <c r="E151" s="54"/>
      <c r="F151" s="54"/>
      <c r="G151" s="51">
        <v>4</v>
      </c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V151" s="14">
        <v>1</v>
      </c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</row>
    <row r="152" spans="2:38" ht="45" x14ac:dyDescent="0.3">
      <c r="B152" s="61">
        <v>139</v>
      </c>
      <c r="C152" s="53" t="s">
        <v>391</v>
      </c>
      <c r="D152" s="54" t="s">
        <v>392</v>
      </c>
      <c r="E152" s="54" t="s">
        <v>393</v>
      </c>
      <c r="F152" s="54"/>
      <c r="G152" s="51">
        <v>3</v>
      </c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V152" s="14">
        <v>1</v>
      </c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</row>
    <row r="153" spans="2:38" ht="30" x14ac:dyDescent="0.3">
      <c r="B153" s="61">
        <v>140</v>
      </c>
      <c r="C153" s="53" t="s">
        <v>394</v>
      </c>
      <c r="D153" s="54" t="s">
        <v>395</v>
      </c>
      <c r="E153" s="54" t="s">
        <v>396</v>
      </c>
      <c r="F153" s="54" t="s">
        <v>374</v>
      </c>
      <c r="G153" s="51">
        <v>24</v>
      </c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V153" s="14">
        <v>1</v>
      </c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</row>
    <row r="154" spans="2:38" ht="75" x14ac:dyDescent="0.3">
      <c r="B154" s="61">
        <v>141</v>
      </c>
      <c r="C154" s="53" t="s">
        <v>397</v>
      </c>
      <c r="D154" s="54" t="s">
        <v>398</v>
      </c>
      <c r="E154" s="54" t="s">
        <v>399</v>
      </c>
      <c r="F154" s="54" t="s">
        <v>400</v>
      </c>
      <c r="G154" s="51">
        <v>4</v>
      </c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V154" s="14">
        <v>1</v>
      </c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</row>
    <row r="155" spans="2:38" ht="75" x14ac:dyDescent="0.3">
      <c r="B155" s="61">
        <v>142</v>
      </c>
      <c r="C155" s="53" t="s">
        <v>401</v>
      </c>
      <c r="D155" s="54" t="s">
        <v>341</v>
      </c>
      <c r="E155" s="54" t="s">
        <v>402</v>
      </c>
      <c r="F155" s="54" t="s">
        <v>403</v>
      </c>
      <c r="G155" s="51">
        <v>4</v>
      </c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V155" s="14">
        <v>1</v>
      </c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</row>
    <row r="156" spans="2:38" ht="75" x14ac:dyDescent="0.3">
      <c r="B156" s="61">
        <v>143</v>
      </c>
      <c r="C156" s="53" t="s">
        <v>404</v>
      </c>
      <c r="D156" s="54" t="s">
        <v>405</v>
      </c>
      <c r="E156" s="54" t="s">
        <v>399</v>
      </c>
      <c r="F156" s="54" t="s">
        <v>406</v>
      </c>
      <c r="G156" s="51">
        <v>9</v>
      </c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V156" s="14">
        <v>1</v>
      </c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</row>
    <row r="157" spans="2:38" ht="150" x14ac:dyDescent="0.3">
      <c r="B157" s="61">
        <v>144</v>
      </c>
      <c r="C157" s="53" t="s">
        <v>407</v>
      </c>
      <c r="D157" s="54" t="s">
        <v>408</v>
      </c>
      <c r="E157" s="54" t="s">
        <v>409</v>
      </c>
      <c r="F157" s="54" t="s">
        <v>410</v>
      </c>
      <c r="G157" s="51">
        <v>54</v>
      </c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V157" s="14">
        <v>1</v>
      </c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</row>
    <row r="158" spans="2:38" ht="60" x14ac:dyDescent="0.3">
      <c r="B158" s="61">
        <v>145</v>
      </c>
      <c r="C158" s="53" t="s">
        <v>411</v>
      </c>
      <c r="D158" s="54" t="s">
        <v>412</v>
      </c>
      <c r="E158" s="54" t="s">
        <v>413</v>
      </c>
      <c r="F158" s="54" t="s">
        <v>414</v>
      </c>
      <c r="G158" s="51">
        <v>7</v>
      </c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V158" s="14">
        <v>1</v>
      </c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</row>
    <row r="159" spans="2:38" ht="30" x14ac:dyDescent="0.3">
      <c r="B159" s="61">
        <v>146</v>
      </c>
      <c r="C159" s="53" t="s">
        <v>415</v>
      </c>
      <c r="D159" s="54" t="s">
        <v>416</v>
      </c>
      <c r="E159" s="54" t="s">
        <v>405</v>
      </c>
      <c r="F159" s="54" t="s">
        <v>417</v>
      </c>
      <c r="G159" s="51">
        <v>6</v>
      </c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V159" s="14">
        <v>1</v>
      </c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</row>
    <row r="160" spans="2:38" ht="120" x14ac:dyDescent="0.3">
      <c r="B160" s="61">
        <v>147</v>
      </c>
      <c r="C160" s="53" t="s">
        <v>418</v>
      </c>
      <c r="D160" s="54" t="s">
        <v>419</v>
      </c>
      <c r="E160" s="54" t="s">
        <v>301</v>
      </c>
      <c r="F160" s="54" t="s">
        <v>420</v>
      </c>
      <c r="G160" s="51">
        <v>5</v>
      </c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V160" s="14">
        <v>1</v>
      </c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</row>
    <row r="161" spans="2:38" ht="45" x14ac:dyDescent="0.3">
      <c r="B161" s="61">
        <v>148</v>
      </c>
      <c r="C161" s="53" t="s">
        <v>421</v>
      </c>
      <c r="D161" s="54" t="s">
        <v>422</v>
      </c>
      <c r="E161" s="54" t="s">
        <v>416</v>
      </c>
      <c r="F161" s="54" t="s">
        <v>332</v>
      </c>
      <c r="G161" s="51">
        <v>3</v>
      </c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V161" s="14">
        <v>1</v>
      </c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</row>
    <row r="162" spans="2:38" ht="60" x14ac:dyDescent="0.3">
      <c r="B162" s="61">
        <v>149</v>
      </c>
      <c r="C162" s="53" t="s">
        <v>423</v>
      </c>
      <c r="D162" s="54" t="s">
        <v>424</v>
      </c>
      <c r="E162" s="54" t="s">
        <v>346</v>
      </c>
      <c r="F162" s="54" t="s">
        <v>405</v>
      </c>
      <c r="G162" s="51">
        <v>0</v>
      </c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V162" s="14">
        <v>1</v>
      </c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</row>
    <row r="163" spans="2:38" ht="60" x14ac:dyDescent="0.3">
      <c r="B163" s="61">
        <v>150</v>
      </c>
      <c r="C163" s="53" t="s">
        <v>425</v>
      </c>
      <c r="D163" s="54" t="s">
        <v>426</v>
      </c>
      <c r="E163" s="54" t="s">
        <v>405</v>
      </c>
      <c r="F163" s="54"/>
      <c r="G163" s="51">
        <v>3</v>
      </c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V163" s="14">
        <v>1</v>
      </c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</row>
    <row r="164" spans="2:38" ht="105" x14ac:dyDescent="0.3">
      <c r="B164" s="61">
        <v>151</v>
      </c>
      <c r="C164" s="53" t="s">
        <v>427</v>
      </c>
      <c r="D164" s="54" t="s">
        <v>428</v>
      </c>
      <c r="E164" s="54" t="s">
        <v>429</v>
      </c>
      <c r="F164" s="54" t="s">
        <v>374</v>
      </c>
      <c r="G164" s="51">
        <v>2</v>
      </c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V164" s="14">
        <v>1</v>
      </c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</row>
    <row r="165" spans="2:38" ht="60" x14ac:dyDescent="0.3">
      <c r="B165" s="61">
        <v>152</v>
      </c>
      <c r="C165" s="53" t="s">
        <v>430</v>
      </c>
      <c r="D165" s="54" t="s">
        <v>346</v>
      </c>
      <c r="E165" s="54" t="s">
        <v>414</v>
      </c>
      <c r="F165" s="54"/>
      <c r="G165" s="51">
        <v>3</v>
      </c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V165" s="14">
        <v>1</v>
      </c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</row>
    <row r="166" spans="2:38" ht="60" x14ac:dyDescent="0.3">
      <c r="B166" s="61">
        <v>153</v>
      </c>
      <c r="C166" s="53" t="s">
        <v>431</v>
      </c>
      <c r="D166" s="54" t="s">
        <v>362</v>
      </c>
      <c r="E166" s="54" t="s">
        <v>336</v>
      </c>
      <c r="F166" s="54"/>
      <c r="G166" s="51">
        <v>0</v>
      </c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V166" s="14">
        <v>1</v>
      </c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</row>
    <row r="167" spans="2:38" ht="90" x14ac:dyDescent="0.3">
      <c r="B167" s="61">
        <v>154</v>
      </c>
      <c r="C167" s="53" t="s">
        <v>432</v>
      </c>
      <c r="D167" s="54" t="s">
        <v>433</v>
      </c>
      <c r="E167" s="54" t="s">
        <v>434</v>
      </c>
      <c r="F167" s="54" t="s">
        <v>435</v>
      </c>
      <c r="G167" s="51">
        <v>4</v>
      </c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V167" s="14">
        <v>1</v>
      </c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</row>
    <row r="168" spans="2:38" ht="60" x14ac:dyDescent="0.3">
      <c r="B168" s="61">
        <v>155</v>
      </c>
      <c r="C168" s="53" t="s">
        <v>436</v>
      </c>
      <c r="D168" s="54" t="s">
        <v>355</v>
      </c>
      <c r="E168" s="54" t="s">
        <v>298</v>
      </c>
      <c r="F168" s="54" t="s">
        <v>374</v>
      </c>
      <c r="G168" s="51">
        <v>2</v>
      </c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V168" s="14">
        <v>1</v>
      </c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</row>
    <row r="169" spans="2:38" ht="45" x14ac:dyDescent="0.3">
      <c r="B169" s="61">
        <v>156</v>
      </c>
      <c r="C169" s="53" t="s">
        <v>437</v>
      </c>
      <c r="D169" s="54" t="s">
        <v>301</v>
      </c>
      <c r="E169" s="54" t="s">
        <v>374</v>
      </c>
      <c r="F169" s="54"/>
      <c r="G169" s="51">
        <v>3</v>
      </c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V169" s="14">
        <v>1</v>
      </c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</row>
    <row r="170" spans="2:38" ht="45" x14ac:dyDescent="0.3">
      <c r="B170" s="61">
        <v>157</v>
      </c>
      <c r="C170" s="53" t="s">
        <v>438</v>
      </c>
      <c r="D170" s="54" t="s">
        <v>352</v>
      </c>
      <c r="E170" s="54" t="s">
        <v>439</v>
      </c>
      <c r="F170" s="54" t="s">
        <v>440</v>
      </c>
      <c r="G170" s="51">
        <v>4</v>
      </c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V170" s="14">
        <v>1</v>
      </c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</row>
    <row r="171" spans="2:38" ht="90" x14ac:dyDescent="0.3">
      <c r="B171" s="61">
        <v>158</v>
      </c>
      <c r="C171" s="53" t="s">
        <v>371</v>
      </c>
      <c r="D171" s="54" t="s">
        <v>341</v>
      </c>
      <c r="E171" s="54" t="s">
        <v>370</v>
      </c>
      <c r="F171" s="54" t="s">
        <v>441</v>
      </c>
      <c r="G171" s="51">
        <v>6</v>
      </c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V171" s="14">
        <v>1</v>
      </c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</row>
    <row r="172" spans="2:38" ht="45" x14ac:dyDescent="0.3">
      <c r="B172" s="61">
        <v>159</v>
      </c>
      <c r="C172" s="53" t="s">
        <v>442</v>
      </c>
      <c r="D172" s="54" t="s">
        <v>443</v>
      </c>
      <c r="E172" s="54" t="s">
        <v>352</v>
      </c>
      <c r="F172" s="54" t="s">
        <v>374</v>
      </c>
      <c r="G172" s="51">
        <v>4</v>
      </c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V172" s="14">
        <v>1</v>
      </c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</row>
    <row r="173" spans="2:38" ht="75" x14ac:dyDescent="0.3">
      <c r="B173" s="61">
        <v>160</v>
      </c>
      <c r="C173" s="53" t="s">
        <v>444</v>
      </c>
      <c r="D173" s="54" t="s">
        <v>345</v>
      </c>
      <c r="E173" s="54" t="s">
        <v>346</v>
      </c>
      <c r="F173" s="54" t="s">
        <v>445</v>
      </c>
      <c r="G173" s="51">
        <v>2</v>
      </c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V173" s="14">
        <v>1</v>
      </c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</row>
    <row r="174" spans="2:38" ht="45" x14ac:dyDescent="0.3">
      <c r="B174" s="61">
        <v>161</v>
      </c>
      <c r="C174" s="53" t="s">
        <v>446</v>
      </c>
      <c r="D174" s="54" t="s">
        <v>359</v>
      </c>
      <c r="E174" s="54" t="s">
        <v>345</v>
      </c>
      <c r="F174" s="54"/>
      <c r="G174" s="51">
        <v>3</v>
      </c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V174" s="14">
        <v>1</v>
      </c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</row>
    <row r="175" spans="2:38" ht="30" x14ac:dyDescent="0.3">
      <c r="B175" s="61">
        <v>162</v>
      </c>
      <c r="C175" s="53" t="s">
        <v>447</v>
      </c>
      <c r="D175" s="54" t="s">
        <v>448</v>
      </c>
      <c r="E175" s="54"/>
      <c r="F175" s="54"/>
      <c r="G175" s="51">
        <v>1</v>
      </c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V175" s="14">
        <v>1</v>
      </c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</row>
    <row r="176" spans="2:38" ht="135" x14ac:dyDescent="0.3">
      <c r="B176" s="61">
        <v>163</v>
      </c>
      <c r="C176" s="53" t="s">
        <v>449</v>
      </c>
      <c r="D176" s="54" t="s">
        <v>419</v>
      </c>
      <c r="E176" s="54" t="s">
        <v>450</v>
      </c>
      <c r="F176" s="54" t="s">
        <v>445</v>
      </c>
      <c r="G176" s="51">
        <v>4</v>
      </c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V176" s="14">
        <v>1</v>
      </c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</row>
    <row r="177" spans="2:38" ht="75" x14ac:dyDescent="0.3">
      <c r="B177" s="61">
        <v>164</v>
      </c>
      <c r="C177" s="53" t="s">
        <v>451</v>
      </c>
      <c r="D177" s="54" t="s">
        <v>352</v>
      </c>
      <c r="E177" s="54" t="s">
        <v>399</v>
      </c>
      <c r="F177" s="54" t="s">
        <v>336</v>
      </c>
      <c r="G177" s="51">
        <v>4</v>
      </c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V177" s="14">
        <v>1</v>
      </c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</row>
    <row r="178" spans="2:38" ht="60" x14ac:dyDescent="0.3">
      <c r="B178" s="61">
        <v>165</v>
      </c>
      <c r="C178" s="53" t="s">
        <v>452</v>
      </c>
      <c r="D178" s="54" t="s">
        <v>405</v>
      </c>
      <c r="E178" s="54" t="s">
        <v>412</v>
      </c>
      <c r="F178" s="54" t="s">
        <v>406</v>
      </c>
      <c r="G178" s="51">
        <v>6</v>
      </c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V178" s="14">
        <v>1</v>
      </c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</row>
    <row r="179" spans="2:38" ht="90" x14ac:dyDescent="0.3">
      <c r="B179" s="61">
        <v>166</v>
      </c>
      <c r="C179" s="53" t="s">
        <v>453</v>
      </c>
      <c r="D179" s="54" t="s">
        <v>301</v>
      </c>
      <c r="E179" s="54" t="s">
        <v>454</v>
      </c>
      <c r="F179" s="54" t="s">
        <v>455</v>
      </c>
      <c r="G179" s="51">
        <v>2</v>
      </c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V179" s="14">
        <v>1</v>
      </c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</row>
    <row r="180" spans="2:38" ht="30" x14ac:dyDescent="0.3">
      <c r="B180" s="61">
        <v>167</v>
      </c>
      <c r="C180" s="53" t="s">
        <v>456</v>
      </c>
      <c r="D180" s="54" t="s">
        <v>443</v>
      </c>
      <c r="E180" s="54" t="s">
        <v>457</v>
      </c>
      <c r="F180" s="54"/>
      <c r="G180" s="51">
        <v>1</v>
      </c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V180" s="14">
        <v>1</v>
      </c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</row>
    <row r="181" spans="2:38" ht="45" x14ac:dyDescent="0.3">
      <c r="B181" s="61">
        <v>168</v>
      </c>
      <c r="C181" s="53" t="s">
        <v>458</v>
      </c>
      <c r="D181" s="54" t="s">
        <v>412</v>
      </c>
      <c r="E181" s="54"/>
      <c r="F181" s="54"/>
      <c r="G181" s="51">
        <v>5</v>
      </c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V181" s="14">
        <v>1</v>
      </c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</row>
    <row r="182" spans="2:38" ht="30" x14ac:dyDescent="0.3">
      <c r="B182" s="61">
        <v>169</v>
      </c>
      <c r="C182" s="53" t="s">
        <v>459</v>
      </c>
      <c r="D182" s="54" t="s">
        <v>412</v>
      </c>
      <c r="E182" s="54"/>
      <c r="F182" s="54"/>
      <c r="G182" s="51">
        <v>6</v>
      </c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V182" s="14">
        <v>1</v>
      </c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</row>
    <row r="183" spans="2:38" ht="45" x14ac:dyDescent="0.3">
      <c r="B183" s="61">
        <v>170</v>
      </c>
      <c r="C183" s="53" t="s">
        <v>460</v>
      </c>
      <c r="D183" s="54" t="s">
        <v>355</v>
      </c>
      <c r="E183" s="54" t="s">
        <v>461</v>
      </c>
      <c r="F183" s="54" t="s">
        <v>298</v>
      </c>
      <c r="G183" s="51">
        <v>3</v>
      </c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V183" s="14">
        <v>1</v>
      </c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</row>
    <row r="184" spans="2:38" ht="60" x14ac:dyDescent="0.3">
      <c r="B184" s="61">
        <v>171</v>
      </c>
      <c r="C184" s="53" t="s">
        <v>462</v>
      </c>
      <c r="D184" s="54" t="s">
        <v>463</v>
      </c>
      <c r="E184" s="54"/>
      <c r="F184" s="54"/>
      <c r="G184" s="51">
        <v>1</v>
      </c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V184" s="14">
        <v>1</v>
      </c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</row>
    <row r="185" spans="2:38" ht="90" x14ac:dyDescent="0.3">
      <c r="B185" s="61">
        <v>172</v>
      </c>
      <c r="C185" s="53" t="s">
        <v>464</v>
      </c>
      <c r="D185" s="54" t="s">
        <v>465</v>
      </c>
      <c r="E185" s="54" t="s">
        <v>332</v>
      </c>
      <c r="F185" s="54" t="s">
        <v>374</v>
      </c>
      <c r="G185" s="51">
        <v>20</v>
      </c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V185" s="14">
        <v>1</v>
      </c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</row>
    <row r="186" spans="2:38" ht="30" x14ac:dyDescent="0.3">
      <c r="B186" s="61">
        <v>173</v>
      </c>
      <c r="C186" s="53" t="s">
        <v>466</v>
      </c>
      <c r="D186" s="54" t="s">
        <v>352</v>
      </c>
      <c r="E186" s="54" t="s">
        <v>374</v>
      </c>
      <c r="F186" s="54"/>
      <c r="G186" s="51">
        <v>2</v>
      </c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V186" s="14">
        <v>1</v>
      </c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</row>
    <row r="187" spans="2:38" ht="60" x14ac:dyDescent="0.3">
      <c r="B187" s="61">
        <v>174</v>
      </c>
      <c r="C187" s="53" t="s">
        <v>467</v>
      </c>
      <c r="D187" s="54" t="s">
        <v>417</v>
      </c>
      <c r="E187" s="54" t="s">
        <v>468</v>
      </c>
      <c r="F187" s="54" t="s">
        <v>457</v>
      </c>
      <c r="G187" s="51">
        <v>1</v>
      </c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V187" s="14">
        <v>1</v>
      </c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</row>
    <row r="188" spans="2:38" ht="30" x14ac:dyDescent="0.3">
      <c r="B188" s="61">
        <v>175</v>
      </c>
      <c r="C188" s="53" t="s">
        <v>469</v>
      </c>
      <c r="D188" s="54" t="s">
        <v>341</v>
      </c>
      <c r="E188" s="54" t="s">
        <v>369</v>
      </c>
      <c r="F188" s="54"/>
      <c r="G188" s="51">
        <v>2</v>
      </c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V188" s="14">
        <v>1</v>
      </c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</row>
    <row r="189" spans="2:38" ht="45" x14ac:dyDescent="0.3">
      <c r="B189" s="61">
        <v>176</v>
      </c>
      <c r="C189" s="53" t="s">
        <v>470</v>
      </c>
      <c r="D189" s="54" t="s">
        <v>355</v>
      </c>
      <c r="E189" s="54" t="s">
        <v>461</v>
      </c>
      <c r="F189" s="54" t="s">
        <v>298</v>
      </c>
      <c r="G189" s="51">
        <v>2</v>
      </c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V189" s="14">
        <v>1</v>
      </c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</row>
    <row r="190" spans="2:38" ht="45" x14ac:dyDescent="0.3">
      <c r="B190" s="61">
        <v>177</v>
      </c>
      <c r="C190" s="53" t="s">
        <v>471</v>
      </c>
      <c r="D190" s="54" t="s">
        <v>345</v>
      </c>
      <c r="E190" s="54" t="s">
        <v>346</v>
      </c>
      <c r="F190" s="54" t="s">
        <v>352</v>
      </c>
      <c r="G190" s="51">
        <v>2</v>
      </c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V190" s="14">
        <v>1</v>
      </c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</row>
    <row r="191" spans="2:38" ht="90" x14ac:dyDescent="0.3">
      <c r="B191" s="61">
        <v>178</v>
      </c>
      <c r="C191" s="53" t="s">
        <v>472</v>
      </c>
      <c r="D191" s="54" t="s">
        <v>341</v>
      </c>
      <c r="E191" s="54" t="s">
        <v>473</v>
      </c>
      <c r="F191" s="54" t="s">
        <v>474</v>
      </c>
      <c r="G191" s="51">
        <v>2</v>
      </c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V191" s="14">
        <v>1</v>
      </c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</row>
    <row r="192" spans="2:38" ht="60" x14ac:dyDescent="0.3">
      <c r="B192" s="61">
        <v>179</v>
      </c>
      <c r="C192" s="53" t="s">
        <v>475</v>
      </c>
      <c r="D192" s="54" t="s">
        <v>476</v>
      </c>
      <c r="E192" s="54" t="s">
        <v>477</v>
      </c>
      <c r="F192" s="54"/>
      <c r="G192" s="54">
        <v>18</v>
      </c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V192" s="14">
        <v>1</v>
      </c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</row>
    <row r="193" spans="2:38" ht="45" x14ac:dyDescent="0.3">
      <c r="B193" s="61">
        <v>180</v>
      </c>
      <c r="C193" s="53" t="s">
        <v>478</v>
      </c>
      <c r="D193" s="54" t="s">
        <v>479</v>
      </c>
      <c r="E193" s="54" t="s">
        <v>480</v>
      </c>
      <c r="F193" s="54"/>
      <c r="G193" s="51">
        <v>4</v>
      </c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V193" s="14">
        <v>1</v>
      </c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</row>
    <row r="194" spans="2:38" ht="60" x14ac:dyDescent="0.3">
      <c r="B194" s="61">
        <v>181</v>
      </c>
      <c r="C194" s="53" t="s">
        <v>481</v>
      </c>
      <c r="D194" s="54" t="s">
        <v>412</v>
      </c>
      <c r="E194" s="54"/>
      <c r="F194" s="54"/>
      <c r="G194" s="51">
        <v>6</v>
      </c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V194" s="14">
        <v>1</v>
      </c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</row>
    <row r="195" spans="2:38" ht="45" x14ac:dyDescent="0.3">
      <c r="B195" s="61">
        <v>182</v>
      </c>
      <c r="C195" s="53" t="s">
        <v>482</v>
      </c>
      <c r="D195" s="54" t="s">
        <v>448</v>
      </c>
      <c r="E195" s="54"/>
      <c r="F195" s="54"/>
      <c r="G195" s="51">
        <v>1</v>
      </c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V195" s="14">
        <v>1</v>
      </c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</row>
    <row r="196" spans="2:38" x14ac:dyDescent="0.3">
      <c r="B196" s="61">
        <v>183</v>
      </c>
      <c r="C196" s="53" t="s">
        <v>483</v>
      </c>
      <c r="D196" s="54" t="s">
        <v>417</v>
      </c>
      <c r="E196" s="54"/>
      <c r="F196" s="54"/>
      <c r="G196" s="54">
        <v>2</v>
      </c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V196" s="14">
        <v>1</v>
      </c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</row>
    <row r="197" spans="2:38" ht="75" x14ac:dyDescent="0.3">
      <c r="B197" s="61">
        <v>184</v>
      </c>
      <c r="C197" s="53" t="s">
        <v>484</v>
      </c>
      <c r="D197" s="54" t="s">
        <v>485</v>
      </c>
      <c r="E197" s="54" t="s">
        <v>486</v>
      </c>
      <c r="F197" s="54" t="s">
        <v>487</v>
      </c>
      <c r="G197" s="51">
        <v>3</v>
      </c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V197" s="14">
        <v>1</v>
      </c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</row>
    <row r="198" spans="2:38" ht="90" x14ac:dyDescent="0.3">
      <c r="B198" s="61">
        <v>185</v>
      </c>
      <c r="C198" s="53" t="s">
        <v>488</v>
      </c>
      <c r="D198" s="54" t="s">
        <v>489</v>
      </c>
      <c r="E198" s="54" t="s">
        <v>258</v>
      </c>
      <c r="F198" s="54"/>
      <c r="G198" s="51">
        <v>3</v>
      </c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V198" s="14">
        <v>1</v>
      </c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</row>
    <row r="199" spans="2:38" ht="45" x14ac:dyDescent="0.3">
      <c r="B199" s="61">
        <v>186</v>
      </c>
      <c r="C199" s="53" t="s">
        <v>490</v>
      </c>
      <c r="D199" s="54" t="s">
        <v>491</v>
      </c>
      <c r="E199" s="54" t="s">
        <v>492</v>
      </c>
      <c r="F199" s="54"/>
      <c r="G199" s="54">
        <v>2</v>
      </c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V199" s="14">
        <v>1</v>
      </c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</row>
    <row r="200" spans="2:38" ht="60" x14ac:dyDescent="0.3">
      <c r="B200" s="61">
        <v>187</v>
      </c>
      <c r="C200" s="53" t="s">
        <v>493</v>
      </c>
      <c r="D200" s="54" t="s">
        <v>405</v>
      </c>
      <c r="E200" s="54" t="s">
        <v>412</v>
      </c>
      <c r="F200" s="54" t="s">
        <v>374</v>
      </c>
      <c r="G200" s="51">
        <v>4</v>
      </c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V200" s="14">
        <v>1</v>
      </c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</row>
    <row r="201" spans="2:38" ht="45" x14ac:dyDescent="0.3">
      <c r="B201" s="61">
        <v>188</v>
      </c>
      <c r="C201" s="53" t="s">
        <v>494</v>
      </c>
      <c r="D201" s="54" t="s">
        <v>428</v>
      </c>
      <c r="E201" s="54" t="s">
        <v>495</v>
      </c>
      <c r="F201" s="54"/>
      <c r="G201" s="51">
        <v>1</v>
      </c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V201" s="14">
        <v>1</v>
      </c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</row>
    <row r="202" spans="2:38" ht="45" x14ac:dyDescent="0.3">
      <c r="B202" s="61">
        <v>189</v>
      </c>
      <c r="C202" s="53" t="s">
        <v>496</v>
      </c>
      <c r="D202" s="54" t="s">
        <v>335</v>
      </c>
      <c r="E202" s="54" t="s">
        <v>336</v>
      </c>
      <c r="F202" s="54"/>
      <c r="G202" s="51">
        <v>2</v>
      </c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V202" s="14">
        <v>1</v>
      </c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</row>
    <row r="203" spans="2:38" ht="120" x14ac:dyDescent="0.3">
      <c r="B203" s="61">
        <v>190</v>
      </c>
      <c r="C203" s="53" t="s">
        <v>497</v>
      </c>
      <c r="D203" s="54" t="s">
        <v>498</v>
      </c>
      <c r="E203" s="54" t="s">
        <v>454</v>
      </c>
      <c r="F203" s="54" t="s">
        <v>499</v>
      </c>
      <c r="G203" s="51">
        <v>6</v>
      </c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V203" s="14">
        <v>1</v>
      </c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</row>
    <row r="204" spans="2:38" ht="75" x14ac:dyDescent="0.3">
      <c r="B204" s="61">
        <v>191</v>
      </c>
      <c r="C204" s="53" t="s">
        <v>500</v>
      </c>
      <c r="D204" s="54" t="s">
        <v>392</v>
      </c>
      <c r="E204" s="54" t="s">
        <v>501</v>
      </c>
      <c r="F204" s="54" t="s">
        <v>374</v>
      </c>
      <c r="G204" s="51">
        <v>2</v>
      </c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V204" s="14">
        <v>1</v>
      </c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</row>
    <row r="205" spans="2:38" ht="75" x14ac:dyDescent="0.3">
      <c r="B205" s="61">
        <v>192</v>
      </c>
      <c r="C205" s="53" t="s">
        <v>502</v>
      </c>
      <c r="D205" s="54" t="s">
        <v>341</v>
      </c>
      <c r="E205" s="54" t="s">
        <v>369</v>
      </c>
      <c r="F205" s="54" t="s">
        <v>370</v>
      </c>
      <c r="G205" s="51">
        <v>5</v>
      </c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V205" s="14">
        <v>1</v>
      </c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</row>
    <row r="206" spans="2:38" ht="105" x14ac:dyDescent="0.3">
      <c r="B206" s="61">
        <v>193</v>
      </c>
      <c r="C206" s="53" t="s">
        <v>503</v>
      </c>
      <c r="D206" s="54" t="s">
        <v>345</v>
      </c>
      <c r="E206" s="54" t="s">
        <v>352</v>
      </c>
      <c r="F206" s="54" t="s">
        <v>400</v>
      </c>
      <c r="G206" s="51">
        <v>1</v>
      </c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V206" s="14">
        <v>1</v>
      </c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</row>
    <row r="207" spans="2:38" ht="75" x14ac:dyDescent="0.3">
      <c r="B207" s="61">
        <v>194</v>
      </c>
      <c r="C207" s="53" t="s">
        <v>504</v>
      </c>
      <c r="D207" s="54" t="s">
        <v>341</v>
      </c>
      <c r="E207" s="54" t="s">
        <v>369</v>
      </c>
      <c r="F207" s="54" t="s">
        <v>370</v>
      </c>
      <c r="G207" s="54">
        <v>5</v>
      </c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V207" s="14">
        <v>1</v>
      </c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</row>
    <row r="208" spans="2:38" ht="120" x14ac:dyDescent="0.3">
      <c r="B208" s="61">
        <v>195</v>
      </c>
      <c r="C208" s="53" t="s">
        <v>505</v>
      </c>
      <c r="D208" s="54" t="s">
        <v>301</v>
      </c>
      <c r="E208" s="54" t="s">
        <v>454</v>
      </c>
      <c r="F208" s="54" t="s">
        <v>370</v>
      </c>
      <c r="G208" s="54">
        <v>2</v>
      </c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V208" s="14">
        <v>1</v>
      </c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</row>
    <row r="209" spans="2:38" ht="105" x14ac:dyDescent="0.3">
      <c r="B209" s="61">
        <v>196</v>
      </c>
      <c r="C209" s="53" t="s">
        <v>506</v>
      </c>
      <c r="D209" s="54" t="s">
        <v>507</v>
      </c>
      <c r="E209" s="54" t="s">
        <v>363</v>
      </c>
      <c r="F209" s="54" t="s">
        <v>455</v>
      </c>
      <c r="G209" s="54">
        <v>2</v>
      </c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V209" s="14">
        <v>1</v>
      </c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</row>
    <row r="210" spans="2:38" ht="75" x14ac:dyDescent="0.3">
      <c r="B210" s="61">
        <v>197</v>
      </c>
      <c r="C210" s="53" t="s">
        <v>508</v>
      </c>
      <c r="D210" s="54" t="s">
        <v>412</v>
      </c>
      <c r="E210" s="54" t="s">
        <v>450</v>
      </c>
      <c r="F210" s="54" t="s">
        <v>405</v>
      </c>
      <c r="G210" s="54">
        <v>1</v>
      </c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V210" s="14">
        <v>1</v>
      </c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</row>
    <row r="211" spans="2:38" ht="60" x14ac:dyDescent="0.3">
      <c r="B211" s="61">
        <v>198</v>
      </c>
      <c r="C211" s="53" t="s">
        <v>509</v>
      </c>
      <c r="D211" s="54" t="s">
        <v>412</v>
      </c>
      <c r="E211" s="54" t="s">
        <v>416</v>
      </c>
      <c r="F211" s="54" t="s">
        <v>510</v>
      </c>
      <c r="G211" s="51">
        <v>0</v>
      </c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V211" s="14">
        <v>1</v>
      </c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</row>
    <row r="212" spans="2:38" x14ac:dyDescent="0.3">
      <c r="B212" s="61">
        <v>199</v>
      </c>
      <c r="C212" s="53" t="s">
        <v>511</v>
      </c>
      <c r="D212" s="54" t="s">
        <v>416</v>
      </c>
      <c r="E212" s="54" t="s">
        <v>405</v>
      </c>
      <c r="F212" s="54"/>
      <c r="G212" s="51">
        <v>2</v>
      </c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V212" s="14">
        <v>1</v>
      </c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</row>
    <row r="213" spans="2:38" ht="120" x14ac:dyDescent="0.3">
      <c r="B213" s="61">
        <v>200</v>
      </c>
      <c r="C213" s="53" t="s">
        <v>512</v>
      </c>
      <c r="D213" s="54" t="s">
        <v>434</v>
      </c>
      <c r="E213" s="54" t="s">
        <v>513</v>
      </c>
      <c r="F213" s="54" t="s">
        <v>400</v>
      </c>
      <c r="G213" s="51">
        <v>0</v>
      </c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V213" s="14">
        <v>1</v>
      </c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</row>
    <row r="214" spans="2:38" x14ac:dyDescent="0.3">
      <c r="B214" s="61">
        <v>201</v>
      </c>
      <c r="C214" s="53" t="s">
        <v>514</v>
      </c>
      <c r="D214" s="54" t="s">
        <v>352</v>
      </c>
      <c r="E214" s="54"/>
      <c r="F214" s="54"/>
      <c r="G214" s="51">
        <v>28</v>
      </c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V214" s="14">
        <v>1</v>
      </c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</row>
    <row r="215" spans="2:38" ht="30" x14ac:dyDescent="0.3">
      <c r="B215" s="61">
        <v>202</v>
      </c>
      <c r="C215" s="53" t="s">
        <v>515</v>
      </c>
      <c r="D215" s="54" t="s">
        <v>516</v>
      </c>
      <c r="E215" s="54"/>
      <c r="F215" s="54"/>
      <c r="G215" s="51">
        <v>5</v>
      </c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V215" s="14">
        <v>1</v>
      </c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</row>
    <row r="216" spans="2:38" ht="105" x14ac:dyDescent="0.3">
      <c r="B216" s="61">
        <v>203</v>
      </c>
      <c r="C216" s="53" t="s">
        <v>517</v>
      </c>
      <c r="D216" s="54" t="s">
        <v>301</v>
      </c>
      <c r="E216" s="54" t="s">
        <v>518</v>
      </c>
      <c r="F216" s="54" t="s">
        <v>336</v>
      </c>
      <c r="G216" s="51">
        <v>3</v>
      </c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V216" s="14">
        <v>1</v>
      </c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</row>
    <row r="217" spans="2:38" ht="90" x14ac:dyDescent="0.3">
      <c r="B217" s="61">
        <v>204</v>
      </c>
      <c r="C217" s="53" t="s">
        <v>519</v>
      </c>
      <c r="D217" s="54" t="s">
        <v>345</v>
      </c>
      <c r="E217" s="54" t="s">
        <v>346</v>
      </c>
      <c r="F217" s="54" t="s">
        <v>355</v>
      </c>
      <c r="G217" s="51">
        <v>5</v>
      </c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V217" s="14">
        <v>1</v>
      </c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</row>
    <row r="218" spans="2:38" ht="75" x14ac:dyDescent="0.3">
      <c r="B218" s="61">
        <v>205</v>
      </c>
      <c r="C218" s="53" t="s">
        <v>520</v>
      </c>
      <c r="D218" s="54" t="s">
        <v>335</v>
      </c>
      <c r="E218" s="54" t="s">
        <v>521</v>
      </c>
      <c r="F218" s="54" t="s">
        <v>492</v>
      </c>
      <c r="G218" s="51">
        <v>2</v>
      </c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V218" s="14">
        <v>1</v>
      </c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</row>
    <row r="219" spans="2:38" ht="30" x14ac:dyDescent="0.3">
      <c r="B219" s="61">
        <v>206</v>
      </c>
      <c r="C219" s="53" t="s">
        <v>522</v>
      </c>
      <c r="D219" s="54" t="s">
        <v>412</v>
      </c>
      <c r="E219" s="54" t="s">
        <v>422</v>
      </c>
      <c r="F219" s="54"/>
      <c r="G219" s="51">
        <v>5</v>
      </c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V219" s="14">
        <v>1</v>
      </c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</row>
    <row r="220" spans="2:38" ht="30" x14ac:dyDescent="0.3">
      <c r="B220" s="61">
        <v>207</v>
      </c>
      <c r="C220" s="53" t="s">
        <v>523</v>
      </c>
      <c r="D220" s="54" t="s">
        <v>352</v>
      </c>
      <c r="E220" s="54" t="s">
        <v>374</v>
      </c>
      <c r="F220" s="54"/>
      <c r="G220" s="51">
        <v>3</v>
      </c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V220" s="14">
        <v>1</v>
      </c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</row>
    <row r="221" spans="2:38" ht="30" x14ac:dyDescent="0.3">
      <c r="B221" s="61">
        <v>208</v>
      </c>
      <c r="C221" s="53" t="s">
        <v>524</v>
      </c>
      <c r="D221" s="54" t="s">
        <v>525</v>
      </c>
      <c r="E221" s="54" t="s">
        <v>369</v>
      </c>
      <c r="F221" s="54" t="s">
        <v>370</v>
      </c>
      <c r="G221" s="51">
        <v>2</v>
      </c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V221" s="14">
        <v>1</v>
      </c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</row>
    <row r="222" spans="2:38" ht="30" x14ac:dyDescent="0.3">
      <c r="B222" s="61">
        <v>209</v>
      </c>
      <c r="C222" s="53" t="s">
        <v>526</v>
      </c>
      <c r="D222" s="54" t="s">
        <v>412</v>
      </c>
      <c r="E222" s="54"/>
      <c r="F222" s="54"/>
      <c r="G222" s="51">
        <v>5</v>
      </c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V222" s="14">
        <v>1</v>
      </c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</row>
    <row r="223" spans="2:38" ht="60" x14ac:dyDescent="0.3">
      <c r="B223" s="61">
        <v>210</v>
      </c>
      <c r="C223" s="53" t="s">
        <v>527</v>
      </c>
      <c r="D223" s="54" t="s">
        <v>448</v>
      </c>
      <c r="E223" s="54" t="s">
        <v>413</v>
      </c>
      <c r="F223" s="54"/>
      <c r="G223" s="51">
        <v>4</v>
      </c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V223" s="14">
        <v>1</v>
      </c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</row>
    <row r="224" spans="2:38" ht="45" x14ac:dyDescent="0.3">
      <c r="B224" s="61">
        <v>211</v>
      </c>
      <c r="C224" s="53" t="s">
        <v>528</v>
      </c>
      <c r="D224" s="54" t="s">
        <v>359</v>
      </c>
      <c r="E224" s="54" t="s">
        <v>345</v>
      </c>
      <c r="F224" s="54" t="s">
        <v>346</v>
      </c>
      <c r="G224" s="51">
        <v>4</v>
      </c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V224" s="14">
        <v>1</v>
      </c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</row>
    <row r="225" spans="2:38" x14ac:dyDescent="0.3">
      <c r="B225" s="61">
        <v>212</v>
      </c>
      <c r="C225" s="53" t="s">
        <v>529</v>
      </c>
      <c r="D225" s="54" t="s">
        <v>383</v>
      </c>
      <c r="E225" s="54"/>
      <c r="F225" s="54"/>
      <c r="G225" s="51">
        <v>4</v>
      </c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V225" s="14">
        <v>1</v>
      </c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</row>
    <row r="226" spans="2:38" ht="60" x14ac:dyDescent="0.3">
      <c r="B226" s="61">
        <v>213</v>
      </c>
      <c r="C226" s="53" t="s">
        <v>530</v>
      </c>
      <c r="D226" s="54" t="s">
        <v>352</v>
      </c>
      <c r="E226" s="54" t="s">
        <v>417</v>
      </c>
      <c r="F226" s="54" t="s">
        <v>359</v>
      </c>
      <c r="G226" s="51">
        <v>4</v>
      </c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V226" s="14">
        <v>1</v>
      </c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</row>
    <row r="227" spans="2:38" ht="60" x14ac:dyDescent="0.3">
      <c r="B227" s="61">
        <v>214</v>
      </c>
      <c r="C227" s="53" t="s">
        <v>531</v>
      </c>
      <c r="D227" s="54" t="s">
        <v>341</v>
      </c>
      <c r="E227" s="54" t="s">
        <v>532</v>
      </c>
      <c r="F227" s="54"/>
      <c r="G227" s="51">
        <v>4</v>
      </c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V227" s="14">
        <v>1</v>
      </c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</row>
    <row r="228" spans="2:38" ht="45" x14ac:dyDescent="0.3">
      <c r="B228" s="61">
        <v>215</v>
      </c>
      <c r="C228" s="53" t="s">
        <v>533</v>
      </c>
      <c r="D228" s="54" t="s">
        <v>534</v>
      </c>
      <c r="E228" s="54" t="s">
        <v>332</v>
      </c>
      <c r="F228" s="54"/>
      <c r="G228" s="51">
        <v>3</v>
      </c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V228" s="14">
        <v>1</v>
      </c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</row>
    <row r="229" spans="2:38" ht="45" x14ac:dyDescent="0.3">
      <c r="B229" s="61">
        <v>216</v>
      </c>
      <c r="C229" s="53" t="s">
        <v>535</v>
      </c>
      <c r="D229" s="54" t="s">
        <v>355</v>
      </c>
      <c r="E229" s="54" t="s">
        <v>461</v>
      </c>
      <c r="F229" s="54" t="s">
        <v>298</v>
      </c>
      <c r="G229" s="51">
        <v>3</v>
      </c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V229" s="14">
        <v>1</v>
      </c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</row>
    <row r="230" spans="2:38" ht="45" x14ac:dyDescent="0.3">
      <c r="B230" s="61">
        <v>217</v>
      </c>
      <c r="C230" s="53" t="s">
        <v>536</v>
      </c>
      <c r="D230" s="54" t="s">
        <v>352</v>
      </c>
      <c r="E230" s="54" t="s">
        <v>417</v>
      </c>
      <c r="F230" s="54" t="s">
        <v>332</v>
      </c>
      <c r="G230" s="51">
        <v>3</v>
      </c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V230" s="14">
        <v>1</v>
      </c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</row>
    <row r="231" spans="2:38" ht="60" x14ac:dyDescent="0.3">
      <c r="B231" s="61">
        <v>218</v>
      </c>
      <c r="C231" s="53" t="s">
        <v>537</v>
      </c>
      <c r="D231" s="54" t="s">
        <v>335</v>
      </c>
      <c r="E231" s="54" t="s">
        <v>336</v>
      </c>
      <c r="F231" s="54"/>
      <c r="G231" s="51">
        <v>2</v>
      </c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V231" s="14">
        <v>1</v>
      </c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</row>
    <row r="232" spans="2:38" ht="45" x14ac:dyDescent="0.3">
      <c r="B232" s="61">
        <v>219</v>
      </c>
      <c r="C232" s="53" t="s">
        <v>538</v>
      </c>
      <c r="D232" s="54" t="s">
        <v>412</v>
      </c>
      <c r="E232" s="54" t="s">
        <v>374</v>
      </c>
      <c r="F232" s="54"/>
      <c r="G232" s="51">
        <v>3</v>
      </c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V232" s="14">
        <v>1</v>
      </c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</row>
    <row r="233" spans="2:38" ht="30" x14ac:dyDescent="0.3">
      <c r="B233" s="61">
        <v>220</v>
      </c>
      <c r="C233" s="53" t="s">
        <v>459</v>
      </c>
      <c r="D233" s="54" t="s">
        <v>412</v>
      </c>
      <c r="E233" s="54"/>
      <c r="F233" s="54"/>
      <c r="G233" s="51">
        <v>3</v>
      </c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V233" s="14">
        <v>1</v>
      </c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</row>
    <row r="234" spans="2:38" ht="90" x14ac:dyDescent="0.3">
      <c r="B234" s="61">
        <v>221</v>
      </c>
      <c r="C234" s="53" t="s">
        <v>539</v>
      </c>
      <c r="D234" s="54" t="s">
        <v>540</v>
      </c>
      <c r="E234" s="54" t="s">
        <v>374</v>
      </c>
      <c r="F234" s="54" t="s">
        <v>301</v>
      </c>
      <c r="G234" s="51">
        <v>14</v>
      </c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V234" s="14">
        <v>1</v>
      </c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</row>
    <row r="235" spans="2:38" ht="120" x14ac:dyDescent="0.3">
      <c r="B235" s="61">
        <v>222</v>
      </c>
      <c r="C235" s="53" t="s">
        <v>541</v>
      </c>
      <c r="D235" s="54" t="s">
        <v>355</v>
      </c>
      <c r="E235" s="54" t="s">
        <v>542</v>
      </c>
      <c r="F235" s="54" t="s">
        <v>346</v>
      </c>
      <c r="G235" s="51">
        <v>5</v>
      </c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V235" s="14">
        <v>1</v>
      </c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</row>
    <row r="236" spans="2:38" ht="75" x14ac:dyDescent="0.3">
      <c r="B236" s="61">
        <v>223</v>
      </c>
      <c r="C236" s="53" t="s">
        <v>543</v>
      </c>
      <c r="D236" s="54" t="s">
        <v>345</v>
      </c>
      <c r="E236" s="54" t="s">
        <v>544</v>
      </c>
      <c r="F236" s="54" t="s">
        <v>346</v>
      </c>
      <c r="G236" s="51">
        <v>3</v>
      </c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V236" s="14">
        <v>1</v>
      </c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</row>
    <row r="237" spans="2:38" ht="90" x14ac:dyDescent="0.3">
      <c r="B237" s="61">
        <v>224</v>
      </c>
      <c r="C237" s="53" t="s">
        <v>545</v>
      </c>
      <c r="D237" s="54" t="s">
        <v>428</v>
      </c>
      <c r="E237" s="54" t="s">
        <v>336</v>
      </c>
      <c r="F237" s="54" t="s">
        <v>374</v>
      </c>
      <c r="G237" s="51">
        <v>2</v>
      </c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V237" s="14">
        <v>1</v>
      </c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</row>
    <row r="238" spans="2:38" ht="60" x14ac:dyDescent="0.3">
      <c r="B238" s="61">
        <v>225</v>
      </c>
      <c r="C238" s="53" t="s">
        <v>546</v>
      </c>
      <c r="D238" s="54" t="s">
        <v>341</v>
      </c>
      <c r="E238" s="54" t="s">
        <v>369</v>
      </c>
      <c r="F238" s="54" t="s">
        <v>370</v>
      </c>
      <c r="G238" s="51">
        <v>2</v>
      </c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V238" s="14">
        <v>1</v>
      </c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</row>
    <row r="239" spans="2:38" ht="45" x14ac:dyDescent="0.3">
      <c r="B239" s="61">
        <v>226</v>
      </c>
      <c r="C239" s="53" t="s">
        <v>547</v>
      </c>
      <c r="D239" s="54" t="s">
        <v>332</v>
      </c>
      <c r="E239" s="54" t="s">
        <v>548</v>
      </c>
      <c r="F239" s="54"/>
      <c r="G239" s="51">
        <v>2</v>
      </c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V239" s="14">
        <v>1</v>
      </c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</row>
    <row r="240" spans="2:38" ht="60" x14ac:dyDescent="0.3">
      <c r="B240" s="61">
        <v>227</v>
      </c>
      <c r="C240" s="53" t="s">
        <v>549</v>
      </c>
      <c r="D240" s="54" t="s">
        <v>550</v>
      </c>
      <c r="E240" s="54" t="s">
        <v>455</v>
      </c>
      <c r="F240" s="54" t="s">
        <v>445</v>
      </c>
      <c r="G240" s="51">
        <v>1</v>
      </c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V240" s="14">
        <v>1</v>
      </c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</row>
    <row r="241" spans="2:38" ht="60" x14ac:dyDescent="0.3">
      <c r="B241" s="61">
        <v>228</v>
      </c>
      <c r="C241" s="53" t="s">
        <v>551</v>
      </c>
      <c r="D241" s="54" t="s">
        <v>412</v>
      </c>
      <c r="E241" s="54" t="s">
        <v>399</v>
      </c>
      <c r="F241" s="54" t="s">
        <v>552</v>
      </c>
      <c r="G241" s="51">
        <v>1</v>
      </c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V241" s="14">
        <v>1</v>
      </c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</row>
    <row r="242" spans="2:38" ht="90" x14ac:dyDescent="0.3">
      <c r="B242" s="61">
        <v>229</v>
      </c>
      <c r="C242" s="53" t="s">
        <v>553</v>
      </c>
      <c r="D242" s="54" t="s">
        <v>455</v>
      </c>
      <c r="E242" s="54" t="s">
        <v>454</v>
      </c>
      <c r="F242" s="54" t="s">
        <v>473</v>
      </c>
      <c r="G242" s="51">
        <v>6</v>
      </c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V242" s="14">
        <v>1</v>
      </c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</row>
    <row r="243" spans="2:38" ht="75" x14ac:dyDescent="0.3">
      <c r="B243" s="61">
        <v>230</v>
      </c>
      <c r="C243" s="53" t="s">
        <v>554</v>
      </c>
      <c r="D243" s="54" t="s">
        <v>461</v>
      </c>
      <c r="E243" s="54" t="s">
        <v>355</v>
      </c>
      <c r="F243" s="54" t="s">
        <v>309</v>
      </c>
      <c r="G243" s="51">
        <v>1</v>
      </c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V243" s="14">
        <v>1</v>
      </c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</row>
    <row r="244" spans="2:38" ht="105" x14ac:dyDescent="0.3">
      <c r="B244" s="61">
        <v>231</v>
      </c>
      <c r="C244" s="53" t="s">
        <v>555</v>
      </c>
      <c r="D244" s="54" t="s">
        <v>412</v>
      </c>
      <c r="E244" s="54" t="s">
        <v>414</v>
      </c>
      <c r="F244" s="54" t="s">
        <v>405</v>
      </c>
      <c r="G244" s="51">
        <v>1</v>
      </c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V244" s="14">
        <v>1</v>
      </c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</row>
    <row r="245" spans="2:38" ht="75" x14ac:dyDescent="0.3">
      <c r="B245" s="61">
        <v>232</v>
      </c>
      <c r="C245" s="53" t="s">
        <v>556</v>
      </c>
      <c r="D245" s="54" t="s">
        <v>362</v>
      </c>
      <c r="E245" s="54" t="s">
        <v>324</v>
      </c>
      <c r="F245" s="54" t="s">
        <v>363</v>
      </c>
      <c r="G245" s="51">
        <v>8</v>
      </c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V245" s="14">
        <v>1</v>
      </c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</row>
    <row r="246" spans="2:38" ht="75" x14ac:dyDescent="0.3">
      <c r="B246" s="61">
        <v>233</v>
      </c>
      <c r="C246" s="53" t="s">
        <v>557</v>
      </c>
      <c r="D246" s="54" t="s">
        <v>558</v>
      </c>
      <c r="E246" s="54" t="s">
        <v>559</v>
      </c>
      <c r="F246" s="54"/>
      <c r="G246" s="51">
        <v>4</v>
      </c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V246" s="14">
        <v>1</v>
      </c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</row>
    <row r="247" spans="2:38" ht="90" x14ac:dyDescent="0.3">
      <c r="B247" s="61">
        <v>234</v>
      </c>
      <c r="C247" s="53" t="s">
        <v>560</v>
      </c>
      <c r="D247" s="54" t="s">
        <v>561</v>
      </c>
      <c r="E247" s="54" t="s">
        <v>359</v>
      </c>
      <c r="F247" s="54" t="s">
        <v>345</v>
      </c>
      <c r="G247" s="51">
        <v>3</v>
      </c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V247" s="14">
        <v>1</v>
      </c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</row>
    <row r="248" spans="2:38" ht="75" x14ac:dyDescent="0.3">
      <c r="B248" s="61">
        <v>235</v>
      </c>
      <c r="C248" s="53" t="s">
        <v>562</v>
      </c>
      <c r="D248" s="54" t="s">
        <v>341</v>
      </c>
      <c r="E248" s="54" t="s">
        <v>369</v>
      </c>
      <c r="F248" s="54" t="s">
        <v>370</v>
      </c>
      <c r="G248" s="51">
        <v>3</v>
      </c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V248" s="14">
        <v>1</v>
      </c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</row>
    <row r="249" spans="2:38" ht="90" x14ac:dyDescent="0.3">
      <c r="B249" s="61">
        <v>236</v>
      </c>
      <c r="C249" s="53" t="s">
        <v>563</v>
      </c>
      <c r="D249" s="54" t="s">
        <v>332</v>
      </c>
      <c r="E249" s="54" t="s">
        <v>558</v>
      </c>
      <c r="F249" s="54" t="s">
        <v>336</v>
      </c>
      <c r="G249" s="51">
        <v>2</v>
      </c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V249" s="14">
        <v>1</v>
      </c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</row>
    <row r="250" spans="2:38" ht="45" x14ac:dyDescent="0.3">
      <c r="B250" s="61">
        <v>237</v>
      </c>
      <c r="C250" s="53" t="s">
        <v>564</v>
      </c>
      <c r="D250" s="54" t="s">
        <v>565</v>
      </c>
      <c r="E250" s="54"/>
      <c r="F250" s="54"/>
      <c r="G250" s="51">
        <v>4</v>
      </c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V250" s="14">
        <v>1</v>
      </c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</row>
    <row r="251" spans="2:38" ht="45" x14ac:dyDescent="0.3">
      <c r="B251" s="61">
        <v>238</v>
      </c>
      <c r="C251" s="53" t="s">
        <v>566</v>
      </c>
      <c r="D251" s="54" t="s">
        <v>567</v>
      </c>
      <c r="E251" s="54"/>
      <c r="F251" s="54"/>
      <c r="G251" s="51">
        <v>6</v>
      </c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V251" s="14">
        <v>1</v>
      </c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</row>
    <row r="252" spans="2:38" ht="60" x14ac:dyDescent="0.3">
      <c r="B252" s="61">
        <v>239</v>
      </c>
      <c r="C252" s="53" t="s">
        <v>568</v>
      </c>
      <c r="D252" s="54" t="s">
        <v>521</v>
      </c>
      <c r="E252" s="54" t="s">
        <v>569</v>
      </c>
      <c r="F252" s="54"/>
      <c r="G252" s="51">
        <v>2</v>
      </c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V252" s="14">
        <v>1</v>
      </c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</row>
    <row r="253" spans="2:38" ht="60" x14ac:dyDescent="0.3">
      <c r="B253" s="61">
        <v>240</v>
      </c>
      <c r="C253" s="53" t="s">
        <v>570</v>
      </c>
      <c r="D253" s="54" t="s">
        <v>341</v>
      </c>
      <c r="E253" s="54" t="s">
        <v>455</v>
      </c>
      <c r="F253" s="54" t="s">
        <v>441</v>
      </c>
      <c r="G253" s="51">
        <v>11</v>
      </c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V253" s="14">
        <v>1</v>
      </c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</row>
    <row r="254" spans="2:38" ht="105" x14ac:dyDescent="0.3">
      <c r="B254" s="61">
        <v>241</v>
      </c>
      <c r="C254" s="53" t="s">
        <v>571</v>
      </c>
      <c r="D254" s="54" t="s">
        <v>405</v>
      </c>
      <c r="E254" s="54" t="s">
        <v>412</v>
      </c>
      <c r="F254" s="54" t="s">
        <v>445</v>
      </c>
      <c r="G254" s="51">
        <v>2</v>
      </c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V254" s="14">
        <v>1</v>
      </c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</row>
    <row r="255" spans="2:38" ht="75" x14ac:dyDescent="0.3">
      <c r="B255" s="61">
        <v>242</v>
      </c>
      <c r="C255" s="53" t="s">
        <v>572</v>
      </c>
      <c r="D255" s="54" t="s">
        <v>573</v>
      </c>
      <c r="E255" s="54" t="s">
        <v>457</v>
      </c>
      <c r="F255" s="54" t="s">
        <v>336</v>
      </c>
      <c r="G255" s="51">
        <v>3</v>
      </c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V255" s="14">
        <v>1</v>
      </c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</row>
    <row r="256" spans="2:38" ht="30" x14ac:dyDescent="0.3">
      <c r="B256" s="61">
        <v>243</v>
      </c>
      <c r="C256" s="53" t="s">
        <v>574</v>
      </c>
      <c r="D256" s="54" t="s">
        <v>561</v>
      </c>
      <c r="E256" s="54"/>
      <c r="F256" s="54"/>
      <c r="G256" s="51">
        <v>1</v>
      </c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V256" s="14">
        <v>1</v>
      </c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</row>
    <row r="257" spans="2:38" ht="75" x14ac:dyDescent="0.3">
      <c r="B257" s="61">
        <v>244</v>
      </c>
      <c r="C257" s="53" t="s">
        <v>575</v>
      </c>
      <c r="D257" s="54" t="s">
        <v>417</v>
      </c>
      <c r="E257" s="54" t="s">
        <v>359</v>
      </c>
      <c r="F257" s="54" t="s">
        <v>576</v>
      </c>
      <c r="G257" s="51">
        <v>3</v>
      </c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V257" s="14">
        <v>1</v>
      </c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</row>
    <row r="258" spans="2:38" ht="105" x14ac:dyDescent="0.3">
      <c r="B258" s="61">
        <v>245</v>
      </c>
      <c r="C258" s="53" t="s">
        <v>577</v>
      </c>
      <c r="D258" s="54" t="s">
        <v>339</v>
      </c>
      <c r="E258" s="54" t="s">
        <v>578</v>
      </c>
      <c r="F258" s="54" t="s">
        <v>579</v>
      </c>
      <c r="G258" s="51">
        <v>8</v>
      </c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V258" s="14">
        <v>1</v>
      </c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</row>
    <row r="259" spans="2:38" ht="60" x14ac:dyDescent="0.3">
      <c r="B259" s="61">
        <v>246</v>
      </c>
      <c r="C259" s="53" t="s">
        <v>580</v>
      </c>
      <c r="D259" s="54" t="s">
        <v>581</v>
      </c>
      <c r="E259" s="54" t="s">
        <v>582</v>
      </c>
      <c r="F259" s="54"/>
      <c r="G259" s="51">
        <v>3</v>
      </c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V259" s="14">
        <v>1</v>
      </c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</row>
    <row r="260" spans="2:38" ht="45" x14ac:dyDescent="0.3">
      <c r="B260" s="61">
        <v>247</v>
      </c>
      <c r="C260" s="53" t="s">
        <v>482</v>
      </c>
      <c r="D260" s="54" t="s">
        <v>448</v>
      </c>
      <c r="E260" s="54"/>
      <c r="F260" s="54"/>
      <c r="G260" s="51">
        <v>2</v>
      </c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V260" s="14">
        <v>1</v>
      </c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</row>
    <row r="261" spans="2:38" ht="135" x14ac:dyDescent="0.3">
      <c r="B261" s="61">
        <v>248</v>
      </c>
      <c r="C261" s="53" t="s">
        <v>583</v>
      </c>
      <c r="D261" s="54" t="s">
        <v>544</v>
      </c>
      <c r="E261" s="54" t="s">
        <v>345</v>
      </c>
      <c r="F261" s="54" t="s">
        <v>346</v>
      </c>
      <c r="G261" s="51">
        <v>5</v>
      </c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V261" s="14">
        <v>1</v>
      </c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</row>
    <row r="262" spans="2:38" ht="75" x14ac:dyDescent="0.3">
      <c r="B262" s="61">
        <v>249</v>
      </c>
      <c r="C262" s="53" t="s">
        <v>584</v>
      </c>
      <c r="D262" s="54" t="s">
        <v>405</v>
      </c>
      <c r="E262" s="54" t="s">
        <v>429</v>
      </c>
      <c r="F262" s="54" t="s">
        <v>428</v>
      </c>
      <c r="G262" s="51">
        <v>0</v>
      </c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V262" s="14">
        <v>1</v>
      </c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</row>
    <row r="263" spans="2:38" ht="45" x14ac:dyDescent="0.3">
      <c r="B263" s="61">
        <v>250</v>
      </c>
      <c r="C263" s="53" t="s">
        <v>585</v>
      </c>
      <c r="D263" s="54" t="s">
        <v>412</v>
      </c>
      <c r="E263" s="54" t="s">
        <v>405</v>
      </c>
      <c r="F263" s="54"/>
      <c r="G263" s="51">
        <v>0</v>
      </c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V263" s="14">
        <v>1</v>
      </c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</row>
    <row r="264" spans="2:38" ht="135" x14ac:dyDescent="0.3">
      <c r="B264" s="61">
        <v>251</v>
      </c>
      <c r="C264" s="53" t="s">
        <v>586</v>
      </c>
      <c r="D264" s="54" t="s">
        <v>587</v>
      </c>
      <c r="E264" s="54" t="s">
        <v>346</v>
      </c>
      <c r="F264" s="54" t="s">
        <v>416</v>
      </c>
      <c r="G264" s="51">
        <v>16</v>
      </c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V264" s="14">
        <v>1</v>
      </c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</row>
    <row r="265" spans="2:38" ht="45" x14ac:dyDescent="0.3">
      <c r="B265" s="61">
        <v>252</v>
      </c>
      <c r="C265" s="53" t="s">
        <v>588</v>
      </c>
      <c r="D265" s="54" t="s">
        <v>589</v>
      </c>
      <c r="E265" s="54" t="s">
        <v>590</v>
      </c>
      <c r="F265" s="54" t="s">
        <v>591</v>
      </c>
      <c r="G265" s="51">
        <v>19</v>
      </c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V265" s="14">
        <v>1</v>
      </c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</row>
    <row r="266" spans="2:38" ht="105" x14ac:dyDescent="0.3">
      <c r="B266" s="61">
        <v>253</v>
      </c>
      <c r="C266" s="53" t="s">
        <v>592</v>
      </c>
      <c r="D266" s="54" t="s">
        <v>412</v>
      </c>
      <c r="E266" s="54" t="s">
        <v>335</v>
      </c>
      <c r="F266" s="54" t="s">
        <v>414</v>
      </c>
      <c r="G266" s="51">
        <v>1</v>
      </c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V266" s="14">
        <v>1</v>
      </c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</row>
    <row r="267" spans="2:38" ht="30" x14ac:dyDescent="0.3">
      <c r="B267" s="61">
        <v>254</v>
      </c>
      <c r="C267" s="53" t="s">
        <v>593</v>
      </c>
      <c r="D267" s="54" t="s">
        <v>594</v>
      </c>
      <c r="E267" s="54" t="s">
        <v>595</v>
      </c>
      <c r="F267" s="54" t="s">
        <v>363</v>
      </c>
      <c r="G267" s="51">
        <v>1</v>
      </c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V267" s="14">
        <v>1</v>
      </c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</row>
    <row r="268" spans="2:38" ht="90" x14ac:dyDescent="0.3">
      <c r="B268" s="61">
        <v>255</v>
      </c>
      <c r="C268" s="53" t="s">
        <v>596</v>
      </c>
      <c r="D268" s="54" t="s">
        <v>597</v>
      </c>
      <c r="E268" s="54" t="s">
        <v>598</v>
      </c>
      <c r="F268" s="54" t="s">
        <v>445</v>
      </c>
      <c r="G268" s="51">
        <v>2</v>
      </c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V268" s="14">
        <v>1</v>
      </c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</row>
    <row r="269" spans="2:38" ht="105" x14ac:dyDescent="0.3">
      <c r="B269" s="61">
        <v>256</v>
      </c>
      <c r="C269" s="53" t="s">
        <v>599</v>
      </c>
      <c r="D269" s="54" t="s">
        <v>587</v>
      </c>
      <c r="E269" s="54" t="s">
        <v>576</v>
      </c>
      <c r="F269" s="54" t="s">
        <v>346</v>
      </c>
      <c r="G269" s="51">
        <v>1</v>
      </c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V269" s="14">
        <v>1</v>
      </c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</row>
    <row r="270" spans="2:38" ht="90" x14ac:dyDescent="0.3">
      <c r="B270" s="61">
        <v>257</v>
      </c>
      <c r="C270" s="53" t="s">
        <v>600</v>
      </c>
      <c r="D270" s="54" t="s">
        <v>422</v>
      </c>
      <c r="E270" s="54" t="s">
        <v>601</v>
      </c>
      <c r="F270" s="54" t="s">
        <v>602</v>
      </c>
      <c r="G270" s="51">
        <v>7</v>
      </c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V270" s="14">
        <v>1</v>
      </c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</row>
    <row r="271" spans="2:38" ht="180" x14ac:dyDescent="0.3">
      <c r="B271" s="61">
        <v>258</v>
      </c>
      <c r="C271" s="53" t="s">
        <v>603</v>
      </c>
      <c r="D271" s="54" t="s">
        <v>598</v>
      </c>
      <c r="E271" s="54" t="s">
        <v>454</v>
      </c>
      <c r="F271" s="54" t="s">
        <v>595</v>
      </c>
      <c r="G271" s="51">
        <v>1</v>
      </c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V271" s="14">
        <v>1</v>
      </c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</row>
    <row r="272" spans="2:38" ht="75" x14ac:dyDescent="0.3">
      <c r="B272" s="61">
        <v>259</v>
      </c>
      <c r="C272" s="53" t="s">
        <v>604</v>
      </c>
      <c r="D272" s="54" t="s">
        <v>550</v>
      </c>
      <c r="E272" s="54" t="s">
        <v>363</v>
      </c>
      <c r="F272" s="54" t="s">
        <v>605</v>
      </c>
      <c r="G272" s="51">
        <v>4</v>
      </c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V272" s="14">
        <v>1</v>
      </c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</row>
    <row r="273" spans="2:38" ht="135" x14ac:dyDescent="0.3">
      <c r="B273" s="61">
        <v>260</v>
      </c>
      <c r="C273" s="53" t="s">
        <v>606</v>
      </c>
      <c r="D273" s="54" t="s">
        <v>558</v>
      </c>
      <c r="E273" s="54" t="s">
        <v>607</v>
      </c>
      <c r="F273" s="54" t="s">
        <v>405</v>
      </c>
      <c r="G273" s="51">
        <v>10</v>
      </c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V273" s="14">
        <v>1</v>
      </c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</row>
    <row r="274" spans="2:38" ht="105" x14ac:dyDescent="0.3">
      <c r="B274" s="61">
        <v>261</v>
      </c>
      <c r="C274" s="53" t="s">
        <v>608</v>
      </c>
      <c r="D274" s="54" t="s">
        <v>412</v>
      </c>
      <c r="E274" s="54" t="s">
        <v>414</v>
      </c>
      <c r="F274" s="54" t="s">
        <v>380</v>
      </c>
      <c r="G274" s="51">
        <v>3</v>
      </c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V274" s="14">
        <v>1</v>
      </c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</row>
    <row r="275" spans="2:38" ht="75" x14ac:dyDescent="0.3">
      <c r="B275" s="61">
        <v>262</v>
      </c>
      <c r="C275" s="53" t="s">
        <v>609</v>
      </c>
      <c r="D275" s="54" t="s">
        <v>445</v>
      </c>
      <c r="E275" s="54" t="s">
        <v>301</v>
      </c>
      <c r="F275" s="54" t="s">
        <v>336</v>
      </c>
      <c r="G275" s="51">
        <v>1</v>
      </c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V275" s="14">
        <v>1</v>
      </c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</row>
    <row r="276" spans="2:38" ht="165" x14ac:dyDescent="0.3">
      <c r="B276" s="61">
        <v>263</v>
      </c>
      <c r="C276" s="53" t="s">
        <v>610</v>
      </c>
      <c r="D276" s="54" t="s">
        <v>359</v>
      </c>
      <c r="E276" s="54" t="s">
        <v>345</v>
      </c>
      <c r="F276" s="54" t="s">
        <v>611</v>
      </c>
      <c r="G276" s="51">
        <v>3</v>
      </c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V276" s="14">
        <v>1</v>
      </c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</row>
    <row r="277" spans="2:38" ht="120" x14ac:dyDescent="0.3">
      <c r="B277" s="61">
        <v>264</v>
      </c>
      <c r="C277" s="53" t="s">
        <v>612</v>
      </c>
      <c r="D277" s="54" t="s">
        <v>613</v>
      </c>
      <c r="E277" s="54" t="s">
        <v>335</v>
      </c>
      <c r="F277" s="54" t="s">
        <v>301</v>
      </c>
      <c r="G277" s="51">
        <v>3</v>
      </c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V277" s="14">
        <v>1</v>
      </c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</row>
    <row r="278" spans="2:38" ht="120" x14ac:dyDescent="0.3">
      <c r="B278" s="61">
        <v>265</v>
      </c>
      <c r="C278" s="53" t="s">
        <v>614</v>
      </c>
      <c r="D278" s="54" t="s">
        <v>359</v>
      </c>
      <c r="E278" s="54" t="s">
        <v>345</v>
      </c>
      <c r="F278" s="54" t="s">
        <v>576</v>
      </c>
      <c r="G278" s="51">
        <v>3</v>
      </c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V278" s="14">
        <v>1</v>
      </c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</row>
    <row r="279" spans="2:38" ht="135" x14ac:dyDescent="0.3">
      <c r="B279" s="61">
        <v>266</v>
      </c>
      <c r="C279" s="53" t="s">
        <v>615</v>
      </c>
      <c r="D279" s="54" t="s">
        <v>616</v>
      </c>
      <c r="E279" s="54" t="s">
        <v>345</v>
      </c>
      <c r="F279" s="54" t="s">
        <v>576</v>
      </c>
      <c r="G279" s="51">
        <v>5</v>
      </c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V279" s="14">
        <v>1</v>
      </c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</row>
    <row r="280" spans="2:38" ht="195" x14ac:dyDescent="0.3">
      <c r="B280" s="61">
        <v>267</v>
      </c>
      <c r="C280" s="53" t="s">
        <v>617</v>
      </c>
      <c r="D280" s="54" t="s">
        <v>363</v>
      </c>
      <c r="E280" s="54" t="s">
        <v>301</v>
      </c>
      <c r="F280" s="54" t="s">
        <v>618</v>
      </c>
      <c r="G280" s="51">
        <v>4</v>
      </c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V280" s="14">
        <v>1</v>
      </c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</row>
    <row r="281" spans="2:38" ht="105" x14ac:dyDescent="0.3">
      <c r="B281" s="61">
        <v>268</v>
      </c>
      <c r="C281" s="53" t="s">
        <v>619</v>
      </c>
      <c r="D281" s="54" t="s">
        <v>620</v>
      </c>
      <c r="E281" s="54" t="s">
        <v>433</v>
      </c>
      <c r="F281" s="54" t="s">
        <v>621</v>
      </c>
      <c r="G281" s="51">
        <v>11</v>
      </c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V281" s="14">
        <v>1</v>
      </c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</row>
    <row r="282" spans="2:38" ht="60" x14ac:dyDescent="0.3">
      <c r="B282" s="61">
        <v>269</v>
      </c>
      <c r="C282" s="53" t="s">
        <v>622</v>
      </c>
      <c r="D282" s="54" t="s">
        <v>448</v>
      </c>
      <c r="E282" s="54" t="s">
        <v>332</v>
      </c>
      <c r="F282" s="54" t="s">
        <v>457</v>
      </c>
      <c r="G282" s="51">
        <v>1</v>
      </c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V282" s="14">
        <v>1</v>
      </c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</row>
    <row r="283" spans="2:38" ht="60" x14ac:dyDescent="0.3">
      <c r="B283" s="61">
        <v>270</v>
      </c>
      <c r="C283" s="53" t="s">
        <v>623</v>
      </c>
      <c r="D283" s="54" t="s">
        <v>573</v>
      </c>
      <c r="E283" s="54" t="s">
        <v>624</v>
      </c>
      <c r="F283" s="54" t="s">
        <v>332</v>
      </c>
      <c r="G283" s="51">
        <v>3</v>
      </c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V283" s="14">
        <v>1</v>
      </c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</row>
    <row r="284" spans="2:38" ht="60" x14ac:dyDescent="0.3">
      <c r="B284" s="61">
        <v>271</v>
      </c>
      <c r="C284" s="53" t="s">
        <v>625</v>
      </c>
      <c r="D284" s="54" t="s">
        <v>561</v>
      </c>
      <c r="E284" s="54" t="s">
        <v>383</v>
      </c>
      <c r="F284" s="54"/>
      <c r="G284" s="51">
        <v>4</v>
      </c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V284" s="14">
        <v>1</v>
      </c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</row>
    <row r="285" spans="2:38" ht="120" x14ac:dyDescent="0.3">
      <c r="B285" s="61">
        <v>272</v>
      </c>
      <c r="C285" s="53" t="s">
        <v>626</v>
      </c>
      <c r="D285" s="54" t="s">
        <v>454</v>
      </c>
      <c r="E285" s="54" t="s">
        <v>369</v>
      </c>
      <c r="F285" s="54" t="s">
        <v>627</v>
      </c>
      <c r="G285" s="51">
        <v>11</v>
      </c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V285" s="14">
        <v>1</v>
      </c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</row>
    <row r="286" spans="2:38" ht="60" x14ac:dyDescent="0.3">
      <c r="B286" s="61">
        <v>273</v>
      </c>
      <c r="C286" s="53" t="s">
        <v>628</v>
      </c>
      <c r="D286" s="54" t="s">
        <v>629</v>
      </c>
      <c r="E286" s="54"/>
      <c r="F286" s="54"/>
      <c r="G286" s="51">
        <v>3</v>
      </c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V286" s="14">
        <v>1</v>
      </c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</row>
    <row r="287" spans="2:38" ht="45" x14ac:dyDescent="0.3">
      <c r="B287" s="61">
        <v>274</v>
      </c>
      <c r="C287" s="53" t="s">
        <v>630</v>
      </c>
      <c r="D287" s="54" t="s">
        <v>631</v>
      </c>
      <c r="E287" s="54"/>
      <c r="F287" s="54"/>
      <c r="G287" s="51">
        <v>6</v>
      </c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V287" s="14">
        <v>1</v>
      </c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</row>
    <row r="288" spans="2:38" ht="75" x14ac:dyDescent="0.3">
      <c r="B288" s="61">
        <v>275</v>
      </c>
      <c r="C288" s="53" t="s">
        <v>632</v>
      </c>
      <c r="D288" s="54" t="s">
        <v>359</v>
      </c>
      <c r="E288" s="54" t="s">
        <v>345</v>
      </c>
      <c r="F288" s="54" t="s">
        <v>332</v>
      </c>
      <c r="G288" s="51">
        <v>3</v>
      </c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V288" s="14">
        <v>1</v>
      </c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</row>
    <row r="289" spans="2:38" ht="135" x14ac:dyDescent="0.3">
      <c r="B289" s="61">
        <v>276</v>
      </c>
      <c r="C289" s="53" t="s">
        <v>633</v>
      </c>
      <c r="D289" s="54" t="s">
        <v>634</v>
      </c>
      <c r="E289" s="54" t="s">
        <v>424</v>
      </c>
      <c r="F289" s="54" t="s">
        <v>635</v>
      </c>
      <c r="G289" s="51">
        <v>4</v>
      </c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V289" s="14">
        <v>1</v>
      </c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</row>
    <row r="290" spans="2:38" ht="150" x14ac:dyDescent="0.3">
      <c r="B290" s="61">
        <v>277</v>
      </c>
      <c r="C290" s="53" t="s">
        <v>636</v>
      </c>
      <c r="D290" s="54" t="s">
        <v>359</v>
      </c>
      <c r="E290" s="54" t="s">
        <v>345</v>
      </c>
      <c r="F290" s="54" t="s">
        <v>576</v>
      </c>
      <c r="G290" s="51">
        <v>3</v>
      </c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V290" s="14">
        <v>1</v>
      </c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</row>
    <row r="291" spans="2:38" ht="75" x14ac:dyDescent="0.3">
      <c r="B291" s="61">
        <v>278</v>
      </c>
      <c r="C291" s="53" t="s">
        <v>637</v>
      </c>
      <c r="D291" s="54" t="s">
        <v>595</v>
      </c>
      <c r="E291" s="54" t="s">
        <v>638</v>
      </c>
      <c r="F291" s="54" t="s">
        <v>455</v>
      </c>
      <c r="G291" s="51">
        <v>6</v>
      </c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V291" s="14">
        <v>1</v>
      </c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</row>
    <row r="292" spans="2:38" x14ac:dyDescent="0.3">
      <c r="B292" s="61">
        <v>279</v>
      </c>
      <c r="C292" s="53" t="s">
        <v>639</v>
      </c>
      <c r="D292" s="54" t="s">
        <v>510</v>
      </c>
      <c r="E292" s="54" t="s">
        <v>640</v>
      </c>
      <c r="F292" s="54" t="s">
        <v>641</v>
      </c>
      <c r="G292" s="51">
        <v>5</v>
      </c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V292" s="14">
        <v>1</v>
      </c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</row>
    <row r="293" spans="2:38" ht="60" x14ac:dyDescent="0.3">
      <c r="B293" s="61">
        <v>280</v>
      </c>
      <c r="C293" s="53" t="s">
        <v>642</v>
      </c>
      <c r="D293" s="54" t="s">
        <v>643</v>
      </c>
      <c r="E293" s="54" t="s">
        <v>644</v>
      </c>
      <c r="F293" s="54" t="s">
        <v>645</v>
      </c>
      <c r="G293" s="51">
        <v>2</v>
      </c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V293" s="14">
        <v>1</v>
      </c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</row>
    <row r="294" spans="2:38" ht="30" x14ac:dyDescent="0.3">
      <c r="B294" s="61">
        <v>281</v>
      </c>
      <c r="C294" s="53" t="s">
        <v>646</v>
      </c>
      <c r="D294" s="54" t="s">
        <v>647</v>
      </c>
      <c r="E294" s="54"/>
      <c r="F294" s="54"/>
      <c r="G294" s="51">
        <v>2</v>
      </c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V294" s="14">
        <v>1</v>
      </c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</row>
    <row r="295" spans="2:38" ht="165" x14ac:dyDescent="0.3">
      <c r="B295" s="61">
        <v>282</v>
      </c>
      <c r="C295" s="53" t="s">
        <v>648</v>
      </c>
      <c r="D295" s="54" t="s">
        <v>445</v>
      </c>
      <c r="E295" s="54" t="s">
        <v>343</v>
      </c>
      <c r="F295" s="54" t="s">
        <v>370</v>
      </c>
      <c r="G295" s="51">
        <v>1</v>
      </c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V295" s="14">
        <v>1</v>
      </c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</row>
    <row r="296" spans="2:38" ht="120" x14ac:dyDescent="0.3">
      <c r="B296" s="61">
        <v>283</v>
      </c>
      <c r="C296" s="53" t="s">
        <v>649</v>
      </c>
      <c r="D296" s="54" t="s">
        <v>473</v>
      </c>
      <c r="E296" s="54" t="s">
        <v>454</v>
      </c>
      <c r="F296" s="54" t="s">
        <v>650</v>
      </c>
      <c r="G296" s="51">
        <v>4</v>
      </c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V296" s="14">
        <v>1</v>
      </c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</row>
    <row r="297" spans="2:38" x14ac:dyDescent="0.3">
      <c r="B297" s="61">
        <v>284</v>
      </c>
      <c r="C297" s="53" t="s">
        <v>511</v>
      </c>
      <c r="D297" s="54" t="s">
        <v>405</v>
      </c>
      <c r="E297" s="54" t="s">
        <v>416</v>
      </c>
      <c r="F297" s="54"/>
      <c r="G297" s="51">
        <v>1</v>
      </c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V297" s="14">
        <v>1</v>
      </c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</row>
    <row r="298" spans="2:38" ht="90" x14ac:dyDescent="0.3">
      <c r="B298" s="61">
        <v>285</v>
      </c>
      <c r="C298" s="53" t="s">
        <v>651</v>
      </c>
      <c r="D298" s="54" t="s">
        <v>652</v>
      </c>
      <c r="E298" s="54" t="s">
        <v>324</v>
      </c>
      <c r="F298" s="54" t="s">
        <v>352</v>
      </c>
      <c r="G298" s="51">
        <v>11</v>
      </c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V298" s="14">
        <v>1</v>
      </c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</row>
    <row r="299" spans="2:38" ht="150" x14ac:dyDescent="0.3">
      <c r="B299" s="61">
        <v>286</v>
      </c>
      <c r="C299" s="53" t="s">
        <v>653</v>
      </c>
      <c r="D299" s="54" t="s">
        <v>454</v>
      </c>
      <c r="E299" s="54" t="s">
        <v>654</v>
      </c>
      <c r="F299" s="54" t="s">
        <v>655</v>
      </c>
      <c r="G299" s="51">
        <v>2</v>
      </c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V299" s="14">
        <v>1</v>
      </c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</row>
    <row r="300" spans="2:38" ht="105" x14ac:dyDescent="0.3">
      <c r="B300" s="61">
        <v>287</v>
      </c>
      <c r="C300" s="53" t="s">
        <v>656</v>
      </c>
      <c r="D300" s="54" t="s">
        <v>473</v>
      </c>
      <c r="E300" s="54" t="s">
        <v>454</v>
      </c>
      <c r="F300" s="54" t="s">
        <v>598</v>
      </c>
      <c r="G300" s="51">
        <v>5</v>
      </c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V300" s="14">
        <v>1</v>
      </c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</row>
    <row r="301" spans="2:38" ht="105" x14ac:dyDescent="0.3">
      <c r="B301" s="61">
        <v>288</v>
      </c>
      <c r="C301" s="53" t="s">
        <v>657</v>
      </c>
      <c r="D301" s="54" t="s">
        <v>355</v>
      </c>
      <c r="E301" s="54" t="s">
        <v>658</v>
      </c>
      <c r="F301" s="54" t="s">
        <v>659</v>
      </c>
      <c r="G301" s="51">
        <v>6</v>
      </c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V301" s="14">
        <v>1</v>
      </c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</row>
    <row r="302" spans="2:38" ht="90" x14ac:dyDescent="0.3">
      <c r="B302" s="61">
        <v>289</v>
      </c>
      <c r="C302" s="53" t="s">
        <v>660</v>
      </c>
      <c r="D302" s="54" t="s">
        <v>355</v>
      </c>
      <c r="E302" s="54" t="s">
        <v>309</v>
      </c>
      <c r="F302" s="54" t="s">
        <v>661</v>
      </c>
      <c r="G302" s="51">
        <v>6</v>
      </c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V302" s="14">
        <v>1</v>
      </c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</row>
    <row r="303" spans="2:38" ht="60" x14ac:dyDescent="0.3">
      <c r="B303" s="61">
        <v>290</v>
      </c>
      <c r="C303" s="53" t="s">
        <v>662</v>
      </c>
      <c r="D303" s="54" t="s">
        <v>663</v>
      </c>
      <c r="E303" s="54" t="s">
        <v>374</v>
      </c>
      <c r="F303" s="54" t="s">
        <v>429</v>
      </c>
      <c r="G303" s="51">
        <v>1</v>
      </c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V303" s="14">
        <v>1</v>
      </c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</row>
    <row r="304" spans="2:38" ht="180" x14ac:dyDescent="0.3">
      <c r="B304" s="61">
        <v>291</v>
      </c>
      <c r="C304" s="53" t="s">
        <v>664</v>
      </c>
      <c r="D304" s="54" t="s">
        <v>455</v>
      </c>
      <c r="E304" s="54" t="s">
        <v>445</v>
      </c>
      <c r="F304" s="54" t="s">
        <v>370</v>
      </c>
      <c r="G304" s="51">
        <v>0</v>
      </c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V304" s="14">
        <v>1</v>
      </c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</row>
    <row r="305" spans="2:38" ht="90" x14ac:dyDescent="0.3">
      <c r="B305" s="61">
        <v>292</v>
      </c>
      <c r="C305" s="53" t="s">
        <v>665</v>
      </c>
      <c r="D305" s="54" t="s">
        <v>412</v>
      </c>
      <c r="E305" s="54" t="s">
        <v>380</v>
      </c>
      <c r="F305" s="54" t="s">
        <v>324</v>
      </c>
      <c r="G305" s="51">
        <v>3</v>
      </c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V305" s="14">
        <v>1</v>
      </c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</row>
    <row r="306" spans="2:38" ht="90" x14ac:dyDescent="0.3">
      <c r="B306" s="61">
        <v>293</v>
      </c>
      <c r="C306" s="53" t="s">
        <v>666</v>
      </c>
      <c r="D306" s="54" t="s">
        <v>521</v>
      </c>
      <c r="E306" s="54" t="s">
        <v>258</v>
      </c>
      <c r="F306" s="54" t="s">
        <v>667</v>
      </c>
      <c r="G306" s="51">
        <v>2</v>
      </c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V306" s="14">
        <v>1</v>
      </c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</row>
    <row r="307" spans="2:38" ht="135" x14ac:dyDescent="0.3">
      <c r="B307" s="61">
        <v>294</v>
      </c>
      <c r="C307" s="53" t="s">
        <v>668</v>
      </c>
      <c r="D307" s="54" t="s">
        <v>428</v>
      </c>
      <c r="E307" s="54" t="s">
        <v>258</v>
      </c>
      <c r="F307" s="54" t="s">
        <v>336</v>
      </c>
      <c r="G307" s="51">
        <v>1</v>
      </c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V307" s="14">
        <v>1</v>
      </c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</row>
    <row r="308" spans="2:38" ht="105" x14ac:dyDescent="0.3">
      <c r="B308" s="61">
        <v>295</v>
      </c>
      <c r="C308" s="53" t="s">
        <v>669</v>
      </c>
      <c r="D308" s="54" t="s">
        <v>355</v>
      </c>
      <c r="E308" s="54" t="s">
        <v>298</v>
      </c>
      <c r="F308" s="54" t="s">
        <v>405</v>
      </c>
      <c r="G308" s="51">
        <v>1</v>
      </c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V308" s="14">
        <v>1</v>
      </c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</row>
    <row r="309" spans="2:38" ht="135" x14ac:dyDescent="0.3">
      <c r="B309" s="61">
        <v>296</v>
      </c>
      <c r="C309" s="53" t="s">
        <v>670</v>
      </c>
      <c r="D309" s="54" t="s">
        <v>671</v>
      </c>
      <c r="E309" s="54" t="s">
        <v>595</v>
      </c>
      <c r="F309" s="54" t="s">
        <v>672</v>
      </c>
      <c r="G309" s="51">
        <v>23</v>
      </c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V309" s="14">
        <v>1</v>
      </c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</row>
    <row r="310" spans="2:38" ht="60" x14ac:dyDescent="0.3">
      <c r="B310" s="61">
        <v>297</v>
      </c>
      <c r="C310" s="53" t="s">
        <v>673</v>
      </c>
      <c r="D310" s="54" t="s">
        <v>618</v>
      </c>
      <c r="E310" s="54" t="s">
        <v>374</v>
      </c>
      <c r="F310" s="54" t="s">
        <v>363</v>
      </c>
      <c r="G310" s="51">
        <v>3</v>
      </c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V310" s="14">
        <v>1</v>
      </c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</row>
    <row r="311" spans="2:38" ht="75" x14ac:dyDescent="0.3">
      <c r="B311" s="61">
        <v>298</v>
      </c>
      <c r="C311" s="53" t="s">
        <v>674</v>
      </c>
      <c r="D311" s="54" t="s">
        <v>390</v>
      </c>
      <c r="E311" s="54" t="s">
        <v>675</v>
      </c>
      <c r="F311" s="54" t="s">
        <v>676</v>
      </c>
      <c r="G311" s="51">
        <v>0</v>
      </c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V311" s="14">
        <v>1</v>
      </c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</row>
    <row r="312" spans="2:38" ht="135" x14ac:dyDescent="0.3">
      <c r="B312" s="61">
        <v>299</v>
      </c>
      <c r="C312" s="53" t="s">
        <v>677</v>
      </c>
      <c r="D312" s="54" t="s">
        <v>412</v>
      </c>
      <c r="E312" s="54" t="s">
        <v>576</v>
      </c>
      <c r="F312" s="54" t="s">
        <v>298</v>
      </c>
      <c r="G312" s="51">
        <v>0</v>
      </c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V312" s="14">
        <v>1</v>
      </c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</row>
    <row r="313" spans="2:38" ht="71.25" customHeight="1" x14ac:dyDescent="0.3">
      <c r="B313" s="61">
        <v>300</v>
      </c>
      <c r="C313" s="53" t="s">
        <v>678</v>
      </c>
      <c r="D313" s="54" t="s">
        <v>595</v>
      </c>
      <c r="E313" s="54" t="s">
        <v>679</v>
      </c>
      <c r="F313" s="54" t="s">
        <v>405</v>
      </c>
      <c r="G313" s="51">
        <v>2</v>
      </c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V313" s="14">
        <v>1</v>
      </c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</row>
    <row r="314" spans="2:38" ht="120" x14ac:dyDescent="0.3">
      <c r="B314" s="61">
        <v>301</v>
      </c>
      <c r="C314" s="55" t="s">
        <v>680</v>
      </c>
      <c r="D314" s="52" t="s">
        <v>681</v>
      </c>
      <c r="E314" s="52" t="s">
        <v>682</v>
      </c>
      <c r="F314" s="52" t="s">
        <v>683</v>
      </c>
      <c r="G314" s="52">
        <v>4</v>
      </c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>
        <v>1</v>
      </c>
      <c r="AL314" s="14"/>
    </row>
    <row r="315" spans="2:38" ht="75" x14ac:dyDescent="0.3">
      <c r="B315" s="61">
        <v>302</v>
      </c>
      <c r="C315" s="55" t="s">
        <v>684</v>
      </c>
      <c r="D315" s="52" t="s">
        <v>383</v>
      </c>
      <c r="E315" s="52" t="s">
        <v>400</v>
      </c>
      <c r="F315" s="52" t="s">
        <v>685</v>
      </c>
      <c r="G315" s="52">
        <v>4</v>
      </c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>
        <v>1</v>
      </c>
      <c r="AL315" s="14"/>
    </row>
    <row r="316" spans="2:38" ht="46.5" customHeight="1" x14ac:dyDescent="0.3">
      <c r="B316" s="61">
        <v>303</v>
      </c>
      <c r="C316" s="55" t="s">
        <v>686</v>
      </c>
      <c r="D316" s="52" t="s">
        <v>647</v>
      </c>
      <c r="E316" s="52"/>
      <c r="F316" s="52"/>
      <c r="G316" s="52">
        <v>2</v>
      </c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>
        <v>1</v>
      </c>
      <c r="AL316" s="14"/>
    </row>
    <row r="317" spans="2:38" ht="105" x14ac:dyDescent="0.3">
      <c r="B317" s="61">
        <v>304</v>
      </c>
      <c r="C317" s="55" t="s">
        <v>687</v>
      </c>
      <c r="D317" s="52" t="s">
        <v>374</v>
      </c>
      <c r="E317" s="52" t="s">
        <v>688</v>
      </c>
      <c r="F317" s="52" t="s">
        <v>400</v>
      </c>
      <c r="G317" s="56">
        <v>5</v>
      </c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>
        <v>1</v>
      </c>
      <c r="AL317" s="14"/>
    </row>
    <row r="318" spans="2:38" ht="105" x14ac:dyDescent="0.3">
      <c r="B318" s="61">
        <v>305</v>
      </c>
      <c r="C318" s="55" t="s">
        <v>689</v>
      </c>
      <c r="D318" s="52" t="s">
        <v>463</v>
      </c>
      <c r="E318" s="52" t="s">
        <v>647</v>
      </c>
      <c r="F318" s="52" t="s">
        <v>690</v>
      </c>
      <c r="G318" s="52">
        <v>3</v>
      </c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>
        <v>1</v>
      </c>
      <c r="AL318" s="14"/>
    </row>
    <row r="319" spans="2:38" ht="60" x14ac:dyDescent="0.3">
      <c r="B319" s="61">
        <v>306</v>
      </c>
      <c r="C319" s="55" t="s">
        <v>691</v>
      </c>
      <c r="D319" s="52" t="s">
        <v>692</v>
      </c>
      <c r="E319" s="52" t="s">
        <v>463</v>
      </c>
      <c r="F319" s="52"/>
      <c r="G319" s="52">
        <v>2</v>
      </c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>
        <v>1</v>
      </c>
      <c r="AL319" s="14"/>
    </row>
    <row r="320" spans="2:38" ht="165" x14ac:dyDescent="0.3">
      <c r="B320" s="61">
        <v>307</v>
      </c>
      <c r="C320" s="55" t="s">
        <v>693</v>
      </c>
      <c r="D320" s="52" t="s">
        <v>450</v>
      </c>
      <c r="E320" s="52" t="s">
        <v>405</v>
      </c>
      <c r="F320" s="52" t="s">
        <v>454</v>
      </c>
      <c r="G320" s="52">
        <v>0</v>
      </c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>
        <v>1</v>
      </c>
      <c r="AL320" s="14"/>
    </row>
    <row r="321" spans="2:38" ht="105" x14ac:dyDescent="0.3">
      <c r="B321" s="61">
        <v>308</v>
      </c>
      <c r="C321" s="55" t="s">
        <v>694</v>
      </c>
      <c r="D321" s="52" t="s">
        <v>695</v>
      </c>
      <c r="E321" s="52" t="s">
        <v>696</v>
      </c>
      <c r="F321" s="52" t="s">
        <v>683</v>
      </c>
      <c r="G321" s="52">
        <v>4</v>
      </c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>
        <v>1</v>
      </c>
      <c r="AL321" s="14"/>
    </row>
    <row r="322" spans="2:38" ht="120" x14ac:dyDescent="0.3">
      <c r="B322" s="61">
        <v>309</v>
      </c>
      <c r="C322" s="55" t="s">
        <v>697</v>
      </c>
      <c r="D322" s="52" t="s">
        <v>695</v>
      </c>
      <c r="E322" s="52" t="s">
        <v>385</v>
      </c>
      <c r="F322" s="52" t="s">
        <v>578</v>
      </c>
      <c r="G322" s="52">
        <v>3</v>
      </c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>
        <v>1</v>
      </c>
      <c r="AL322" s="14"/>
    </row>
    <row r="323" spans="2:38" ht="45" x14ac:dyDescent="0.3">
      <c r="B323" s="61">
        <v>310</v>
      </c>
      <c r="C323" s="50" t="s">
        <v>698</v>
      </c>
      <c r="D323" s="57" t="s">
        <v>699</v>
      </c>
      <c r="E323" s="57" t="s">
        <v>324</v>
      </c>
      <c r="F323" s="57"/>
      <c r="G323" s="52">
        <v>8</v>
      </c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V323" s="14"/>
      <c r="W323" s="14">
        <v>1</v>
      </c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</row>
    <row r="324" spans="2:38" ht="30" x14ac:dyDescent="0.3">
      <c r="B324" s="61">
        <v>311</v>
      </c>
      <c r="C324" s="50" t="s">
        <v>700</v>
      </c>
      <c r="D324" s="57" t="s">
        <v>701</v>
      </c>
      <c r="E324" s="57"/>
      <c r="F324" s="57"/>
      <c r="G324" s="52">
        <v>14</v>
      </c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V324" s="14"/>
      <c r="W324" s="14">
        <v>1</v>
      </c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</row>
    <row r="325" spans="2:38" ht="45" x14ac:dyDescent="0.3">
      <c r="B325" s="61">
        <v>312</v>
      </c>
      <c r="C325" s="50" t="s">
        <v>702</v>
      </c>
      <c r="D325" s="57" t="s">
        <v>703</v>
      </c>
      <c r="E325" s="57"/>
      <c r="F325" s="57"/>
      <c r="G325" s="52">
        <v>4</v>
      </c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V325" s="14"/>
      <c r="W325" s="14">
        <v>1</v>
      </c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</row>
    <row r="326" spans="2:38" x14ac:dyDescent="0.3">
      <c r="B326" s="61">
        <v>313</v>
      </c>
      <c r="C326" s="50" t="s">
        <v>704</v>
      </c>
      <c r="D326" s="57" t="s">
        <v>352</v>
      </c>
      <c r="E326" s="57"/>
      <c r="F326" s="57"/>
      <c r="G326" s="52">
        <v>2</v>
      </c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V326" s="14"/>
      <c r="W326" s="14">
        <v>1</v>
      </c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</row>
    <row r="327" spans="2:38" x14ac:dyDescent="0.3">
      <c r="B327" s="61">
        <v>314</v>
      </c>
      <c r="C327" s="50" t="s">
        <v>705</v>
      </c>
      <c r="D327" s="57" t="s">
        <v>706</v>
      </c>
      <c r="E327" s="57"/>
      <c r="F327" s="57"/>
      <c r="G327" s="52">
        <v>5</v>
      </c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V327" s="14"/>
      <c r="W327" s="14">
        <v>1</v>
      </c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</row>
    <row r="328" spans="2:38" x14ac:dyDescent="0.3">
      <c r="B328" s="61">
        <v>315</v>
      </c>
      <c r="C328" s="50" t="s">
        <v>707</v>
      </c>
      <c r="D328" s="57" t="s">
        <v>699</v>
      </c>
      <c r="E328" s="57"/>
      <c r="F328" s="57"/>
      <c r="G328" s="52">
        <v>4</v>
      </c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V328" s="14"/>
      <c r="W328" s="14">
        <v>1</v>
      </c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</row>
    <row r="329" spans="2:38" x14ac:dyDescent="0.3">
      <c r="B329" s="61">
        <v>316</v>
      </c>
      <c r="C329" s="50" t="s">
        <v>707</v>
      </c>
      <c r="D329" s="57" t="s">
        <v>699</v>
      </c>
      <c r="E329" s="57"/>
      <c r="F329" s="57"/>
      <c r="G329" s="52">
        <v>5</v>
      </c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V329" s="14"/>
      <c r="W329" s="14">
        <v>1</v>
      </c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</row>
    <row r="330" spans="2:38" x14ac:dyDescent="0.3">
      <c r="B330" s="61">
        <v>317</v>
      </c>
      <c r="C330" s="50" t="s">
        <v>704</v>
      </c>
      <c r="D330" s="57" t="s">
        <v>352</v>
      </c>
      <c r="E330" s="57"/>
      <c r="F330" s="57"/>
      <c r="G330" s="52">
        <v>3</v>
      </c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V330" s="14"/>
      <c r="W330" s="14">
        <v>1</v>
      </c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</row>
    <row r="331" spans="2:38" x14ac:dyDescent="0.3">
      <c r="B331" s="61">
        <v>318</v>
      </c>
      <c r="C331" s="50" t="s">
        <v>704</v>
      </c>
      <c r="D331" s="57" t="s">
        <v>352</v>
      </c>
      <c r="E331" s="57"/>
      <c r="F331" s="57"/>
      <c r="G331" s="52">
        <v>4</v>
      </c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V331" s="14"/>
      <c r="W331" s="14">
        <v>1</v>
      </c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</row>
    <row r="332" spans="2:38" ht="45" x14ac:dyDescent="0.3">
      <c r="B332" s="61">
        <v>319</v>
      </c>
      <c r="C332" s="50" t="s">
        <v>708</v>
      </c>
      <c r="D332" s="57" t="s">
        <v>463</v>
      </c>
      <c r="E332" s="57" t="s">
        <v>552</v>
      </c>
      <c r="F332" s="57"/>
      <c r="G332" s="52">
        <v>5</v>
      </c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V332" s="14"/>
      <c r="W332" s="14">
        <v>1</v>
      </c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</row>
    <row r="333" spans="2:38" x14ac:dyDescent="0.3">
      <c r="B333" s="61">
        <v>320</v>
      </c>
      <c r="C333" s="50" t="s">
        <v>709</v>
      </c>
      <c r="D333" s="57" t="s">
        <v>710</v>
      </c>
      <c r="E333" s="57"/>
      <c r="F333" s="57"/>
      <c r="G333" s="52">
        <v>16</v>
      </c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V333" s="14"/>
      <c r="W333" s="14">
        <v>1</v>
      </c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</row>
    <row r="334" spans="2:38" ht="105" x14ac:dyDescent="0.3">
      <c r="B334" s="61">
        <v>321</v>
      </c>
      <c r="C334" s="50" t="s">
        <v>711</v>
      </c>
      <c r="D334" s="57" t="s">
        <v>706</v>
      </c>
      <c r="E334" s="57" t="s">
        <v>712</v>
      </c>
      <c r="F334" s="57" t="s">
        <v>713</v>
      </c>
      <c r="G334" s="52">
        <v>27</v>
      </c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V334" s="14"/>
      <c r="W334" s="14">
        <v>1</v>
      </c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</row>
    <row r="335" spans="2:38" ht="90" x14ac:dyDescent="0.3">
      <c r="B335" s="61">
        <v>322</v>
      </c>
      <c r="C335" s="50" t="s">
        <v>714</v>
      </c>
      <c r="D335" s="57" t="s">
        <v>715</v>
      </c>
      <c r="E335" s="57" t="s">
        <v>716</v>
      </c>
      <c r="F335" s="57"/>
      <c r="G335" s="52">
        <v>48</v>
      </c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V335" s="14"/>
      <c r="W335" s="14">
        <v>1</v>
      </c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</row>
    <row r="336" spans="2:38" ht="60" x14ac:dyDescent="0.3">
      <c r="B336" s="61">
        <v>323</v>
      </c>
      <c r="C336" s="50" t="s">
        <v>717</v>
      </c>
      <c r="D336" s="57" t="s">
        <v>718</v>
      </c>
      <c r="E336" s="57" t="s">
        <v>719</v>
      </c>
      <c r="F336" s="57" t="s">
        <v>720</v>
      </c>
      <c r="G336" s="52">
        <v>5</v>
      </c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V336" s="14"/>
      <c r="W336" s="14">
        <v>1</v>
      </c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</row>
    <row r="337" spans="2:38" ht="105" x14ac:dyDescent="0.3">
      <c r="B337" s="61">
        <v>324</v>
      </c>
      <c r="C337" s="50" t="s">
        <v>721</v>
      </c>
      <c r="D337" s="57" t="s">
        <v>719</v>
      </c>
      <c r="E337" s="57" t="s">
        <v>722</v>
      </c>
      <c r="F337" s="57" t="s">
        <v>723</v>
      </c>
      <c r="G337" s="52">
        <v>34</v>
      </c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V337" s="14"/>
      <c r="W337" s="14">
        <v>1</v>
      </c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</row>
    <row r="338" spans="2:38" ht="75" x14ac:dyDescent="0.3">
      <c r="B338" s="61">
        <v>325</v>
      </c>
      <c r="C338" s="50" t="s">
        <v>724</v>
      </c>
      <c r="D338" s="57" t="s">
        <v>725</v>
      </c>
      <c r="E338" s="57" t="s">
        <v>598</v>
      </c>
      <c r="F338" s="57" t="s">
        <v>441</v>
      </c>
      <c r="G338" s="52">
        <v>7</v>
      </c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V338" s="14"/>
      <c r="W338" s="14">
        <v>1</v>
      </c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</row>
    <row r="339" spans="2:38" ht="75" x14ac:dyDescent="0.3">
      <c r="B339" s="61">
        <v>326</v>
      </c>
      <c r="C339" s="50" t="s">
        <v>726</v>
      </c>
      <c r="D339" s="57" t="s">
        <v>718</v>
      </c>
      <c r="E339" s="57" t="s">
        <v>727</v>
      </c>
      <c r="F339" s="57" t="s">
        <v>719</v>
      </c>
      <c r="G339" s="52">
        <v>3</v>
      </c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V339" s="14"/>
      <c r="W339" s="14">
        <v>1</v>
      </c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</row>
    <row r="340" spans="2:38" ht="75" x14ac:dyDescent="0.3">
      <c r="B340" s="61">
        <v>327</v>
      </c>
      <c r="C340" s="50" t="s">
        <v>728</v>
      </c>
      <c r="D340" s="57" t="s">
        <v>729</v>
      </c>
      <c r="E340" s="57" t="s">
        <v>416</v>
      </c>
      <c r="F340" s="57" t="s">
        <v>405</v>
      </c>
      <c r="G340" s="52">
        <v>0</v>
      </c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V340" s="14"/>
      <c r="W340" s="14">
        <v>1</v>
      </c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</row>
    <row r="341" spans="2:38" ht="45" x14ac:dyDescent="0.3">
      <c r="B341" s="61">
        <v>328</v>
      </c>
      <c r="C341" s="50" t="s">
        <v>730</v>
      </c>
      <c r="D341" s="57" t="s">
        <v>703</v>
      </c>
      <c r="E341" s="57"/>
      <c r="F341" s="57"/>
      <c r="G341" s="52">
        <v>4</v>
      </c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V341" s="14"/>
      <c r="W341" s="14">
        <v>1</v>
      </c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</row>
    <row r="342" spans="2:38" ht="60" x14ac:dyDescent="0.3">
      <c r="B342" s="61">
        <v>329</v>
      </c>
      <c r="C342" s="50" t="s">
        <v>731</v>
      </c>
      <c r="D342" s="57" t="s">
        <v>699</v>
      </c>
      <c r="E342" s="57" t="s">
        <v>732</v>
      </c>
      <c r="F342" s="57"/>
      <c r="G342" s="52">
        <v>9</v>
      </c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V342" s="14"/>
      <c r="W342" s="14">
        <v>1</v>
      </c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</row>
    <row r="343" spans="2:38" ht="60" x14ac:dyDescent="0.3">
      <c r="B343" s="61">
        <v>330</v>
      </c>
      <c r="C343" s="50" t="s">
        <v>733</v>
      </c>
      <c r="D343" s="57" t="s">
        <v>695</v>
      </c>
      <c r="E343" s="57"/>
      <c r="F343" s="57"/>
      <c r="G343" s="52">
        <v>5</v>
      </c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V343" s="14"/>
      <c r="W343" s="14">
        <v>1</v>
      </c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</row>
    <row r="344" spans="2:38" x14ac:dyDescent="0.3">
      <c r="B344" s="61">
        <v>331</v>
      </c>
      <c r="C344" s="50" t="s">
        <v>704</v>
      </c>
      <c r="D344" s="57" t="s">
        <v>352</v>
      </c>
      <c r="E344" s="57"/>
      <c r="F344" s="57"/>
      <c r="G344" s="52">
        <v>7</v>
      </c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V344" s="14"/>
      <c r="W344" s="14">
        <v>1</v>
      </c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</row>
    <row r="345" spans="2:38" x14ac:dyDescent="0.3">
      <c r="B345" s="61">
        <v>332</v>
      </c>
      <c r="C345" s="50" t="s">
        <v>704</v>
      </c>
      <c r="D345" s="57" t="s">
        <v>352</v>
      </c>
      <c r="E345" s="57"/>
      <c r="F345" s="57"/>
      <c r="G345" s="52">
        <v>4</v>
      </c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V345" s="14"/>
      <c r="W345" s="14">
        <v>1</v>
      </c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</row>
    <row r="346" spans="2:38" ht="105" x14ac:dyDescent="0.3">
      <c r="B346" s="61">
        <v>333</v>
      </c>
      <c r="C346" s="50" t="s">
        <v>734</v>
      </c>
      <c r="D346" s="57" t="s">
        <v>695</v>
      </c>
      <c r="E346" s="57" t="s">
        <v>735</v>
      </c>
      <c r="F346" s="57" t="s">
        <v>736</v>
      </c>
      <c r="G346" s="52">
        <v>2</v>
      </c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V346" s="14"/>
      <c r="W346" s="14">
        <v>1</v>
      </c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</row>
    <row r="347" spans="2:38" ht="60" x14ac:dyDescent="0.3">
      <c r="B347" s="61">
        <v>334</v>
      </c>
      <c r="C347" s="50" t="s">
        <v>737</v>
      </c>
      <c r="D347" s="57" t="s">
        <v>695</v>
      </c>
      <c r="E347" s="57"/>
      <c r="F347" s="57"/>
      <c r="G347" s="52">
        <v>3</v>
      </c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V347" s="14"/>
      <c r="W347" s="14">
        <v>1</v>
      </c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</row>
    <row r="348" spans="2:38" ht="75" x14ac:dyDescent="0.3">
      <c r="B348" s="61">
        <v>335</v>
      </c>
      <c r="C348" s="50" t="s">
        <v>738</v>
      </c>
      <c r="D348" s="57" t="s">
        <v>521</v>
      </c>
      <c r="E348" s="57" t="s">
        <v>258</v>
      </c>
      <c r="F348" s="57"/>
      <c r="G348" s="52">
        <v>2</v>
      </c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V348" s="14"/>
      <c r="W348" s="14">
        <v>1</v>
      </c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</row>
    <row r="349" spans="2:38" x14ac:dyDescent="0.3">
      <c r="B349" s="61">
        <v>336</v>
      </c>
      <c r="C349" s="50" t="s">
        <v>704</v>
      </c>
      <c r="D349" s="57" t="s">
        <v>352</v>
      </c>
      <c r="E349" s="57"/>
      <c r="F349" s="57"/>
      <c r="G349" s="52">
        <v>4</v>
      </c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V349" s="14"/>
      <c r="W349" s="14">
        <v>1</v>
      </c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</row>
    <row r="350" spans="2:38" x14ac:dyDescent="0.3">
      <c r="B350" s="61">
        <v>337</v>
      </c>
      <c r="C350" s="50" t="s">
        <v>704</v>
      </c>
      <c r="D350" s="57" t="s">
        <v>352</v>
      </c>
      <c r="E350" s="57"/>
      <c r="F350" s="57"/>
      <c r="G350" s="52">
        <v>4</v>
      </c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V350" s="14"/>
      <c r="W350" s="14">
        <v>1</v>
      </c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</row>
    <row r="351" spans="2:38" x14ac:dyDescent="0.3">
      <c r="B351" s="61">
        <v>338</v>
      </c>
      <c r="C351" s="50" t="s">
        <v>704</v>
      </c>
      <c r="D351" s="57" t="s">
        <v>352</v>
      </c>
      <c r="E351" s="57"/>
      <c r="F351" s="57"/>
      <c r="G351" s="52">
        <v>3</v>
      </c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V351" s="14"/>
      <c r="W351" s="14">
        <v>1</v>
      </c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</row>
    <row r="352" spans="2:38" ht="30" x14ac:dyDescent="0.3">
      <c r="B352" s="61">
        <v>339</v>
      </c>
      <c r="C352" s="50" t="s">
        <v>739</v>
      </c>
      <c r="D352" s="57" t="s">
        <v>352</v>
      </c>
      <c r="E352" s="57" t="s">
        <v>740</v>
      </c>
      <c r="F352" s="57"/>
      <c r="G352" s="52">
        <v>6</v>
      </c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V352" s="14"/>
      <c r="W352" s="14">
        <v>1</v>
      </c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</row>
    <row r="353" spans="2:38" ht="30" x14ac:dyDescent="0.3">
      <c r="B353" s="61">
        <v>340</v>
      </c>
      <c r="C353" s="50" t="s">
        <v>741</v>
      </c>
      <c r="D353" s="57" t="s">
        <v>742</v>
      </c>
      <c r="E353" s="57" t="s">
        <v>699</v>
      </c>
      <c r="F353" s="57"/>
      <c r="G353" s="52">
        <v>8</v>
      </c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V353" s="14"/>
      <c r="W353" s="14">
        <v>1</v>
      </c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</row>
    <row r="354" spans="2:38" ht="60" x14ac:dyDescent="0.3">
      <c r="B354" s="61">
        <v>341</v>
      </c>
      <c r="C354" s="50" t="s">
        <v>743</v>
      </c>
      <c r="D354" s="57" t="s">
        <v>719</v>
      </c>
      <c r="E354" s="57" t="s">
        <v>722</v>
      </c>
      <c r="F354" s="57" t="s">
        <v>699</v>
      </c>
      <c r="G354" s="52">
        <v>8</v>
      </c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V354" s="14"/>
      <c r="W354" s="14">
        <v>1</v>
      </c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</row>
    <row r="355" spans="2:38" x14ac:dyDescent="0.3">
      <c r="B355" s="61">
        <v>342</v>
      </c>
      <c r="C355" s="50" t="s">
        <v>744</v>
      </c>
      <c r="D355" s="57" t="s">
        <v>699</v>
      </c>
      <c r="E355" s="57"/>
      <c r="F355" s="57"/>
      <c r="G355" s="52">
        <v>10</v>
      </c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V355" s="14"/>
      <c r="W355" s="14">
        <v>1</v>
      </c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</row>
    <row r="356" spans="2:38" x14ac:dyDescent="0.3">
      <c r="B356" s="61">
        <v>343</v>
      </c>
      <c r="C356" s="50" t="s">
        <v>744</v>
      </c>
      <c r="D356" s="57" t="s">
        <v>699</v>
      </c>
      <c r="E356" s="57"/>
      <c r="F356" s="57"/>
      <c r="G356" s="52">
        <v>8</v>
      </c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V356" s="14"/>
      <c r="W356" s="14">
        <v>1</v>
      </c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</row>
    <row r="357" spans="2:38" x14ac:dyDescent="0.3">
      <c r="B357" s="61">
        <v>344</v>
      </c>
      <c r="C357" s="50" t="s">
        <v>707</v>
      </c>
      <c r="D357" s="57" t="s">
        <v>699</v>
      </c>
      <c r="E357" s="57"/>
      <c r="F357" s="57"/>
      <c r="G357" s="52">
        <v>16</v>
      </c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V357" s="14"/>
      <c r="W357" s="14">
        <v>1</v>
      </c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</row>
    <row r="358" spans="2:38" ht="45" x14ac:dyDescent="0.3">
      <c r="B358" s="61">
        <v>345</v>
      </c>
      <c r="C358" s="50" t="s">
        <v>745</v>
      </c>
      <c r="D358" s="57" t="s">
        <v>699</v>
      </c>
      <c r="E358" s="57" t="s">
        <v>746</v>
      </c>
      <c r="F358" s="57"/>
      <c r="G358" s="52">
        <v>10</v>
      </c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V358" s="14"/>
      <c r="W358" s="14">
        <v>1</v>
      </c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</row>
    <row r="359" spans="2:38" ht="30" x14ac:dyDescent="0.3">
      <c r="B359" s="61">
        <v>346</v>
      </c>
      <c r="C359" s="50" t="s">
        <v>700</v>
      </c>
      <c r="D359" s="57" t="s">
        <v>701</v>
      </c>
      <c r="E359" s="57"/>
      <c r="F359" s="57"/>
      <c r="G359" s="52">
        <v>13</v>
      </c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V359" s="14"/>
      <c r="W359" s="14">
        <v>1</v>
      </c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</row>
    <row r="360" spans="2:38" x14ac:dyDescent="0.3">
      <c r="B360" s="61">
        <v>347</v>
      </c>
      <c r="C360" s="50" t="s">
        <v>744</v>
      </c>
      <c r="D360" s="57" t="s">
        <v>699</v>
      </c>
      <c r="E360" s="57"/>
      <c r="F360" s="57"/>
      <c r="G360" s="52">
        <v>7</v>
      </c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V360" s="14"/>
      <c r="W360" s="14">
        <v>1</v>
      </c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</row>
    <row r="361" spans="2:38" ht="90" x14ac:dyDescent="0.3">
      <c r="B361" s="61">
        <v>348</v>
      </c>
      <c r="C361" s="50" t="s">
        <v>747</v>
      </c>
      <c r="D361" s="57" t="s">
        <v>416</v>
      </c>
      <c r="E361" s="57" t="s">
        <v>363</v>
      </c>
      <c r="F361" s="57" t="s">
        <v>324</v>
      </c>
      <c r="G361" s="52">
        <v>1</v>
      </c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V361" s="14"/>
      <c r="W361" s="14">
        <v>1</v>
      </c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</row>
    <row r="362" spans="2:38" ht="45" x14ac:dyDescent="0.3">
      <c r="B362" s="61">
        <v>349</v>
      </c>
      <c r="C362" s="50" t="s">
        <v>748</v>
      </c>
      <c r="D362" s="57" t="s">
        <v>749</v>
      </c>
      <c r="E362" s="57"/>
      <c r="F362" s="57"/>
      <c r="G362" s="52">
        <v>9</v>
      </c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V362" s="14"/>
      <c r="W362" s="14">
        <v>1</v>
      </c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</row>
    <row r="363" spans="2:38" ht="30" x14ac:dyDescent="0.3">
      <c r="B363" s="61">
        <v>350</v>
      </c>
      <c r="C363" s="50" t="s">
        <v>750</v>
      </c>
      <c r="D363" s="57" t="s">
        <v>416</v>
      </c>
      <c r="E363" s="57" t="s">
        <v>751</v>
      </c>
      <c r="F363" s="57"/>
      <c r="G363" s="52">
        <v>4</v>
      </c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V363" s="14"/>
      <c r="W363" s="14">
        <v>1</v>
      </c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</row>
    <row r="364" spans="2:38" ht="30" x14ac:dyDescent="0.3">
      <c r="B364" s="61">
        <v>351</v>
      </c>
      <c r="C364" s="50" t="s">
        <v>752</v>
      </c>
      <c r="D364" s="57" t="s">
        <v>753</v>
      </c>
      <c r="E364" s="57" t="s">
        <v>352</v>
      </c>
      <c r="F364" s="57"/>
      <c r="G364" s="52">
        <v>10</v>
      </c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V364" s="14"/>
      <c r="W364" s="14">
        <v>1</v>
      </c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</row>
    <row r="365" spans="2:38" x14ac:dyDescent="0.3">
      <c r="B365" s="61">
        <v>352</v>
      </c>
      <c r="C365" s="50" t="s">
        <v>754</v>
      </c>
      <c r="D365" s="57" t="s">
        <v>552</v>
      </c>
      <c r="E365" s="57"/>
      <c r="F365" s="57"/>
      <c r="G365" s="52">
        <v>4</v>
      </c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V365" s="14"/>
      <c r="W365" s="14">
        <v>1</v>
      </c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</row>
    <row r="366" spans="2:38" ht="30" x14ac:dyDescent="0.3">
      <c r="B366" s="61">
        <v>353</v>
      </c>
      <c r="C366" s="50" t="s">
        <v>755</v>
      </c>
      <c r="D366" s="57" t="s">
        <v>392</v>
      </c>
      <c r="E366" s="57" t="s">
        <v>756</v>
      </c>
      <c r="F366" s="57"/>
      <c r="G366" s="52">
        <v>3</v>
      </c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V366" s="14"/>
      <c r="W366" s="14">
        <v>1</v>
      </c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</row>
    <row r="367" spans="2:38" ht="30" x14ac:dyDescent="0.3">
      <c r="B367" s="61">
        <v>354</v>
      </c>
      <c r="C367" s="50" t="s">
        <v>755</v>
      </c>
      <c r="D367" s="57" t="s">
        <v>392</v>
      </c>
      <c r="E367" s="57" t="s">
        <v>756</v>
      </c>
      <c r="F367" s="57"/>
      <c r="G367" s="52">
        <v>2</v>
      </c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V367" s="14"/>
      <c r="W367" s="14">
        <v>1</v>
      </c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</row>
    <row r="368" spans="2:38" x14ac:dyDescent="0.3">
      <c r="B368" s="61">
        <v>355</v>
      </c>
      <c r="C368" s="50" t="s">
        <v>757</v>
      </c>
      <c r="D368" s="57" t="s">
        <v>706</v>
      </c>
      <c r="E368" s="57"/>
      <c r="F368" s="57"/>
      <c r="G368" s="52">
        <v>20</v>
      </c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V368" s="14"/>
      <c r="W368" s="14">
        <v>1</v>
      </c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</row>
    <row r="369" spans="2:38" x14ac:dyDescent="0.3">
      <c r="B369" s="61">
        <v>356</v>
      </c>
      <c r="C369" s="50" t="s">
        <v>758</v>
      </c>
      <c r="D369" s="57" t="s">
        <v>521</v>
      </c>
      <c r="E369" s="57"/>
      <c r="F369" s="57"/>
      <c r="G369" s="52">
        <v>2</v>
      </c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V369" s="14"/>
      <c r="W369" s="14">
        <v>1</v>
      </c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</row>
    <row r="370" spans="2:38" ht="60" x14ac:dyDescent="0.3">
      <c r="B370" s="61">
        <v>357</v>
      </c>
      <c r="C370" s="50" t="s">
        <v>759</v>
      </c>
      <c r="D370" s="57" t="s">
        <v>352</v>
      </c>
      <c r="E370" s="57" t="s">
        <v>760</v>
      </c>
      <c r="F370" s="57"/>
      <c r="G370" s="52">
        <v>5</v>
      </c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V370" s="14"/>
      <c r="W370" s="14">
        <v>1</v>
      </c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</row>
    <row r="371" spans="2:38" ht="60" x14ac:dyDescent="0.3">
      <c r="B371" s="61">
        <v>358</v>
      </c>
      <c r="C371" s="50" t="s">
        <v>733</v>
      </c>
      <c r="D371" s="57" t="s">
        <v>760</v>
      </c>
      <c r="E371" s="57"/>
      <c r="F371" s="57"/>
      <c r="G371" s="52">
        <v>2</v>
      </c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V371" s="14"/>
      <c r="W371" s="14">
        <v>1</v>
      </c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</row>
    <row r="372" spans="2:38" ht="75" x14ac:dyDescent="0.3">
      <c r="B372" s="61">
        <v>359</v>
      </c>
      <c r="C372" s="50" t="s">
        <v>761</v>
      </c>
      <c r="D372" s="57" t="s">
        <v>352</v>
      </c>
      <c r="E372" s="57" t="s">
        <v>760</v>
      </c>
      <c r="F372" s="57"/>
      <c r="G372" s="52">
        <v>4</v>
      </c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V372" s="14"/>
      <c r="W372" s="14">
        <v>1</v>
      </c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</row>
    <row r="373" spans="2:38" ht="45" x14ac:dyDescent="0.3">
      <c r="B373" s="61">
        <v>360</v>
      </c>
      <c r="C373" s="50" t="s">
        <v>762</v>
      </c>
      <c r="D373" s="57" t="s">
        <v>763</v>
      </c>
      <c r="E373" s="57"/>
      <c r="F373" s="57"/>
      <c r="G373" s="52">
        <v>4</v>
      </c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V373" s="14"/>
      <c r="W373" s="14">
        <v>1</v>
      </c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</row>
    <row r="374" spans="2:38" ht="90" x14ac:dyDescent="0.3">
      <c r="B374" s="61">
        <v>361</v>
      </c>
      <c r="C374" s="50" t="s">
        <v>764</v>
      </c>
      <c r="D374" s="57" t="s">
        <v>760</v>
      </c>
      <c r="E374" s="57" t="s">
        <v>765</v>
      </c>
      <c r="F374" s="57"/>
      <c r="G374" s="52">
        <v>3</v>
      </c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V374" s="14"/>
      <c r="W374" s="14">
        <v>1</v>
      </c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</row>
    <row r="375" spans="2:38" ht="60" x14ac:dyDescent="0.3">
      <c r="B375" s="61">
        <v>362</v>
      </c>
      <c r="C375" s="50" t="s">
        <v>733</v>
      </c>
      <c r="D375" s="57" t="s">
        <v>760</v>
      </c>
      <c r="E375" s="57"/>
      <c r="F375" s="57"/>
      <c r="G375" s="52">
        <v>3</v>
      </c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V375" s="14"/>
      <c r="W375" s="14">
        <v>1</v>
      </c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</row>
    <row r="376" spans="2:38" ht="45" x14ac:dyDescent="0.3">
      <c r="B376" s="61">
        <v>363</v>
      </c>
      <c r="C376" s="50" t="s">
        <v>766</v>
      </c>
      <c r="D376" s="57" t="s">
        <v>416</v>
      </c>
      <c r="E376" s="57" t="s">
        <v>767</v>
      </c>
      <c r="F376" s="57"/>
      <c r="G376" s="52">
        <v>11</v>
      </c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V376" s="14"/>
      <c r="W376" s="14">
        <v>1</v>
      </c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</row>
    <row r="377" spans="2:38" x14ac:dyDescent="0.3">
      <c r="B377" s="61">
        <v>364</v>
      </c>
      <c r="C377" s="50" t="s">
        <v>704</v>
      </c>
      <c r="D377" s="57" t="s">
        <v>352</v>
      </c>
      <c r="E377" s="57"/>
      <c r="F377" s="57"/>
      <c r="G377" s="52">
        <v>7</v>
      </c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V377" s="14"/>
      <c r="W377" s="14">
        <v>1</v>
      </c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</row>
    <row r="378" spans="2:38" ht="30" x14ac:dyDescent="0.3">
      <c r="B378" s="61">
        <v>365</v>
      </c>
      <c r="C378" s="50" t="s">
        <v>768</v>
      </c>
      <c r="D378" s="57" t="s">
        <v>769</v>
      </c>
      <c r="E378" s="57"/>
      <c r="F378" s="57"/>
      <c r="G378" s="52">
        <v>16</v>
      </c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V378" s="14"/>
      <c r="W378" s="14">
        <v>1</v>
      </c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</row>
    <row r="379" spans="2:38" ht="45" x14ac:dyDescent="0.3">
      <c r="B379" s="61">
        <v>366</v>
      </c>
      <c r="C379" s="50" t="s">
        <v>770</v>
      </c>
      <c r="D379" s="57" t="s">
        <v>301</v>
      </c>
      <c r="E379" s="57"/>
      <c r="F379" s="57"/>
      <c r="G379" s="52">
        <v>5</v>
      </c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V379" s="14"/>
      <c r="W379" s="14">
        <v>1</v>
      </c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</row>
    <row r="380" spans="2:38" ht="45" x14ac:dyDescent="0.3">
      <c r="B380" s="61">
        <v>367</v>
      </c>
      <c r="C380" s="50" t="s">
        <v>771</v>
      </c>
      <c r="D380" s="57" t="s">
        <v>719</v>
      </c>
      <c r="E380" s="57" t="s">
        <v>699</v>
      </c>
      <c r="F380" s="57"/>
      <c r="G380" s="52">
        <v>19</v>
      </c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V380" s="14"/>
      <c r="W380" s="14">
        <v>1</v>
      </c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</row>
    <row r="381" spans="2:38" ht="120" x14ac:dyDescent="0.3">
      <c r="B381" s="61">
        <v>368</v>
      </c>
      <c r="C381" s="50" t="s">
        <v>772</v>
      </c>
      <c r="D381" s="57" t="s">
        <v>720</v>
      </c>
      <c r="E381" s="57" t="s">
        <v>719</v>
      </c>
      <c r="F381" s="57" t="s">
        <v>722</v>
      </c>
      <c r="G381" s="52">
        <v>51</v>
      </c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V381" s="14"/>
      <c r="W381" s="14">
        <v>1</v>
      </c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</row>
    <row r="382" spans="2:38" ht="60" x14ac:dyDescent="0.3">
      <c r="B382" s="61">
        <v>369</v>
      </c>
      <c r="C382" s="50" t="s">
        <v>773</v>
      </c>
      <c r="D382" s="57" t="s">
        <v>699</v>
      </c>
      <c r="E382" s="57" t="s">
        <v>722</v>
      </c>
      <c r="F382" s="57" t="s">
        <v>774</v>
      </c>
      <c r="G382" s="52">
        <v>15</v>
      </c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V382" s="14"/>
      <c r="W382" s="14">
        <v>1</v>
      </c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</row>
    <row r="383" spans="2:38" ht="45" x14ac:dyDescent="0.3">
      <c r="B383" s="61">
        <v>370</v>
      </c>
      <c r="C383" s="50" t="s">
        <v>775</v>
      </c>
      <c r="D383" s="57" t="s">
        <v>701</v>
      </c>
      <c r="E383" s="57"/>
      <c r="F383" s="57"/>
      <c r="G383" s="52">
        <v>8</v>
      </c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V383" s="14"/>
      <c r="W383" s="14">
        <v>1</v>
      </c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</row>
    <row r="384" spans="2:38" ht="30" x14ac:dyDescent="0.3">
      <c r="B384" s="61">
        <v>371</v>
      </c>
      <c r="C384" s="50" t="s">
        <v>776</v>
      </c>
      <c r="D384" s="57" t="s">
        <v>699</v>
      </c>
      <c r="E384" s="57"/>
      <c r="F384" s="57"/>
      <c r="G384" s="52">
        <v>14</v>
      </c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V384" s="14"/>
      <c r="W384" s="14">
        <v>1</v>
      </c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</row>
    <row r="385" spans="2:38" x14ac:dyDescent="0.3">
      <c r="B385" s="61">
        <v>372</v>
      </c>
      <c r="C385" s="50" t="s">
        <v>744</v>
      </c>
      <c r="D385" s="57" t="s">
        <v>699</v>
      </c>
      <c r="E385" s="57"/>
      <c r="F385" s="57"/>
      <c r="G385" s="52">
        <v>24</v>
      </c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V385" s="14"/>
      <c r="W385" s="14">
        <v>1</v>
      </c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</row>
    <row r="386" spans="2:38" x14ac:dyDescent="0.3">
      <c r="B386" s="61">
        <v>373</v>
      </c>
      <c r="C386" s="50" t="s">
        <v>777</v>
      </c>
      <c r="D386" s="57" t="s">
        <v>699</v>
      </c>
      <c r="E386" s="57"/>
      <c r="F386" s="57"/>
      <c r="G386" s="52">
        <v>4</v>
      </c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V386" s="14"/>
      <c r="W386" s="14">
        <v>1</v>
      </c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</row>
    <row r="387" spans="2:38" x14ac:dyDescent="0.3">
      <c r="B387" s="61">
        <v>374</v>
      </c>
      <c r="C387" s="50" t="s">
        <v>744</v>
      </c>
      <c r="D387" s="57" t="s">
        <v>699</v>
      </c>
      <c r="E387" s="57"/>
      <c r="F387" s="57"/>
      <c r="G387" s="52">
        <v>7</v>
      </c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V387" s="14"/>
      <c r="W387" s="14">
        <v>1</v>
      </c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</row>
    <row r="388" spans="2:38" ht="105" x14ac:dyDescent="0.3">
      <c r="B388" s="61">
        <v>375</v>
      </c>
      <c r="C388" s="50" t="s">
        <v>778</v>
      </c>
      <c r="D388" s="57" t="s">
        <v>507</v>
      </c>
      <c r="E388" s="57" t="s">
        <v>363</v>
      </c>
      <c r="F388" s="57" t="s">
        <v>779</v>
      </c>
      <c r="G388" s="52">
        <v>8</v>
      </c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V388" s="14"/>
      <c r="W388" s="14">
        <v>1</v>
      </c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</row>
    <row r="389" spans="2:38" ht="270" x14ac:dyDescent="0.3">
      <c r="B389" s="61">
        <v>376</v>
      </c>
      <c r="C389" s="50" t="s">
        <v>780</v>
      </c>
      <c r="D389" s="57" t="s">
        <v>781</v>
      </c>
      <c r="E389" s="57" t="s">
        <v>782</v>
      </c>
      <c r="F389" s="57" t="s">
        <v>783</v>
      </c>
      <c r="G389" s="52">
        <v>0</v>
      </c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V389" s="14"/>
      <c r="W389" s="14">
        <v>1</v>
      </c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</row>
    <row r="390" spans="2:38" ht="60" x14ac:dyDescent="0.3">
      <c r="B390" s="61">
        <v>377</v>
      </c>
      <c r="C390" s="50" t="s">
        <v>784</v>
      </c>
      <c r="D390" s="57" t="s">
        <v>581</v>
      </c>
      <c r="E390" s="57" t="s">
        <v>785</v>
      </c>
      <c r="F390" s="57" t="s">
        <v>405</v>
      </c>
      <c r="G390" s="52">
        <v>2</v>
      </c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V390" s="14"/>
      <c r="W390" s="14">
        <v>1</v>
      </c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</row>
    <row r="391" spans="2:38" ht="135" x14ac:dyDescent="0.3">
      <c r="B391" s="61">
        <v>378</v>
      </c>
      <c r="C391" s="50" t="s">
        <v>786</v>
      </c>
      <c r="D391" s="57" t="s">
        <v>416</v>
      </c>
      <c r="E391" s="57"/>
      <c r="F391" s="57" t="s">
        <v>787</v>
      </c>
      <c r="G391" s="52">
        <v>2</v>
      </c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V391" s="14"/>
      <c r="W391" s="14">
        <v>1</v>
      </c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</row>
    <row r="392" spans="2:38" ht="60" x14ac:dyDescent="0.3">
      <c r="B392" s="61">
        <v>379</v>
      </c>
      <c r="C392" s="50" t="s">
        <v>788</v>
      </c>
      <c r="D392" s="57" t="s">
        <v>718</v>
      </c>
      <c r="E392" s="57" t="s">
        <v>789</v>
      </c>
      <c r="F392" s="57" t="s">
        <v>790</v>
      </c>
      <c r="G392" s="52">
        <v>2</v>
      </c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V392" s="14"/>
      <c r="W392" s="14">
        <v>1</v>
      </c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</row>
    <row r="393" spans="2:38" ht="90" x14ac:dyDescent="0.3">
      <c r="B393" s="61">
        <v>380</v>
      </c>
      <c r="C393" s="50" t="s">
        <v>791</v>
      </c>
      <c r="D393" s="57" t="s">
        <v>699</v>
      </c>
      <c r="E393" s="57" t="s">
        <v>719</v>
      </c>
      <c r="F393" s="57" t="s">
        <v>792</v>
      </c>
      <c r="G393" s="52">
        <v>15</v>
      </c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V393" s="14"/>
      <c r="W393" s="14">
        <v>1</v>
      </c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</row>
    <row r="394" spans="2:38" x14ac:dyDescent="0.3">
      <c r="B394" s="61">
        <v>381</v>
      </c>
      <c r="C394" s="50" t="s">
        <v>707</v>
      </c>
      <c r="D394" s="57" t="s">
        <v>699</v>
      </c>
      <c r="E394" s="57"/>
      <c r="F394" s="57"/>
      <c r="G394" s="52">
        <v>6</v>
      </c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V394" s="14"/>
      <c r="W394" s="14">
        <v>1</v>
      </c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</row>
    <row r="395" spans="2:38" ht="45" x14ac:dyDescent="0.3">
      <c r="B395" s="61">
        <v>382</v>
      </c>
      <c r="C395" s="50" t="s">
        <v>770</v>
      </c>
      <c r="D395" s="57" t="s">
        <v>301</v>
      </c>
      <c r="E395" s="57"/>
      <c r="F395" s="57"/>
      <c r="G395" s="52">
        <v>5</v>
      </c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V395" s="14"/>
      <c r="W395" s="14">
        <v>1</v>
      </c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</row>
    <row r="396" spans="2:38" x14ac:dyDescent="0.3">
      <c r="B396" s="61">
        <v>383</v>
      </c>
      <c r="C396" s="50" t="s">
        <v>704</v>
      </c>
      <c r="D396" s="57" t="s">
        <v>352</v>
      </c>
      <c r="E396" s="57"/>
      <c r="F396" s="57"/>
      <c r="G396" s="52">
        <v>2</v>
      </c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V396" s="14"/>
      <c r="W396" s="14">
        <v>1</v>
      </c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</row>
    <row r="397" spans="2:38" ht="60" x14ac:dyDescent="0.3">
      <c r="B397" s="61">
        <v>384</v>
      </c>
      <c r="C397" s="50" t="s">
        <v>793</v>
      </c>
      <c r="D397" s="57" t="s">
        <v>760</v>
      </c>
      <c r="E397" s="57"/>
      <c r="F397" s="57"/>
      <c r="G397" s="52">
        <v>2</v>
      </c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V397" s="14"/>
      <c r="W397" s="14">
        <v>1</v>
      </c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</row>
    <row r="398" spans="2:38" ht="60" x14ac:dyDescent="0.3">
      <c r="B398" s="61">
        <v>385</v>
      </c>
      <c r="C398" s="50" t="s">
        <v>794</v>
      </c>
      <c r="D398" s="57" t="s">
        <v>521</v>
      </c>
      <c r="E398" s="57" t="s">
        <v>385</v>
      </c>
      <c r="F398" s="57"/>
      <c r="G398" s="52">
        <v>2</v>
      </c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V398" s="14"/>
      <c r="W398" s="14">
        <v>1</v>
      </c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</row>
    <row r="399" spans="2:38" ht="60" x14ac:dyDescent="0.3">
      <c r="B399" s="61">
        <v>386</v>
      </c>
      <c r="C399" s="50" t="s">
        <v>795</v>
      </c>
      <c r="D399" s="57" t="s">
        <v>690</v>
      </c>
      <c r="E399" s="57" t="s">
        <v>582</v>
      </c>
      <c r="F399" s="57"/>
      <c r="G399" s="52">
        <v>2</v>
      </c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V399" s="14"/>
      <c r="W399" s="14">
        <v>1</v>
      </c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</row>
    <row r="400" spans="2:38" ht="45" x14ac:dyDescent="0.3">
      <c r="B400" s="61">
        <v>387</v>
      </c>
      <c r="C400" s="50" t="s">
        <v>796</v>
      </c>
      <c r="D400" s="57" t="s">
        <v>309</v>
      </c>
      <c r="E400" s="57" t="s">
        <v>659</v>
      </c>
      <c r="F400" s="57"/>
      <c r="G400" s="52">
        <v>5</v>
      </c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V400" s="14"/>
      <c r="W400" s="14">
        <v>1</v>
      </c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</row>
    <row r="401" spans="2:38" ht="60" x14ac:dyDescent="0.3">
      <c r="B401" s="61">
        <v>388</v>
      </c>
      <c r="C401" s="50" t="s">
        <v>797</v>
      </c>
      <c r="D401" s="57" t="s">
        <v>798</v>
      </c>
      <c r="E401" s="57" t="s">
        <v>320</v>
      </c>
      <c r="F401" s="57"/>
      <c r="G401" s="52">
        <v>2</v>
      </c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V401" s="14"/>
      <c r="W401" s="14">
        <v>1</v>
      </c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</row>
    <row r="402" spans="2:38" ht="60" x14ac:dyDescent="0.3">
      <c r="B402" s="61">
        <v>389</v>
      </c>
      <c r="C402" s="50" t="s">
        <v>799</v>
      </c>
      <c r="D402" s="57" t="s">
        <v>463</v>
      </c>
      <c r="E402" s="57" t="s">
        <v>800</v>
      </c>
      <c r="F402" s="57"/>
      <c r="G402" s="52">
        <v>7</v>
      </c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V402" s="14"/>
      <c r="W402" s="14">
        <v>1</v>
      </c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</row>
    <row r="403" spans="2:38" ht="75" x14ac:dyDescent="0.3">
      <c r="B403" s="61">
        <v>390</v>
      </c>
      <c r="C403" s="50" t="s">
        <v>801</v>
      </c>
      <c r="D403" s="57" t="s">
        <v>699</v>
      </c>
      <c r="E403" s="57" t="s">
        <v>718</v>
      </c>
      <c r="F403" s="57" t="s">
        <v>802</v>
      </c>
      <c r="G403" s="52">
        <v>12</v>
      </c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V403" s="14"/>
      <c r="W403" s="14">
        <v>1</v>
      </c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</row>
    <row r="404" spans="2:38" ht="135" x14ac:dyDescent="0.3">
      <c r="B404" s="61">
        <v>391</v>
      </c>
      <c r="C404" s="50" t="s">
        <v>803</v>
      </c>
      <c r="D404" s="57" t="s">
        <v>720</v>
      </c>
      <c r="E404" s="57" t="s">
        <v>701</v>
      </c>
      <c r="F404" s="57" t="s">
        <v>804</v>
      </c>
      <c r="G404" s="52">
        <v>128</v>
      </c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V404" s="14"/>
      <c r="W404" s="14">
        <v>1</v>
      </c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</row>
    <row r="405" spans="2:38" ht="75" x14ac:dyDescent="0.3">
      <c r="B405" s="61">
        <v>392</v>
      </c>
      <c r="C405" s="50" t="s">
        <v>805</v>
      </c>
      <c r="D405" s="57" t="s">
        <v>719</v>
      </c>
      <c r="E405" s="57" t="s">
        <v>699</v>
      </c>
      <c r="F405" s="57" t="s">
        <v>722</v>
      </c>
      <c r="G405" s="52">
        <v>38</v>
      </c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V405" s="14"/>
      <c r="W405" s="14">
        <v>1</v>
      </c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</row>
    <row r="406" spans="2:38" ht="165" x14ac:dyDescent="0.3">
      <c r="B406" s="61">
        <v>393</v>
      </c>
      <c r="C406" s="50" t="s">
        <v>806</v>
      </c>
      <c r="D406" s="57" t="s">
        <v>695</v>
      </c>
      <c r="E406" s="57" t="s">
        <v>779</v>
      </c>
      <c r="F406" s="57" t="s">
        <v>579</v>
      </c>
      <c r="G406" s="52">
        <v>3</v>
      </c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V406" s="14"/>
      <c r="W406" s="14">
        <v>1</v>
      </c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</row>
    <row r="407" spans="2:38" ht="150" x14ac:dyDescent="0.3">
      <c r="B407" s="61">
        <v>394</v>
      </c>
      <c r="C407" s="50" t="s">
        <v>807</v>
      </c>
      <c r="D407" s="57" t="s">
        <v>695</v>
      </c>
      <c r="E407" s="57" t="s">
        <v>498</v>
      </c>
      <c r="F407" s="57" t="s">
        <v>643</v>
      </c>
      <c r="G407" s="52">
        <v>3</v>
      </c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V407" s="14"/>
      <c r="W407" s="14">
        <v>1</v>
      </c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</row>
    <row r="408" spans="2:38" x14ac:dyDescent="0.3">
      <c r="B408" s="61">
        <v>395</v>
      </c>
      <c r="C408" s="50" t="s">
        <v>744</v>
      </c>
      <c r="D408" s="57" t="s">
        <v>363</v>
      </c>
      <c r="E408" s="57"/>
      <c r="F408" s="57"/>
      <c r="G408" s="52">
        <v>6</v>
      </c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V408" s="14"/>
      <c r="W408" s="14">
        <v>1</v>
      </c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</row>
    <row r="409" spans="2:38" ht="45" x14ac:dyDescent="0.3">
      <c r="B409" s="61">
        <v>396</v>
      </c>
      <c r="C409" s="50" t="s">
        <v>762</v>
      </c>
      <c r="D409" s="57" t="s">
        <v>763</v>
      </c>
      <c r="E409" s="57"/>
      <c r="F409" s="57"/>
      <c r="G409" s="52">
        <v>3</v>
      </c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V409" s="14"/>
      <c r="W409" s="14">
        <v>1</v>
      </c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</row>
    <row r="410" spans="2:38" ht="60" x14ac:dyDescent="0.3">
      <c r="B410" s="61">
        <v>397</v>
      </c>
      <c r="C410" s="50" t="s">
        <v>733</v>
      </c>
      <c r="D410" s="57" t="s">
        <v>695</v>
      </c>
      <c r="E410" s="57"/>
      <c r="F410" s="57"/>
      <c r="G410" s="52">
        <v>2</v>
      </c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V410" s="14"/>
      <c r="W410" s="14">
        <v>1</v>
      </c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</row>
    <row r="411" spans="2:38" x14ac:dyDescent="0.3">
      <c r="B411" s="61">
        <v>398</v>
      </c>
      <c r="C411" s="50" t="s">
        <v>704</v>
      </c>
      <c r="D411" s="57" t="s">
        <v>352</v>
      </c>
      <c r="E411" s="57"/>
      <c r="F411" s="57"/>
      <c r="G411" s="52">
        <v>7</v>
      </c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V411" s="14"/>
      <c r="W411" s="14">
        <v>1</v>
      </c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</row>
    <row r="412" spans="2:38" ht="30" x14ac:dyDescent="0.3">
      <c r="B412" s="61">
        <v>399</v>
      </c>
      <c r="C412" s="50" t="s">
        <v>808</v>
      </c>
      <c r="D412" s="57" t="s">
        <v>352</v>
      </c>
      <c r="E412" s="57"/>
      <c r="F412" s="57" t="s">
        <v>751</v>
      </c>
      <c r="G412" s="52">
        <v>3</v>
      </c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V412" s="14"/>
      <c r="W412" s="14">
        <v>1</v>
      </c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</row>
    <row r="413" spans="2:38" ht="45" x14ac:dyDescent="0.3">
      <c r="B413" s="61">
        <v>400</v>
      </c>
      <c r="C413" s="50" t="s">
        <v>809</v>
      </c>
      <c r="D413" s="57" t="s">
        <v>810</v>
      </c>
      <c r="E413" s="57" t="s">
        <v>811</v>
      </c>
      <c r="F413" s="57"/>
      <c r="G413" s="52">
        <v>2</v>
      </c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V413" s="14"/>
      <c r="W413" s="14">
        <v>1</v>
      </c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</row>
    <row r="414" spans="2:38" ht="75" x14ac:dyDescent="0.3">
      <c r="B414" s="61">
        <v>401</v>
      </c>
      <c r="C414" s="50" t="s">
        <v>812</v>
      </c>
      <c r="D414" s="57" t="s">
        <v>309</v>
      </c>
      <c r="E414" s="57" t="s">
        <v>813</v>
      </c>
      <c r="F414" s="57" t="s">
        <v>814</v>
      </c>
      <c r="G414" s="52">
        <v>6</v>
      </c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V414" s="14"/>
      <c r="W414" s="14">
        <v>1</v>
      </c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</row>
    <row r="415" spans="2:38" ht="45" x14ac:dyDescent="0.3">
      <c r="B415" s="61">
        <v>402</v>
      </c>
      <c r="C415" s="50" t="s">
        <v>815</v>
      </c>
      <c r="D415" s="57" t="s">
        <v>699</v>
      </c>
      <c r="E415" s="57" t="s">
        <v>816</v>
      </c>
      <c r="F415" s="57" t="s">
        <v>817</v>
      </c>
      <c r="G415" s="52">
        <v>13</v>
      </c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V415" s="14"/>
      <c r="W415" s="14">
        <v>1</v>
      </c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</row>
    <row r="416" spans="2:38" ht="45" x14ac:dyDescent="0.3">
      <c r="B416" s="61">
        <v>403</v>
      </c>
      <c r="C416" s="50" t="s">
        <v>818</v>
      </c>
      <c r="D416" s="57" t="s">
        <v>719</v>
      </c>
      <c r="E416" s="57" t="s">
        <v>718</v>
      </c>
      <c r="F416" s="57"/>
      <c r="G416" s="52">
        <v>9</v>
      </c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V416" s="14"/>
      <c r="W416" s="14">
        <v>1</v>
      </c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</row>
    <row r="417" spans="2:38" ht="30" x14ac:dyDescent="0.3">
      <c r="B417" s="61">
        <v>404</v>
      </c>
      <c r="C417" s="50" t="s">
        <v>700</v>
      </c>
      <c r="D417" s="57" t="s">
        <v>701</v>
      </c>
      <c r="E417" s="57"/>
      <c r="F417" s="57"/>
      <c r="G417" s="52">
        <v>16</v>
      </c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V417" s="14"/>
      <c r="W417" s="14">
        <v>1</v>
      </c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</row>
    <row r="418" spans="2:38" x14ac:dyDescent="0.3">
      <c r="B418" s="61">
        <v>405</v>
      </c>
      <c r="C418" s="50" t="s">
        <v>744</v>
      </c>
      <c r="D418" s="57" t="s">
        <v>699</v>
      </c>
      <c r="E418" s="57"/>
      <c r="F418" s="57"/>
      <c r="G418" s="52">
        <v>7</v>
      </c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V418" s="14"/>
      <c r="W418" s="14">
        <v>1</v>
      </c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</row>
    <row r="419" spans="2:38" ht="30" x14ac:dyDescent="0.3">
      <c r="B419" s="61">
        <v>406</v>
      </c>
      <c r="C419" s="50" t="s">
        <v>819</v>
      </c>
      <c r="D419" s="57" t="s">
        <v>802</v>
      </c>
      <c r="E419" s="57"/>
      <c r="F419" s="57"/>
      <c r="G419" s="52">
        <v>0</v>
      </c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V419" s="14"/>
      <c r="W419" s="14">
        <v>1</v>
      </c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</row>
    <row r="420" spans="2:38" ht="60" x14ac:dyDescent="0.3">
      <c r="B420" s="61">
        <v>407</v>
      </c>
      <c r="C420" s="50" t="s">
        <v>820</v>
      </c>
      <c r="D420" s="51" t="s">
        <v>821</v>
      </c>
      <c r="E420" s="51" t="s">
        <v>822</v>
      </c>
      <c r="F420" s="51" t="s">
        <v>374</v>
      </c>
      <c r="G420" s="51">
        <v>11</v>
      </c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V420" s="14"/>
      <c r="W420" s="14"/>
      <c r="X420" s="14">
        <v>1</v>
      </c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</row>
    <row r="421" spans="2:38" ht="30" x14ac:dyDescent="0.3">
      <c r="B421" s="61">
        <v>408</v>
      </c>
      <c r="C421" s="50" t="s">
        <v>823</v>
      </c>
      <c r="D421" s="51" t="s">
        <v>301</v>
      </c>
      <c r="E421" s="51" t="s">
        <v>824</v>
      </c>
      <c r="F421" s="51" t="s">
        <v>825</v>
      </c>
      <c r="G421" s="51">
        <v>21</v>
      </c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V421" s="14"/>
      <c r="W421" s="14"/>
      <c r="X421" s="14">
        <v>1</v>
      </c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</row>
    <row r="422" spans="2:38" x14ac:dyDescent="0.3">
      <c r="B422" s="61">
        <v>409</v>
      </c>
      <c r="C422" s="50" t="s">
        <v>826</v>
      </c>
      <c r="D422" s="51" t="s">
        <v>827</v>
      </c>
      <c r="E422" s="51"/>
      <c r="F422" s="51"/>
      <c r="G422" s="51">
        <v>3</v>
      </c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V422" s="14"/>
      <c r="W422" s="14"/>
      <c r="X422" s="14">
        <v>1</v>
      </c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</row>
    <row r="423" spans="2:38" x14ac:dyDescent="0.3">
      <c r="B423" s="61">
        <v>410</v>
      </c>
      <c r="C423" s="50" t="s">
        <v>828</v>
      </c>
      <c r="D423" s="51" t="s">
        <v>829</v>
      </c>
      <c r="E423" s="51"/>
      <c r="F423" s="51"/>
      <c r="G423" s="51">
        <v>5</v>
      </c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V423" s="14"/>
      <c r="W423" s="14"/>
      <c r="X423" s="14">
        <v>1</v>
      </c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</row>
    <row r="424" spans="2:38" ht="75" x14ac:dyDescent="0.3">
      <c r="B424" s="61">
        <v>411</v>
      </c>
      <c r="C424" s="50" t="s">
        <v>830</v>
      </c>
      <c r="D424" s="51" t="s">
        <v>831</v>
      </c>
      <c r="E424" s="51" t="s">
        <v>832</v>
      </c>
      <c r="F424" s="51"/>
      <c r="G424" s="51">
        <v>8</v>
      </c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V424" s="14"/>
      <c r="W424" s="14"/>
      <c r="X424" s="14">
        <v>1</v>
      </c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</row>
    <row r="425" spans="2:38" ht="180" x14ac:dyDescent="0.3">
      <c r="B425" s="61">
        <v>412</v>
      </c>
      <c r="C425" s="50" t="s">
        <v>833</v>
      </c>
      <c r="D425" s="51" t="s">
        <v>834</v>
      </c>
      <c r="E425" s="51" t="s">
        <v>835</v>
      </c>
      <c r="F425" s="51" t="s">
        <v>836</v>
      </c>
      <c r="G425" s="51">
        <v>7</v>
      </c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V425" s="14"/>
      <c r="W425" s="14"/>
      <c r="X425" s="14">
        <v>1</v>
      </c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</row>
    <row r="426" spans="2:38" ht="165" x14ac:dyDescent="0.3">
      <c r="B426" s="61">
        <v>413</v>
      </c>
      <c r="C426" s="50" t="s">
        <v>837</v>
      </c>
      <c r="D426" s="51" t="s">
        <v>838</v>
      </c>
      <c r="E426" s="51" t="s">
        <v>839</v>
      </c>
      <c r="F426" s="51" t="s">
        <v>840</v>
      </c>
      <c r="G426" s="51">
        <v>7</v>
      </c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V426" s="14"/>
      <c r="W426" s="14"/>
      <c r="X426" s="14">
        <v>1</v>
      </c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</row>
    <row r="427" spans="2:38" ht="135" x14ac:dyDescent="0.3">
      <c r="B427" s="61">
        <v>414</v>
      </c>
      <c r="C427" s="50" t="s">
        <v>841</v>
      </c>
      <c r="D427" s="51" t="s">
        <v>412</v>
      </c>
      <c r="E427" s="51" t="s">
        <v>414</v>
      </c>
      <c r="F427" s="51" t="s">
        <v>405</v>
      </c>
      <c r="G427" s="51">
        <v>5</v>
      </c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V427" s="14"/>
      <c r="W427" s="14"/>
      <c r="X427" s="14">
        <v>1</v>
      </c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</row>
    <row r="428" spans="2:38" ht="45" x14ac:dyDescent="0.3">
      <c r="B428" s="61">
        <v>415</v>
      </c>
      <c r="C428" s="50" t="s">
        <v>842</v>
      </c>
      <c r="D428" s="51" t="s">
        <v>843</v>
      </c>
      <c r="E428" s="51" t="s">
        <v>844</v>
      </c>
      <c r="F428" s="51"/>
      <c r="G428" s="51">
        <v>3</v>
      </c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V428" s="14"/>
      <c r="W428" s="14"/>
      <c r="X428" s="14">
        <v>1</v>
      </c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</row>
    <row r="429" spans="2:38" x14ac:dyDescent="0.3">
      <c r="B429" s="61">
        <v>416</v>
      </c>
      <c r="C429" s="50" t="s">
        <v>828</v>
      </c>
      <c r="D429" s="51" t="s">
        <v>843</v>
      </c>
      <c r="E429" s="51"/>
      <c r="F429" s="51"/>
      <c r="G429" s="51">
        <v>2</v>
      </c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V429" s="14"/>
      <c r="W429" s="14"/>
      <c r="X429" s="14">
        <v>1</v>
      </c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</row>
    <row r="430" spans="2:38" ht="45" x14ac:dyDescent="0.3">
      <c r="B430" s="61">
        <v>417</v>
      </c>
      <c r="C430" s="50" t="s">
        <v>845</v>
      </c>
      <c r="D430" s="51" t="s">
        <v>846</v>
      </c>
      <c r="E430" s="51"/>
      <c r="F430" s="51"/>
      <c r="G430" s="51">
        <v>2</v>
      </c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V430" s="14"/>
      <c r="W430" s="14"/>
      <c r="X430" s="14">
        <v>1</v>
      </c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</row>
    <row r="431" spans="2:38" ht="45" x14ac:dyDescent="0.3">
      <c r="B431" s="61">
        <v>418</v>
      </c>
      <c r="C431" s="50" t="s">
        <v>847</v>
      </c>
      <c r="D431" s="51" t="s">
        <v>848</v>
      </c>
      <c r="E431" s="51" t="s">
        <v>324</v>
      </c>
      <c r="F431" s="51"/>
      <c r="G431" s="51">
        <v>6</v>
      </c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V431" s="14"/>
      <c r="W431" s="14"/>
      <c r="X431" s="14">
        <v>1</v>
      </c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</row>
    <row r="432" spans="2:38" ht="105" x14ac:dyDescent="0.3">
      <c r="B432" s="61">
        <v>419</v>
      </c>
      <c r="C432" s="50" t="s">
        <v>849</v>
      </c>
      <c r="D432" s="51" t="s">
        <v>850</v>
      </c>
      <c r="E432" s="51" t="s">
        <v>851</v>
      </c>
      <c r="F432" s="51" t="s">
        <v>800</v>
      </c>
      <c r="G432" s="51">
        <v>1</v>
      </c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V432" s="14"/>
      <c r="W432" s="14"/>
      <c r="X432" s="14">
        <v>1</v>
      </c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</row>
    <row r="433" spans="2:38" ht="75" x14ac:dyDescent="0.3">
      <c r="B433" s="61">
        <v>420</v>
      </c>
      <c r="C433" s="50" t="s">
        <v>852</v>
      </c>
      <c r="D433" s="51" t="s">
        <v>844</v>
      </c>
      <c r="E433" s="51" t="s">
        <v>853</v>
      </c>
      <c r="F433" s="51"/>
      <c r="G433" s="51">
        <v>7</v>
      </c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V433" s="14"/>
      <c r="W433" s="14"/>
      <c r="X433" s="14">
        <v>1</v>
      </c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</row>
    <row r="434" spans="2:38" ht="45" x14ac:dyDescent="0.3">
      <c r="B434" s="61">
        <v>421</v>
      </c>
      <c r="C434" s="50" t="s">
        <v>854</v>
      </c>
      <c r="D434" s="51" t="s">
        <v>855</v>
      </c>
      <c r="E434" s="51"/>
      <c r="F434" s="51"/>
      <c r="G434" s="51">
        <v>2</v>
      </c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V434" s="14"/>
      <c r="W434" s="14"/>
      <c r="X434" s="14">
        <v>1</v>
      </c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</row>
    <row r="435" spans="2:38" ht="52.5" customHeight="1" x14ac:dyDescent="0.3">
      <c r="B435" s="61">
        <v>422</v>
      </c>
      <c r="C435" s="50" t="s">
        <v>828</v>
      </c>
      <c r="D435" s="51" t="s">
        <v>843</v>
      </c>
      <c r="E435" s="51"/>
      <c r="F435" s="51"/>
      <c r="G435" s="51">
        <v>2</v>
      </c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V435" s="14"/>
      <c r="W435" s="14"/>
      <c r="X435" s="14">
        <v>1</v>
      </c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</row>
    <row r="436" spans="2:38" ht="105" x14ac:dyDescent="0.3">
      <c r="B436" s="61">
        <v>423</v>
      </c>
      <c r="C436" s="50" t="s">
        <v>856</v>
      </c>
      <c r="D436" s="51" t="s">
        <v>857</v>
      </c>
      <c r="E436" s="51" t="s">
        <v>858</v>
      </c>
      <c r="F436" s="51" t="s">
        <v>859</v>
      </c>
      <c r="G436" s="51">
        <v>6</v>
      </c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V436" s="14"/>
      <c r="W436" s="14"/>
      <c r="X436" s="14">
        <v>1</v>
      </c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</row>
    <row r="437" spans="2:38" ht="35.25" customHeight="1" x14ac:dyDescent="0.3">
      <c r="B437" s="61">
        <v>424</v>
      </c>
      <c r="C437" s="50" t="s">
        <v>828</v>
      </c>
      <c r="D437" s="51" t="s">
        <v>843</v>
      </c>
      <c r="E437" s="51"/>
      <c r="F437" s="51"/>
      <c r="G437" s="51">
        <v>1</v>
      </c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V437" s="14"/>
      <c r="W437" s="14"/>
      <c r="X437" s="14">
        <v>1</v>
      </c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</row>
    <row r="438" spans="2:38" ht="60" x14ac:dyDescent="0.3">
      <c r="B438" s="61">
        <v>425</v>
      </c>
      <c r="C438" s="50" t="s">
        <v>860</v>
      </c>
      <c r="D438" s="51" t="s">
        <v>861</v>
      </c>
      <c r="E438" s="51" t="s">
        <v>800</v>
      </c>
      <c r="F438" s="51"/>
      <c r="G438" s="51">
        <v>4</v>
      </c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V438" s="14"/>
      <c r="W438" s="14"/>
      <c r="X438" s="14">
        <v>1</v>
      </c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</row>
    <row r="439" spans="2:38" x14ac:dyDescent="0.3">
      <c r="B439" s="61">
        <v>426</v>
      </c>
      <c r="C439" s="50" t="s">
        <v>826</v>
      </c>
      <c r="D439" s="51" t="s">
        <v>516</v>
      </c>
      <c r="E439" s="51" t="s">
        <v>862</v>
      </c>
      <c r="F439" s="51"/>
      <c r="G439" s="51">
        <v>4</v>
      </c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V439" s="14"/>
      <c r="W439" s="14"/>
      <c r="X439" s="14">
        <v>1</v>
      </c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</row>
    <row r="440" spans="2:38" x14ac:dyDescent="0.3">
      <c r="B440" s="61">
        <v>427</v>
      </c>
      <c r="C440" s="50" t="s">
        <v>828</v>
      </c>
      <c r="D440" s="51" t="s">
        <v>843</v>
      </c>
      <c r="E440" s="51"/>
      <c r="F440" s="51"/>
      <c r="G440" s="51">
        <v>2</v>
      </c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V440" s="14"/>
      <c r="W440" s="14"/>
      <c r="X440" s="14">
        <v>1</v>
      </c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</row>
    <row r="441" spans="2:38" ht="75" x14ac:dyDescent="0.3">
      <c r="B441" s="61">
        <v>428</v>
      </c>
      <c r="C441" s="50" t="s">
        <v>863</v>
      </c>
      <c r="D441" s="51" t="s">
        <v>864</v>
      </c>
      <c r="E441" s="51" t="s">
        <v>865</v>
      </c>
      <c r="F441" s="51" t="s">
        <v>866</v>
      </c>
      <c r="G441" s="51">
        <v>2</v>
      </c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V441" s="14"/>
      <c r="W441" s="14"/>
      <c r="X441" s="14">
        <v>1</v>
      </c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</row>
    <row r="442" spans="2:38" ht="30" x14ac:dyDescent="0.3">
      <c r="B442" s="61">
        <v>429</v>
      </c>
      <c r="C442" s="50" t="s">
        <v>867</v>
      </c>
      <c r="D442" s="51" t="s">
        <v>868</v>
      </c>
      <c r="E442" s="51" t="s">
        <v>336</v>
      </c>
      <c r="F442" s="51"/>
      <c r="G442" s="51">
        <v>1</v>
      </c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V442" s="14"/>
      <c r="W442" s="14"/>
      <c r="X442" s="14">
        <v>1</v>
      </c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</row>
    <row r="443" spans="2:38" ht="30" x14ac:dyDescent="0.3">
      <c r="B443" s="61">
        <v>430</v>
      </c>
      <c r="C443" s="50" t="s">
        <v>869</v>
      </c>
      <c r="D443" s="51" t="s">
        <v>870</v>
      </c>
      <c r="E443" s="51" t="s">
        <v>871</v>
      </c>
      <c r="F443" s="51"/>
      <c r="G443" s="51">
        <v>2</v>
      </c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V443" s="14"/>
      <c r="W443" s="14"/>
      <c r="X443" s="14">
        <v>1</v>
      </c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</row>
    <row r="444" spans="2:38" ht="105" x14ac:dyDescent="0.3">
      <c r="B444" s="61">
        <v>431</v>
      </c>
      <c r="C444" s="50" t="s">
        <v>872</v>
      </c>
      <c r="D444" s="51" t="s">
        <v>873</v>
      </c>
      <c r="E444" s="51" t="s">
        <v>874</v>
      </c>
      <c r="F444" s="51" t="s">
        <v>258</v>
      </c>
      <c r="G444" s="51">
        <v>2</v>
      </c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V444" s="14"/>
      <c r="W444" s="14"/>
      <c r="X444" s="14">
        <v>1</v>
      </c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</row>
    <row r="445" spans="2:38" x14ac:dyDescent="0.3">
      <c r="B445" s="61">
        <v>432</v>
      </c>
      <c r="C445" s="50" t="s">
        <v>875</v>
      </c>
      <c r="D445" s="51" t="s">
        <v>876</v>
      </c>
      <c r="E445" s="51" t="s">
        <v>877</v>
      </c>
      <c r="F445" s="51" t="s">
        <v>851</v>
      </c>
      <c r="G445" s="51">
        <v>44</v>
      </c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V445" s="14"/>
      <c r="W445" s="14"/>
      <c r="X445" s="14">
        <v>1</v>
      </c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</row>
    <row r="446" spans="2:38" ht="30" x14ac:dyDescent="0.3">
      <c r="B446" s="61">
        <v>433</v>
      </c>
      <c r="C446" s="50" t="s">
        <v>878</v>
      </c>
      <c r="D446" s="51" t="s">
        <v>620</v>
      </c>
      <c r="E446" s="51" t="s">
        <v>879</v>
      </c>
      <c r="F446" s="51"/>
      <c r="G446" s="51">
        <v>11</v>
      </c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V446" s="14"/>
      <c r="W446" s="14"/>
      <c r="X446" s="14">
        <v>1</v>
      </c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</row>
    <row r="447" spans="2:38" ht="75" x14ac:dyDescent="0.3">
      <c r="B447" s="61">
        <v>434</v>
      </c>
      <c r="C447" s="50" t="s">
        <v>880</v>
      </c>
      <c r="D447" s="51" t="s">
        <v>881</v>
      </c>
      <c r="E447" s="51" t="s">
        <v>882</v>
      </c>
      <c r="F447" s="51" t="s">
        <v>883</v>
      </c>
      <c r="G447" s="51">
        <v>41</v>
      </c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V447" s="14"/>
      <c r="W447" s="14"/>
      <c r="X447" s="14">
        <v>1</v>
      </c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</row>
    <row r="448" spans="2:38" ht="60" x14ac:dyDescent="0.3">
      <c r="B448" s="61">
        <v>435</v>
      </c>
      <c r="C448" s="50" t="s">
        <v>884</v>
      </c>
      <c r="D448" s="51" t="s">
        <v>885</v>
      </c>
      <c r="E448" s="51" t="s">
        <v>886</v>
      </c>
      <c r="F448" s="51" t="s">
        <v>887</v>
      </c>
      <c r="G448" s="51">
        <v>1</v>
      </c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V448" s="14"/>
      <c r="W448" s="14"/>
      <c r="X448" s="14">
        <v>1</v>
      </c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</row>
    <row r="449" spans="2:38" ht="75" x14ac:dyDescent="0.3">
      <c r="B449" s="61">
        <v>436</v>
      </c>
      <c r="C449" s="50" t="s">
        <v>888</v>
      </c>
      <c r="D449" s="51" t="s">
        <v>889</v>
      </c>
      <c r="E449" s="51" t="s">
        <v>890</v>
      </c>
      <c r="F449" s="51" t="s">
        <v>891</v>
      </c>
      <c r="G449" s="51">
        <v>4</v>
      </c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V449" s="14"/>
      <c r="W449" s="14"/>
      <c r="X449" s="14">
        <v>1</v>
      </c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</row>
    <row r="450" spans="2:38" x14ac:dyDescent="0.3">
      <c r="B450" s="61">
        <v>437</v>
      </c>
      <c r="C450" s="50" t="s">
        <v>828</v>
      </c>
      <c r="D450" s="51" t="s">
        <v>843</v>
      </c>
      <c r="E450" s="51"/>
      <c r="F450" s="51"/>
      <c r="G450" s="51">
        <v>2</v>
      </c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V450" s="14"/>
      <c r="W450" s="14"/>
      <c r="X450" s="14">
        <v>1</v>
      </c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</row>
    <row r="451" spans="2:38" x14ac:dyDescent="0.3">
      <c r="B451" s="61">
        <v>438</v>
      </c>
      <c r="C451" s="50" t="s">
        <v>892</v>
      </c>
      <c r="D451" s="51" t="s">
        <v>516</v>
      </c>
      <c r="E451" s="51" t="s">
        <v>862</v>
      </c>
      <c r="F451" s="51"/>
      <c r="G451" s="51">
        <v>4</v>
      </c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V451" s="14"/>
      <c r="W451" s="14"/>
      <c r="X451" s="14">
        <v>1</v>
      </c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</row>
    <row r="452" spans="2:38" ht="45" x14ac:dyDescent="0.3">
      <c r="B452" s="61">
        <v>439</v>
      </c>
      <c r="C452" s="50" t="s">
        <v>893</v>
      </c>
      <c r="D452" s="51" t="s">
        <v>561</v>
      </c>
      <c r="E452" s="51"/>
      <c r="F452" s="51"/>
      <c r="G452" s="51">
        <v>2</v>
      </c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V452" s="14"/>
      <c r="W452" s="14"/>
      <c r="X452" s="14">
        <v>1</v>
      </c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</row>
    <row r="453" spans="2:38" x14ac:dyDescent="0.3">
      <c r="B453" s="61">
        <v>440</v>
      </c>
      <c r="C453" s="50" t="s">
        <v>828</v>
      </c>
      <c r="D453" s="51" t="s">
        <v>843</v>
      </c>
      <c r="E453" s="51"/>
      <c r="F453" s="51"/>
      <c r="G453" s="51">
        <v>2</v>
      </c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V453" s="14"/>
      <c r="W453" s="14"/>
      <c r="X453" s="14">
        <v>1</v>
      </c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</row>
    <row r="454" spans="2:38" x14ac:dyDescent="0.3">
      <c r="B454" s="61">
        <v>441</v>
      </c>
      <c r="C454" s="50" t="s">
        <v>894</v>
      </c>
      <c r="D454" s="51" t="s">
        <v>516</v>
      </c>
      <c r="E454" s="51" t="s">
        <v>862</v>
      </c>
      <c r="F454" s="51"/>
      <c r="G454" s="51">
        <v>8</v>
      </c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V454" s="14"/>
      <c r="W454" s="14"/>
      <c r="X454" s="14">
        <v>1</v>
      </c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</row>
    <row r="455" spans="2:38" ht="60" x14ac:dyDescent="0.3">
      <c r="B455" s="61">
        <v>442</v>
      </c>
      <c r="C455" s="50" t="s">
        <v>895</v>
      </c>
      <c r="D455" s="51" t="s">
        <v>896</v>
      </c>
      <c r="E455" s="51" t="s">
        <v>765</v>
      </c>
      <c r="F455" s="51" t="s">
        <v>800</v>
      </c>
      <c r="G455" s="51">
        <v>7</v>
      </c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V455" s="14"/>
      <c r="W455" s="14"/>
      <c r="X455" s="14">
        <v>1</v>
      </c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</row>
    <row r="456" spans="2:38" ht="90" x14ac:dyDescent="0.3">
      <c r="B456" s="61">
        <v>443</v>
      </c>
      <c r="C456" s="50" t="s">
        <v>897</v>
      </c>
      <c r="D456" s="51" t="s">
        <v>898</v>
      </c>
      <c r="E456" s="51" t="s">
        <v>899</v>
      </c>
      <c r="F456" s="51" t="s">
        <v>374</v>
      </c>
      <c r="G456" s="51">
        <v>9</v>
      </c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V456" s="14"/>
      <c r="W456" s="14"/>
      <c r="X456" s="14">
        <v>1</v>
      </c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</row>
    <row r="457" spans="2:38" ht="90" x14ac:dyDescent="0.3">
      <c r="B457" s="61">
        <v>444</v>
      </c>
      <c r="C457" s="50" t="s">
        <v>900</v>
      </c>
      <c r="D457" s="51" t="s">
        <v>831</v>
      </c>
      <c r="E457" s="51" t="s">
        <v>901</v>
      </c>
      <c r="F457" s="51" t="s">
        <v>879</v>
      </c>
      <c r="G457" s="51">
        <v>8</v>
      </c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V457" s="14"/>
      <c r="W457" s="14"/>
      <c r="X457" s="14">
        <v>1</v>
      </c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</row>
    <row r="458" spans="2:38" ht="30" x14ac:dyDescent="0.3">
      <c r="B458" s="61">
        <v>445</v>
      </c>
      <c r="C458" s="50" t="s">
        <v>902</v>
      </c>
      <c r="D458" s="51" t="s">
        <v>903</v>
      </c>
      <c r="E458" s="51" t="s">
        <v>879</v>
      </c>
      <c r="F458" s="51" t="s">
        <v>904</v>
      </c>
      <c r="G458" s="51">
        <v>20</v>
      </c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V458" s="14"/>
      <c r="W458" s="14"/>
      <c r="X458" s="14">
        <v>1</v>
      </c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</row>
    <row r="459" spans="2:38" ht="45" x14ac:dyDescent="0.3">
      <c r="B459" s="61">
        <v>446</v>
      </c>
      <c r="C459" s="50" t="s">
        <v>905</v>
      </c>
      <c r="D459" s="51" t="s">
        <v>906</v>
      </c>
      <c r="E459" s="51"/>
      <c r="F459" s="51"/>
      <c r="G459" s="51">
        <v>3</v>
      </c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V459" s="14"/>
      <c r="W459" s="14"/>
      <c r="X459" s="14">
        <v>1</v>
      </c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</row>
    <row r="460" spans="2:38" ht="60" x14ac:dyDescent="0.3">
      <c r="B460" s="61">
        <v>447</v>
      </c>
      <c r="C460" s="50" t="s">
        <v>907</v>
      </c>
      <c r="D460" s="51" t="s">
        <v>908</v>
      </c>
      <c r="E460" s="51" t="s">
        <v>909</v>
      </c>
      <c r="F460" s="51"/>
      <c r="G460" s="51">
        <v>2</v>
      </c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V460" s="14"/>
      <c r="W460" s="14"/>
      <c r="X460" s="14">
        <v>1</v>
      </c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</row>
    <row r="461" spans="2:38" ht="105" x14ac:dyDescent="0.3">
      <c r="B461" s="61">
        <v>448</v>
      </c>
      <c r="C461" s="50" t="s">
        <v>910</v>
      </c>
      <c r="D461" s="51" t="s">
        <v>873</v>
      </c>
      <c r="E461" s="51" t="s">
        <v>911</v>
      </c>
      <c r="F461" s="51" t="s">
        <v>912</v>
      </c>
      <c r="G461" s="51">
        <v>3</v>
      </c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V461" s="14"/>
      <c r="W461" s="14"/>
      <c r="X461" s="14">
        <v>1</v>
      </c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</row>
    <row r="462" spans="2:38" ht="45" x14ac:dyDescent="0.3">
      <c r="B462" s="61">
        <v>449</v>
      </c>
      <c r="C462" s="50" t="s">
        <v>913</v>
      </c>
      <c r="D462" s="51" t="s">
        <v>906</v>
      </c>
      <c r="E462" s="51"/>
      <c r="F462" s="51"/>
      <c r="G462" s="51">
        <v>24</v>
      </c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V462" s="14"/>
      <c r="W462" s="14"/>
      <c r="X462" s="14">
        <v>1</v>
      </c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</row>
    <row r="463" spans="2:38" ht="30" x14ac:dyDescent="0.3">
      <c r="B463" s="61">
        <v>450</v>
      </c>
      <c r="C463" s="50" t="s">
        <v>914</v>
      </c>
      <c r="D463" s="51" t="s">
        <v>876</v>
      </c>
      <c r="E463" s="51" t="s">
        <v>915</v>
      </c>
      <c r="F463" s="51"/>
      <c r="G463" s="51">
        <v>2</v>
      </c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V463" s="14"/>
      <c r="W463" s="14"/>
      <c r="X463" s="14">
        <v>1</v>
      </c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</row>
    <row r="464" spans="2:38" x14ac:dyDescent="0.3">
      <c r="B464" s="61">
        <v>451</v>
      </c>
      <c r="C464" s="50" t="s">
        <v>828</v>
      </c>
      <c r="D464" s="51" t="s">
        <v>916</v>
      </c>
      <c r="E464" s="51"/>
      <c r="F464" s="51"/>
      <c r="G464" s="51">
        <v>3</v>
      </c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V464" s="14"/>
      <c r="W464" s="14"/>
      <c r="X464" s="14">
        <v>1</v>
      </c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</row>
    <row r="465" spans="2:38" ht="30" x14ac:dyDescent="0.3">
      <c r="B465" s="61">
        <v>452</v>
      </c>
      <c r="C465" s="50" t="s">
        <v>917</v>
      </c>
      <c r="D465" s="51" t="s">
        <v>918</v>
      </c>
      <c r="E465" s="51" t="s">
        <v>871</v>
      </c>
      <c r="F465" s="51"/>
      <c r="G465" s="51">
        <v>2</v>
      </c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V465" s="14"/>
      <c r="W465" s="14"/>
      <c r="X465" s="14">
        <v>1</v>
      </c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</row>
    <row r="466" spans="2:38" ht="135" x14ac:dyDescent="0.3">
      <c r="B466" s="61">
        <v>453</v>
      </c>
      <c r="C466" s="50" t="s">
        <v>919</v>
      </c>
      <c r="D466" s="51" t="s">
        <v>920</v>
      </c>
      <c r="E466" s="51" t="s">
        <v>921</v>
      </c>
      <c r="F466" s="51" t="s">
        <v>258</v>
      </c>
      <c r="G466" s="51">
        <v>0</v>
      </c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V466" s="14"/>
      <c r="W466" s="14"/>
      <c r="X466" s="14">
        <v>1</v>
      </c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</row>
    <row r="467" spans="2:38" ht="75" x14ac:dyDescent="0.3">
      <c r="B467" s="61">
        <v>454</v>
      </c>
      <c r="C467" s="50" t="s">
        <v>922</v>
      </c>
      <c r="D467" s="51" t="s">
        <v>923</v>
      </c>
      <c r="E467" s="51" t="s">
        <v>924</v>
      </c>
      <c r="F467" s="51" t="s">
        <v>899</v>
      </c>
      <c r="G467" s="51">
        <v>3</v>
      </c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V467" s="14"/>
      <c r="W467" s="14"/>
      <c r="X467" s="14">
        <v>1</v>
      </c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</row>
    <row r="468" spans="2:38" ht="30" x14ac:dyDescent="0.3">
      <c r="B468" s="61">
        <v>455</v>
      </c>
      <c r="C468" s="50" t="s">
        <v>925</v>
      </c>
      <c r="D468" s="51" t="s">
        <v>831</v>
      </c>
      <c r="E468" s="51" t="s">
        <v>926</v>
      </c>
      <c r="F468" s="51"/>
      <c r="G468" s="51">
        <v>6</v>
      </c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V468" s="14"/>
      <c r="W468" s="14"/>
      <c r="X468" s="14">
        <v>1</v>
      </c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</row>
    <row r="469" spans="2:38" ht="120" x14ac:dyDescent="0.3">
      <c r="B469" s="61">
        <v>456</v>
      </c>
      <c r="C469" s="50" t="s">
        <v>927</v>
      </c>
      <c r="D469" s="51" t="s">
        <v>827</v>
      </c>
      <c r="E469" s="51" t="s">
        <v>928</v>
      </c>
      <c r="F469" s="51" t="s">
        <v>929</v>
      </c>
      <c r="G469" s="51">
        <v>6</v>
      </c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V469" s="14"/>
      <c r="W469" s="14"/>
      <c r="X469" s="14">
        <v>1</v>
      </c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</row>
    <row r="470" spans="2:38" ht="60" x14ac:dyDescent="0.3">
      <c r="B470" s="61">
        <v>457</v>
      </c>
      <c r="C470" s="50" t="s">
        <v>930</v>
      </c>
      <c r="D470" s="51" t="s">
        <v>931</v>
      </c>
      <c r="E470" s="51"/>
      <c r="F470" s="51"/>
      <c r="G470" s="51">
        <v>2</v>
      </c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V470" s="14"/>
      <c r="W470" s="14"/>
      <c r="X470" s="14">
        <v>1</v>
      </c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</row>
    <row r="471" spans="2:38" x14ac:dyDescent="0.3">
      <c r="B471" s="61">
        <v>458</v>
      </c>
      <c r="C471" s="50" t="s">
        <v>828</v>
      </c>
      <c r="D471" s="51" t="s">
        <v>301</v>
      </c>
      <c r="E471" s="51" t="s">
        <v>258</v>
      </c>
      <c r="F471" s="51"/>
      <c r="G471" s="51">
        <v>1</v>
      </c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V471" s="14"/>
      <c r="W471" s="14"/>
      <c r="X471" s="14">
        <v>1</v>
      </c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</row>
    <row r="472" spans="2:38" x14ac:dyDescent="0.3">
      <c r="B472" s="61">
        <v>459</v>
      </c>
      <c r="C472" s="50" t="s">
        <v>828</v>
      </c>
      <c r="D472" s="51" t="s">
        <v>843</v>
      </c>
      <c r="E472" s="51"/>
      <c r="F472" s="51"/>
      <c r="G472" s="51">
        <v>2</v>
      </c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V472" s="14"/>
      <c r="W472" s="14"/>
      <c r="X472" s="14">
        <v>1</v>
      </c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</row>
    <row r="473" spans="2:38" x14ac:dyDescent="0.3">
      <c r="B473" s="61">
        <v>460</v>
      </c>
      <c r="C473" s="50" t="s">
        <v>828</v>
      </c>
      <c r="D473" s="51" t="s">
        <v>843</v>
      </c>
      <c r="E473" s="51"/>
      <c r="F473" s="51"/>
      <c r="G473" s="51">
        <v>2</v>
      </c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V473" s="14"/>
      <c r="W473" s="14"/>
      <c r="X473" s="14">
        <v>1</v>
      </c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</row>
    <row r="474" spans="2:38" ht="30" x14ac:dyDescent="0.3">
      <c r="B474" s="61">
        <v>461</v>
      </c>
      <c r="C474" s="50" t="s">
        <v>932</v>
      </c>
      <c r="D474" s="51" t="s">
        <v>933</v>
      </c>
      <c r="E474" s="51"/>
      <c r="F474" s="51"/>
      <c r="G474" s="51">
        <v>3</v>
      </c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V474" s="14"/>
      <c r="W474" s="14"/>
      <c r="X474" s="14">
        <v>1</v>
      </c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</row>
    <row r="475" spans="2:38" x14ac:dyDescent="0.3">
      <c r="B475" s="61">
        <v>462</v>
      </c>
      <c r="C475" s="50" t="s">
        <v>934</v>
      </c>
      <c r="D475" s="51" t="s">
        <v>935</v>
      </c>
      <c r="E475" s="51"/>
      <c r="F475" s="51"/>
      <c r="G475" s="51">
        <v>3</v>
      </c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V475" s="14"/>
      <c r="W475" s="14"/>
      <c r="X475" s="14">
        <v>1</v>
      </c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</row>
    <row r="476" spans="2:38" ht="30" x14ac:dyDescent="0.3">
      <c r="B476" s="61">
        <v>463</v>
      </c>
      <c r="C476" s="50" t="s">
        <v>936</v>
      </c>
      <c r="D476" s="51" t="s">
        <v>937</v>
      </c>
      <c r="E476" s="51"/>
      <c r="F476" s="51"/>
      <c r="G476" s="51">
        <v>9</v>
      </c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V476" s="14"/>
      <c r="W476" s="14"/>
      <c r="X476" s="14">
        <v>1</v>
      </c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</row>
    <row r="477" spans="2:38" ht="105" x14ac:dyDescent="0.3">
      <c r="B477" s="61">
        <v>464</v>
      </c>
      <c r="C477" s="50" t="s">
        <v>938</v>
      </c>
      <c r="D477" s="51" t="s">
        <v>939</v>
      </c>
      <c r="E477" s="51"/>
      <c r="F477" s="51"/>
      <c r="G477" s="51">
        <v>3</v>
      </c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V477" s="14"/>
      <c r="W477" s="14"/>
      <c r="X477" s="14">
        <v>1</v>
      </c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</row>
    <row r="478" spans="2:38" ht="30" x14ac:dyDescent="0.3">
      <c r="B478" s="61">
        <v>465</v>
      </c>
      <c r="C478" s="50" t="s">
        <v>940</v>
      </c>
      <c r="D478" s="51" t="s">
        <v>861</v>
      </c>
      <c r="E478" s="51"/>
      <c r="F478" s="51"/>
      <c r="G478" s="51">
        <v>4</v>
      </c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V478" s="14"/>
      <c r="W478" s="14"/>
      <c r="X478" s="14">
        <v>1</v>
      </c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</row>
    <row r="479" spans="2:38" ht="60" x14ac:dyDescent="0.3">
      <c r="B479" s="61">
        <v>466</v>
      </c>
      <c r="C479" s="50" t="s">
        <v>941</v>
      </c>
      <c r="D479" s="51" t="s">
        <v>942</v>
      </c>
      <c r="E479" s="51" t="s">
        <v>943</v>
      </c>
      <c r="F479" s="51"/>
      <c r="G479" s="51">
        <v>4</v>
      </c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V479" s="14"/>
      <c r="W479" s="14"/>
      <c r="X479" s="14">
        <v>1</v>
      </c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</row>
    <row r="480" spans="2:38" ht="30" x14ac:dyDescent="0.3">
      <c r="B480" s="61">
        <v>467</v>
      </c>
      <c r="C480" s="50" t="s">
        <v>944</v>
      </c>
      <c r="D480" s="51" t="s">
        <v>945</v>
      </c>
      <c r="E480" s="52"/>
      <c r="F480" s="52"/>
      <c r="G480" s="51">
        <v>4</v>
      </c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V480" s="14"/>
      <c r="W480" s="14"/>
      <c r="X480" s="14">
        <v>1</v>
      </c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</row>
    <row r="481" spans="2:38" ht="45" x14ac:dyDescent="0.3">
      <c r="B481" s="61">
        <v>468</v>
      </c>
      <c r="C481" s="53" t="s">
        <v>946</v>
      </c>
      <c r="D481" s="54" t="s">
        <v>829</v>
      </c>
      <c r="E481" s="56"/>
      <c r="F481" s="56"/>
      <c r="G481" s="54">
        <v>2</v>
      </c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V481" s="14"/>
      <c r="W481" s="14"/>
      <c r="X481" s="14">
        <v>1</v>
      </c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</row>
    <row r="482" spans="2:38" ht="90" x14ac:dyDescent="0.3">
      <c r="B482" s="61">
        <v>469</v>
      </c>
      <c r="C482" s="50" t="s">
        <v>947</v>
      </c>
      <c r="D482" s="51" t="s">
        <v>948</v>
      </c>
      <c r="E482" s="52" t="s">
        <v>831</v>
      </c>
      <c r="F482" s="52"/>
      <c r="G482" s="51">
        <v>11</v>
      </c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V482" s="14"/>
      <c r="W482" s="14"/>
      <c r="X482" s="14">
        <v>1</v>
      </c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</row>
    <row r="483" spans="2:38" ht="45" x14ac:dyDescent="0.3">
      <c r="B483" s="61">
        <v>470</v>
      </c>
      <c r="C483" s="50" t="s">
        <v>949</v>
      </c>
      <c r="D483" s="51" t="s">
        <v>939</v>
      </c>
      <c r="E483" s="52" t="s">
        <v>950</v>
      </c>
      <c r="F483" s="52"/>
      <c r="G483" s="51">
        <v>16</v>
      </c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V483" s="14"/>
      <c r="W483" s="14"/>
      <c r="X483" s="14">
        <v>1</v>
      </c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</row>
    <row r="484" spans="2:38" ht="120" x14ac:dyDescent="0.3">
      <c r="B484" s="61">
        <v>471</v>
      </c>
      <c r="C484" s="50" t="s">
        <v>951</v>
      </c>
      <c r="D484" s="51" t="s">
        <v>952</v>
      </c>
      <c r="E484" s="52" t="s">
        <v>953</v>
      </c>
      <c r="F484" s="52" t="s">
        <v>954</v>
      </c>
      <c r="G484" s="51">
        <v>2</v>
      </c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V484" s="14"/>
      <c r="W484" s="14"/>
      <c r="X484" s="14">
        <v>1</v>
      </c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</row>
    <row r="485" spans="2:38" ht="75" x14ac:dyDescent="0.3">
      <c r="B485" s="61">
        <v>472</v>
      </c>
      <c r="C485" s="53" t="s">
        <v>955</v>
      </c>
      <c r="D485" s="54" t="s">
        <v>956</v>
      </c>
      <c r="E485" s="56"/>
      <c r="F485" s="56"/>
      <c r="G485" s="54">
        <v>3</v>
      </c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V485" s="14"/>
      <c r="W485" s="14"/>
      <c r="X485" s="14">
        <v>1</v>
      </c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</row>
    <row r="486" spans="2:38" ht="240" x14ac:dyDescent="0.3">
      <c r="B486" s="61">
        <v>473</v>
      </c>
      <c r="C486" s="50" t="s">
        <v>957</v>
      </c>
      <c r="D486" s="51" t="s">
        <v>958</v>
      </c>
      <c r="E486" s="52" t="s">
        <v>959</v>
      </c>
      <c r="F486" s="52" t="s">
        <v>960</v>
      </c>
      <c r="G486" s="51">
        <v>3</v>
      </c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V486" s="14"/>
      <c r="W486" s="14"/>
      <c r="X486" s="14">
        <v>1</v>
      </c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</row>
    <row r="487" spans="2:38" ht="75" x14ac:dyDescent="0.3">
      <c r="B487" s="61">
        <v>474</v>
      </c>
      <c r="C487" s="50" t="s">
        <v>961</v>
      </c>
      <c r="D487" s="51" t="s">
        <v>962</v>
      </c>
      <c r="E487" s="52" t="s">
        <v>911</v>
      </c>
      <c r="F487" s="52" t="s">
        <v>963</v>
      </c>
      <c r="G487" s="51">
        <v>6</v>
      </c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V487" s="14"/>
      <c r="W487" s="14"/>
      <c r="X487" s="14">
        <v>1</v>
      </c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</row>
    <row r="488" spans="2:38" ht="60" x14ac:dyDescent="0.3">
      <c r="B488" s="61">
        <v>475</v>
      </c>
      <c r="C488" s="53" t="s">
        <v>964</v>
      </c>
      <c r="D488" s="54" t="s">
        <v>950</v>
      </c>
      <c r="E488" s="56" t="s">
        <v>939</v>
      </c>
      <c r="F488" s="56"/>
      <c r="G488" s="54">
        <v>16</v>
      </c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V488" s="14"/>
      <c r="W488" s="14"/>
      <c r="X488" s="14">
        <v>1</v>
      </c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</row>
    <row r="489" spans="2:38" ht="150" x14ac:dyDescent="0.3">
      <c r="B489" s="61">
        <v>476</v>
      </c>
      <c r="C489" s="50" t="s">
        <v>965</v>
      </c>
      <c r="D489" s="51" t="s">
        <v>831</v>
      </c>
      <c r="E489" s="52" t="s">
        <v>258</v>
      </c>
      <c r="F489" s="52" t="s">
        <v>477</v>
      </c>
      <c r="G489" s="51">
        <v>5</v>
      </c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V489" s="14"/>
      <c r="W489" s="14"/>
      <c r="X489" s="14">
        <v>1</v>
      </c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</row>
    <row r="490" spans="2:38" ht="150" x14ac:dyDescent="0.3">
      <c r="B490" s="61">
        <v>477</v>
      </c>
      <c r="C490" s="50" t="s">
        <v>966</v>
      </c>
      <c r="D490" s="51" t="s">
        <v>967</v>
      </c>
      <c r="E490" s="52" t="s">
        <v>968</v>
      </c>
      <c r="F490" s="52" t="s">
        <v>969</v>
      </c>
      <c r="G490" s="51">
        <v>4</v>
      </c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V490" s="14"/>
      <c r="W490" s="14"/>
      <c r="X490" s="14">
        <v>1</v>
      </c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</row>
    <row r="491" spans="2:38" ht="120" x14ac:dyDescent="0.3">
      <c r="B491" s="61">
        <v>478</v>
      </c>
      <c r="C491" s="50" t="s">
        <v>970</v>
      </c>
      <c r="D491" s="51" t="s">
        <v>971</v>
      </c>
      <c r="E491" s="52" t="s">
        <v>874</v>
      </c>
      <c r="F491" s="52" t="s">
        <v>972</v>
      </c>
      <c r="G491" s="51">
        <v>6</v>
      </c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V491" s="14"/>
      <c r="W491" s="14"/>
      <c r="X491" s="14">
        <v>1</v>
      </c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</row>
    <row r="492" spans="2:38" ht="75" x14ac:dyDescent="0.3">
      <c r="B492" s="61">
        <v>479</v>
      </c>
      <c r="C492" s="50" t="s">
        <v>973</v>
      </c>
      <c r="D492" s="51" t="s">
        <v>974</v>
      </c>
      <c r="E492" s="52" t="s">
        <v>975</v>
      </c>
      <c r="F492" s="52"/>
      <c r="G492" s="51">
        <v>1</v>
      </c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V492" s="14"/>
      <c r="W492" s="14"/>
      <c r="X492" s="14">
        <v>1</v>
      </c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</row>
    <row r="493" spans="2:38" ht="105" x14ac:dyDescent="0.3">
      <c r="B493" s="61">
        <v>480</v>
      </c>
      <c r="C493" s="50" t="s">
        <v>976</v>
      </c>
      <c r="D493" s="51" t="s">
        <v>977</v>
      </c>
      <c r="E493" s="52" t="s">
        <v>873</v>
      </c>
      <c r="F493" s="52" t="s">
        <v>924</v>
      </c>
      <c r="G493" s="51">
        <v>2</v>
      </c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V493" s="14"/>
      <c r="W493" s="14"/>
      <c r="X493" s="14">
        <v>1</v>
      </c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</row>
    <row r="494" spans="2:38" ht="60" x14ac:dyDescent="0.3">
      <c r="B494" s="61">
        <v>481</v>
      </c>
      <c r="C494" s="50" t="s">
        <v>978</v>
      </c>
      <c r="D494" s="51" t="s">
        <v>979</v>
      </c>
      <c r="E494" s="52" t="s">
        <v>374</v>
      </c>
      <c r="F494" s="52" t="s">
        <v>980</v>
      </c>
      <c r="G494" s="51">
        <v>23</v>
      </c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V494" s="14"/>
      <c r="W494" s="14"/>
      <c r="X494" s="14">
        <v>1</v>
      </c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</row>
    <row r="495" spans="2:38" ht="30" x14ac:dyDescent="0.3">
      <c r="B495" s="61">
        <v>482</v>
      </c>
      <c r="C495" s="50" t="s">
        <v>981</v>
      </c>
      <c r="D495" s="51" t="s">
        <v>937</v>
      </c>
      <c r="E495" s="52"/>
      <c r="F495" s="52"/>
      <c r="G495" s="51">
        <v>4</v>
      </c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V495" s="14"/>
      <c r="W495" s="14"/>
      <c r="X495" s="14">
        <v>1</v>
      </c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</row>
    <row r="496" spans="2:38" ht="75" x14ac:dyDescent="0.3">
      <c r="B496" s="61">
        <v>483</v>
      </c>
      <c r="C496" s="53" t="s">
        <v>982</v>
      </c>
      <c r="D496" s="54" t="s">
        <v>983</v>
      </c>
      <c r="E496" s="56" t="s">
        <v>984</v>
      </c>
      <c r="F496" s="56"/>
      <c r="G496" s="54">
        <v>1</v>
      </c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V496" s="14"/>
      <c r="W496" s="14"/>
      <c r="X496" s="14">
        <v>1</v>
      </c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</row>
    <row r="497" spans="2:38" ht="75" x14ac:dyDescent="0.3">
      <c r="B497" s="61">
        <v>484</v>
      </c>
      <c r="C497" s="53" t="s">
        <v>985</v>
      </c>
      <c r="D497" s="54" t="s">
        <v>885</v>
      </c>
      <c r="E497" s="56" t="s">
        <v>943</v>
      </c>
      <c r="F497" s="56"/>
      <c r="G497" s="54">
        <v>0</v>
      </c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V497" s="14"/>
      <c r="W497" s="14"/>
      <c r="X497" s="14">
        <v>1</v>
      </c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</row>
    <row r="498" spans="2:38" ht="105" x14ac:dyDescent="0.3">
      <c r="B498" s="61">
        <v>485</v>
      </c>
      <c r="C498" s="53" t="s">
        <v>986</v>
      </c>
      <c r="D498" s="54" t="s">
        <v>395</v>
      </c>
      <c r="E498" s="54" t="s">
        <v>950</v>
      </c>
      <c r="F498" s="54" t="s">
        <v>987</v>
      </c>
      <c r="G498" s="54">
        <v>24</v>
      </c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V498" s="14"/>
      <c r="W498" s="14"/>
      <c r="X498" s="14">
        <v>1</v>
      </c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</row>
    <row r="499" spans="2:38" ht="150" x14ac:dyDescent="0.3">
      <c r="B499" s="61">
        <v>486</v>
      </c>
      <c r="C499" s="53" t="s">
        <v>988</v>
      </c>
      <c r="D499" s="54" t="s">
        <v>989</v>
      </c>
      <c r="E499" s="54" t="s">
        <v>990</v>
      </c>
      <c r="F499" s="54" t="s">
        <v>363</v>
      </c>
      <c r="G499" s="54">
        <v>8</v>
      </c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V499" s="14"/>
      <c r="W499" s="14"/>
      <c r="X499" s="14">
        <v>1</v>
      </c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</row>
    <row r="500" spans="2:38" ht="30" x14ac:dyDescent="0.3">
      <c r="B500" s="61">
        <v>487</v>
      </c>
      <c r="C500" s="55" t="s">
        <v>991</v>
      </c>
      <c r="D500" s="52" t="s">
        <v>992</v>
      </c>
      <c r="E500" s="51"/>
      <c r="F500" s="51"/>
      <c r="G500" s="52">
        <v>2</v>
      </c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>
        <v>1</v>
      </c>
    </row>
    <row r="501" spans="2:38" ht="60" x14ac:dyDescent="0.3">
      <c r="B501" s="61">
        <v>488</v>
      </c>
      <c r="C501" s="55" t="s">
        <v>993</v>
      </c>
      <c r="D501" s="52" t="s">
        <v>994</v>
      </c>
      <c r="E501" s="51"/>
      <c r="F501" s="51"/>
      <c r="G501" s="52">
        <v>3</v>
      </c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>
        <v>1</v>
      </c>
    </row>
    <row r="502" spans="2:38" ht="30" x14ac:dyDescent="0.3">
      <c r="B502" s="61">
        <v>489</v>
      </c>
      <c r="C502" s="58" t="s">
        <v>997</v>
      </c>
      <c r="D502" s="49" t="s">
        <v>690</v>
      </c>
      <c r="E502" s="49"/>
      <c r="F502" s="49"/>
      <c r="G502" s="49">
        <v>4</v>
      </c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V502" s="14"/>
      <c r="W502" s="14"/>
      <c r="X502" s="14"/>
      <c r="Y502" s="14"/>
      <c r="Z502" s="14"/>
      <c r="AA502" s="14"/>
      <c r="AB502" s="14"/>
      <c r="AC502" s="14"/>
      <c r="AD502" s="14">
        <v>1</v>
      </c>
      <c r="AE502" s="14"/>
      <c r="AF502" s="14"/>
      <c r="AG502" s="14"/>
      <c r="AH502" s="14"/>
      <c r="AI502" s="14"/>
      <c r="AJ502" s="14"/>
      <c r="AK502" s="14"/>
      <c r="AL502" s="14"/>
    </row>
    <row r="503" spans="2:38" ht="60" x14ac:dyDescent="0.3">
      <c r="B503" s="61">
        <v>490</v>
      </c>
      <c r="C503" s="58" t="s">
        <v>998</v>
      </c>
      <c r="D503" s="49" t="s">
        <v>999</v>
      </c>
      <c r="E503" s="49" t="s">
        <v>1000</v>
      </c>
      <c r="F503" s="49"/>
      <c r="G503" s="49">
        <v>7</v>
      </c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V503" s="14"/>
      <c r="W503" s="14"/>
      <c r="X503" s="14"/>
      <c r="Y503" s="14"/>
      <c r="Z503" s="14"/>
      <c r="AA503" s="14"/>
      <c r="AB503" s="14"/>
      <c r="AC503" s="14"/>
      <c r="AD503" s="14">
        <v>1</v>
      </c>
      <c r="AE503" s="14"/>
      <c r="AF503" s="14"/>
      <c r="AG503" s="14"/>
      <c r="AH503" s="14"/>
      <c r="AI503" s="14"/>
      <c r="AJ503" s="14"/>
      <c r="AK503" s="14"/>
      <c r="AL503" s="14"/>
    </row>
    <row r="504" spans="2:38" x14ac:dyDescent="0.3">
      <c r="B504" s="61">
        <v>491</v>
      </c>
      <c r="C504" s="58" t="s">
        <v>1001</v>
      </c>
      <c r="D504" s="49" t="s">
        <v>1002</v>
      </c>
      <c r="E504" s="49"/>
      <c r="F504" s="49"/>
      <c r="G504" s="49">
        <v>3</v>
      </c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V504" s="14"/>
      <c r="W504" s="14"/>
      <c r="X504" s="14"/>
      <c r="Y504" s="14"/>
      <c r="Z504" s="14"/>
      <c r="AA504" s="14"/>
      <c r="AB504" s="14"/>
      <c r="AC504" s="14"/>
      <c r="AD504" s="14">
        <v>1</v>
      </c>
      <c r="AE504" s="14"/>
      <c r="AF504" s="14"/>
      <c r="AG504" s="14"/>
      <c r="AH504" s="14"/>
      <c r="AI504" s="14"/>
      <c r="AJ504" s="14"/>
      <c r="AK504" s="14"/>
      <c r="AL504" s="14"/>
    </row>
    <row r="505" spans="2:38" ht="60" x14ac:dyDescent="0.3">
      <c r="B505" s="61">
        <v>492</v>
      </c>
      <c r="C505" s="58" t="s">
        <v>1003</v>
      </c>
      <c r="D505" s="49" t="s">
        <v>1004</v>
      </c>
      <c r="E505" s="49"/>
      <c r="F505" s="49"/>
      <c r="G505" s="49">
        <v>9</v>
      </c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V505" s="14"/>
      <c r="W505" s="14"/>
      <c r="X505" s="14"/>
      <c r="Y505" s="14"/>
      <c r="Z505" s="14"/>
      <c r="AA505" s="14"/>
      <c r="AB505" s="14"/>
      <c r="AC505" s="14"/>
      <c r="AD505" s="14">
        <v>1</v>
      </c>
      <c r="AE505" s="14"/>
      <c r="AF505" s="14"/>
      <c r="AG505" s="14"/>
      <c r="AH505" s="14"/>
      <c r="AI505" s="14"/>
      <c r="AJ505" s="14"/>
      <c r="AK505" s="14"/>
      <c r="AL505" s="14"/>
    </row>
    <row r="506" spans="2:38" ht="60" x14ac:dyDescent="0.3">
      <c r="B506" s="61">
        <v>493</v>
      </c>
      <c r="C506" s="58" t="s">
        <v>1005</v>
      </c>
      <c r="D506" s="49" t="s">
        <v>912</v>
      </c>
      <c r="E506" s="49" t="s">
        <v>879</v>
      </c>
      <c r="F506" s="49" t="s">
        <v>324</v>
      </c>
      <c r="G506" s="49">
        <v>7</v>
      </c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V506" s="14"/>
      <c r="W506" s="14"/>
      <c r="X506" s="14"/>
      <c r="Y506" s="14"/>
      <c r="Z506" s="14"/>
      <c r="AA506" s="14"/>
      <c r="AB506" s="14"/>
      <c r="AC506" s="14"/>
      <c r="AD506" s="14">
        <v>1</v>
      </c>
      <c r="AE506" s="14"/>
      <c r="AF506" s="14"/>
      <c r="AG506" s="14"/>
      <c r="AH506" s="14"/>
      <c r="AI506" s="14"/>
      <c r="AJ506" s="14"/>
      <c r="AK506" s="14"/>
      <c r="AL506" s="14"/>
    </row>
    <row r="507" spans="2:38" ht="45" x14ac:dyDescent="0.3">
      <c r="B507" s="61">
        <v>494</v>
      </c>
      <c r="C507" s="58" t="s">
        <v>1006</v>
      </c>
      <c r="D507" s="49" t="s">
        <v>1007</v>
      </c>
      <c r="E507" s="49" t="s">
        <v>943</v>
      </c>
      <c r="F507" s="49"/>
      <c r="G507" s="49">
        <v>4</v>
      </c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V507" s="14"/>
      <c r="W507" s="14"/>
      <c r="X507" s="14"/>
      <c r="Y507" s="14"/>
      <c r="Z507" s="14"/>
      <c r="AA507" s="14"/>
      <c r="AB507" s="14"/>
      <c r="AC507" s="14"/>
      <c r="AD507" s="14">
        <v>1</v>
      </c>
      <c r="AE507" s="14"/>
      <c r="AF507" s="14"/>
      <c r="AG507" s="14"/>
      <c r="AH507" s="14"/>
      <c r="AI507" s="14"/>
      <c r="AJ507" s="14"/>
      <c r="AK507" s="14"/>
      <c r="AL507" s="14"/>
    </row>
    <row r="508" spans="2:38" ht="45" x14ac:dyDescent="0.3">
      <c r="B508" s="61">
        <v>495</v>
      </c>
      <c r="C508" s="58" t="s">
        <v>1008</v>
      </c>
      <c r="D508" s="49" t="s">
        <v>1009</v>
      </c>
      <c r="E508" s="49" t="s">
        <v>1010</v>
      </c>
      <c r="F508" s="48"/>
      <c r="G508" s="49">
        <v>3</v>
      </c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V508" s="14"/>
      <c r="W508" s="14"/>
      <c r="X508" s="14"/>
      <c r="Y508" s="14"/>
      <c r="Z508" s="14"/>
      <c r="AA508" s="14"/>
      <c r="AB508" s="14"/>
      <c r="AC508" s="14"/>
      <c r="AD508" s="14">
        <v>1</v>
      </c>
      <c r="AE508" s="14"/>
      <c r="AF508" s="14"/>
      <c r="AG508" s="14"/>
      <c r="AH508" s="14"/>
      <c r="AI508" s="14"/>
      <c r="AJ508" s="14"/>
      <c r="AK508" s="14"/>
      <c r="AL508" s="14"/>
    </row>
    <row r="509" spans="2:38" ht="60" x14ac:dyDescent="0.3">
      <c r="B509" s="61">
        <v>496</v>
      </c>
      <c r="C509" s="58" t="s">
        <v>1011</v>
      </c>
      <c r="D509" s="49" t="s">
        <v>999</v>
      </c>
      <c r="E509" s="49" t="s">
        <v>1000</v>
      </c>
      <c r="F509" s="48"/>
      <c r="G509" s="49">
        <v>6</v>
      </c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V509" s="14"/>
      <c r="W509" s="14"/>
      <c r="X509" s="14"/>
      <c r="Y509" s="14"/>
      <c r="Z509" s="14"/>
      <c r="AA509" s="14"/>
      <c r="AB509" s="14"/>
      <c r="AC509" s="14"/>
      <c r="AD509" s="14">
        <v>1</v>
      </c>
      <c r="AE509" s="14"/>
      <c r="AF509" s="14"/>
      <c r="AG509" s="14"/>
      <c r="AH509" s="14"/>
      <c r="AI509" s="14"/>
      <c r="AJ509" s="14"/>
      <c r="AK509" s="14"/>
      <c r="AL509" s="14"/>
    </row>
    <row r="510" spans="2:38" ht="45" x14ac:dyDescent="0.3">
      <c r="B510" s="61">
        <v>497</v>
      </c>
      <c r="C510" s="58" t="s">
        <v>1012</v>
      </c>
      <c r="D510" s="49" t="s">
        <v>1013</v>
      </c>
      <c r="E510" s="48"/>
      <c r="F510" s="48"/>
      <c r="G510" s="49">
        <v>3</v>
      </c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V510" s="14"/>
      <c r="W510" s="14"/>
      <c r="X510" s="14"/>
      <c r="Y510" s="14"/>
      <c r="Z510" s="14"/>
      <c r="AA510" s="14"/>
      <c r="AB510" s="14"/>
      <c r="AC510" s="14"/>
      <c r="AD510" s="14">
        <v>1</v>
      </c>
      <c r="AE510" s="14"/>
      <c r="AF510" s="14"/>
      <c r="AG510" s="14"/>
      <c r="AH510" s="14"/>
      <c r="AI510" s="14"/>
      <c r="AJ510" s="14"/>
      <c r="AK510" s="14"/>
      <c r="AL510" s="14"/>
    </row>
    <row r="511" spans="2:38" x14ac:dyDescent="0.3">
      <c r="B511" s="61">
        <v>498</v>
      </c>
      <c r="C511" s="58" t="s">
        <v>1001</v>
      </c>
      <c r="D511" s="49" t="s">
        <v>1014</v>
      </c>
      <c r="E511" s="48"/>
      <c r="F511" s="48"/>
      <c r="G511" s="49">
        <v>5</v>
      </c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V511" s="14"/>
      <c r="W511" s="14"/>
      <c r="X511" s="14"/>
      <c r="Y511" s="14"/>
      <c r="Z511" s="14"/>
      <c r="AA511" s="14"/>
      <c r="AB511" s="14"/>
      <c r="AC511" s="14"/>
      <c r="AD511" s="14">
        <v>1</v>
      </c>
      <c r="AE511" s="14"/>
      <c r="AF511" s="14"/>
      <c r="AG511" s="14"/>
      <c r="AH511" s="14"/>
      <c r="AI511" s="14"/>
      <c r="AJ511" s="14"/>
      <c r="AK511" s="14"/>
      <c r="AL511" s="14"/>
    </row>
    <row r="512" spans="2:38" ht="90" x14ac:dyDescent="0.3">
      <c r="B512" s="61">
        <v>499</v>
      </c>
      <c r="C512" s="58" t="s">
        <v>1015</v>
      </c>
      <c r="D512" s="49" t="s">
        <v>1016</v>
      </c>
      <c r="E512" s="49" t="s">
        <v>1017</v>
      </c>
      <c r="F512" s="49" t="s">
        <v>899</v>
      </c>
      <c r="G512" s="49">
        <v>11</v>
      </c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V512" s="14"/>
      <c r="W512" s="14"/>
      <c r="X512" s="14"/>
      <c r="Y512" s="14"/>
      <c r="Z512" s="14"/>
      <c r="AA512" s="14"/>
      <c r="AB512" s="14">
        <v>1</v>
      </c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</row>
    <row r="513" spans="2:38" ht="90" x14ac:dyDescent="0.3">
      <c r="B513" s="61">
        <v>500</v>
      </c>
      <c r="C513" s="58" t="s">
        <v>1018</v>
      </c>
      <c r="D513" s="49" t="s">
        <v>873</v>
      </c>
      <c r="E513" s="49" t="s">
        <v>1019</v>
      </c>
      <c r="F513" s="49" t="s">
        <v>838</v>
      </c>
      <c r="G513" s="49">
        <v>42</v>
      </c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V513" s="14"/>
      <c r="W513" s="14"/>
      <c r="X513" s="14"/>
      <c r="Y513" s="14"/>
      <c r="Z513" s="14"/>
      <c r="AA513" s="14"/>
      <c r="AB513" s="14">
        <v>1</v>
      </c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</row>
    <row r="514" spans="2:38" ht="60" x14ac:dyDescent="0.3">
      <c r="B514" s="61">
        <v>501</v>
      </c>
      <c r="C514" s="58" t="s">
        <v>1020</v>
      </c>
      <c r="D514" s="49" t="s">
        <v>1021</v>
      </c>
      <c r="E514" s="49" t="s">
        <v>943</v>
      </c>
      <c r="F514" s="49"/>
      <c r="G514" s="49">
        <v>3</v>
      </c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V514" s="14"/>
      <c r="W514" s="14"/>
      <c r="X514" s="14"/>
      <c r="Y514" s="14"/>
      <c r="Z514" s="14"/>
      <c r="AA514" s="14"/>
      <c r="AB514" s="14">
        <v>1</v>
      </c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</row>
    <row r="515" spans="2:38" ht="120" x14ac:dyDescent="0.3">
      <c r="B515" s="61">
        <v>502</v>
      </c>
      <c r="C515" s="59" t="s">
        <v>1022</v>
      </c>
      <c r="D515" s="60" t="s">
        <v>1023</v>
      </c>
      <c r="E515" s="60" t="s">
        <v>1024</v>
      </c>
      <c r="F515" s="60" t="s">
        <v>1025</v>
      </c>
      <c r="G515" s="60">
        <v>17</v>
      </c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V515" s="14"/>
      <c r="W515" s="14"/>
      <c r="X515" s="14"/>
      <c r="Y515" s="14"/>
      <c r="Z515" s="14"/>
      <c r="AA515" s="14"/>
      <c r="AB515" s="14">
        <v>1</v>
      </c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</row>
    <row r="516" spans="2:38" ht="75" x14ac:dyDescent="0.3">
      <c r="B516" s="61">
        <v>503</v>
      </c>
      <c r="C516" s="58" t="s">
        <v>1026</v>
      </c>
      <c r="D516" s="49" t="s">
        <v>1027</v>
      </c>
      <c r="E516" s="49" t="s">
        <v>943</v>
      </c>
      <c r="F516" s="49"/>
      <c r="G516" s="49">
        <v>2</v>
      </c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V516" s="14"/>
      <c r="W516" s="14"/>
      <c r="X516" s="14"/>
      <c r="Y516" s="14"/>
      <c r="Z516" s="14"/>
      <c r="AA516" s="14"/>
      <c r="AB516" s="14">
        <v>1</v>
      </c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</row>
    <row r="517" spans="2:38" ht="45" x14ac:dyDescent="0.3">
      <c r="B517" s="61">
        <v>504</v>
      </c>
      <c r="C517" s="58" t="s">
        <v>1028</v>
      </c>
      <c r="D517" s="49" t="s">
        <v>1029</v>
      </c>
      <c r="E517" s="49" t="s">
        <v>1030</v>
      </c>
      <c r="F517" s="49" t="s">
        <v>324</v>
      </c>
      <c r="G517" s="49">
        <v>18</v>
      </c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V517" s="14"/>
      <c r="W517" s="14"/>
      <c r="X517" s="14"/>
      <c r="Y517" s="14"/>
      <c r="Z517" s="14"/>
      <c r="AA517" s="14"/>
      <c r="AB517" s="14">
        <v>1</v>
      </c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</row>
    <row r="518" spans="2:38" ht="30" x14ac:dyDescent="0.3">
      <c r="B518" s="61">
        <v>505</v>
      </c>
      <c r="C518" s="58" t="s">
        <v>1031</v>
      </c>
      <c r="D518" s="49" t="s">
        <v>1032</v>
      </c>
      <c r="E518" s="49" t="s">
        <v>1033</v>
      </c>
      <c r="F518" s="49" t="s">
        <v>1034</v>
      </c>
      <c r="G518" s="49">
        <v>2</v>
      </c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V518" s="14"/>
      <c r="W518" s="14"/>
      <c r="X518" s="14"/>
      <c r="Y518" s="14"/>
      <c r="Z518" s="14"/>
      <c r="AA518" s="14"/>
      <c r="AB518" s="14">
        <v>1</v>
      </c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</row>
    <row r="519" spans="2:38" ht="90" x14ac:dyDescent="0.3">
      <c r="B519" s="61">
        <v>506</v>
      </c>
      <c r="C519" s="58" t="s">
        <v>1035</v>
      </c>
      <c r="D519" s="49" t="s">
        <v>1036</v>
      </c>
      <c r="E519" s="49" t="s">
        <v>1037</v>
      </c>
      <c r="F519" s="49" t="s">
        <v>899</v>
      </c>
      <c r="G519" s="49">
        <v>0</v>
      </c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V519" s="14"/>
      <c r="W519" s="14"/>
      <c r="X519" s="14"/>
      <c r="Y519" s="14"/>
      <c r="Z519" s="14"/>
      <c r="AA519" s="14"/>
      <c r="AB519" s="14">
        <v>1</v>
      </c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</row>
    <row r="520" spans="2:38" ht="75" x14ac:dyDescent="0.3">
      <c r="B520" s="61">
        <v>507</v>
      </c>
      <c r="C520" s="58" t="s">
        <v>1038</v>
      </c>
      <c r="D520" s="49" t="s">
        <v>1039</v>
      </c>
      <c r="E520" s="49" t="s">
        <v>1040</v>
      </c>
      <c r="F520" s="49" t="s">
        <v>1041</v>
      </c>
      <c r="G520" s="49">
        <v>9</v>
      </c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V520" s="14"/>
      <c r="W520" s="14"/>
      <c r="X520" s="14"/>
      <c r="Y520" s="14"/>
      <c r="Z520" s="14"/>
      <c r="AA520" s="14"/>
      <c r="AB520" s="14">
        <v>1</v>
      </c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</row>
    <row r="521" spans="2:38" ht="45" x14ac:dyDescent="0.3">
      <c r="B521" s="61">
        <v>508</v>
      </c>
      <c r="C521" s="58" t="s">
        <v>1042</v>
      </c>
      <c r="D521" s="49" t="s">
        <v>1043</v>
      </c>
      <c r="E521" s="49" t="s">
        <v>943</v>
      </c>
      <c r="F521" s="49" t="s">
        <v>324</v>
      </c>
      <c r="G521" s="49">
        <v>29</v>
      </c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V521" s="14"/>
      <c r="W521" s="14"/>
      <c r="X521" s="14"/>
      <c r="Y521" s="14"/>
      <c r="Z521" s="14"/>
      <c r="AA521" s="14"/>
      <c r="AB521" s="14">
        <v>1</v>
      </c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</row>
    <row r="522" spans="2:38" ht="30" x14ac:dyDescent="0.3">
      <c r="B522" s="61">
        <v>509</v>
      </c>
      <c r="C522" s="58" t="s">
        <v>1044</v>
      </c>
      <c r="D522" s="49" t="s">
        <v>1032</v>
      </c>
      <c r="E522" s="49" t="s">
        <v>1045</v>
      </c>
      <c r="F522" s="49" t="s">
        <v>1046</v>
      </c>
      <c r="G522" s="49">
        <v>4</v>
      </c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V522" s="14"/>
      <c r="W522" s="14"/>
      <c r="X522" s="14"/>
      <c r="Y522" s="14"/>
      <c r="Z522" s="14"/>
      <c r="AA522" s="14"/>
      <c r="AB522" s="14">
        <v>1</v>
      </c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</row>
    <row r="523" spans="2:38" ht="30" x14ac:dyDescent="0.3">
      <c r="B523" s="61">
        <v>510</v>
      </c>
      <c r="C523" s="58" t="s">
        <v>1047</v>
      </c>
      <c r="D523" s="49" t="s">
        <v>1039</v>
      </c>
      <c r="E523" s="49" t="s">
        <v>1048</v>
      </c>
      <c r="F523" s="49"/>
      <c r="G523" s="49">
        <v>9</v>
      </c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V523" s="14"/>
      <c r="W523" s="14"/>
      <c r="X523" s="14"/>
      <c r="Y523" s="14"/>
      <c r="Z523" s="14"/>
      <c r="AA523" s="14"/>
      <c r="AB523" s="14">
        <v>1</v>
      </c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</row>
    <row r="524" spans="2:38" ht="45" x14ac:dyDescent="0.3">
      <c r="B524" s="61">
        <v>511</v>
      </c>
      <c r="C524" s="58" t="s">
        <v>1049</v>
      </c>
      <c r="D524" s="49" t="s">
        <v>1050</v>
      </c>
      <c r="E524" s="49"/>
      <c r="F524" s="49"/>
      <c r="G524" s="49">
        <v>5</v>
      </c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V524" s="14"/>
      <c r="W524" s="14"/>
      <c r="X524" s="14"/>
      <c r="Y524" s="14"/>
      <c r="Z524" s="14"/>
      <c r="AA524" s="14"/>
      <c r="AB524" s="14">
        <v>1</v>
      </c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</row>
    <row r="525" spans="2:38" ht="60" x14ac:dyDescent="0.3">
      <c r="B525" s="61">
        <v>512</v>
      </c>
      <c r="C525" s="58" t="s">
        <v>1051</v>
      </c>
      <c r="D525" s="49" t="s">
        <v>1032</v>
      </c>
      <c r="E525" s="49" t="s">
        <v>1033</v>
      </c>
      <c r="F525" s="49" t="s">
        <v>1046</v>
      </c>
      <c r="G525" s="49">
        <v>4</v>
      </c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V525" s="14"/>
      <c r="W525" s="14"/>
      <c r="X525" s="14"/>
      <c r="Y525" s="14"/>
      <c r="Z525" s="14"/>
      <c r="AA525" s="14"/>
      <c r="AB525" s="14">
        <v>1</v>
      </c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</row>
    <row r="526" spans="2:38" ht="60" x14ac:dyDescent="0.3">
      <c r="B526" s="61">
        <v>513</v>
      </c>
      <c r="C526" s="58" t="s">
        <v>1052</v>
      </c>
      <c r="D526" s="49" t="s">
        <v>1053</v>
      </c>
      <c r="E526" s="49" t="s">
        <v>1054</v>
      </c>
      <c r="F526" s="49"/>
      <c r="G526" s="49">
        <v>12</v>
      </c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V526" s="14"/>
      <c r="W526" s="14"/>
      <c r="X526" s="14"/>
      <c r="Y526" s="14"/>
      <c r="Z526" s="14"/>
      <c r="AA526" s="14"/>
      <c r="AB526" s="14">
        <v>1</v>
      </c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</row>
    <row r="527" spans="2:38" ht="75" x14ac:dyDescent="0.3">
      <c r="B527" s="61">
        <v>514</v>
      </c>
      <c r="C527" s="58" t="s">
        <v>1055</v>
      </c>
      <c r="D527" s="49" t="s">
        <v>1056</v>
      </c>
      <c r="E527" s="49" t="s">
        <v>943</v>
      </c>
      <c r="F527" s="49" t="s">
        <v>324</v>
      </c>
      <c r="G527" s="49">
        <v>31</v>
      </c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V527" s="14"/>
      <c r="W527" s="14"/>
      <c r="X527" s="14"/>
      <c r="Y527" s="14"/>
      <c r="Z527" s="14"/>
      <c r="AA527" s="14"/>
      <c r="AB527" s="14">
        <v>1</v>
      </c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</row>
    <row r="528" spans="2:38" ht="60" x14ac:dyDescent="0.3">
      <c r="B528" s="61">
        <v>515</v>
      </c>
      <c r="C528" s="58" t="s">
        <v>1057</v>
      </c>
      <c r="D528" s="49" t="s">
        <v>1032</v>
      </c>
      <c r="E528" s="49" t="s">
        <v>1058</v>
      </c>
      <c r="F528" s="49" t="s">
        <v>1046</v>
      </c>
      <c r="G528" s="49">
        <v>2</v>
      </c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V528" s="14"/>
      <c r="W528" s="14"/>
      <c r="X528" s="14"/>
      <c r="Y528" s="14"/>
      <c r="Z528" s="14"/>
      <c r="AA528" s="14"/>
      <c r="AB528" s="14">
        <v>1</v>
      </c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</row>
    <row r="529" spans="2:38" ht="60" x14ac:dyDescent="0.3">
      <c r="B529" s="61">
        <v>516</v>
      </c>
      <c r="C529" s="58" t="s">
        <v>1059</v>
      </c>
      <c r="D529" s="49" t="s">
        <v>1060</v>
      </c>
      <c r="E529" s="49" t="s">
        <v>1061</v>
      </c>
      <c r="F529" s="49"/>
      <c r="G529" s="49">
        <v>3</v>
      </c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V529" s="14"/>
      <c r="W529" s="14"/>
      <c r="X529" s="14"/>
      <c r="Y529" s="14"/>
      <c r="Z529" s="14"/>
      <c r="AA529" s="14"/>
      <c r="AB529" s="14">
        <v>1</v>
      </c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</row>
    <row r="530" spans="2:38" ht="60" x14ac:dyDescent="0.3">
      <c r="B530" s="61">
        <v>517</v>
      </c>
      <c r="C530" s="58" t="s">
        <v>1062</v>
      </c>
      <c r="D530" s="49" t="s">
        <v>1037</v>
      </c>
      <c r="E530" s="49" t="s">
        <v>899</v>
      </c>
      <c r="F530" s="49"/>
      <c r="G530" s="49">
        <v>29</v>
      </c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V530" s="14"/>
      <c r="W530" s="14"/>
      <c r="X530" s="14"/>
      <c r="Y530" s="14"/>
      <c r="Z530" s="14"/>
      <c r="AA530" s="14"/>
      <c r="AB530" s="14">
        <v>1</v>
      </c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</row>
    <row r="531" spans="2:38" ht="120" x14ac:dyDescent="0.3">
      <c r="B531" s="61">
        <v>518</v>
      </c>
      <c r="C531" s="58" t="s">
        <v>1063</v>
      </c>
      <c r="D531" s="49" t="s">
        <v>1032</v>
      </c>
      <c r="E531" s="49" t="s">
        <v>1058</v>
      </c>
      <c r="F531" s="49" t="s">
        <v>1045</v>
      </c>
      <c r="G531" s="49">
        <v>6</v>
      </c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V531" s="14"/>
      <c r="W531" s="14"/>
      <c r="X531" s="14"/>
      <c r="Y531" s="14"/>
      <c r="Z531" s="14"/>
      <c r="AA531" s="14"/>
      <c r="AB531" s="14">
        <v>1</v>
      </c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</row>
    <row r="532" spans="2:38" ht="105" x14ac:dyDescent="0.3">
      <c r="B532" s="61">
        <v>519</v>
      </c>
      <c r="C532" s="58" t="s">
        <v>1064</v>
      </c>
      <c r="D532" s="49" t="s">
        <v>1065</v>
      </c>
      <c r="E532" s="49" t="s">
        <v>822</v>
      </c>
      <c r="F532" s="49" t="s">
        <v>1032</v>
      </c>
      <c r="G532" s="49">
        <v>61</v>
      </c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V532" s="14"/>
      <c r="W532" s="14"/>
      <c r="X532" s="14"/>
      <c r="Y532" s="14"/>
      <c r="Z532" s="14"/>
      <c r="AA532" s="14"/>
      <c r="AB532" s="14">
        <v>1</v>
      </c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</row>
    <row r="533" spans="2:38" ht="135" x14ac:dyDescent="0.3">
      <c r="B533" s="61">
        <v>520</v>
      </c>
      <c r="C533" s="58" t="s">
        <v>1066</v>
      </c>
      <c r="D533" s="49" t="s">
        <v>1029</v>
      </c>
      <c r="E533" s="49" t="s">
        <v>1067</v>
      </c>
      <c r="F533" s="49" t="s">
        <v>943</v>
      </c>
      <c r="G533" s="49">
        <v>49</v>
      </c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V533" s="14"/>
      <c r="W533" s="14"/>
      <c r="X533" s="14"/>
      <c r="Y533" s="14"/>
      <c r="Z533" s="14"/>
      <c r="AA533" s="14"/>
      <c r="AB533" s="14">
        <v>1</v>
      </c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</row>
    <row r="534" spans="2:38" ht="60" x14ac:dyDescent="0.3">
      <c r="B534" s="61">
        <v>521</v>
      </c>
      <c r="C534" s="58" t="s">
        <v>1068</v>
      </c>
      <c r="D534" s="49" t="s">
        <v>1032</v>
      </c>
      <c r="E534" s="49" t="s">
        <v>1033</v>
      </c>
      <c r="F534" s="49" t="s">
        <v>1034</v>
      </c>
      <c r="G534" s="49">
        <v>3</v>
      </c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V534" s="14"/>
      <c r="W534" s="14"/>
      <c r="X534" s="14"/>
      <c r="Y534" s="14"/>
      <c r="Z534" s="14"/>
      <c r="AA534" s="14"/>
      <c r="AB534" s="14">
        <v>1</v>
      </c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</row>
    <row r="535" spans="2:38" ht="45" x14ac:dyDescent="0.3">
      <c r="B535" s="61">
        <v>522</v>
      </c>
      <c r="C535" s="58" t="s">
        <v>1069</v>
      </c>
      <c r="D535" s="49" t="s">
        <v>1070</v>
      </c>
      <c r="E535" s="49" t="s">
        <v>1048</v>
      </c>
      <c r="F535" s="49"/>
      <c r="G535" s="49">
        <v>7</v>
      </c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V535" s="14"/>
      <c r="W535" s="14"/>
      <c r="X535" s="14"/>
      <c r="Y535" s="14"/>
      <c r="Z535" s="14"/>
      <c r="AA535" s="14"/>
      <c r="AB535" s="14">
        <v>1</v>
      </c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</row>
    <row r="536" spans="2:38" ht="45" x14ac:dyDescent="0.3">
      <c r="B536" s="61">
        <v>523</v>
      </c>
      <c r="C536" s="58" t="s">
        <v>1071</v>
      </c>
      <c r="D536" s="49" t="s">
        <v>1072</v>
      </c>
      <c r="E536" s="49" t="s">
        <v>1073</v>
      </c>
      <c r="F536" s="49" t="s">
        <v>1034</v>
      </c>
      <c r="G536" s="49">
        <v>1</v>
      </c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V536" s="14"/>
      <c r="W536" s="14"/>
      <c r="X536" s="14"/>
      <c r="Y536" s="14"/>
      <c r="Z536" s="14"/>
      <c r="AA536" s="14"/>
      <c r="AB536" s="14">
        <v>1</v>
      </c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</row>
    <row r="537" spans="2:38" ht="45" x14ac:dyDescent="0.3">
      <c r="B537" s="61">
        <v>524</v>
      </c>
      <c r="C537" s="58" t="s">
        <v>1074</v>
      </c>
      <c r="D537" s="49" t="s">
        <v>1075</v>
      </c>
      <c r="E537" s="49" t="s">
        <v>1048</v>
      </c>
      <c r="F537" s="49"/>
      <c r="G537" s="49">
        <v>3</v>
      </c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V537" s="14"/>
      <c r="W537" s="14"/>
      <c r="X537" s="14"/>
      <c r="Y537" s="14"/>
      <c r="Z537" s="14"/>
      <c r="AA537" s="14"/>
      <c r="AB537" s="14">
        <v>1</v>
      </c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</row>
    <row r="538" spans="2:38" ht="75" x14ac:dyDescent="0.3">
      <c r="B538" s="61">
        <v>525</v>
      </c>
      <c r="C538" s="58" t="s">
        <v>1076</v>
      </c>
      <c r="D538" s="49" t="s">
        <v>1032</v>
      </c>
      <c r="E538" s="49" t="s">
        <v>1045</v>
      </c>
      <c r="F538" s="49" t="s">
        <v>1077</v>
      </c>
      <c r="G538" s="49">
        <v>2</v>
      </c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V538" s="14"/>
      <c r="W538" s="14"/>
      <c r="X538" s="14"/>
      <c r="Y538" s="14"/>
      <c r="Z538" s="14"/>
      <c r="AA538" s="14"/>
      <c r="AB538" s="14">
        <v>1</v>
      </c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</row>
    <row r="539" spans="2:38" ht="60" x14ac:dyDescent="0.3">
      <c r="B539" s="61">
        <v>526</v>
      </c>
      <c r="C539" s="58" t="s">
        <v>1078</v>
      </c>
      <c r="D539" s="49" t="s">
        <v>1079</v>
      </c>
      <c r="E539" s="49" t="s">
        <v>1080</v>
      </c>
      <c r="F539" s="49" t="s">
        <v>324</v>
      </c>
      <c r="G539" s="49">
        <v>7</v>
      </c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V539" s="14"/>
      <c r="W539" s="14"/>
      <c r="X539" s="14"/>
      <c r="Y539" s="14"/>
      <c r="Z539" s="14"/>
      <c r="AA539" s="14"/>
      <c r="AB539" s="14">
        <v>1</v>
      </c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</row>
    <row r="540" spans="2:38" ht="30" x14ac:dyDescent="0.3">
      <c r="B540" s="61">
        <v>527</v>
      </c>
      <c r="C540" s="58" t="s">
        <v>1081</v>
      </c>
      <c r="D540" s="49" t="s">
        <v>821</v>
      </c>
      <c r="E540" s="49" t="s">
        <v>915</v>
      </c>
      <c r="F540" s="49" t="s">
        <v>1048</v>
      </c>
      <c r="G540" s="49">
        <v>12</v>
      </c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V540" s="14"/>
      <c r="W540" s="14"/>
      <c r="X540" s="14"/>
      <c r="Y540" s="14"/>
      <c r="Z540" s="14"/>
      <c r="AA540" s="14"/>
      <c r="AB540" s="14">
        <v>1</v>
      </c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</row>
    <row r="541" spans="2:38" ht="30" x14ac:dyDescent="0.3">
      <c r="B541" s="61">
        <v>528</v>
      </c>
      <c r="C541" s="58" t="s">
        <v>1082</v>
      </c>
      <c r="D541" s="49" t="s">
        <v>1083</v>
      </c>
      <c r="E541" s="49" t="s">
        <v>1084</v>
      </c>
      <c r="F541" s="49" t="s">
        <v>1077</v>
      </c>
      <c r="G541" s="49">
        <v>5</v>
      </c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V541" s="14"/>
      <c r="W541" s="14"/>
      <c r="X541" s="14"/>
      <c r="Y541" s="14"/>
      <c r="Z541" s="14"/>
      <c r="AA541" s="14"/>
      <c r="AB541" s="14">
        <v>1</v>
      </c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</row>
    <row r="542" spans="2:38" ht="45" x14ac:dyDescent="0.3">
      <c r="B542" s="61">
        <v>529</v>
      </c>
      <c r="C542" s="58" t="s">
        <v>1085</v>
      </c>
      <c r="D542" s="49" t="s">
        <v>1032</v>
      </c>
      <c r="E542" s="49" t="s">
        <v>1045</v>
      </c>
      <c r="F542" s="49" t="s">
        <v>1034</v>
      </c>
      <c r="G542" s="49">
        <v>2</v>
      </c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V542" s="14"/>
      <c r="W542" s="14"/>
      <c r="X542" s="14"/>
      <c r="Y542" s="14"/>
      <c r="Z542" s="14"/>
      <c r="AA542" s="14"/>
      <c r="AB542" s="14">
        <v>1</v>
      </c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</row>
    <row r="543" spans="2:38" ht="60" x14ac:dyDescent="0.3">
      <c r="B543" s="61">
        <v>530</v>
      </c>
      <c r="C543" s="58" t="s">
        <v>1086</v>
      </c>
      <c r="D543" s="49" t="s">
        <v>1036</v>
      </c>
      <c r="E543" s="49" t="s">
        <v>899</v>
      </c>
      <c r="F543" s="49"/>
      <c r="G543" s="49">
        <v>1</v>
      </c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V543" s="14"/>
      <c r="W543" s="14"/>
      <c r="X543" s="14"/>
      <c r="Y543" s="14"/>
      <c r="Z543" s="14"/>
      <c r="AA543" s="14"/>
      <c r="AB543" s="14">
        <v>1</v>
      </c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</row>
    <row r="544" spans="2:38" ht="60" x14ac:dyDescent="0.3">
      <c r="B544" s="61">
        <v>531</v>
      </c>
      <c r="C544" s="58" t="s">
        <v>1087</v>
      </c>
      <c r="D544" s="49" t="s">
        <v>1037</v>
      </c>
      <c r="E544" s="49" t="s">
        <v>1025</v>
      </c>
      <c r="F544" s="49" t="s">
        <v>324</v>
      </c>
      <c r="G544" s="49">
        <v>38</v>
      </c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V544" s="14"/>
      <c r="W544" s="14"/>
      <c r="X544" s="14"/>
      <c r="Y544" s="14"/>
      <c r="Z544" s="14"/>
      <c r="AA544" s="14"/>
      <c r="AB544" s="14">
        <v>1</v>
      </c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</row>
    <row r="545" spans="2:38" ht="30" x14ac:dyDescent="0.3">
      <c r="B545" s="61">
        <v>532</v>
      </c>
      <c r="C545" s="58" t="s">
        <v>1088</v>
      </c>
      <c r="D545" s="49" t="s">
        <v>1032</v>
      </c>
      <c r="E545" s="49"/>
      <c r="F545" s="49"/>
      <c r="G545" s="49">
        <v>2</v>
      </c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V545" s="14"/>
      <c r="W545" s="14"/>
      <c r="X545" s="14"/>
      <c r="Y545" s="14"/>
      <c r="Z545" s="14"/>
      <c r="AA545" s="14"/>
      <c r="AB545" s="14">
        <v>1</v>
      </c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</row>
    <row r="546" spans="2:38" ht="45" x14ac:dyDescent="0.3">
      <c r="B546" s="61">
        <v>533</v>
      </c>
      <c r="C546" s="58" t="s">
        <v>1089</v>
      </c>
      <c r="D546" s="49" t="s">
        <v>1090</v>
      </c>
      <c r="E546" s="49" t="s">
        <v>324</v>
      </c>
      <c r="F546" s="49"/>
      <c r="G546" s="49">
        <v>4</v>
      </c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V546" s="14"/>
      <c r="W546" s="14"/>
      <c r="X546" s="14"/>
      <c r="Y546" s="14"/>
      <c r="Z546" s="14"/>
      <c r="AA546" s="14"/>
      <c r="AB546" s="14">
        <v>1</v>
      </c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</row>
    <row r="547" spans="2:38" ht="45" x14ac:dyDescent="0.3">
      <c r="B547" s="61">
        <v>534</v>
      </c>
      <c r="C547" s="58" t="s">
        <v>1091</v>
      </c>
      <c r="D547" s="49" t="s">
        <v>1032</v>
      </c>
      <c r="E547" s="49"/>
      <c r="F547" s="49"/>
      <c r="G547" s="49">
        <v>4</v>
      </c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V547" s="14"/>
      <c r="W547" s="14"/>
      <c r="X547" s="14"/>
      <c r="Y547" s="14"/>
      <c r="Z547" s="14"/>
      <c r="AA547" s="14"/>
      <c r="AB547" s="14">
        <v>1</v>
      </c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</row>
    <row r="548" spans="2:38" ht="60" x14ac:dyDescent="0.3">
      <c r="B548" s="61">
        <v>535</v>
      </c>
      <c r="C548" s="58" t="s">
        <v>1092</v>
      </c>
      <c r="D548" s="49" t="s">
        <v>1093</v>
      </c>
      <c r="E548" s="49" t="s">
        <v>1025</v>
      </c>
      <c r="F548" s="49"/>
      <c r="G548" s="49">
        <v>4</v>
      </c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V548" s="14"/>
      <c r="W548" s="14"/>
      <c r="X548" s="14"/>
      <c r="Y548" s="14"/>
      <c r="Z548" s="14"/>
      <c r="AA548" s="14"/>
      <c r="AB548" s="14">
        <v>1</v>
      </c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</row>
    <row r="549" spans="2:38" ht="60" x14ac:dyDescent="0.3">
      <c r="B549" s="61">
        <v>536</v>
      </c>
      <c r="C549" s="58" t="s">
        <v>1094</v>
      </c>
      <c r="D549" s="49" t="s">
        <v>1029</v>
      </c>
      <c r="E549" s="49" t="s">
        <v>899</v>
      </c>
      <c r="F549" s="49"/>
      <c r="G549" s="49">
        <v>12</v>
      </c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V549" s="14"/>
      <c r="W549" s="14"/>
      <c r="X549" s="14"/>
      <c r="Y549" s="14"/>
      <c r="Z549" s="14"/>
      <c r="AA549" s="14"/>
      <c r="AB549" s="14">
        <v>1</v>
      </c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</row>
    <row r="550" spans="2:38" ht="90" x14ac:dyDescent="0.3">
      <c r="B550" s="61">
        <v>537</v>
      </c>
      <c r="C550" s="58" t="s">
        <v>1095</v>
      </c>
      <c r="D550" s="49" t="s">
        <v>1096</v>
      </c>
      <c r="E550" s="49" t="s">
        <v>943</v>
      </c>
      <c r="F550" s="49"/>
      <c r="G550" s="49">
        <v>9</v>
      </c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V550" s="14"/>
      <c r="W550" s="14"/>
      <c r="X550" s="14"/>
      <c r="Y550" s="14"/>
      <c r="Z550" s="14"/>
      <c r="AA550" s="14"/>
      <c r="AB550" s="14">
        <v>1</v>
      </c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</row>
    <row r="551" spans="2:38" ht="90" x14ac:dyDescent="0.3">
      <c r="B551" s="61">
        <v>538</v>
      </c>
      <c r="C551" s="58" t="s">
        <v>1097</v>
      </c>
      <c r="D551" s="49" t="s">
        <v>1098</v>
      </c>
      <c r="E551" s="49" t="s">
        <v>1099</v>
      </c>
      <c r="F551" s="49" t="s">
        <v>943</v>
      </c>
      <c r="G551" s="49">
        <v>11</v>
      </c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V551" s="14"/>
      <c r="W551" s="14"/>
      <c r="X551" s="14"/>
      <c r="Y551" s="14"/>
      <c r="Z551" s="14"/>
      <c r="AA551" s="14"/>
      <c r="AB551" s="14">
        <v>1</v>
      </c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</row>
    <row r="552" spans="2:38" ht="165" x14ac:dyDescent="0.3">
      <c r="B552" s="61">
        <v>539</v>
      </c>
      <c r="C552" s="58" t="s">
        <v>1100</v>
      </c>
      <c r="D552" s="49" t="s">
        <v>1029</v>
      </c>
      <c r="E552" s="49" t="s">
        <v>921</v>
      </c>
      <c r="F552" s="49" t="s">
        <v>1101</v>
      </c>
      <c r="G552" s="49">
        <v>32</v>
      </c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V552" s="14"/>
      <c r="W552" s="14"/>
      <c r="X552" s="14"/>
      <c r="Y552" s="14"/>
      <c r="Z552" s="14"/>
      <c r="AA552" s="14"/>
      <c r="AB552" s="14">
        <v>1</v>
      </c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</row>
    <row r="553" spans="2:38" ht="165" x14ac:dyDescent="0.3">
      <c r="B553" s="61">
        <v>540</v>
      </c>
      <c r="C553" s="58" t="s">
        <v>1102</v>
      </c>
      <c r="D553" s="49" t="s">
        <v>1103</v>
      </c>
      <c r="E553" s="49" t="s">
        <v>1104</v>
      </c>
      <c r="F553" s="49" t="s">
        <v>1105</v>
      </c>
      <c r="G553" s="49">
        <v>5</v>
      </c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V553" s="14"/>
      <c r="W553" s="14"/>
      <c r="X553" s="14"/>
      <c r="Y553" s="14"/>
      <c r="Z553" s="14"/>
      <c r="AA553" s="14"/>
      <c r="AB553" s="14">
        <v>1</v>
      </c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</row>
    <row r="554" spans="2:38" ht="90" x14ac:dyDescent="0.3">
      <c r="B554" s="61">
        <v>541</v>
      </c>
      <c r="C554" s="58" t="s">
        <v>1106</v>
      </c>
      <c r="D554" s="49" t="s">
        <v>1065</v>
      </c>
      <c r="E554" s="49" t="s">
        <v>1107</v>
      </c>
      <c r="F554" s="49" t="s">
        <v>1108</v>
      </c>
      <c r="G554" s="49">
        <v>30</v>
      </c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V554" s="14"/>
      <c r="W554" s="14"/>
      <c r="X554" s="14"/>
      <c r="Y554" s="14"/>
      <c r="Z554" s="14"/>
      <c r="AA554" s="14"/>
      <c r="AB554" s="14">
        <v>1</v>
      </c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</row>
    <row r="555" spans="2:38" ht="60" x14ac:dyDescent="0.3">
      <c r="B555" s="61">
        <v>542</v>
      </c>
      <c r="C555" s="58" t="s">
        <v>1109</v>
      </c>
      <c r="D555" s="49" t="s">
        <v>1110</v>
      </c>
      <c r="E555" s="49" t="s">
        <v>899</v>
      </c>
      <c r="F555" s="49"/>
      <c r="G555" s="49">
        <v>3</v>
      </c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V555" s="14"/>
      <c r="W555" s="14"/>
      <c r="X555" s="14"/>
      <c r="Y555" s="14"/>
      <c r="Z555" s="14"/>
      <c r="AA555" s="14"/>
      <c r="AB555" s="14">
        <v>1</v>
      </c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</row>
    <row r="556" spans="2:38" x14ac:dyDescent="0.3">
      <c r="B556" s="61">
        <v>543</v>
      </c>
      <c r="C556" s="58" t="s">
        <v>1111</v>
      </c>
      <c r="D556" s="49" t="s">
        <v>1112</v>
      </c>
      <c r="E556" s="49"/>
      <c r="F556" s="49"/>
      <c r="G556" s="49">
        <v>15</v>
      </c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V556" s="14"/>
      <c r="W556" s="14"/>
      <c r="X556" s="14"/>
      <c r="Y556" s="14"/>
      <c r="Z556" s="14"/>
      <c r="AA556" s="14"/>
      <c r="AB556" s="14">
        <v>1</v>
      </c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</row>
    <row r="557" spans="2:38" ht="60" x14ac:dyDescent="0.3">
      <c r="B557" s="61">
        <v>544</v>
      </c>
      <c r="C557" s="58" t="s">
        <v>1092</v>
      </c>
      <c r="D557" s="49" t="s">
        <v>1113</v>
      </c>
      <c r="E557" s="49" t="s">
        <v>943</v>
      </c>
      <c r="F557" s="49"/>
      <c r="G557" s="49">
        <v>5</v>
      </c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V557" s="14"/>
      <c r="W557" s="14"/>
      <c r="X557" s="14"/>
      <c r="Y557" s="14"/>
      <c r="Z557" s="14"/>
      <c r="AA557" s="14"/>
      <c r="AB557" s="14">
        <v>1</v>
      </c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</row>
  </sheetData>
  <sheetProtection algorithmName="SHA-512" hashValue="KHDNelUbQp5hKFOHt6sBO104h/egTLFjilzYs3S9agaBpBX21X1JuVR00Bm5oFueHT5EErUp05qjVysYv/9ZjA==" saltValue="gX6AEVObm8tGll8sp6BcFg==" spinCount="100000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557 I14:T557 V14:AL557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dcterms:created xsi:type="dcterms:W3CDTF">2018-04-04T01:58:18Z</dcterms:created>
  <dcterms:modified xsi:type="dcterms:W3CDTF">2018-08-20T03:09:06Z</dcterms:modified>
</cp:coreProperties>
</file>