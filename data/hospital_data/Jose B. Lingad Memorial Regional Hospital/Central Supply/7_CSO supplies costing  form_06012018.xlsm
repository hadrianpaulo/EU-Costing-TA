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c44O9NEa4W2Rr8w3wHLdT6qhpl0Kg4MJmWVdhSDUS1peMZF+1ZMybn/uj9tmkxJoI650hwk/zW8/3ktejs1IPw==" workbookSaltValue="zNhXjkdUXQhg1rNAplv1uw==" workbookSpinCount="100000" lockStructure="1"/>
  <bookViews>
    <workbookView xWindow="0" yWindow="0" windowWidth="15525" windowHeight="7050"/>
  </bookViews>
  <sheets>
    <sheet name="7.1CSO supplies costs" sheetId="1" r:id="rId1"/>
  </sheets>
  <externalReferences>
    <externalReference r:id="rId2"/>
  </externalReferences>
  <definedNames>
    <definedName name="Drugs">'[1]1.0 Drugs&amp;Med List'!$B$16:$B$315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1" l="1"/>
  <c r="D19" i="1"/>
  <c r="D20" i="1"/>
  <c r="D18" i="1"/>
  <c r="D17" i="1"/>
  <c r="D16" i="1"/>
  <c r="D15" i="1"/>
  <c r="BG33" i="1" l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D33" i="1" l="1"/>
</calcChain>
</file>

<file path=xl/sharedStrings.xml><?xml version="1.0" encoding="utf-8"?>
<sst xmlns="http://schemas.openxmlformats.org/spreadsheetml/2006/main" count="140" uniqueCount="88">
  <si>
    <t>Delivery Room</t>
  </si>
  <si>
    <t>Category of supplies</t>
  </si>
  <si>
    <t>Total amount of consumption cost (peso)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</si>
  <si>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Central supply office supervisor/staff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</si>
  <si>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 Central supply logbook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</si>
  <si>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costs of supplies consumed in each unit/department of the hospital</t>
    </r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</si>
  <si>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</si>
  <si>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</si>
  <si>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</si>
  <si>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</si>
  <si>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</si>
  <si>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</si>
  <si>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</si>
  <si>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</si>
  <si>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</si>
  <si>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</si>
  <si>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</si>
  <si>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</si>
  <si>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</si>
  <si>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</si>
  <si>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</si>
  <si>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</si>
  <si>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</si>
  <si>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</si>
  <si>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</si>
  <si>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</si>
  <si>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</si>
  <si>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</si>
  <si>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</si>
  <si>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</si>
  <si>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</si>
  <si>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</si>
  <si>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</si>
  <si>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</si>
  <si>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</si>
  <si>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</si>
  <si>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</si>
  <si>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</si>
  <si>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</si>
  <si>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</si>
  <si>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</si>
  <si>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</si>
  <si>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</si>
  <si>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</si>
  <si>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</si>
  <si>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</si>
  <si>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</si>
  <si>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t>Total</t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</si>
  <si>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</si>
  <si>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</si>
  <si>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</si>
  <si>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</si>
  <si>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</si>
  <si>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</si>
  <si>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</si>
  <si>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</si>
  <si>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</si>
  <si>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</si>
  <si>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</si>
  <si>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</si>
  <si>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</si>
  <si>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</si>
  <si>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Heart Station</t>
  </si>
  <si>
    <t>Diabetes MAP</t>
  </si>
  <si>
    <t>Hypertension MAP</t>
  </si>
  <si>
    <t>Nuclear Medicine</t>
  </si>
  <si>
    <t>Endoscopy Unit</t>
  </si>
  <si>
    <t>Medical and other supplies and consumables dispensed by Central Supply Office/Unit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</si>
  <si>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expenses of medical and other supplies used by  various departments</t>
    </r>
  </si>
  <si>
    <t>#</t>
  </si>
  <si>
    <t>Period covered:</t>
  </si>
  <si>
    <t>IT Departments</t>
  </si>
  <si>
    <t>Housekeeping</t>
  </si>
  <si>
    <t>Outpatient Department (general)</t>
  </si>
  <si>
    <t xml:space="preserve">Diabetes </t>
  </si>
  <si>
    <t>Hypertension</t>
  </si>
  <si>
    <t>IT Department</t>
  </si>
  <si>
    <t xml:space="preserve">Housekeeping </t>
  </si>
  <si>
    <t>Office of the Chief of Medical Professional Staff / Chief of Clinics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</si>
  <si>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</si>
  <si>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Supplies</t>
  </si>
  <si>
    <t>OFFICE SUPPLIES</t>
  </si>
  <si>
    <t>DRUGS AND MEDICINE</t>
  </si>
  <si>
    <t>LABORATORY</t>
  </si>
  <si>
    <t>RADIOLOGY</t>
  </si>
  <si>
    <t>SURGICAL AND DENTAL</t>
  </si>
  <si>
    <t>MEDICAL OXYGEN</t>
  </si>
  <si>
    <t>OTHERS (ENG'G, HOUSE KEEPING)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</si>
</sst>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0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9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1" xfId="0" applyFont="1" applyBorder="1"/>
    <xf numFmtId="0" fontId="8" fillId="0" borderId="0" xfId="0" applyFont="1"/>
    <xf numFmtId="164" fontId="10" fillId="2" borderId="1" xfId="2" applyFont="1" applyFill="1" applyBorder="1" applyProtection="1">
      <protection locked="0"/>
    </xf>
    <xf numFmtId="164" fontId="8" fillId="0" borderId="1" xfId="0" applyNumberFormat="1" applyFont="1" applyBorder="1"/>
    <xf numFmtId="0" fontId="5" fillId="0" borderId="1" xfId="0" applyFont="1" applyBorder="1" applyAlignment="1">
      <alignment horizontal="right" vertical="center"/>
    </xf>
    <xf numFmtId="0" fontId="10" fillId="2" borderId="1" xfId="0" applyFont="1" applyFill="1" applyBorder="1" applyAlignment="1" applyProtection="1">
      <alignment wrapText="1"/>
      <protection locked="0"/>
    </xf>
    <xf numFmtId="0" fontId="5" fillId="0" borderId="0" xfId="0" applyFont="1" applyProtection="1"/>
    <xf numFmtId="0" fontId="5" fillId="0" borderId="0" xfId="0" applyFont="1" applyAlignment="1" applyProtection="1">
      <alignment horizontal="center" wrapText="1"/>
    </xf>
    <xf numFmtId="0" fontId="13" fillId="4" borderId="1" xfId="1" applyFont="1" applyFill="1" applyBorder="1" applyAlignment="1">
      <alignment horizontal="left" vertical="center" wrapText="1"/>
    </xf>
    <xf numFmtId="0" fontId="17" fillId="4" borderId="1" xfId="1" applyFont="1" applyFill="1" applyBorder="1" applyAlignment="1">
      <alignment horizontal="left" vertical="center" wrapText="1"/>
    </xf>
    <xf numFmtId="0" fontId="14" fillId="4" borderId="1" xfId="1" applyFont="1" applyFill="1" applyBorder="1" applyAlignment="1">
      <alignment horizontal="left" vertical="center" wrapText="1"/>
    </xf>
    <xf numFmtId="164" fontId="10" fillId="2" borderId="2" xfId="2" applyFont="1" applyFill="1" applyBorder="1" applyProtection="1">
      <protection locked="0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vertical="top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3" fillId="4" borderId="9" xfId="0" applyFont="1" applyFill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3" fillId="3" borderId="0" xfId="0" applyFont="1" applyFill="1"/>
    <xf numFmtId="0" fontId="5" fillId="3" borderId="0" xfId="0" applyFont="1" applyFill="1"/>
    <xf numFmtId="0" fontId="15" fillId="4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3" fillId="0" borderId="0" xfId="0" applyFont="1" applyProtection="1"/>
    <xf numFmtId="0" fontId="5" fillId="4" borderId="1" xfId="0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15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2" fillId="4" borderId="6" xfId="0" applyFont="1" applyFill="1" applyBorder="1" applyAlignment="1">
      <alignment horizontal="left"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13" fillId="3" borderId="3" xfId="1" applyFont="1" applyFill="1" applyBorder="1" applyAlignment="1">
      <alignment wrapText="1"/>
    </xf>
    <xf numFmtId="0" fontId="13" fillId="3" borderId="4" xfId="1" applyFont="1" applyFill="1" applyBorder="1" applyAlignment="1">
      <alignment wrapText="1"/>
    </xf>
    <xf numFmtId="0" fontId="13" fillId="3" borderId="5" xfId="1" applyFont="1" applyFill="1" applyBorder="1" applyAlignment="1">
      <alignment wrapText="1"/>
    </xf>
    <xf numFmtId="0" fontId="13" fillId="3" borderId="1" xfId="1" applyFont="1" applyFill="1" applyBorder="1" applyAlignment="1">
      <alignment wrapText="1"/>
    </xf>
    <xf numFmtId="0" fontId="14" fillId="3" borderId="1" xfId="1" applyFont="1" applyFill="1" applyBorder="1" applyAlignment="1">
      <alignment wrapText="1"/>
    </xf>
    <xf numFmtId="0" fontId="13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19050</xdr:rowOff>
        </xdr:from>
        <xdr:to>
          <xdr:col>1</xdr:col>
          <xdr:colOff>762000</xdr:colOff>
          <xdr:row>14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14</xdr:row>
          <xdr:rowOff>19050</xdr:rowOff>
        </xdr:from>
        <xdr:to>
          <xdr:col>1</xdr:col>
          <xdr:colOff>1524000</xdr:colOff>
          <xdr:row>14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1800225</xdr:colOff>
          <xdr:row>10</xdr:row>
          <xdr:rowOff>0</xdr:rowOff>
        </xdr:from>
        <xdr:to>
          <xdr:col>2</xdr:col>
          <xdr:colOff>2886075</xdr:colOff>
          <xdr:row>11</xdr:row>
          <xdr:rowOff>9525</xdr:rowOff>
        </xdr:to>
        <xdr:sp macro="" textlink="">
          <xdr:nvSpPr>
            <xdr:cNvPr id="1027" name="Select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3038475</xdr:colOff>
          <xdr:row>10</xdr:row>
          <xdr:rowOff>0</xdr:rowOff>
        </xdr:from>
        <xdr:to>
          <xdr:col>3</xdr:col>
          <xdr:colOff>790575</xdr:colOff>
          <xdr:row>11</xdr:row>
          <xdr:rowOff>9525</xdr:rowOff>
        </xdr:to>
        <xdr:sp macro="" textlink="">
          <xdr:nvSpPr>
            <xdr:cNvPr id="1028" name="SelectIIandIII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Q34"/>
  <sheetViews>
    <sheetView showGridLines="0" tabSelected="1" zoomScale="85" zoomScaleNormal="85" workbookViewId="0"/>
  </sheetViews>
  <sheetFormatPr defaultColWidth="8.7109375" defaultRowHeight="16.5" outlineLevelRow="1" x14ac:dyDescent="0.3"/>
  <cols>
    <col min="1" max="1" width="3.85546875" style="2" customWidth="1"/>
    <col min="2" max="2" width="26.85546875" style="2" customWidth="1"/>
    <col min="3" max="3" width="46.42578125" style="2" customWidth="1"/>
    <col min="4" max="4" width="12.85546875" style="2" customWidth="1"/>
    <col min="5" max="5" width="1.42578125" style="6" customWidth="1"/>
    <col min="6" max="59" width="8.7109375" style="6" hidden="1" customWidth="1"/>
    <col min="60" max="60" width="1.85546875" style="6" customWidth="1"/>
    <col min="61" max="121" width="8.7109375" style="6" customWidth="1"/>
    <col min="122" max="16384" width="8.7109375" style="2"/>
  </cols>
  <sheetData>
    <row r="2" spans="2:121" ht="14.1" x14ac:dyDescent="0.3">
      <c r="B2" s="32" t="s">
        <v>67</v>
      </c>
      <c r="C2" s="33"/>
      <c r="D2" s="3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</row>
    <row r="3" spans="2:121" ht="14.1" x14ac:dyDescent="0.3">
      <c r="B3" s="1"/>
    </row>
    <row r="4" spans="2:121" ht="14.1" hidden="1" outlineLevel="1" x14ac:dyDescent="0.3">
      <c r="B4" s="2" t="s">
        <v>80</v>
      </c>
      <c r="C4" s="3">
        <v>18</v>
      </c>
    </row>
    <row r="5" spans="2:121" s="6" customFormat="1" ht="13.5" customHeight="1" collapsed="1" x14ac:dyDescent="0.3">
      <c r="B5" s="42" t="s">
        <v>5</v>
      </c>
      <c r="C5" s="43"/>
      <c r="D5" s="44"/>
    </row>
    <row r="6" spans="2:121" s="6" customFormat="1" ht="14.1" x14ac:dyDescent="0.3">
      <c r="B6" s="24" t="s">
        <v>3</v>
      </c>
      <c r="C6" s="25"/>
      <c r="D6" s="26"/>
    </row>
    <row r="7" spans="2:121" s="6" customFormat="1" ht="14.1" x14ac:dyDescent="0.3">
      <c r="B7" s="24" t="s">
        <v>4</v>
      </c>
      <c r="C7" s="25"/>
      <c r="D7" s="26"/>
    </row>
    <row r="8" spans="2:121" s="6" customFormat="1" ht="14.1" x14ac:dyDescent="0.3">
      <c r="B8" s="27" t="s">
        <v>70</v>
      </c>
      <c r="C8" s="28">
        <v>2017</v>
      </c>
      <c r="D8" s="26"/>
    </row>
    <row r="9" spans="2:121" s="6" customFormat="1" ht="14.1" x14ac:dyDescent="0.3">
      <c r="B9" s="29" t="s">
        <v>68</v>
      </c>
      <c r="C9" s="30"/>
      <c r="D9" s="31"/>
    </row>
    <row r="10" spans="2:121" ht="12.95" x14ac:dyDescent="0.3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</row>
    <row r="11" spans="2:121" s="13" customFormat="1" ht="14.1" x14ac:dyDescent="0.3">
      <c r="B11" s="34" t="s">
        <v>79</v>
      </c>
      <c r="C11" s="34"/>
    </row>
    <row r="12" spans="2:121" s="13" customFormat="1" ht="14.1" x14ac:dyDescent="0.3">
      <c r="B12" s="35"/>
      <c r="C12" s="35"/>
      <c r="D12" s="36"/>
    </row>
    <row r="13" spans="2:121" ht="14.45" customHeight="1" x14ac:dyDescent="0.35">
      <c r="B13" s="21"/>
      <c r="C13" s="22"/>
      <c r="D13" s="23"/>
      <c r="E13" s="14"/>
      <c r="F13" s="45" t="s">
        <v>6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7"/>
      <c r="X13" s="48" t="s">
        <v>22</v>
      </c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50" t="s">
        <v>33</v>
      </c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14"/>
      <c r="BI13" s="38" t="s">
        <v>6</v>
      </c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40" t="s">
        <v>22</v>
      </c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38" t="s">
        <v>33</v>
      </c>
      <c r="CU13" s="38"/>
      <c r="CV13" s="38"/>
      <c r="CW13" s="38"/>
      <c r="CX13" s="38"/>
      <c r="CY13" s="38"/>
      <c r="CZ13" s="38"/>
      <c r="DA13" s="38"/>
      <c r="DB13" s="38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</row>
    <row r="14" spans="2:121" s="4" customFormat="1" ht="71.25" customHeight="1" x14ac:dyDescent="0.3">
      <c r="B14" s="37" t="s">
        <v>69</v>
      </c>
      <c r="C14" s="19" t="s">
        <v>1</v>
      </c>
      <c r="D14" s="20" t="s">
        <v>2</v>
      </c>
      <c r="E14" s="14"/>
      <c r="F14" s="15" t="s">
        <v>7</v>
      </c>
      <c r="G14" s="15" t="s">
        <v>71</v>
      </c>
      <c r="H14" s="15" t="s">
        <v>8</v>
      </c>
      <c r="I14" s="15" t="s">
        <v>9</v>
      </c>
      <c r="J14" s="15" t="s">
        <v>10</v>
      </c>
      <c r="K14" s="15" t="s">
        <v>11</v>
      </c>
      <c r="L14" s="15" t="s">
        <v>12</v>
      </c>
      <c r="M14" s="15" t="s">
        <v>72</v>
      </c>
      <c r="N14" s="15" t="s">
        <v>13</v>
      </c>
      <c r="O14" s="15" t="s">
        <v>14</v>
      </c>
      <c r="P14" s="15" t="s">
        <v>15</v>
      </c>
      <c r="Q14" s="15" t="s">
        <v>16</v>
      </c>
      <c r="R14" s="15" t="s">
        <v>17</v>
      </c>
      <c r="S14" s="15" t="s">
        <v>18</v>
      </c>
      <c r="T14" s="15" t="s">
        <v>19</v>
      </c>
      <c r="U14" s="15" t="s">
        <v>20</v>
      </c>
      <c r="V14" s="15" t="s">
        <v>21</v>
      </c>
      <c r="W14" s="15" t="s">
        <v>48</v>
      </c>
      <c r="X14" s="15" t="s">
        <v>23</v>
      </c>
      <c r="Y14" s="15" t="s">
        <v>26</v>
      </c>
      <c r="Z14" s="16" t="s">
        <v>49</v>
      </c>
      <c r="AA14" s="15" t="s">
        <v>25</v>
      </c>
      <c r="AB14" s="16" t="s">
        <v>24</v>
      </c>
      <c r="AC14" s="15" t="s">
        <v>50</v>
      </c>
      <c r="AD14" s="15" t="s">
        <v>51</v>
      </c>
      <c r="AE14" s="15" t="s">
        <v>52</v>
      </c>
      <c r="AF14" s="15" t="s">
        <v>0</v>
      </c>
      <c r="AG14" s="15" t="s">
        <v>27</v>
      </c>
      <c r="AH14" s="15" t="s">
        <v>53</v>
      </c>
      <c r="AI14" s="15" t="s">
        <v>28</v>
      </c>
      <c r="AJ14" s="15" t="s">
        <v>29</v>
      </c>
      <c r="AK14" s="15" t="s">
        <v>30</v>
      </c>
      <c r="AL14" s="15" t="s">
        <v>31</v>
      </c>
      <c r="AM14" s="16" t="s">
        <v>54</v>
      </c>
      <c r="AN14" s="16" t="s">
        <v>55</v>
      </c>
      <c r="AO14" s="15" t="s">
        <v>48</v>
      </c>
      <c r="AP14" s="15" t="s">
        <v>73</v>
      </c>
      <c r="AQ14" s="15" t="s">
        <v>56</v>
      </c>
      <c r="AR14" s="15" t="s">
        <v>57</v>
      </c>
      <c r="AS14" s="15" t="s">
        <v>58</v>
      </c>
      <c r="AT14" s="15" t="s">
        <v>59</v>
      </c>
      <c r="AU14" s="15" t="s">
        <v>60</v>
      </c>
      <c r="AV14" s="15" t="s">
        <v>61</v>
      </c>
      <c r="AW14" s="16" t="s">
        <v>74</v>
      </c>
      <c r="AX14" s="15" t="s">
        <v>75</v>
      </c>
      <c r="AY14" s="15" t="s">
        <v>35</v>
      </c>
      <c r="AZ14" s="15" t="s">
        <v>36</v>
      </c>
      <c r="BA14" s="15" t="s">
        <v>32</v>
      </c>
      <c r="BB14" s="15" t="s">
        <v>37</v>
      </c>
      <c r="BC14" s="15" t="s">
        <v>38</v>
      </c>
      <c r="BD14" s="15" t="s">
        <v>39</v>
      </c>
      <c r="BE14" s="15" t="s">
        <v>40</v>
      </c>
      <c r="BF14" s="15" t="s">
        <v>41</v>
      </c>
      <c r="BG14" s="15" t="s">
        <v>42</v>
      </c>
      <c r="BH14" s="14"/>
      <c r="BI14" s="15" t="s">
        <v>7</v>
      </c>
      <c r="BJ14" s="15" t="s">
        <v>76</v>
      </c>
      <c r="BK14" s="15" t="s">
        <v>8</v>
      </c>
      <c r="BL14" s="15" t="s">
        <v>9</v>
      </c>
      <c r="BM14" s="15" t="s">
        <v>10</v>
      </c>
      <c r="BN14" s="15" t="s">
        <v>11</v>
      </c>
      <c r="BO14" s="15" t="s">
        <v>12</v>
      </c>
      <c r="BP14" s="15" t="s">
        <v>77</v>
      </c>
      <c r="BQ14" s="15" t="s">
        <v>13</v>
      </c>
      <c r="BR14" s="15" t="s">
        <v>14</v>
      </c>
      <c r="BS14" s="15" t="s">
        <v>15</v>
      </c>
      <c r="BT14" s="15" t="s">
        <v>16</v>
      </c>
      <c r="BU14" s="15" t="s">
        <v>17</v>
      </c>
      <c r="BV14" s="15" t="s">
        <v>18</v>
      </c>
      <c r="BW14" s="15" t="s">
        <v>19</v>
      </c>
      <c r="BX14" s="15" t="s">
        <v>20</v>
      </c>
      <c r="BY14" s="15" t="s">
        <v>78</v>
      </c>
      <c r="BZ14" s="15" t="s">
        <v>48</v>
      </c>
      <c r="CA14" s="15" t="s">
        <v>23</v>
      </c>
      <c r="CB14" s="15" t="s">
        <v>26</v>
      </c>
      <c r="CC14" s="15" t="s">
        <v>49</v>
      </c>
      <c r="CD14" s="15" t="s">
        <v>25</v>
      </c>
      <c r="CE14" s="15" t="s">
        <v>24</v>
      </c>
      <c r="CF14" s="15" t="s">
        <v>50</v>
      </c>
      <c r="CG14" s="15" t="s">
        <v>51</v>
      </c>
      <c r="CH14" s="15" t="s">
        <v>62</v>
      </c>
      <c r="CI14" s="15" t="s">
        <v>52</v>
      </c>
      <c r="CJ14" s="15" t="s">
        <v>0</v>
      </c>
      <c r="CK14" s="15" t="s">
        <v>27</v>
      </c>
      <c r="CL14" s="15" t="s">
        <v>53</v>
      </c>
      <c r="CM14" s="15" t="s">
        <v>28</v>
      </c>
      <c r="CN14" s="15" t="s">
        <v>29</v>
      </c>
      <c r="CO14" s="15" t="s">
        <v>30</v>
      </c>
      <c r="CP14" s="15" t="s">
        <v>31</v>
      </c>
      <c r="CQ14" s="15" t="s">
        <v>54</v>
      </c>
      <c r="CR14" s="15" t="s">
        <v>55</v>
      </c>
      <c r="CS14" s="16" t="s">
        <v>48</v>
      </c>
      <c r="CT14" s="15" t="s">
        <v>34</v>
      </c>
      <c r="CU14" s="15" t="s">
        <v>56</v>
      </c>
      <c r="CV14" s="15" t="s">
        <v>57</v>
      </c>
      <c r="CW14" s="15" t="s">
        <v>58</v>
      </c>
      <c r="CX14" s="15" t="s">
        <v>59</v>
      </c>
      <c r="CY14" s="15" t="s">
        <v>60</v>
      </c>
      <c r="CZ14" s="15" t="s">
        <v>61</v>
      </c>
      <c r="DA14" s="17" t="s">
        <v>63</v>
      </c>
      <c r="DB14" s="15" t="s">
        <v>64</v>
      </c>
      <c r="DC14" s="15" t="s">
        <v>35</v>
      </c>
      <c r="DD14" s="15" t="s">
        <v>36</v>
      </c>
      <c r="DE14" s="15" t="s">
        <v>65</v>
      </c>
      <c r="DF14" s="15" t="s">
        <v>32</v>
      </c>
      <c r="DG14" s="15" t="s">
        <v>66</v>
      </c>
      <c r="DH14" s="15" t="s">
        <v>37</v>
      </c>
      <c r="DI14" s="15" t="s">
        <v>38</v>
      </c>
      <c r="DJ14" s="15" t="s">
        <v>39</v>
      </c>
      <c r="DK14" s="15" t="s">
        <v>40</v>
      </c>
      <c r="DL14" s="15" t="s">
        <v>41</v>
      </c>
      <c r="DM14" s="15" t="s">
        <v>42</v>
      </c>
      <c r="DN14" s="15" t="s">
        <v>43</v>
      </c>
      <c r="DO14" s="15" t="s">
        <v>44</v>
      </c>
      <c r="DP14" s="15" t="s">
        <v>45</v>
      </c>
      <c r="DQ14" s="15" t="s">
        <v>46</v>
      </c>
    </row>
    <row r="15" spans="2:121" s="5" customFormat="1" x14ac:dyDescent="0.3">
      <c r="B15" s="11">
        <v>1</v>
      </c>
      <c r="C15" s="12" t="s">
        <v>81</v>
      </c>
      <c r="D15" s="9">
        <f>17154.37+240501.97+890515.67+237949+516702.47+295711.36+21735+16834+7283+16057.5+104805.76+132691.37+5450</f>
        <v>2503391.4699999997</v>
      </c>
      <c r="E15" s="1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4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2:121" x14ac:dyDescent="0.3">
      <c r="B16" s="11">
        <v>2</v>
      </c>
      <c r="C16" s="12" t="s">
        <v>82</v>
      </c>
      <c r="D16" s="9">
        <f>7400964.78+4074493.65+12272317.49+7531037.37+5498939.78+2391677.38+15261998.63+15966727.53+12885218.06+23486.8+285150.95+18309003.47</f>
        <v>101901015.89</v>
      </c>
      <c r="E16" s="1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4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2:121" x14ac:dyDescent="0.3">
      <c r="B17" s="11">
        <v>3</v>
      </c>
      <c r="C17" s="12" t="s">
        <v>83</v>
      </c>
      <c r="D17" s="9">
        <f>3849499.68+5005877.56+7158745.9+5751825.8+7876448.33+4360284.93+9171706.96+7581559.99+5869461.74+5854058.81+56165+217261.52+6039734.37</f>
        <v>68792630.590000018</v>
      </c>
      <c r="E17" s="1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4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2:121" x14ac:dyDescent="0.3">
      <c r="B18" s="11">
        <v>4</v>
      </c>
      <c r="C18" s="12" t="s">
        <v>84</v>
      </c>
      <c r="D18" s="9">
        <f>301900+377204+384030.2+433655.2+316264.08+692880.2+487358.48+408000+407414.27+395217.5+217018.77+89303.28+33150</f>
        <v>4543395.9799999995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2:121" x14ac:dyDescent="0.3">
      <c r="B19" s="11">
        <v>5</v>
      </c>
      <c r="C19" s="12" t="s">
        <v>85</v>
      </c>
      <c r="D19" s="9">
        <f>2789290.61+779851+2627841.12+2941429.42+642698.99+548805.5+3720216.59+497504.56+3892812.23+934028.49+3155491.65+396901+4011095.45+804866.5+4049732.3+1157497.17+4664966.57+546909.5+5796474.31+1408137.5+6250012.97+296715.15+399860+1027988.58+160764</f>
        <v>53501891.159999996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2:121" x14ac:dyDescent="0.3">
      <c r="B20" s="11">
        <v>6</v>
      </c>
      <c r="C20" s="12" t="s">
        <v>86</v>
      </c>
      <c r="D20" s="9">
        <f>214643.4+620638+732722.64+462368+722577+808753+947650+751176+655651+738090+1146794</f>
        <v>7801063.04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2:121" x14ac:dyDescent="0.3">
      <c r="B21" s="11">
        <v>7</v>
      </c>
      <c r="C21" s="12" t="s">
        <v>87</v>
      </c>
      <c r="D21" s="9">
        <f>369397.5+333797.14+252607.71+1053333.16+658813.72+1423383.64+325701.98+61992.89+199971.9+547236.4+2852008.2+40540</f>
        <v>8118784.2400000002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2:121" ht="14.1" x14ac:dyDescent="0.3">
      <c r="B22" s="11"/>
      <c r="C22" s="12"/>
      <c r="D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2:121" x14ac:dyDescent="0.3">
      <c r="B23" s="11"/>
      <c r="C23" s="12"/>
      <c r="D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2:121" x14ac:dyDescent="0.3">
      <c r="B24" s="11"/>
      <c r="C24" s="12"/>
      <c r="D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2:121" x14ac:dyDescent="0.3">
      <c r="B25" s="11"/>
      <c r="C25" s="12"/>
      <c r="D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2:121" x14ac:dyDescent="0.3">
      <c r="B26" s="11"/>
      <c r="C26" s="12"/>
      <c r="D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2:121" x14ac:dyDescent="0.3">
      <c r="B27" s="11"/>
      <c r="C27" s="12"/>
      <c r="D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2:121" x14ac:dyDescent="0.3">
      <c r="B28" s="11"/>
      <c r="C28" s="12"/>
      <c r="D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2:121" x14ac:dyDescent="0.3">
      <c r="B29" s="11"/>
      <c r="C29" s="12"/>
      <c r="D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2:121" x14ac:dyDescent="0.3">
      <c r="B30" s="11"/>
      <c r="C30" s="12"/>
      <c r="D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2:121" x14ac:dyDescent="0.3">
      <c r="B31" s="11"/>
      <c r="C31" s="12"/>
      <c r="D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3" spans="2:121" x14ac:dyDescent="0.3">
      <c r="B33" s="7"/>
      <c r="C33" s="7" t="s">
        <v>47</v>
      </c>
      <c r="D33" s="10">
        <f>SUM(D15:D32)</f>
        <v>247162172.37</v>
      </c>
      <c r="F33" s="10">
        <f t="shared" ref="F33:AK33" si="0">SUM(F15:F32)</f>
        <v>0</v>
      </c>
      <c r="G33" s="10">
        <f t="shared" si="0"/>
        <v>0</v>
      </c>
      <c r="H33" s="10">
        <f t="shared" si="0"/>
        <v>0</v>
      </c>
      <c r="I33" s="10">
        <f t="shared" si="0"/>
        <v>0</v>
      </c>
      <c r="J33" s="10">
        <f t="shared" si="0"/>
        <v>0</v>
      </c>
      <c r="K33" s="10">
        <f t="shared" si="0"/>
        <v>0</v>
      </c>
      <c r="L33" s="10">
        <f t="shared" si="0"/>
        <v>0</v>
      </c>
      <c r="M33" s="10">
        <f t="shared" si="0"/>
        <v>0</v>
      </c>
      <c r="N33" s="10">
        <f t="shared" si="0"/>
        <v>0</v>
      </c>
      <c r="O33" s="10">
        <f t="shared" si="0"/>
        <v>0</v>
      </c>
      <c r="P33" s="10">
        <f t="shared" si="0"/>
        <v>0</v>
      </c>
      <c r="Q33" s="10">
        <f t="shared" si="0"/>
        <v>0</v>
      </c>
      <c r="R33" s="10">
        <f t="shared" si="0"/>
        <v>0</v>
      </c>
      <c r="S33" s="10">
        <f t="shared" si="0"/>
        <v>0</v>
      </c>
      <c r="T33" s="10">
        <f t="shared" si="0"/>
        <v>0</v>
      </c>
      <c r="U33" s="10">
        <f t="shared" si="0"/>
        <v>0</v>
      </c>
      <c r="V33" s="10">
        <f t="shared" si="0"/>
        <v>0</v>
      </c>
      <c r="W33" s="10">
        <f t="shared" si="0"/>
        <v>0</v>
      </c>
      <c r="X33" s="10">
        <f t="shared" si="0"/>
        <v>0</v>
      </c>
      <c r="Y33" s="10">
        <f t="shared" si="0"/>
        <v>0</v>
      </c>
      <c r="Z33" s="10">
        <f t="shared" si="0"/>
        <v>0</v>
      </c>
      <c r="AA33" s="10">
        <f t="shared" si="0"/>
        <v>0</v>
      </c>
      <c r="AB33" s="10">
        <f t="shared" si="0"/>
        <v>0</v>
      </c>
      <c r="AC33" s="10">
        <f t="shared" si="0"/>
        <v>0</v>
      </c>
      <c r="AD33" s="10">
        <f t="shared" si="0"/>
        <v>0</v>
      </c>
      <c r="AE33" s="10">
        <f t="shared" si="0"/>
        <v>0</v>
      </c>
      <c r="AF33" s="10">
        <f t="shared" si="0"/>
        <v>0</v>
      </c>
      <c r="AG33" s="10">
        <f t="shared" si="0"/>
        <v>0</v>
      </c>
      <c r="AH33" s="10">
        <f t="shared" si="0"/>
        <v>0</v>
      </c>
      <c r="AI33" s="10">
        <f t="shared" si="0"/>
        <v>0</v>
      </c>
      <c r="AJ33" s="10">
        <f t="shared" si="0"/>
        <v>0</v>
      </c>
      <c r="AK33" s="10">
        <f t="shared" si="0"/>
        <v>0</v>
      </c>
      <c r="AL33" s="10">
        <f t="shared" ref="AL33:BQ33" si="1">SUM(AL15:AL32)</f>
        <v>0</v>
      </c>
      <c r="AM33" s="10">
        <f t="shared" si="1"/>
        <v>0</v>
      </c>
      <c r="AN33" s="10">
        <f t="shared" si="1"/>
        <v>0</v>
      </c>
      <c r="AO33" s="10">
        <f t="shared" si="1"/>
        <v>0</v>
      </c>
      <c r="AP33" s="10">
        <f t="shared" si="1"/>
        <v>0</v>
      </c>
      <c r="AQ33" s="10">
        <f t="shared" si="1"/>
        <v>0</v>
      </c>
      <c r="AR33" s="10">
        <f t="shared" si="1"/>
        <v>0</v>
      </c>
      <c r="AS33" s="10">
        <f t="shared" si="1"/>
        <v>0</v>
      </c>
      <c r="AT33" s="10">
        <f t="shared" si="1"/>
        <v>0</v>
      </c>
      <c r="AU33" s="10">
        <f t="shared" si="1"/>
        <v>0</v>
      </c>
      <c r="AV33" s="10">
        <f t="shared" si="1"/>
        <v>0</v>
      </c>
      <c r="AW33" s="10">
        <f t="shared" si="1"/>
        <v>0</v>
      </c>
      <c r="AX33" s="10">
        <f t="shared" si="1"/>
        <v>0</v>
      </c>
      <c r="AY33" s="10">
        <f t="shared" si="1"/>
        <v>0</v>
      </c>
      <c r="AZ33" s="10">
        <f t="shared" si="1"/>
        <v>0</v>
      </c>
      <c r="BA33" s="10">
        <f t="shared" si="1"/>
        <v>0</v>
      </c>
      <c r="BB33" s="10">
        <f t="shared" si="1"/>
        <v>0</v>
      </c>
      <c r="BC33" s="10">
        <f t="shared" si="1"/>
        <v>0</v>
      </c>
      <c r="BD33" s="10">
        <f t="shared" si="1"/>
        <v>0</v>
      </c>
      <c r="BE33" s="10">
        <f t="shared" si="1"/>
        <v>0</v>
      </c>
      <c r="BF33" s="10">
        <f t="shared" si="1"/>
        <v>0</v>
      </c>
      <c r="BG33" s="10">
        <f t="shared" si="1"/>
        <v>0</v>
      </c>
      <c r="BI33" s="10">
        <f t="shared" ref="BI33:CN33" si="2">SUM(BI15:BI32)</f>
        <v>0</v>
      </c>
      <c r="BJ33" s="10">
        <f t="shared" si="2"/>
        <v>0</v>
      </c>
      <c r="BK33" s="10">
        <f t="shared" si="2"/>
        <v>0</v>
      </c>
      <c r="BL33" s="10">
        <f t="shared" si="2"/>
        <v>0</v>
      </c>
      <c r="BM33" s="10">
        <f t="shared" si="2"/>
        <v>0</v>
      </c>
      <c r="BN33" s="10">
        <f t="shared" si="2"/>
        <v>0</v>
      </c>
      <c r="BO33" s="10">
        <f t="shared" si="2"/>
        <v>0</v>
      </c>
      <c r="BP33" s="10">
        <f t="shared" si="2"/>
        <v>0</v>
      </c>
      <c r="BQ33" s="10">
        <f t="shared" si="2"/>
        <v>0</v>
      </c>
      <c r="BR33" s="10">
        <f t="shared" si="2"/>
        <v>0</v>
      </c>
      <c r="BS33" s="10">
        <f t="shared" si="2"/>
        <v>0</v>
      </c>
      <c r="BT33" s="10">
        <f t="shared" si="2"/>
        <v>0</v>
      </c>
      <c r="BU33" s="10">
        <f t="shared" si="2"/>
        <v>0</v>
      </c>
      <c r="BV33" s="10">
        <f t="shared" si="2"/>
        <v>0</v>
      </c>
      <c r="BW33" s="10">
        <f t="shared" si="2"/>
        <v>0</v>
      </c>
      <c r="BX33" s="10">
        <f t="shared" si="2"/>
        <v>0</v>
      </c>
      <c r="BY33" s="10">
        <f t="shared" si="2"/>
        <v>0</v>
      </c>
      <c r="BZ33" s="10">
        <f t="shared" si="2"/>
        <v>0</v>
      </c>
      <c r="CA33" s="10">
        <f t="shared" si="2"/>
        <v>0</v>
      </c>
      <c r="CB33" s="10">
        <f t="shared" si="2"/>
        <v>0</v>
      </c>
      <c r="CC33" s="10">
        <f t="shared" si="2"/>
        <v>0</v>
      </c>
      <c r="CD33" s="10">
        <f t="shared" si="2"/>
        <v>0</v>
      </c>
      <c r="CE33" s="10">
        <f t="shared" si="2"/>
        <v>0</v>
      </c>
      <c r="CF33" s="10">
        <f t="shared" si="2"/>
        <v>0</v>
      </c>
      <c r="CG33" s="10">
        <f t="shared" si="2"/>
        <v>0</v>
      </c>
      <c r="CH33" s="10">
        <f t="shared" si="2"/>
        <v>0</v>
      </c>
      <c r="CI33" s="10">
        <f t="shared" si="2"/>
        <v>0</v>
      </c>
      <c r="CJ33" s="10">
        <f t="shared" si="2"/>
        <v>0</v>
      </c>
      <c r="CK33" s="10">
        <f t="shared" si="2"/>
        <v>0</v>
      </c>
      <c r="CL33" s="10">
        <f t="shared" si="2"/>
        <v>0</v>
      </c>
      <c r="CM33" s="10">
        <f t="shared" si="2"/>
        <v>0</v>
      </c>
      <c r="CN33" s="10">
        <f t="shared" si="2"/>
        <v>0</v>
      </c>
      <c r="CO33" s="10">
        <f t="shared" ref="CO33:DQ33" si="3">SUM(CO15:CO32)</f>
        <v>0</v>
      </c>
      <c r="CP33" s="10">
        <f t="shared" si="3"/>
        <v>0</v>
      </c>
      <c r="CQ33" s="10">
        <f t="shared" si="3"/>
        <v>0</v>
      </c>
      <c r="CR33" s="10">
        <f t="shared" si="3"/>
        <v>0</v>
      </c>
      <c r="CS33" s="10">
        <f t="shared" si="3"/>
        <v>0</v>
      </c>
      <c r="CT33" s="10">
        <f t="shared" si="3"/>
        <v>0</v>
      </c>
      <c r="CU33" s="10">
        <f t="shared" si="3"/>
        <v>0</v>
      </c>
      <c r="CV33" s="10">
        <f t="shared" si="3"/>
        <v>0</v>
      </c>
      <c r="CW33" s="10">
        <f t="shared" si="3"/>
        <v>0</v>
      </c>
      <c r="CX33" s="10">
        <f t="shared" si="3"/>
        <v>0</v>
      </c>
      <c r="CY33" s="10">
        <f t="shared" si="3"/>
        <v>0</v>
      </c>
      <c r="CZ33" s="10">
        <f t="shared" si="3"/>
        <v>0</v>
      </c>
      <c r="DA33" s="10">
        <f t="shared" si="3"/>
        <v>0</v>
      </c>
      <c r="DB33" s="10">
        <f t="shared" si="3"/>
        <v>0</v>
      </c>
      <c r="DC33" s="10">
        <f t="shared" si="3"/>
        <v>0</v>
      </c>
      <c r="DD33" s="10">
        <f t="shared" si="3"/>
        <v>0</v>
      </c>
      <c r="DE33" s="10">
        <f t="shared" si="3"/>
        <v>0</v>
      </c>
      <c r="DF33" s="10">
        <f t="shared" si="3"/>
        <v>0</v>
      </c>
      <c r="DG33" s="10">
        <f t="shared" si="3"/>
        <v>0</v>
      </c>
      <c r="DH33" s="10">
        <f t="shared" si="3"/>
        <v>0</v>
      </c>
      <c r="DI33" s="10">
        <f t="shared" si="3"/>
        <v>0</v>
      </c>
      <c r="DJ33" s="10">
        <f t="shared" si="3"/>
        <v>0</v>
      </c>
      <c r="DK33" s="10">
        <f t="shared" si="3"/>
        <v>0</v>
      </c>
      <c r="DL33" s="10">
        <f t="shared" si="3"/>
        <v>0</v>
      </c>
      <c r="DM33" s="10">
        <f t="shared" si="3"/>
        <v>0</v>
      </c>
      <c r="DN33" s="10">
        <f t="shared" si="3"/>
        <v>0</v>
      </c>
      <c r="DO33" s="10">
        <f t="shared" si="3"/>
        <v>0</v>
      </c>
      <c r="DP33" s="10">
        <f t="shared" si="3"/>
        <v>0</v>
      </c>
      <c r="DQ33" s="10">
        <f t="shared" si="3"/>
        <v>0</v>
      </c>
    </row>
    <row r="34" spans="2:121" s="8" customFormat="1" x14ac:dyDescent="0.3">
      <c r="B34" s="2"/>
      <c r="C34" s="2"/>
      <c r="D34" s="2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</row>
  </sheetData>
  <sheetProtection formatColumns="0" formatRows="0" sort="0" autoFilter="0"/>
  <mergeCells count="7">
    <mergeCell ref="BI13:BZ13"/>
    <mergeCell ref="CA13:CS13"/>
    <mergeCell ref="CT13:DQ13"/>
    <mergeCell ref="B5:D5"/>
    <mergeCell ref="F13:W13"/>
    <mergeCell ref="X13:AO13"/>
    <mergeCell ref="AP13:BG13"/>
  </mergeCells>
  <dataValidations count="1">
    <dataValidation type="decimal" operator="greaterThanOrEqual" allowBlank="1" showInputMessage="1" showErrorMessage="1" sqref="F15:BG31 BI15:DQ31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Supplies" altText="Add Diagnosis">
                <anchor moveWithCells="1">
                  <from>
                    <xdr:col>1</xdr:col>
                    <xdr:colOff>38100</xdr:colOff>
                    <xdr:row>14</xdr:row>
                    <xdr:rowOff>19050</xdr:rowOff>
                  </from>
                  <to>
                    <xdr:col>1</xdr:col>
                    <xdr:colOff>762000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Supplies" altText="Delete Diagnosis">
                <anchor moveWithCells="1">
                  <from>
                    <xdr:col>1</xdr:col>
                    <xdr:colOff>809625</xdr:colOff>
                    <xdr:row>14</xdr:row>
                    <xdr:rowOff>19050</xdr:rowOff>
                  </from>
                  <to>
                    <xdr:col>1</xdr:col>
                    <xdr:colOff>1524000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electI">
              <controlPr defaultSize="0" print="0" autoFill="0" autoPict="0" macro="[0]!Select_Level_I" altText="Select Level I and II Health Facilities">
                <anchor moveWithCells="1">
                  <from>
                    <xdr:col>2</xdr:col>
                    <xdr:colOff>1800225</xdr:colOff>
                    <xdr:row>10</xdr:row>
                    <xdr:rowOff>0</xdr:rowOff>
                  </from>
                  <to>
                    <xdr:col>2</xdr:col>
                    <xdr:colOff>2886075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2</xdr:col>
                    <xdr:colOff>3038475</xdr:colOff>
                    <xdr:row>10</xdr:row>
                    <xdr:rowOff>0</xdr:rowOff>
                  </from>
                  <to>
                    <xdr:col>3</xdr:col>
                    <xdr:colOff>790575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7.1CSO supplies costs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Raymundo, Emylou R.</cp:lastModifiedBy>
  <dcterms:created xsi:type="dcterms:W3CDTF">2018-04-04T07:34:36Z</dcterms:created>
  <dcterms:modified xsi:type="dcterms:W3CDTF">2018-09-10T07:46:16Z</dcterms:modified>
</cp:coreProperties>
</file>