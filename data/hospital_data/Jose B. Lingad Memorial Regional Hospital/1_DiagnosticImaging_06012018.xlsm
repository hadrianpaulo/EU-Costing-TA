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1VQr+z3p5kbVqUU6V4Q7QKJhkxd6SJwXlZyIS4KZE7aQ4MFyRseDItZtvo3JePPIO37y6mILKo6jglKxCru83g==" workbookSaltValue="1yPgnwRJPPw2uJYck/i7lw==" workbookSpinCount="100000" lockStructure="1"/>
  <bookViews>
    <workbookView xWindow="0" yWindow="0" windowWidth="20490" windowHeight="7080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T32" i="6" l="1"/>
  <c r="CP32" i="6"/>
  <c r="CO32" i="6"/>
  <c r="CM32" i="6"/>
  <c r="CT33" i="6"/>
  <c r="CM33" i="6"/>
  <c r="D32" i="6"/>
  <c r="CJ19" i="6"/>
  <c r="CK19" i="6"/>
</calcChain>
</file>

<file path=xl/sharedStrings.xml><?xml version="1.0" encoding="utf-8"?>
<sst xmlns="http://schemas.openxmlformats.org/spreadsheetml/2006/main" count="311" uniqueCount="181">
  <si>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</si>
  <si>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</si>
  <si>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</si>
  <si>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</si>
  <si>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</si>
  <si>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</si>
  <si>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</si>
  <si>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</si>
  <si>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</si>
  <si>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</si>
  <si>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</si>
  <si>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</si>
  <si>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</si>
  <si>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</si>
  <si>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</si>
  <si>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</si>
  <si>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</si>
  <si>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</si>
  <si>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</si>
  <si>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</si>
  <si>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</si>
  <si>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</si>
  <si>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</si>
  <si>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</si>
  <si>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</si>
  <si>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</si>
  <si>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</si>
  <si>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</si>
  <si>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</si>
  <si>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</si>
  <si>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</si>
  <si>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</si>
  <si>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</si>
  <si>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</si>
  <si>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</si>
  <si>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</si>
  <si>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</si>
  <si>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</si>
  <si>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</si>
  <si>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</si>
  <si>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</si>
  <si>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</si>
  <si>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</si>
  <si>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</si>
  <si>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</si>
  <si>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</si>
  <si>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</si>
  <si>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</si>
  <si>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</si>
  <si>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</si>
  <si>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</si>
  <si>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</si>
  <si>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</si>
  <si>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</si>
  <si>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</si>
  <si>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</si>
  <si>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</si>
  <si>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</si>
  <si>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</si>
  <si>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</si>
  <si>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</si>
  <si>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</si>
  <si>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</si>
  <si>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</si>
  <si>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</si>
  <si>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</si>
  <si>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</si>
  <si>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</si>
  <si>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</si>
  <si>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</si>
  <si>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</si>
  <si>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</si>
  <si>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</si>
  <si>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</si>
  <si>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</si>
  <si>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</si>
  <si>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</si>
  <si>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</si>
  <si>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</si>
  <si>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</si>
  <si>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</si>
  <si>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</si>
  <si>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</si>
  <si>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</si>
  <si>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</si>
  <si>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</si>
  <si>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</si>
  <si>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</si>
  <si>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</si>
  <si>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</si>
  <si>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</si>
  <si>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</si>
  <si>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</si>
  <si>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</si>
  <si>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</si>
  <si>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</si>
  <si>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</si>
  <si>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</si>
  <si>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</si>
  <si>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X-ray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</si>
  <si>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</si>
  <si>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</si>
  <si>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</si>
  <si>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</si>
  <si>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</si>
  <si>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</si>
  <si>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</si>
  <si>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</si>
  <si>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</si>
  <si>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</si>
  <si>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</si>
  <si>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E-16-04-4149</t>
  </si>
  <si>
    <t>Stationary X-ray Machine (Radspeed - Shimadzu)</t>
  </si>
  <si>
    <t>125kV; 500mA</t>
  </si>
  <si>
    <t>July 12, 2016</t>
  </si>
  <si>
    <t>E-12-11-3387</t>
  </si>
  <si>
    <t>Flexavision Rad/Fluoro Stationary Machine</t>
  </si>
  <si>
    <t>125kV; 200mA</t>
  </si>
  <si>
    <t>November 19, 2012</t>
  </si>
  <si>
    <t>Donation</t>
  </si>
  <si>
    <t>E13-03-3401</t>
  </si>
  <si>
    <t>16 Slices</t>
  </si>
  <si>
    <t>CT Scan Machine (Toshiba Alexion)</t>
  </si>
  <si>
    <t>E17-08-00-00523</t>
  </si>
  <si>
    <t>Mobile X-ray Machine - GE TMX</t>
  </si>
  <si>
    <t>E17-04-00247</t>
  </si>
  <si>
    <t>Mobile X-ray Machine - SMAM Easyslide 30P</t>
  </si>
  <si>
    <t>125kV; 300mA</t>
  </si>
  <si>
    <t>E14-09-3777</t>
  </si>
  <si>
    <t>E14-07-3751</t>
  </si>
  <si>
    <t>C-arm BV Pulsera</t>
  </si>
  <si>
    <t>July 2014</t>
  </si>
  <si>
    <t>Ultrasound Machine (GE Logic)</t>
  </si>
  <si>
    <t>3 probes</t>
  </si>
  <si>
    <t>May 28 - June 1, 2017</t>
  </si>
  <si>
    <t>EXTREMITIES</t>
  </si>
  <si>
    <t>ABDOMEN</t>
  </si>
  <si>
    <t>SKULL</t>
  </si>
  <si>
    <t>SPECIAL</t>
  </si>
  <si>
    <t>SPINE</t>
  </si>
  <si>
    <t>C-ARM</t>
  </si>
  <si>
    <t>CHEST</t>
  </si>
  <si>
    <t>WHOLE ABDOMEN</t>
  </si>
  <si>
    <t>HBT</t>
  </si>
  <si>
    <t>KUB</t>
  </si>
  <si>
    <t>KUB WITH PROSTATE</t>
  </si>
  <si>
    <t>LIVER</t>
  </si>
  <si>
    <t>NECK/THYROID</t>
  </si>
  <si>
    <t>BREAST</t>
  </si>
  <si>
    <t>UPPER ABDOMEN</t>
  </si>
  <si>
    <t>CHEST/HEMITHORAX</t>
  </si>
  <si>
    <t>E16-03-4143</t>
  </si>
  <si>
    <t>JBL-IHO-PC-0078</t>
  </si>
  <si>
    <t>Computer Set with Printer</t>
  </si>
  <si>
    <t>15-7400@3GHz</t>
  </si>
  <si>
    <t>JBL-IHO-PC0131</t>
  </si>
  <si>
    <t>JBL-IHO-PC0132</t>
  </si>
  <si>
    <t>JBL-IHO-PC0133</t>
  </si>
  <si>
    <t xml:space="preserve">Computer Set </t>
  </si>
  <si>
    <t>JBL-IHO-PC0134</t>
  </si>
  <si>
    <t>JBL-IHO-PC0135</t>
  </si>
  <si>
    <t>JBL-IHO-PC0076</t>
  </si>
  <si>
    <t>JBL-IHO-PC0174</t>
  </si>
  <si>
    <t>Computer Set</t>
  </si>
  <si>
    <t>13-6100@3.76GHz</t>
  </si>
  <si>
    <t>17-6700@3.4GHz</t>
  </si>
  <si>
    <t>Equipment</t>
  </si>
  <si>
    <t>JBL-E26-ACU-025</t>
  </si>
  <si>
    <t>Air Conditioning Unit</t>
  </si>
  <si>
    <t>Window type 2.0HP</t>
  </si>
  <si>
    <t>JBL-E26-ACU-026</t>
  </si>
  <si>
    <t>JBL-E26-ACU-027</t>
  </si>
  <si>
    <t>JBL-E26-ACU-028</t>
  </si>
  <si>
    <t>JBL-E26-ACU-029</t>
  </si>
  <si>
    <t>JBL-E26-ACU-030</t>
  </si>
  <si>
    <t>JBL-E26-ACU-031</t>
  </si>
  <si>
    <t>JBL-E26-ACU-032</t>
  </si>
  <si>
    <t>Split type WM 2.5HP</t>
  </si>
  <si>
    <t>Split type WM 1.0HP</t>
  </si>
  <si>
    <t>3 Tonner</t>
  </si>
  <si>
    <t>Window type 1.0HP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</si>
</sst>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0"/>
      <color theme="1"/>
      <name val="Calibri"/>
      <family val="2"/>
      <scheme val="minor"/>
    </font>
    <font>
      <b/>
      <sz val="11"/>
      <color rgb="FF0070C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164" fontId="15" fillId="5" borderId="1" xfId="2" applyFont="1" applyFill="1" applyBorder="1" applyProtection="1"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164" fontId="15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9" fillId="0" borderId="1" xfId="0" applyFont="1" applyBorder="1"/>
    <xf numFmtId="0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0" xfId="0" applyNumberFormat="1" applyFont="1" applyFill="1" applyBorder="1" applyAlignment="1" applyProtection="1">
      <alignment horizontal="center" vertical="center"/>
      <protection locked="0"/>
    </xf>
    <xf numFmtId="0" fontId="20" fillId="6" borderId="1" xfId="0" applyFont="1" applyFill="1" applyBorder="1" applyAlignment="1">
      <alignment horizontal="center"/>
    </xf>
    <xf numFmtId="164" fontId="15" fillId="5" borderId="1" xfId="2" applyFont="1" applyFill="1" applyBorder="1" applyAlignment="1" applyProtection="1">
      <alignment horizontal="center"/>
      <protection locked="0"/>
    </xf>
    <xf numFmtId="0" fontId="20" fillId="5" borderId="1" xfId="0" applyFont="1" applyFill="1" applyBorder="1" applyAlignment="1">
      <alignment horizontal="center"/>
    </xf>
    <xf numFmtId="0" fontId="15" fillId="5" borderId="1" xfId="2" applyNumberFormat="1" applyFont="1" applyFill="1" applyBorder="1" applyAlignment="1" applyProtection="1">
      <alignment horizontal="center"/>
      <protection locked="0"/>
    </xf>
    <xf numFmtId="0" fontId="15" fillId="5" borderId="5" xfId="2" applyNumberFormat="1" applyFont="1" applyFill="1" applyBorder="1" applyAlignment="1" applyProtection="1">
      <alignment horizontal="center"/>
      <protection locked="0"/>
    </xf>
    <xf numFmtId="0" fontId="20" fillId="5" borderId="1" xfId="0" applyFont="1" applyFill="1" applyBorder="1"/>
    <xf numFmtId="0" fontId="21" fillId="5" borderId="1" xfId="2" applyNumberFormat="1" applyFont="1" applyFill="1" applyBorder="1" applyAlignment="1" applyProtection="1">
      <alignment horizontal="center"/>
      <protection locked="0"/>
    </xf>
    <xf numFmtId="164" fontId="21" fillId="5" borderId="1" xfId="2" applyFont="1" applyFill="1" applyBorder="1" applyAlignment="1" applyProtection="1">
      <alignment horizontal="center"/>
      <protection locked="0"/>
    </xf>
    <xf numFmtId="0" fontId="21" fillId="5" borderId="5" xfId="2" applyNumberFormat="1" applyFont="1" applyFill="1" applyBorder="1" applyAlignment="1" applyProtection="1">
      <alignment horizontal="center"/>
      <protection locked="0"/>
    </xf>
    <xf numFmtId="164" fontId="21" fillId="5" borderId="5" xfId="2" applyFont="1" applyFill="1" applyBorder="1" applyAlignment="1" applyProtection="1">
      <alignment horizont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8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4</xdr:col>
          <xdr:colOff>523875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18</xdr:row>
          <xdr:rowOff>9525</xdr:rowOff>
        </xdr:from>
        <xdr:to>
          <xdr:col>1</xdr:col>
          <xdr:colOff>752475</xdr:colOff>
          <xdr:row>18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18</xdr:row>
          <xdr:rowOff>9525</xdr:rowOff>
        </xdr:from>
        <xdr:to>
          <xdr:col>1</xdr:col>
          <xdr:colOff>1524000</xdr:colOff>
          <xdr:row>18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27</xdr:row>
          <xdr:rowOff>9525</xdr:rowOff>
        </xdr:from>
        <xdr:to>
          <xdr:col>1</xdr:col>
          <xdr:colOff>752475</xdr:colOff>
          <xdr:row>27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27</xdr:row>
          <xdr:rowOff>9525</xdr:rowOff>
        </xdr:from>
        <xdr:to>
          <xdr:col>1</xdr:col>
          <xdr:colOff>1524000</xdr:colOff>
          <xdr:row>27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31</xdr:row>
          <xdr:rowOff>9525</xdr:rowOff>
        </xdr:from>
        <xdr:to>
          <xdr:col>1</xdr:col>
          <xdr:colOff>752475</xdr:colOff>
          <xdr:row>31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31</xdr:row>
          <xdr:rowOff>9525</xdr:rowOff>
        </xdr:from>
        <xdr:to>
          <xdr:col>1</xdr:col>
          <xdr:colOff>1524000</xdr:colOff>
          <xdr:row>31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41</xdr:row>
          <xdr:rowOff>9525</xdr:rowOff>
        </xdr:from>
        <xdr:to>
          <xdr:col>1</xdr:col>
          <xdr:colOff>752475</xdr:colOff>
          <xdr:row>41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41</xdr:row>
          <xdr:rowOff>9525</xdr:rowOff>
        </xdr:from>
        <xdr:to>
          <xdr:col>1</xdr:col>
          <xdr:colOff>1524000</xdr:colOff>
          <xdr:row>41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45</xdr:row>
          <xdr:rowOff>9525</xdr:rowOff>
        </xdr:from>
        <xdr:to>
          <xdr:col>1</xdr:col>
          <xdr:colOff>752475</xdr:colOff>
          <xdr:row>45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45</xdr:row>
          <xdr:rowOff>9525</xdr:rowOff>
        </xdr:from>
        <xdr:to>
          <xdr:col>1</xdr:col>
          <xdr:colOff>1524000</xdr:colOff>
          <xdr:row>45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49</xdr:row>
          <xdr:rowOff>9525</xdr:rowOff>
        </xdr:from>
        <xdr:to>
          <xdr:col>1</xdr:col>
          <xdr:colOff>752475</xdr:colOff>
          <xdr:row>49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49</xdr:row>
          <xdr:rowOff>9525</xdr:rowOff>
        </xdr:from>
        <xdr:to>
          <xdr:col>1</xdr:col>
          <xdr:colOff>1524000</xdr:colOff>
          <xdr:row>49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53</xdr:row>
          <xdr:rowOff>9525</xdr:rowOff>
        </xdr:from>
        <xdr:to>
          <xdr:col>1</xdr:col>
          <xdr:colOff>752475</xdr:colOff>
          <xdr:row>53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53</xdr:row>
          <xdr:rowOff>9525</xdr:rowOff>
        </xdr:from>
        <xdr:to>
          <xdr:col>1</xdr:col>
          <xdr:colOff>1524000</xdr:colOff>
          <xdr:row>53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39"/>
  <sheetViews>
    <sheetView showGridLines="0" tabSelected="1" topLeftCell="C1" zoomScale="89" zoomScaleNormal="89" workbookViewId="0">
      <selection activeCell="L26" sqref="L26"/>
    </sheetView>
  </sheetViews>
  <sheetFormatPr defaultColWidth="8.7109375" defaultRowHeight="12.75" outlineLevelRow="1" x14ac:dyDescent="0.2"/>
  <cols>
    <col min="1" max="1" width="4.5703125" style="4" customWidth="1"/>
    <col min="2" max="2" width="25.5703125" style="4" customWidth="1"/>
    <col min="3" max="3" width="17.5703125" style="4" bestFit="1" customWidth="1"/>
    <col min="4" max="4" width="26.5703125" style="4" customWidth="1"/>
    <col min="5" max="5" width="34.5703125" style="4" customWidth="1"/>
    <col min="6" max="6" width="16.5703125" style="5" customWidth="1"/>
    <col min="7" max="7" width="16.5703125" style="4" customWidth="1"/>
    <col min="8" max="9" width="11.7109375" style="4" customWidth="1"/>
    <col min="10" max="10" width="17.42578125" style="4" customWidth="1"/>
    <col min="11" max="11" width="16.28515625" style="4" customWidth="1"/>
    <col min="12" max="12" width="15.42578125" style="4" customWidth="1"/>
    <col min="13" max="16384" width="8.7109375" style="4"/>
  </cols>
  <sheetData>
    <row r="2" spans="2:13" s="2" customFormat="1" ht="16.5" x14ac:dyDescent="0.3">
      <c r="B2" s="8" t="s">
        <v>26</v>
      </c>
      <c r="C2" s="9"/>
      <c r="D2" s="9"/>
      <c r="F2" s="7"/>
    </row>
    <row r="3" spans="2:13" ht="16.5" x14ac:dyDescent="0.3">
      <c r="B3" s="1"/>
    </row>
    <row r="4" spans="2:13" s="2" customFormat="1" ht="16.5" hidden="1" outlineLevel="1" x14ac:dyDescent="0.3">
      <c r="B4" s="2" t="s">
        <v>93</v>
      </c>
      <c r="C4" s="2">
        <v>26</v>
      </c>
      <c r="F4" s="7"/>
    </row>
    <row r="5" spans="2:13" s="2" customFormat="1" ht="16.5" collapsed="1" x14ac:dyDescent="0.3">
      <c r="B5" s="10" t="s">
        <v>14</v>
      </c>
      <c r="C5" s="11"/>
      <c r="D5" s="12"/>
      <c r="F5" s="7"/>
    </row>
    <row r="6" spans="2:13" s="2" customFormat="1" ht="16.5" x14ac:dyDescent="0.3">
      <c r="B6" s="13" t="s">
        <v>15</v>
      </c>
      <c r="C6" s="14"/>
      <c r="D6" s="15"/>
      <c r="F6" s="7"/>
    </row>
    <row r="7" spans="2:13" s="2" customFormat="1" ht="16.5" x14ac:dyDescent="0.3">
      <c r="B7" s="16" t="s">
        <v>19</v>
      </c>
      <c r="C7" s="14"/>
      <c r="D7" s="57">
        <v>2017</v>
      </c>
      <c r="F7" s="7"/>
    </row>
    <row r="8" spans="2:13" s="2" customFormat="1" ht="16.5" x14ac:dyDescent="0.3">
      <c r="B8" s="13" t="s">
        <v>94</v>
      </c>
      <c r="C8" s="14"/>
      <c r="D8" s="15"/>
      <c r="F8" s="7"/>
    </row>
    <row r="9" spans="2:13" s="2" customFormat="1" ht="16.5" x14ac:dyDescent="0.3">
      <c r="B9" s="17" t="s">
        <v>20</v>
      </c>
      <c r="C9" s="18"/>
      <c r="D9" s="19"/>
      <c r="F9" s="7"/>
    </row>
    <row r="10" spans="2:13" s="2" customFormat="1" ht="16.5" x14ac:dyDescent="0.3">
      <c r="F10" s="7"/>
    </row>
    <row r="11" spans="2:13" s="20" customFormat="1" ht="16.5" x14ac:dyDescent="0.2">
      <c r="B11" s="21" t="s">
        <v>95</v>
      </c>
      <c r="C11" s="21"/>
    </row>
    <row r="12" spans="2:13" s="20" customFormat="1" ht="16.5" x14ac:dyDescent="0.3">
      <c r="B12" s="22"/>
      <c r="C12" s="22"/>
      <c r="D12" s="23"/>
    </row>
    <row r="13" spans="2:13" s="24" customFormat="1" ht="38.25" x14ac:dyDescent="0.3">
      <c r="B13" s="25" t="s">
        <v>96</v>
      </c>
      <c r="C13" s="25" t="s">
        <v>16</v>
      </c>
      <c r="D13" s="25" t="s">
        <v>17</v>
      </c>
      <c r="E13" s="25" t="s">
        <v>18</v>
      </c>
      <c r="F13" s="25" t="s">
        <v>8</v>
      </c>
      <c r="G13" s="26" t="s">
        <v>97</v>
      </c>
      <c r="H13" s="25" t="s">
        <v>98</v>
      </c>
      <c r="I13" s="25" t="s">
        <v>110</v>
      </c>
      <c r="J13" s="25" t="s">
        <v>9</v>
      </c>
      <c r="K13" s="25" t="s">
        <v>0</v>
      </c>
      <c r="L13" s="25" t="s">
        <v>29</v>
      </c>
      <c r="M13" s="25" t="s">
        <v>13</v>
      </c>
    </row>
    <row r="14" spans="2:13" s="2" customFormat="1" ht="16.5" x14ac:dyDescent="0.3">
      <c r="B14" s="3">
        <v>1</v>
      </c>
      <c r="C14" s="27" t="s">
        <v>111</v>
      </c>
      <c r="D14" s="27" t="s">
        <v>1</v>
      </c>
      <c r="E14" s="27" t="s">
        <v>112</v>
      </c>
      <c r="F14" s="28" t="s">
        <v>113</v>
      </c>
      <c r="G14" s="29" t="s">
        <v>114</v>
      </c>
      <c r="H14" s="30" t="s">
        <v>34</v>
      </c>
      <c r="I14" s="27">
        <v>1</v>
      </c>
      <c r="J14" s="30">
        <v>3177000</v>
      </c>
      <c r="K14" s="30">
        <v>317700</v>
      </c>
      <c r="L14" s="27">
        <v>10</v>
      </c>
      <c r="M14" s="27"/>
    </row>
    <row r="15" spans="2:13" s="2" customFormat="1" ht="16.5" x14ac:dyDescent="0.3">
      <c r="B15" s="3">
        <v>2</v>
      </c>
      <c r="C15" s="27" t="s">
        <v>115</v>
      </c>
      <c r="D15" s="27" t="s">
        <v>1</v>
      </c>
      <c r="E15" s="27" t="s">
        <v>116</v>
      </c>
      <c r="F15" s="27" t="s">
        <v>117</v>
      </c>
      <c r="G15" s="29" t="s">
        <v>118</v>
      </c>
      <c r="H15" s="30" t="s">
        <v>119</v>
      </c>
      <c r="I15" s="27">
        <v>1</v>
      </c>
      <c r="J15" s="30">
        <v>7970000</v>
      </c>
      <c r="K15" s="30">
        <v>797000</v>
      </c>
      <c r="L15" s="27">
        <v>10</v>
      </c>
      <c r="M15" s="27"/>
    </row>
    <row r="16" spans="2:13" s="2" customFormat="1" ht="16.5" x14ac:dyDescent="0.3">
      <c r="B16" s="3">
        <v>3</v>
      </c>
      <c r="C16" s="27" t="s">
        <v>120</v>
      </c>
      <c r="D16" s="27" t="s">
        <v>1</v>
      </c>
      <c r="E16" s="27" t="s">
        <v>122</v>
      </c>
      <c r="F16" s="27" t="s">
        <v>121</v>
      </c>
      <c r="G16" s="27">
        <v>2012</v>
      </c>
      <c r="H16" s="30" t="s">
        <v>119</v>
      </c>
      <c r="I16" s="27">
        <v>1</v>
      </c>
      <c r="J16" s="30">
        <v>18123789</v>
      </c>
      <c r="K16" s="30">
        <v>1812378.9</v>
      </c>
      <c r="L16" s="27">
        <v>10</v>
      </c>
      <c r="M16" s="31"/>
    </row>
    <row r="17" spans="2:13" s="2" customFormat="1" ht="16.5" x14ac:dyDescent="0.3">
      <c r="B17" s="3">
        <v>4</v>
      </c>
      <c r="C17" s="27" t="s">
        <v>123</v>
      </c>
      <c r="D17" s="27" t="s">
        <v>1</v>
      </c>
      <c r="E17" s="27" t="s">
        <v>124</v>
      </c>
      <c r="F17" s="27" t="s">
        <v>117</v>
      </c>
      <c r="G17" s="27">
        <v>2017</v>
      </c>
      <c r="H17" s="30" t="s">
        <v>34</v>
      </c>
      <c r="I17" s="27">
        <v>1</v>
      </c>
      <c r="J17" s="30">
        <v>2456000</v>
      </c>
      <c r="K17" s="30">
        <v>245600</v>
      </c>
      <c r="L17" s="27">
        <v>10</v>
      </c>
      <c r="M17" s="27"/>
    </row>
    <row r="18" spans="2:13" s="2" customFormat="1" ht="16.5" x14ac:dyDescent="0.3">
      <c r="B18" s="3">
        <v>5</v>
      </c>
      <c r="C18" s="27" t="s">
        <v>125</v>
      </c>
      <c r="D18" s="27" t="s">
        <v>1</v>
      </c>
      <c r="E18" s="27" t="s">
        <v>126</v>
      </c>
      <c r="F18" s="27" t="s">
        <v>127</v>
      </c>
      <c r="G18" s="27">
        <v>2017</v>
      </c>
      <c r="H18" s="30" t="s">
        <v>34</v>
      </c>
      <c r="I18" s="27">
        <v>1</v>
      </c>
      <c r="J18" s="30">
        <v>1794500</v>
      </c>
      <c r="K18" s="30">
        <v>179450</v>
      </c>
      <c r="L18" s="27">
        <v>10</v>
      </c>
      <c r="M18" s="27"/>
    </row>
    <row r="19" spans="2:13" s="2" customFormat="1" ht="16.5" x14ac:dyDescent="0.3">
      <c r="B19" s="3">
        <v>6</v>
      </c>
      <c r="C19" s="27" t="s">
        <v>128</v>
      </c>
      <c r="D19" s="27" t="s">
        <v>1</v>
      </c>
      <c r="E19" s="27" t="s">
        <v>126</v>
      </c>
      <c r="F19" s="27" t="s">
        <v>127</v>
      </c>
      <c r="G19" s="27">
        <v>2014</v>
      </c>
      <c r="H19" s="30" t="s">
        <v>34</v>
      </c>
      <c r="I19" s="27">
        <v>1</v>
      </c>
      <c r="J19" s="30">
        <v>1444444</v>
      </c>
      <c r="K19" s="30">
        <v>144444.4</v>
      </c>
      <c r="L19" s="27">
        <v>10</v>
      </c>
      <c r="M19" s="27"/>
    </row>
    <row r="20" spans="2:13" s="2" customFormat="1" ht="16.5" x14ac:dyDescent="0.3">
      <c r="B20" s="3">
        <v>7</v>
      </c>
      <c r="C20" s="27" t="s">
        <v>129</v>
      </c>
      <c r="D20" s="27" t="s">
        <v>1</v>
      </c>
      <c r="E20" s="27" t="s">
        <v>130</v>
      </c>
      <c r="F20" s="27" t="s">
        <v>127</v>
      </c>
      <c r="G20" s="29" t="s">
        <v>131</v>
      </c>
      <c r="H20" s="30" t="s">
        <v>119</v>
      </c>
      <c r="I20" s="27">
        <v>1</v>
      </c>
      <c r="J20" s="30">
        <v>4912320</v>
      </c>
      <c r="K20" s="30">
        <v>491232</v>
      </c>
      <c r="L20" s="27">
        <v>10</v>
      </c>
      <c r="M20" s="27"/>
    </row>
    <row r="21" spans="2:13" s="2" customFormat="1" ht="16.5" x14ac:dyDescent="0.3">
      <c r="B21" s="3">
        <v>8</v>
      </c>
      <c r="C21" s="27" t="s">
        <v>151</v>
      </c>
      <c r="D21" s="27" t="s">
        <v>1</v>
      </c>
      <c r="E21" s="27" t="s">
        <v>132</v>
      </c>
      <c r="F21" s="27" t="s">
        <v>133</v>
      </c>
      <c r="G21" s="27">
        <v>2015</v>
      </c>
      <c r="H21" s="30" t="s">
        <v>34</v>
      </c>
      <c r="I21" s="27">
        <v>1</v>
      </c>
      <c r="J21" s="30">
        <v>1850000</v>
      </c>
      <c r="K21" s="30">
        <v>185000</v>
      </c>
      <c r="L21" s="27">
        <v>10</v>
      </c>
      <c r="M21" s="27"/>
    </row>
    <row r="22" spans="2:13" s="2" customFormat="1" ht="16.5" x14ac:dyDescent="0.3">
      <c r="B22" s="3">
        <v>9</v>
      </c>
      <c r="C22" s="27" t="s">
        <v>152</v>
      </c>
      <c r="D22" s="27" t="s">
        <v>166</v>
      </c>
      <c r="E22" s="27" t="s">
        <v>153</v>
      </c>
      <c r="F22" s="27" t="s">
        <v>154</v>
      </c>
      <c r="G22" s="29"/>
      <c r="H22" s="30" t="s">
        <v>34</v>
      </c>
      <c r="I22" s="27">
        <v>1</v>
      </c>
      <c r="J22" s="30">
        <v>36900</v>
      </c>
      <c r="K22" s="30">
        <v>7380</v>
      </c>
      <c r="L22" s="27">
        <v>5</v>
      </c>
      <c r="M22" s="27"/>
    </row>
    <row r="23" spans="2:13" s="2" customFormat="1" ht="16.5" x14ac:dyDescent="0.3">
      <c r="B23" s="3">
        <v>10</v>
      </c>
      <c r="C23" s="27" t="s">
        <v>155</v>
      </c>
      <c r="D23" s="27" t="s">
        <v>166</v>
      </c>
      <c r="E23" s="27" t="s">
        <v>153</v>
      </c>
      <c r="F23" s="27" t="s">
        <v>154</v>
      </c>
      <c r="G23" s="29"/>
      <c r="H23" s="30" t="s">
        <v>34</v>
      </c>
      <c r="I23" s="27">
        <v>1</v>
      </c>
      <c r="J23" s="30">
        <v>36900</v>
      </c>
      <c r="K23" s="30">
        <v>7380</v>
      </c>
      <c r="L23" s="27">
        <v>5</v>
      </c>
      <c r="M23" s="27"/>
    </row>
    <row r="24" spans="2:13" s="2" customFormat="1" ht="16.5" x14ac:dyDescent="0.3">
      <c r="B24" s="3">
        <v>11</v>
      </c>
      <c r="C24" s="27" t="s">
        <v>156</v>
      </c>
      <c r="D24" s="27" t="s">
        <v>166</v>
      </c>
      <c r="E24" s="27" t="s">
        <v>158</v>
      </c>
      <c r="F24" s="27" t="s">
        <v>154</v>
      </c>
      <c r="G24" s="29"/>
      <c r="H24" s="30" t="s">
        <v>34</v>
      </c>
      <c r="I24" s="27">
        <v>1</v>
      </c>
      <c r="J24" s="30">
        <v>36900</v>
      </c>
      <c r="K24" s="30">
        <v>7380</v>
      </c>
      <c r="L24" s="27">
        <v>5</v>
      </c>
      <c r="M24" s="27"/>
    </row>
    <row r="25" spans="2:13" s="2" customFormat="1" ht="16.5" x14ac:dyDescent="0.3">
      <c r="B25" s="3">
        <v>12</v>
      </c>
      <c r="C25" s="27" t="s">
        <v>157</v>
      </c>
      <c r="D25" s="27" t="s">
        <v>166</v>
      </c>
      <c r="E25" s="27" t="s">
        <v>158</v>
      </c>
      <c r="F25" s="27" t="s">
        <v>154</v>
      </c>
      <c r="G25" s="29"/>
      <c r="H25" s="30" t="s">
        <v>34</v>
      </c>
      <c r="I25" s="27">
        <v>1</v>
      </c>
      <c r="J25" s="30">
        <v>36900</v>
      </c>
      <c r="K25" s="30">
        <v>7380</v>
      </c>
      <c r="L25" s="27">
        <v>5</v>
      </c>
      <c r="M25" s="27"/>
    </row>
    <row r="26" spans="2:13" s="2" customFormat="1" ht="16.5" x14ac:dyDescent="0.3">
      <c r="B26" s="3">
        <v>13</v>
      </c>
      <c r="C26" s="27" t="s">
        <v>159</v>
      </c>
      <c r="D26" s="27" t="s">
        <v>166</v>
      </c>
      <c r="E26" s="27" t="s">
        <v>153</v>
      </c>
      <c r="F26" s="27" t="s">
        <v>154</v>
      </c>
      <c r="G26" s="29"/>
      <c r="H26" s="30" t="s">
        <v>34</v>
      </c>
      <c r="I26" s="27">
        <v>1</v>
      </c>
      <c r="J26" s="30">
        <v>36900</v>
      </c>
      <c r="K26" s="30">
        <v>7380</v>
      </c>
      <c r="L26" s="27">
        <v>5</v>
      </c>
      <c r="M26" s="27"/>
    </row>
    <row r="27" spans="2:13" s="2" customFormat="1" ht="16.5" x14ac:dyDescent="0.3">
      <c r="B27" s="3">
        <v>14</v>
      </c>
      <c r="C27" s="27" t="s">
        <v>160</v>
      </c>
      <c r="D27" s="27" t="s">
        <v>166</v>
      </c>
      <c r="E27" s="27" t="s">
        <v>153</v>
      </c>
      <c r="F27" s="27" t="s">
        <v>164</v>
      </c>
      <c r="G27" s="29"/>
      <c r="H27" s="30" t="s">
        <v>34</v>
      </c>
      <c r="I27" s="27">
        <v>1</v>
      </c>
      <c r="J27" s="30">
        <v>55000</v>
      </c>
      <c r="K27" s="30">
        <v>11000</v>
      </c>
      <c r="L27" s="27">
        <v>5</v>
      </c>
      <c r="M27" s="27"/>
    </row>
    <row r="28" spans="2:13" s="2" customFormat="1" ht="16.5" x14ac:dyDescent="0.3">
      <c r="B28" s="3">
        <v>15</v>
      </c>
      <c r="C28" s="27" t="s">
        <v>161</v>
      </c>
      <c r="D28" s="27" t="s">
        <v>166</v>
      </c>
      <c r="E28" s="27" t="s">
        <v>153</v>
      </c>
      <c r="F28" s="27"/>
      <c r="G28" s="29"/>
      <c r="H28" s="30" t="s">
        <v>34</v>
      </c>
      <c r="I28" s="27">
        <v>1</v>
      </c>
      <c r="J28" s="30">
        <v>55000</v>
      </c>
      <c r="K28" s="30">
        <v>11000</v>
      </c>
      <c r="L28" s="27">
        <v>5</v>
      </c>
      <c r="M28" s="27"/>
    </row>
    <row r="29" spans="2:13" s="2" customFormat="1" ht="16.5" x14ac:dyDescent="0.3">
      <c r="B29" s="3">
        <v>16</v>
      </c>
      <c r="C29" s="27" t="s">
        <v>162</v>
      </c>
      <c r="D29" s="27" t="s">
        <v>166</v>
      </c>
      <c r="E29" s="27" t="s">
        <v>163</v>
      </c>
      <c r="F29" s="27" t="s">
        <v>165</v>
      </c>
      <c r="G29" s="27"/>
      <c r="H29" s="30" t="s">
        <v>119</v>
      </c>
      <c r="I29" s="27">
        <v>1</v>
      </c>
      <c r="J29" s="30">
        <v>55000</v>
      </c>
      <c r="K29" s="30">
        <v>11000</v>
      </c>
      <c r="L29" s="27">
        <v>5</v>
      </c>
      <c r="M29" s="27"/>
    </row>
    <row r="30" spans="2:13" s="2" customFormat="1" ht="16.5" x14ac:dyDescent="0.3">
      <c r="B30" s="3">
        <v>17</v>
      </c>
      <c r="C30" s="27"/>
      <c r="D30" s="27" t="s">
        <v>166</v>
      </c>
      <c r="E30" s="27" t="s">
        <v>163</v>
      </c>
      <c r="F30" s="27" t="s">
        <v>165</v>
      </c>
      <c r="G30" s="27"/>
      <c r="H30" s="30" t="s">
        <v>119</v>
      </c>
      <c r="I30" s="27">
        <v>1</v>
      </c>
      <c r="J30" s="30">
        <v>55000</v>
      </c>
      <c r="K30" s="30">
        <v>11000</v>
      </c>
      <c r="L30" s="27">
        <v>5</v>
      </c>
      <c r="M30" s="27"/>
    </row>
    <row r="31" spans="2:13" s="2" customFormat="1" ht="16.5" x14ac:dyDescent="0.3">
      <c r="B31" s="3">
        <v>18</v>
      </c>
      <c r="C31" s="27" t="s">
        <v>167</v>
      </c>
      <c r="D31" s="27" t="s">
        <v>166</v>
      </c>
      <c r="E31" s="27" t="s">
        <v>168</v>
      </c>
      <c r="F31" s="27" t="s">
        <v>169</v>
      </c>
      <c r="G31" s="27">
        <v>2013</v>
      </c>
      <c r="H31" s="30" t="s">
        <v>34</v>
      </c>
      <c r="I31" s="27">
        <v>1</v>
      </c>
      <c r="J31" s="30">
        <v>23000</v>
      </c>
      <c r="K31" s="30">
        <v>4600</v>
      </c>
      <c r="L31" s="27">
        <v>5</v>
      </c>
      <c r="M31" s="27"/>
    </row>
    <row r="32" spans="2:13" s="2" customFormat="1" ht="16.5" x14ac:dyDescent="0.3">
      <c r="B32" s="3">
        <v>19</v>
      </c>
      <c r="C32" s="27" t="s">
        <v>170</v>
      </c>
      <c r="D32" s="27" t="s">
        <v>166</v>
      </c>
      <c r="E32" s="27" t="s">
        <v>168</v>
      </c>
      <c r="F32" s="27" t="s">
        <v>169</v>
      </c>
      <c r="G32" s="27">
        <v>2013</v>
      </c>
      <c r="H32" s="30" t="s">
        <v>34</v>
      </c>
      <c r="I32" s="27">
        <v>1</v>
      </c>
      <c r="J32" s="30">
        <v>23000</v>
      </c>
      <c r="K32" s="30">
        <v>4600</v>
      </c>
      <c r="L32" s="27">
        <v>5</v>
      </c>
      <c r="M32" s="27"/>
    </row>
    <row r="33" spans="2:13" s="2" customFormat="1" ht="16.5" x14ac:dyDescent="0.3">
      <c r="B33" s="3">
        <v>20</v>
      </c>
      <c r="C33" s="27" t="s">
        <v>171</v>
      </c>
      <c r="D33" s="27" t="s">
        <v>166</v>
      </c>
      <c r="E33" s="27" t="s">
        <v>168</v>
      </c>
      <c r="F33" s="27" t="s">
        <v>177</v>
      </c>
      <c r="G33" s="27">
        <v>2017</v>
      </c>
      <c r="H33" s="30" t="s">
        <v>34</v>
      </c>
      <c r="I33" s="27">
        <v>1</v>
      </c>
      <c r="J33" s="30">
        <v>34995</v>
      </c>
      <c r="K33" s="30">
        <v>6999</v>
      </c>
      <c r="L33" s="27">
        <v>5</v>
      </c>
      <c r="M33" s="27"/>
    </row>
    <row r="34" spans="2:13" s="2" customFormat="1" ht="16.5" x14ac:dyDescent="0.3">
      <c r="B34" s="3">
        <v>21</v>
      </c>
      <c r="C34" s="27" t="s">
        <v>172</v>
      </c>
      <c r="D34" s="27" t="s">
        <v>166</v>
      </c>
      <c r="E34" s="27" t="s">
        <v>168</v>
      </c>
      <c r="F34" s="27" t="s">
        <v>177</v>
      </c>
      <c r="G34" s="27">
        <v>2017</v>
      </c>
      <c r="H34" s="30" t="s">
        <v>34</v>
      </c>
      <c r="I34" s="27">
        <v>1</v>
      </c>
      <c r="J34" s="30">
        <v>34995</v>
      </c>
      <c r="K34" s="30">
        <v>6999</v>
      </c>
      <c r="L34" s="27">
        <v>5</v>
      </c>
      <c r="M34" s="27"/>
    </row>
    <row r="35" spans="2:13" s="2" customFormat="1" ht="16.5" x14ac:dyDescent="0.3">
      <c r="B35" s="3">
        <v>22</v>
      </c>
      <c r="C35" s="27" t="s">
        <v>173</v>
      </c>
      <c r="D35" s="27" t="s">
        <v>166</v>
      </c>
      <c r="E35" s="27" t="s">
        <v>168</v>
      </c>
      <c r="F35" s="27" t="s">
        <v>177</v>
      </c>
      <c r="G35" s="27">
        <v>2017</v>
      </c>
      <c r="H35" s="30" t="s">
        <v>34</v>
      </c>
      <c r="I35" s="27">
        <v>1</v>
      </c>
      <c r="J35" s="30">
        <v>34995</v>
      </c>
      <c r="K35" s="30">
        <v>6999</v>
      </c>
      <c r="L35" s="27">
        <v>5</v>
      </c>
      <c r="M35" s="27"/>
    </row>
    <row r="36" spans="2:13" s="2" customFormat="1" ht="16.5" x14ac:dyDescent="0.3">
      <c r="B36" s="3">
        <v>23</v>
      </c>
      <c r="C36" s="27" t="s">
        <v>174</v>
      </c>
      <c r="D36" s="27" t="s">
        <v>166</v>
      </c>
      <c r="E36" s="27" t="s">
        <v>168</v>
      </c>
      <c r="F36" s="27" t="s">
        <v>178</v>
      </c>
      <c r="G36" s="27">
        <v>2017</v>
      </c>
      <c r="H36" s="30" t="s">
        <v>34</v>
      </c>
      <c r="I36" s="27">
        <v>1</v>
      </c>
      <c r="J36" s="30">
        <v>25990</v>
      </c>
      <c r="K36" s="30">
        <v>5198</v>
      </c>
      <c r="L36" s="27">
        <v>5</v>
      </c>
      <c r="M36" s="27"/>
    </row>
    <row r="37" spans="2:13" s="2" customFormat="1" ht="16.5" x14ac:dyDescent="0.3">
      <c r="B37" s="3">
        <v>24</v>
      </c>
      <c r="C37" s="27" t="s">
        <v>175</v>
      </c>
      <c r="D37" s="27" t="s">
        <v>166</v>
      </c>
      <c r="E37" s="27" t="s">
        <v>168</v>
      </c>
      <c r="F37" s="27" t="s">
        <v>169</v>
      </c>
      <c r="G37" s="27">
        <v>2013</v>
      </c>
      <c r="H37" s="30" t="s">
        <v>34</v>
      </c>
      <c r="I37" s="27">
        <v>1</v>
      </c>
      <c r="J37" s="30">
        <v>23000</v>
      </c>
      <c r="K37" s="30">
        <v>4600</v>
      </c>
      <c r="L37" s="27">
        <v>5</v>
      </c>
      <c r="M37" s="27"/>
    </row>
    <row r="38" spans="2:13" s="2" customFormat="1" ht="16.5" x14ac:dyDescent="0.3">
      <c r="B38" s="3">
        <v>25</v>
      </c>
      <c r="C38" s="27" t="s">
        <v>176</v>
      </c>
      <c r="D38" s="27" t="s">
        <v>166</v>
      </c>
      <c r="E38" s="27" t="s">
        <v>168</v>
      </c>
      <c r="F38" s="27" t="s">
        <v>180</v>
      </c>
      <c r="G38" s="27">
        <v>2017</v>
      </c>
      <c r="H38" s="30" t="s">
        <v>34</v>
      </c>
      <c r="I38" s="27">
        <v>1</v>
      </c>
      <c r="J38" s="30">
        <v>17350</v>
      </c>
      <c r="K38" s="30">
        <v>3470</v>
      </c>
      <c r="L38" s="27">
        <v>5</v>
      </c>
      <c r="M38" s="27"/>
    </row>
    <row r="39" spans="2:13" s="2" customFormat="1" ht="16.5" x14ac:dyDescent="0.3">
      <c r="B39" s="3">
        <v>26</v>
      </c>
      <c r="C39" s="27"/>
      <c r="D39" s="27" t="s">
        <v>166</v>
      </c>
      <c r="E39" s="27" t="s">
        <v>168</v>
      </c>
      <c r="F39" s="27" t="s">
        <v>179</v>
      </c>
      <c r="G39" s="27">
        <v>2017</v>
      </c>
      <c r="H39" s="30" t="s">
        <v>34</v>
      </c>
      <c r="I39" s="27">
        <v>1</v>
      </c>
      <c r="J39" s="30">
        <v>63720</v>
      </c>
      <c r="K39" s="30">
        <v>12744</v>
      </c>
      <c r="L39" s="27">
        <v>5</v>
      </c>
      <c r="M39" s="27"/>
    </row>
  </sheetData>
  <sheetProtection algorithmName="SHA-512" hashValue="DYVYbp49lzwomVOn03tlbahPUGbQqPyrw7cTiyh1vvhxFUyUXDvrgzZx9BSYEwQUWtDIkK4s/TLISo8MVeGCyw==" saltValue="BClgVqsi32cg3v1qnBuNUQ==" spinCount="100000" sheet="1" objects="1" scenarios="1" formatColumns="0" formatRows="0" sort="0" autoFilter="0"/>
  <dataValidations count="2">
    <dataValidation type="date" operator="greaterThan" allowBlank="1" showInputMessage="1" showErrorMessage="1" sqref="G14:G39">
      <formula1>1</formula1>
    </dataValidation>
    <dataValidation type="decimal" operator="greaterThanOrEqual" allowBlank="1" showInputMessage="1" showErrorMessage="1" sqref="J14:L39 H1:I1048576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4</xdr:col>
                    <xdr:colOff>523875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57"/>
  <sheetViews>
    <sheetView showGridLines="0" zoomScale="76" zoomScaleNormal="100" workbookViewId="0">
      <pane xSplit="85" ySplit="18" topLeftCell="CH31" activePane="bottomRight" state="frozen"/>
      <selection pane="topRight" activeCell="CH1" sqref="CH1"/>
      <selection pane="bottomLeft" activeCell="A19" sqref="A19"/>
      <selection pane="bottomRight" activeCell="F1" sqref="F1:BH1048576"/>
    </sheetView>
  </sheetViews>
  <sheetFormatPr defaultColWidth="8.7109375" defaultRowHeight="16.5" outlineLevelRow="1" x14ac:dyDescent="0.3"/>
  <cols>
    <col min="1" max="1" width="5.140625" style="2" customWidth="1"/>
    <col min="2" max="2" width="34.42578125" style="2" customWidth="1"/>
    <col min="3" max="3" width="19" style="2" customWidth="1"/>
    <col min="4" max="4" width="19.85546875" style="2" customWidth="1"/>
    <col min="5" max="5" width="1.140625" style="2" customWidth="1"/>
    <col min="6" max="60" width="0" style="2" hidden="1" customWidth="1"/>
    <col min="61" max="121" width="8.7109375" style="2" customWidth="1"/>
    <col min="122" max="16384" width="8.7109375" style="2"/>
  </cols>
  <sheetData>
    <row r="2" spans="2:121" s="4" customFormat="1" x14ac:dyDescent="0.3">
      <c r="B2" s="8" t="s">
        <v>12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x14ac:dyDescent="0.3">
      <c r="B3" s="1"/>
    </row>
    <row r="4" spans="2:121" s="4" customFormat="1" hidden="1" outlineLevel="1" x14ac:dyDescent="0.3">
      <c r="B4" s="2" t="s">
        <v>103</v>
      </c>
      <c r="C4" s="4">
        <v>8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idden="1" outlineLevel="1" x14ac:dyDescent="0.3">
      <c r="B5" s="2" t="s">
        <v>104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idden="1" outlineLevel="1" x14ac:dyDescent="0.3">
      <c r="B6" s="2" t="s">
        <v>105</v>
      </c>
      <c r="C6" s="4">
        <v>9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idden="1" outlineLevel="1" x14ac:dyDescent="0.3">
      <c r="B7" s="2" t="s">
        <v>106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idden="1" outlineLevel="1" x14ac:dyDescent="0.3">
      <c r="B8" s="2" t="s">
        <v>107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idden="1" outlineLevel="1" x14ac:dyDescent="0.3">
      <c r="B9" s="2" t="s">
        <v>108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idden="1" outlineLevel="1" x14ac:dyDescent="0.3">
      <c r="B10" s="2" t="s">
        <v>109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collapsed="1" x14ac:dyDescent="0.3">
      <c r="B11" s="10" t="s">
        <v>102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x14ac:dyDescent="0.3">
      <c r="B12" s="16" t="s">
        <v>19</v>
      </c>
      <c r="C12" s="58" t="s">
        <v>134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x14ac:dyDescent="0.3">
      <c r="B13" s="16" t="s">
        <v>21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x14ac:dyDescent="0.3">
      <c r="B14" s="13" t="s">
        <v>22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x14ac:dyDescent="0.3">
      <c r="B15" s="17" t="s">
        <v>25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2.75" x14ac:dyDescent="0.2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7.25" thickBot="1" x14ac:dyDescent="0.35">
      <c r="B17" s="73"/>
      <c r="C17" s="74"/>
      <c r="D17" s="75"/>
      <c r="E17" s="42"/>
      <c r="F17" s="76" t="s">
        <v>30</v>
      </c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6" t="s">
        <v>46</v>
      </c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8" t="s">
        <v>57</v>
      </c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7"/>
      <c r="BE17" s="77"/>
      <c r="BF17" s="77"/>
      <c r="BG17" s="77"/>
      <c r="BH17" s="33"/>
      <c r="BI17" s="71" t="s">
        <v>30</v>
      </c>
      <c r="BJ17" s="72"/>
      <c r="BK17" s="72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69" t="s">
        <v>46</v>
      </c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1" t="s">
        <v>57</v>
      </c>
      <c r="CU17" s="71"/>
      <c r="CV17" s="71"/>
      <c r="CW17" s="71"/>
      <c r="CX17" s="71"/>
      <c r="CY17" s="71"/>
      <c r="CZ17" s="71"/>
      <c r="DA17" s="71"/>
      <c r="DB17" s="71"/>
      <c r="DC17" s="72"/>
      <c r="DD17" s="72"/>
      <c r="DE17" s="72"/>
      <c r="DF17" s="72"/>
      <c r="DG17" s="72"/>
      <c r="DH17" s="72"/>
      <c r="DI17" s="72"/>
      <c r="DJ17" s="72"/>
      <c r="DK17" s="72"/>
      <c r="DL17" s="72"/>
      <c r="DM17" s="72"/>
      <c r="DN17" s="72"/>
      <c r="DO17" s="72"/>
      <c r="DP17" s="72"/>
      <c r="DQ17" s="72"/>
    </row>
    <row r="18" spans="2:121" s="4" customFormat="1" ht="214.5" x14ac:dyDescent="0.2">
      <c r="B18" s="43" t="s">
        <v>96</v>
      </c>
      <c r="C18" s="44" t="s">
        <v>24</v>
      </c>
      <c r="D18" s="45" t="s">
        <v>23</v>
      </c>
      <c r="E18" s="37"/>
      <c r="F18" s="46" t="s">
        <v>31</v>
      </c>
      <c r="G18" s="46" t="s">
        <v>88</v>
      </c>
      <c r="H18" s="46" t="s">
        <v>32</v>
      </c>
      <c r="I18" s="46" t="s">
        <v>33</v>
      </c>
      <c r="J18" s="46" t="s">
        <v>34</v>
      </c>
      <c r="K18" s="46" t="s">
        <v>35</v>
      </c>
      <c r="L18" s="46" t="s">
        <v>36</v>
      </c>
      <c r="M18" s="46" t="s">
        <v>89</v>
      </c>
      <c r="N18" s="46" t="s">
        <v>37</v>
      </c>
      <c r="O18" s="46" t="s">
        <v>38</v>
      </c>
      <c r="P18" s="46" t="s">
        <v>39</v>
      </c>
      <c r="Q18" s="46" t="s">
        <v>40</v>
      </c>
      <c r="R18" s="46" t="s">
        <v>41</v>
      </c>
      <c r="S18" s="46" t="s">
        <v>42</v>
      </c>
      <c r="T18" s="46" t="s">
        <v>43</v>
      </c>
      <c r="U18" s="46" t="s">
        <v>44</v>
      </c>
      <c r="V18" s="46" t="s">
        <v>45</v>
      </c>
      <c r="W18" s="46" t="s">
        <v>71</v>
      </c>
      <c r="X18" s="46" t="s">
        <v>47</v>
      </c>
      <c r="Y18" s="46" t="s">
        <v>50</v>
      </c>
      <c r="Z18" s="47" t="s">
        <v>85</v>
      </c>
      <c r="AA18" s="46" t="s">
        <v>49</v>
      </c>
      <c r="AB18" s="47" t="s">
        <v>48</v>
      </c>
      <c r="AC18" s="46" t="s">
        <v>86</v>
      </c>
      <c r="AD18" s="46" t="s">
        <v>87</v>
      </c>
      <c r="AE18" s="46" t="s">
        <v>67</v>
      </c>
      <c r="AF18" s="46" t="s">
        <v>6</v>
      </c>
      <c r="AG18" s="46" t="s">
        <v>51</v>
      </c>
      <c r="AH18" s="46" t="s">
        <v>68</v>
      </c>
      <c r="AI18" s="46" t="s">
        <v>52</v>
      </c>
      <c r="AJ18" s="46" t="s">
        <v>53</v>
      </c>
      <c r="AK18" s="46" t="s">
        <v>54</v>
      </c>
      <c r="AL18" s="46" t="s">
        <v>55</v>
      </c>
      <c r="AM18" s="47" t="s">
        <v>69</v>
      </c>
      <c r="AN18" s="47" t="s">
        <v>70</v>
      </c>
      <c r="AO18" s="46" t="s">
        <v>71</v>
      </c>
      <c r="AP18" s="46" t="s">
        <v>90</v>
      </c>
      <c r="AQ18" s="46" t="s">
        <v>72</v>
      </c>
      <c r="AR18" s="46" t="s">
        <v>73</v>
      </c>
      <c r="AS18" s="46" t="s">
        <v>74</v>
      </c>
      <c r="AT18" s="46" t="s">
        <v>75</v>
      </c>
      <c r="AU18" s="46" t="s">
        <v>76</v>
      </c>
      <c r="AV18" s="46" t="s">
        <v>77</v>
      </c>
      <c r="AW18" s="47" t="s">
        <v>91</v>
      </c>
      <c r="AX18" s="46" t="s">
        <v>92</v>
      </c>
      <c r="AY18" s="46" t="s">
        <v>59</v>
      </c>
      <c r="AZ18" s="46" t="s">
        <v>7</v>
      </c>
      <c r="BA18" s="46" t="s">
        <v>56</v>
      </c>
      <c r="BB18" s="46" t="s">
        <v>5</v>
      </c>
      <c r="BC18" s="46" t="s">
        <v>60</v>
      </c>
      <c r="BD18" s="46" t="s">
        <v>2</v>
      </c>
      <c r="BE18" s="46" t="s">
        <v>3</v>
      </c>
      <c r="BF18" s="46" t="s">
        <v>61</v>
      </c>
      <c r="BG18" s="46" t="s">
        <v>4</v>
      </c>
      <c r="BH18" s="33"/>
      <c r="BI18" s="46" t="s">
        <v>31</v>
      </c>
      <c r="BJ18" s="46" t="s">
        <v>82</v>
      </c>
      <c r="BK18" s="46" t="s">
        <v>32</v>
      </c>
      <c r="BL18" s="46" t="s">
        <v>33</v>
      </c>
      <c r="BM18" s="46" t="s">
        <v>34</v>
      </c>
      <c r="BN18" s="46" t="s">
        <v>35</v>
      </c>
      <c r="BO18" s="46" t="s">
        <v>36</v>
      </c>
      <c r="BP18" s="46" t="s">
        <v>83</v>
      </c>
      <c r="BQ18" s="46" t="s">
        <v>37</v>
      </c>
      <c r="BR18" s="46" t="s">
        <v>38</v>
      </c>
      <c r="BS18" s="46" t="s">
        <v>39</v>
      </c>
      <c r="BT18" s="46" t="s">
        <v>40</v>
      </c>
      <c r="BU18" s="46" t="s">
        <v>41</v>
      </c>
      <c r="BV18" s="46" t="s">
        <v>42</v>
      </c>
      <c r="BW18" s="46" t="s">
        <v>43</v>
      </c>
      <c r="BX18" s="46" t="s">
        <v>44</v>
      </c>
      <c r="BY18" s="46" t="s">
        <v>84</v>
      </c>
      <c r="BZ18" s="46" t="s">
        <v>71</v>
      </c>
      <c r="CA18" s="46" t="s">
        <v>47</v>
      </c>
      <c r="CB18" s="46" t="s">
        <v>50</v>
      </c>
      <c r="CC18" s="46" t="s">
        <v>85</v>
      </c>
      <c r="CD18" s="46" t="s">
        <v>49</v>
      </c>
      <c r="CE18" s="46" t="s">
        <v>48</v>
      </c>
      <c r="CF18" s="46" t="s">
        <v>86</v>
      </c>
      <c r="CG18" s="46" t="s">
        <v>87</v>
      </c>
      <c r="CH18" s="46" t="s">
        <v>66</v>
      </c>
      <c r="CI18" s="46" t="s">
        <v>67</v>
      </c>
      <c r="CJ18" s="46" t="s">
        <v>6</v>
      </c>
      <c r="CK18" s="46" t="s">
        <v>51</v>
      </c>
      <c r="CL18" s="46" t="s">
        <v>68</v>
      </c>
      <c r="CM18" s="46" t="s">
        <v>52</v>
      </c>
      <c r="CN18" s="46" t="s">
        <v>53</v>
      </c>
      <c r="CO18" s="46" t="s">
        <v>54</v>
      </c>
      <c r="CP18" s="46" t="s">
        <v>55</v>
      </c>
      <c r="CQ18" s="46" t="s">
        <v>69</v>
      </c>
      <c r="CR18" s="46" t="s">
        <v>70</v>
      </c>
      <c r="CS18" s="47" t="s">
        <v>71</v>
      </c>
      <c r="CT18" s="46" t="s">
        <v>58</v>
      </c>
      <c r="CU18" s="46" t="s">
        <v>72</v>
      </c>
      <c r="CV18" s="46" t="s">
        <v>73</v>
      </c>
      <c r="CW18" s="46" t="s">
        <v>74</v>
      </c>
      <c r="CX18" s="46" t="s">
        <v>75</v>
      </c>
      <c r="CY18" s="46" t="s">
        <v>76</v>
      </c>
      <c r="CZ18" s="46" t="s">
        <v>77</v>
      </c>
      <c r="DA18" s="48" t="s">
        <v>78</v>
      </c>
      <c r="DB18" s="46" t="s">
        <v>79</v>
      </c>
      <c r="DC18" s="46" t="s">
        <v>59</v>
      </c>
      <c r="DD18" s="46" t="s">
        <v>7</v>
      </c>
      <c r="DE18" s="46" t="s">
        <v>80</v>
      </c>
      <c r="DF18" s="46" t="s">
        <v>56</v>
      </c>
      <c r="DG18" s="46" t="s">
        <v>81</v>
      </c>
      <c r="DH18" s="46" t="s">
        <v>5</v>
      </c>
      <c r="DI18" s="46" t="s">
        <v>60</v>
      </c>
      <c r="DJ18" s="46" t="s">
        <v>2</v>
      </c>
      <c r="DK18" s="46" t="s">
        <v>3</v>
      </c>
      <c r="DL18" s="46" t="s">
        <v>61</v>
      </c>
      <c r="DM18" s="46" t="s">
        <v>4</v>
      </c>
      <c r="DN18" s="46" t="s">
        <v>62</v>
      </c>
      <c r="DO18" s="46" t="s">
        <v>63</v>
      </c>
      <c r="DP18" s="46" t="s">
        <v>64</v>
      </c>
      <c r="DQ18" s="46" t="s">
        <v>65</v>
      </c>
    </row>
    <row r="19" spans="2:121" s="4" customFormat="1" ht="14.45" customHeight="1" x14ac:dyDescent="0.3">
      <c r="B19" s="49"/>
      <c r="C19" s="50" t="s">
        <v>99</v>
      </c>
      <c r="D19" s="65">
        <v>1482</v>
      </c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67">
        <f>SUM(CJ20:CJ23)</f>
        <v>53</v>
      </c>
      <c r="CK19" s="67">
        <f>SUM(CK20:CK1103)</f>
        <v>183</v>
      </c>
      <c r="CL19" s="68"/>
      <c r="CM19" s="67">
        <v>371</v>
      </c>
      <c r="CN19" s="68"/>
      <c r="CO19" s="67">
        <v>173</v>
      </c>
      <c r="CP19" s="67">
        <v>27</v>
      </c>
      <c r="CQ19" s="68"/>
      <c r="CR19" s="68"/>
      <c r="CS19" s="68"/>
      <c r="CT19" s="67">
        <v>787</v>
      </c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45" customHeight="1" x14ac:dyDescent="0.3">
      <c r="B20" s="53">
        <v>1</v>
      </c>
      <c r="C20" s="56" t="s">
        <v>141</v>
      </c>
      <c r="D20" s="61">
        <v>670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63">
        <v>49</v>
      </c>
      <c r="CK20" s="63">
        <v>17</v>
      </c>
      <c r="CL20" s="63"/>
      <c r="CM20" s="63">
        <v>26</v>
      </c>
      <c r="CN20" s="63"/>
      <c r="CO20" s="63">
        <v>24</v>
      </c>
      <c r="CP20" s="63">
        <v>26</v>
      </c>
      <c r="CQ20" s="63"/>
      <c r="CR20" s="63"/>
      <c r="CS20" s="63"/>
      <c r="CT20" s="63">
        <v>427</v>
      </c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</row>
    <row r="21" spans="2:121" s="6" customFormat="1" x14ac:dyDescent="0.3">
      <c r="B21" s="53">
        <v>2</v>
      </c>
      <c r="C21" s="56" t="s">
        <v>135</v>
      </c>
      <c r="D21" s="61">
        <v>616</v>
      </c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63">
        <v>1</v>
      </c>
      <c r="CK21" s="63">
        <v>138</v>
      </c>
      <c r="CL21" s="63"/>
      <c r="CM21" s="63">
        <v>258</v>
      </c>
      <c r="CN21" s="63"/>
      <c r="CO21" s="63">
        <v>87</v>
      </c>
      <c r="CP21" s="63"/>
      <c r="CQ21" s="63"/>
      <c r="CR21" s="63"/>
      <c r="CS21" s="63"/>
      <c r="CT21" s="63">
        <v>233</v>
      </c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</row>
    <row r="22" spans="2:121" s="4" customFormat="1" x14ac:dyDescent="0.3">
      <c r="B22" s="53">
        <v>3</v>
      </c>
      <c r="C22" s="56" t="s">
        <v>136</v>
      </c>
      <c r="D22" s="61">
        <v>53</v>
      </c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63">
        <v>2</v>
      </c>
      <c r="CK22" s="63">
        <v>0</v>
      </c>
      <c r="CL22" s="63"/>
      <c r="CM22" s="63">
        <v>2</v>
      </c>
      <c r="CN22" s="63"/>
      <c r="CO22" s="63">
        <v>23</v>
      </c>
      <c r="CP22" s="63">
        <v>1</v>
      </c>
      <c r="CQ22" s="63"/>
      <c r="CR22" s="63"/>
      <c r="CS22" s="63"/>
      <c r="CT22" s="63">
        <v>25</v>
      </c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</row>
    <row r="23" spans="2:121" s="4" customFormat="1" x14ac:dyDescent="0.3">
      <c r="B23" s="53">
        <v>4</v>
      </c>
      <c r="C23" s="56" t="s">
        <v>137</v>
      </c>
      <c r="D23" s="61">
        <v>96</v>
      </c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63">
        <v>1</v>
      </c>
      <c r="CK23" s="63">
        <v>7</v>
      </c>
      <c r="CL23" s="63"/>
      <c r="CM23" s="63">
        <v>3</v>
      </c>
      <c r="CN23" s="63"/>
      <c r="CO23" s="63">
        <v>30</v>
      </c>
      <c r="CP23" s="63"/>
      <c r="CQ23" s="63"/>
      <c r="CR23" s="63"/>
      <c r="CS23" s="63"/>
      <c r="CT23" s="63">
        <v>55</v>
      </c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4" customFormat="1" x14ac:dyDescent="0.3">
      <c r="B24" s="53">
        <v>5</v>
      </c>
      <c r="C24" s="56" t="s">
        <v>138</v>
      </c>
      <c r="D24" s="61">
        <v>5</v>
      </c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63"/>
      <c r="CL24" s="63"/>
      <c r="CM24" s="63"/>
      <c r="CN24" s="63"/>
      <c r="CO24" s="63">
        <v>1</v>
      </c>
      <c r="CP24" s="63"/>
      <c r="CQ24" s="63"/>
      <c r="CR24" s="63"/>
      <c r="CS24" s="63"/>
      <c r="CT24" s="63">
        <v>4</v>
      </c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4" customFormat="1" x14ac:dyDescent="0.3">
      <c r="B25" s="53">
        <v>6</v>
      </c>
      <c r="C25" s="56" t="s">
        <v>139</v>
      </c>
      <c r="D25" s="61">
        <v>26</v>
      </c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63">
        <v>6</v>
      </c>
      <c r="CL25" s="63"/>
      <c r="CM25" s="63">
        <v>5</v>
      </c>
      <c r="CN25" s="63"/>
      <c r="CO25" s="63">
        <v>5</v>
      </c>
      <c r="CP25" s="63"/>
      <c r="CQ25" s="63"/>
      <c r="CR25" s="63"/>
      <c r="CS25" s="63"/>
      <c r="CT25" s="63">
        <v>10</v>
      </c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4" customFormat="1" x14ac:dyDescent="0.3">
      <c r="B26" s="53">
        <v>7</v>
      </c>
      <c r="C26" s="56" t="s">
        <v>140</v>
      </c>
      <c r="D26" s="61">
        <v>16</v>
      </c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63">
        <v>15</v>
      </c>
      <c r="CL26" s="63"/>
      <c r="CM26" s="63"/>
      <c r="CN26" s="63"/>
      <c r="CO26" s="63">
        <v>1</v>
      </c>
      <c r="CP26" s="63"/>
      <c r="CQ26" s="63"/>
      <c r="CR26" s="63"/>
      <c r="CS26" s="63"/>
      <c r="CT26" s="63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x14ac:dyDescent="0.3">
      <c r="B27" s="53">
        <v>8</v>
      </c>
      <c r="C27" s="56"/>
      <c r="D27" s="30"/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x14ac:dyDescent="0.3">
      <c r="B28" s="54"/>
      <c r="C28" s="55" t="s">
        <v>27</v>
      </c>
      <c r="D28" s="30"/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x14ac:dyDescent="0.3">
      <c r="B29" s="53">
        <v>1</v>
      </c>
      <c r="C29" s="56"/>
      <c r="D29" s="30"/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4" customFormat="1" x14ac:dyDescent="0.3">
      <c r="B30" s="53">
        <v>2</v>
      </c>
      <c r="C30" s="56"/>
      <c r="D30" s="30"/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</row>
    <row r="31" spans="2:121" s="4" customFormat="1" x14ac:dyDescent="0.3">
      <c r="B31" s="53">
        <v>3</v>
      </c>
      <c r="C31" s="56"/>
      <c r="D31" s="30"/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62"/>
      <c r="CN31" s="30"/>
      <c r="CO31" s="30"/>
      <c r="CP31" s="30"/>
      <c r="CQ31" s="30"/>
      <c r="CR31" s="30"/>
      <c r="CS31" s="30"/>
      <c r="CT31" s="62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</row>
    <row r="32" spans="2:121" s="4" customFormat="1" x14ac:dyDescent="0.3">
      <c r="B32" s="54"/>
      <c r="C32" s="55" t="s">
        <v>10</v>
      </c>
      <c r="D32" s="65">
        <f>SUM(D33:D41)</f>
        <v>117</v>
      </c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65">
        <f>SUM(CM33:CM40)</f>
        <v>151</v>
      </c>
      <c r="CN32" s="66"/>
      <c r="CO32" s="65">
        <f>SUM(CO33:CO40)</f>
        <v>2</v>
      </c>
      <c r="CP32" s="65">
        <f>SUM(CP33:CP40)</f>
        <v>5</v>
      </c>
      <c r="CQ32" s="66"/>
      <c r="CR32" s="66"/>
      <c r="CS32" s="66"/>
      <c r="CT32" s="65">
        <f>SUM(CT33:CT40)</f>
        <v>66</v>
      </c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x14ac:dyDescent="0.3">
      <c r="B33" s="53">
        <v>1</v>
      </c>
      <c r="C33" s="64" t="s">
        <v>142</v>
      </c>
      <c r="D33" s="59">
        <v>59</v>
      </c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62">
        <f>SUM(CM34:CM39)</f>
        <v>74</v>
      </c>
      <c r="CN33" s="60"/>
      <c r="CO33" s="62">
        <v>1</v>
      </c>
      <c r="CP33" s="62">
        <v>1</v>
      </c>
      <c r="CQ33" s="60"/>
      <c r="CR33" s="60"/>
      <c r="CS33" s="60"/>
      <c r="CT33" s="62">
        <f>SUM(CT34:CT39)</f>
        <v>33</v>
      </c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x14ac:dyDescent="0.3">
      <c r="B34" s="53">
        <v>2</v>
      </c>
      <c r="C34" s="64" t="s">
        <v>143</v>
      </c>
      <c r="D34" s="59">
        <v>5</v>
      </c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62">
        <v>46</v>
      </c>
      <c r="CN34" s="60"/>
      <c r="CO34" s="62"/>
      <c r="CP34" s="62"/>
      <c r="CQ34" s="60"/>
      <c r="CR34" s="60"/>
      <c r="CS34" s="60"/>
      <c r="CT34" s="62">
        <v>11</v>
      </c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x14ac:dyDescent="0.3">
      <c r="B35" s="53">
        <v>3</v>
      </c>
      <c r="C35" s="64" t="s">
        <v>144</v>
      </c>
      <c r="D35" s="59">
        <v>29</v>
      </c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62">
        <v>3</v>
      </c>
      <c r="CN35" s="60"/>
      <c r="CO35" s="62"/>
      <c r="CP35" s="62">
        <v>3</v>
      </c>
      <c r="CQ35" s="60"/>
      <c r="CR35" s="60"/>
      <c r="CS35" s="60"/>
      <c r="CT35" s="62">
        <v>2</v>
      </c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x14ac:dyDescent="0.3">
      <c r="B36" s="53">
        <v>4</v>
      </c>
      <c r="C36" s="64" t="s">
        <v>145</v>
      </c>
      <c r="D36" s="59">
        <v>5</v>
      </c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62">
        <v>16</v>
      </c>
      <c r="CN36" s="60"/>
      <c r="CO36" s="62"/>
      <c r="CP36" s="62">
        <v>1</v>
      </c>
      <c r="CQ36" s="60"/>
      <c r="CR36" s="60"/>
      <c r="CS36" s="60"/>
      <c r="CT36" s="62">
        <v>10</v>
      </c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x14ac:dyDescent="0.3">
      <c r="B37" s="53">
        <v>5</v>
      </c>
      <c r="C37" s="64" t="s">
        <v>146</v>
      </c>
      <c r="D37" s="59">
        <v>2</v>
      </c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62">
        <v>3</v>
      </c>
      <c r="CN37" s="60"/>
      <c r="CO37" s="62">
        <v>1</v>
      </c>
      <c r="CP37" s="60"/>
      <c r="CQ37" s="60"/>
      <c r="CR37" s="60"/>
      <c r="CS37" s="60"/>
      <c r="CT37" s="62">
        <v>1</v>
      </c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x14ac:dyDescent="0.3">
      <c r="B38" s="53">
        <v>6</v>
      </c>
      <c r="C38" s="64" t="s">
        <v>147</v>
      </c>
      <c r="D38" s="59">
        <v>14</v>
      </c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62">
        <v>1</v>
      </c>
      <c r="CN38" s="60"/>
      <c r="CO38" s="60"/>
      <c r="CP38" s="60"/>
      <c r="CQ38" s="60"/>
      <c r="CR38" s="60"/>
      <c r="CS38" s="60"/>
      <c r="CT38" s="62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x14ac:dyDescent="0.3">
      <c r="B39" s="53">
        <v>7</v>
      </c>
      <c r="C39" s="64" t="s">
        <v>148</v>
      </c>
      <c r="D39" s="59">
        <v>0</v>
      </c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62">
        <v>5</v>
      </c>
      <c r="CN39" s="30"/>
      <c r="CO39" s="30"/>
      <c r="CP39" s="30"/>
      <c r="CQ39" s="30"/>
      <c r="CR39" s="30"/>
      <c r="CS39" s="30"/>
      <c r="CT39" s="62">
        <v>9</v>
      </c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x14ac:dyDescent="0.3">
      <c r="B40" s="53">
        <v>8</v>
      </c>
      <c r="C40" s="64" t="s">
        <v>149</v>
      </c>
      <c r="D40" s="59">
        <v>0</v>
      </c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62">
        <v>3</v>
      </c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x14ac:dyDescent="0.3">
      <c r="B41" s="53">
        <v>9</v>
      </c>
      <c r="C41" s="64" t="s">
        <v>150</v>
      </c>
      <c r="D41" s="59">
        <v>3</v>
      </c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x14ac:dyDescent="0.3">
      <c r="B42" s="54"/>
      <c r="C42" s="55" t="s">
        <v>101</v>
      </c>
      <c r="D42" s="30"/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x14ac:dyDescent="0.3">
      <c r="B43" s="53">
        <v>1</v>
      </c>
      <c r="C43" s="56"/>
      <c r="D43" s="30"/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x14ac:dyDescent="0.3">
      <c r="B44" s="53">
        <v>2</v>
      </c>
      <c r="C44" s="56"/>
      <c r="D44" s="30"/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x14ac:dyDescent="0.3">
      <c r="B45" s="53">
        <v>3</v>
      </c>
      <c r="C45" s="56"/>
      <c r="D45" s="30"/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x14ac:dyDescent="0.3">
      <c r="B46" s="54"/>
      <c r="C46" s="55" t="s">
        <v>11</v>
      </c>
      <c r="D46" s="30"/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  <row r="47" spans="2:121" s="4" customFormat="1" x14ac:dyDescent="0.3">
      <c r="B47" s="53">
        <v>1</v>
      </c>
      <c r="C47" s="56"/>
      <c r="D47" s="30"/>
      <c r="E47" s="2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3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</row>
    <row r="48" spans="2:121" s="4" customFormat="1" x14ac:dyDescent="0.3">
      <c r="B48" s="53">
        <v>2</v>
      </c>
      <c r="C48" s="56"/>
      <c r="D48" s="30"/>
      <c r="E48" s="2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3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</row>
    <row r="49" spans="2:121" s="4" customFormat="1" x14ac:dyDescent="0.3">
      <c r="B49" s="53">
        <v>3</v>
      </c>
      <c r="C49" s="56"/>
      <c r="D49" s="30"/>
      <c r="E49" s="2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3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</row>
    <row r="50" spans="2:121" s="4" customFormat="1" x14ac:dyDescent="0.3">
      <c r="B50" s="54"/>
      <c r="C50" s="55" t="s">
        <v>100</v>
      </c>
      <c r="D50" s="30"/>
      <c r="E50" s="2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3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</row>
    <row r="51" spans="2:121" s="4" customFormat="1" x14ac:dyDescent="0.3">
      <c r="B51" s="53">
        <v>1</v>
      </c>
      <c r="C51" s="56"/>
      <c r="D51" s="30"/>
      <c r="E51" s="2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3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</row>
    <row r="52" spans="2:121" s="4" customFormat="1" x14ac:dyDescent="0.3">
      <c r="B52" s="53">
        <v>2</v>
      </c>
      <c r="C52" s="56"/>
      <c r="D52" s="30"/>
      <c r="E52" s="2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3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30"/>
      <c r="DN52" s="30"/>
      <c r="DO52" s="30"/>
      <c r="DP52" s="30"/>
      <c r="DQ52" s="30"/>
    </row>
    <row r="53" spans="2:121" s="4" customFormat="1" x14ac:dyDescent="0.3">
      <c r="B53" s="53">
        <v>3</v>
      </c>
      <c r="C53" s="56"/>
      <c r="D53" s="30"/>
      <c r="E53" s="2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3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</row>
    <row r="54" spans="2:121" s="4" customFormat="1" x14ac:dyDescent="0.3">
      <c r="B54" s="54"/>
      <c r="C54" s="55" t="s">
        <v>28</v>
      </c>
      <c r="D54" s="30"/>
      <c r="E54" s="2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3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</row>
    <row r="55" spans="2:121" s="4" customFormat="1" x14ac:dyDescent="0.3">
      <c r="B55" s="53">
        <v>1</v>
      </c>
      <c r="C55" s="56"/>
      <c r="D55" s="30"/>
      <c r="E55" s="2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3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30"/>
      <c r="DN55" s="30"/>
      <c r="DO55" s="30"/>
      <c r="DP55" s="30"/>
      <c r="DQ55" s="30"/>
    </row>
    <row r="56" spans="2:121" s="4" customFormat="1" x14ac:dyDescent="0.3">
      <c r="B56" s="53">
        <v>2</v>
      </c>
      <c r="C56" s="56"/>
      <c r="D56" s="30"/>
      <c r="E56" s="2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3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</row>
    <row r="57" spans="2:121" s="4" customFormat="1" x14ac:dyDescent="0.3">
      <c r="B57" s="53">
        <v>3</v>
      </c>
      <c r="C57" s="56"/>
      <c r="D57" s="30"/>
      <c r="E57" s="2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3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</row>
  </sheetData>
  <sheetProtection algorithmName="SHA-512" hashValue="Q9ZD3PO2cpHtiv0CYXgf/spy9Jvs2p9FhaGHyDGO0N+36qZ6V4esnigSCCrpZVAtacR393NqHs45hTVSWygwlg==" saltValue="YF157RQGFN0bSR2mBVuzoQ==" spinCount="100000" sheet="1" objects="1" scenarios="1"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D19:BG57 BI19:DQ57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28575</xdr:colOff>
                    <xdr:row>18</xdr:row>
                    <xdr:rowOff>9525</xdr:rowOff>
                  </from>
                  <to>
                    <xdr:col>1</xdr:col>
                    <xdr:colOff>752475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800100</xdr:colOff>
                    <xdr:row>18</xdr:row>
                    <xdr:rowOff>9525</xdr:rowOff>
                  </from>
                  <to>
                    <xdr:col>1</xdr:col>
                    <xdr:colOff>1524000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28575</xdr:colOff>
                    <xdr:row>27</xdr:row>
                    <xdr:rowOff>9525</xdr:rowOff>
                  </from>
                  <to>
                    <xdr:col>1</xdr:col>
                    <xdr:colOff>752475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800100</xdr:colOff>
                    <xdr:row>27</xdr:row>
                    <xdr:rowOff>9525</xdr:rowOff>
                  </from>
                  <to>
                    <xdr:col>1</xdr:col>
                    <xdr:colOff>1524000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28575</xdr:colOff>
                    <xdr:row>31</xdr:row>
                    <xdr:rowOff>9525</xdr:rowOff>
                  </from>
                  <to>
                    <xdr:col>1</xdr:col>
                    <xdr:colOff>752475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800100</xdr:colOff>
                    <xdr:row>31</xdr:row>
                    <xdr:rowOff>9525</xdr:rowOff>
                  </from>
                  <to>
                    <xdr:col>1</xdr:col>
                    <xdr:colOff>1524000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28575</xdr:colOff>
                    <xdr:row>41</xdr:row>
                    <xdr:rowOff>9525</xdr:rowOff>
                  </from>
                  <to>
                    <xdr:col>1</xdr:col>
                    <xdr:colOff>752475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800100</xdr:colOff>
                    <xdr:row>41</xdr:row>
                    <xdr:rowOff>9525</xdr:rowOff>
                  </from>
                  <to>
                    <xdr:col>1</xdr:col>
                    <xdr:colOff>1524000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28575</xdr:colOff>
                    <xdr:row>45</xdr:row>
                    <xdr:rowOff>9525</xdr:rowOff>
                  </from>
                  <to>
                    <xdr:col>1</xdr:col>
                    <xdr:colOff>752475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800100</xdr:colOff>
                    <xdr:row>45</xdr:row>
                    <xdr:rowOff>9525</xdr:rowOff>
                  </from>
                  <to>
                    <xdr:col>1</xdr:col>
                    <xdr:colOff>1524000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28575</xdr:colOff>
                    <xdr:row>49</xdr:row>
                    <xdr:rowOff>9525</xdr:rowOff>
                  </from>
                  <to>
                    <xdr:col>1</xdr:col>
                    <xdr:colOff>752475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800100</xdr:colOff>
                    <xdr:row>49</xdr:row>
                    <xdr:rowOff>9525</xdr:rowOff>
                  </from>
                  <to>
                    <xdr:col>1</xdr:col>
                    <xdr:colOff>1524000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28575</xdr:colOff>
                    <xdr:row>53</xdr:row>
                    <xdr:rowOff>9525</xdr:rowOff>
                  </from>
                  <to>
                    <xdr:col>1</xdr:col>
                    <xdr:colOff>752475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800100</xdr:colOff>
                    <xdr:row>53</xdr:row>
                    <xdr:rowOff>9525</xdr:rowOff>
                  </from>
                  <to>
                    <xdr:col>1</xdr:col>
                    <xdr:colOff>1524000</xdr:colOff>
                    <xdr:row>53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dcterms:created xsi:type="dcterms:W3CDTF">2018-04-02T20:38:47Z</dcterms:created>
  <dcterms:modified xsi:type="dcterms:W3CDTF">2018-08-20T03:02:27Z</dcterms:modified>
</cp:coreProperties>
</file>