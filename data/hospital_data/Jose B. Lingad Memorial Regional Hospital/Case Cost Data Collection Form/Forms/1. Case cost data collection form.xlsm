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1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data_general'!$B$1:$F$78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J12" i="2" l="1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8" i="1"/>
  <c r="E78" i="1"/>
  <c r="D78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<sst xmlns="http://schemas.openxmlformats.org/spreadsheetml/2006/main" count="489" uniqueCount="201">
  <si>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</si>
  <si>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</si>
  <si>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</si>
  <si>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</si>
  <si>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</si>
  <si>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</si>
  <si>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</si>
  <si>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</si>
  <si>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</si>
  <si>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</si>
  <si>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</si>
  <si>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</si>
  <si>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</si>
  <si>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</si>
  <si>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</si>
  <si>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</si>
  <si>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</si>
  <si>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</si>
  <si>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</si>
  <si>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</si>
  <si>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</si>
  <si>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</si>
  <si>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</si>
  <si>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</si>
  <si>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</si>
  <si>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</si>
  <si>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</si>
  <si>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</si>
  <si>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</si>
  <si>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</si>
  <si>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</si>
  <si>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</si>
  <si>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</si>
  <si>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</si>
  <si>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</si>
  <si>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</si>
  <si>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</si>
  <si>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</si>
  <si>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</si>
  <si>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</si>
  <si>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</si>
  <si>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</si>
  <si>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</si>
  <si>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</si>
  <si>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</si>
  <si>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</si>
  <si>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</si>
  <si>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</si>
  <si>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</si>
  <si>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</si>
  <si>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</si>
  <si>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</si>
  <si>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</si>
  <si>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</si>
  <si>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</si>
  <si>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</si>
  <si>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</si>
  <si>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</si>
  <si>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</si>
  <si>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</si>
  <si>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</si>
  <si>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</si>
  <si>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</si>
  <si>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</si>
  <si>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</si>
  <si>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</si>
  <si>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</si>
  <si>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</si>
  <si>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</si>
  <si>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</si>
  <si>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</si>
  <si>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</si>
  <si>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</si>
  <si>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</si>
  <si>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</si>
  <si>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</si>
  <si>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</si>
  <si>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</si>
  <si>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</si>
  <si>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</si>
  <si>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</si>
  <si>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</si>
  <si>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</si>
  <si>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</si>
  <si>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</si>
  <si>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</si>
  <si>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</si>
  <si>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</si>
  <si>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</si>
  <si>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</si>
  <si>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</si>
  <si>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</si>
  <si>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</si>
  <si>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</si>
  <si>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</si>
  <si>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</si>
  <si>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</si>
  <si>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</si>
  <si>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</si>
  <si>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</si>
  <si>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</si>
  <si>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</si>
  <si>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</si>
  <si>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</si>
  <si>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</si>
  <si>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</si>
  <si>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</si>
  <si>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</si>
  <si>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</si>
  <si>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</si>
  <si>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</si>
  <si>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</si>
  <si>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</si>
  <si>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</si>
  <si>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</si>
  <si>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</si>
  <si>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</si>
  <si>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</si>
  <si>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</si>
  <si>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</si>
  <si>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</si>
  <si>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</si>
  <si>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</si>
  <si>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</si>
  <si>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</si>
  <si>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</si>
  <si>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</si>
  <si>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</si>
  <si>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</si>
  <si>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</si>
  <si>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</si>
  <si>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</si>
  <si>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</si>
  <si>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</si>
  <si>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</si>
  <si>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</si>
  <si>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</si>
  <si>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</si>
  <si>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</si>
  <si>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</si>
  <si>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</si>
  <si>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</si>
  <si>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</si>
  <si>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</si>
  <si>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</si>
  <si>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</si>
  <si>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</si>
  <si>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</si>
  <si>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</si>
  <si>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</si>
  <si>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</si>
  <si>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</si>
  <si>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</si>
  <si>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</si>
  <si>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</si>
  <si>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</si>
  <si>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</si>
  <si>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</si>
  <si>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</si>
  <si>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</si>
  <si>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</si>
  <si>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</si>
  <si>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</si>
  <si>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</si>
  <si>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</si>
  <si>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MEDICINES</t>
  </si>
  <si>
    <t>SUPPLIES</t>
  </si>
  <si>
    <t>LABORATORY</t>
  </si>
  <si>
    <t>ROOM AND ACCOMMODATION</t>
  </si>
  <si>
    <t>PROFESSIONAL FEE</t>
  </si>
  <si>
    <t>PLAIN NSS</t>
  </si>
  <si>
    <t>fluid</t>
  </si>
  <si>
    <t>NA (SODIUM)</t>
  </si>
  <si>
    <t>CREATININE (CREA)</t>
  </si>
  <si>
    <t>K (POTASSIUM)</t>
  </si>
  <si>
    <t>CBC, PC</t>
  </si>
  <si>
    <t>BLOOD EXTRACTION FEE</t>
  </si>
  <si>
    <t>1L</t>
  </si>
  <si>
    <t>vial</t>
  </si>
  <si>
    <t>FECALYSIS</t>
  </si>
  <si>
    <t>PARACETAMOL (ACETAMINOPHEN)</t>
  </si>
  <si>
    <t>300MG-2ML</t>
  </si>
  <si>
    <t>DENGUE</t>
  </si>
  <si>
    <t>360493/74210</t>
  </si>
  <si>
    <t>A97.1</t>
  </si>
  <si>
    <t>N10</t>
  </si>
  <si>
    <t>J06.8</t>
  </si>
  <si>
    <t>DENGUE TEST</t>
  </si>
  <si>
    <t>URINALYSIS (UA)</t>
  </si>
  <si>
    <t>OCCULT BLOOD</t>
  </si>
  <si>
    <t>(PLAIN LRS 1L) LACTATED RINGER'S SOLUTION</t>
  </si>
  <si>
    <t>1000ML</t>
  </si>
  <si>
    <t>DIPHENHYDRAMINE HCL</t>
  </si>
  <si>
    <t>50MG/1ML</t>
  </si>
  <si>
    <t>OMEPRAZOLE</t>
  </si>
  <si>
    <t>powder</t>
  </si>
  <si>
    <t>40MG</t>
  </si>
  <si>
    <t>D5 WATER</t>
  </si>
  <si>
    <t>500ML</t>
  </si>
  <si>
    <t>CEFTRIAXONE SODIUM</t>
  </si>
  <si>
    <t>1G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</si>
</sst>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1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46</xdr:row>
          <xdr:rowOff>19050</xdr:rowOff>
        </xdr:from>
        <xdr:to>
          <xdr:col>1</xdr:col>
          <xdr:colOff>733425</xdr:colOff>
          <xdr:row>46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46</xdr:row>
          <xdr:rowOff>19050</xdr:rowOff>
        </xdr:from>
        <xdr:to>
          <xdr:col>1</xdr:col>
          <xdr:colOff>1504950</xdr:colOff>
          <xdr:row>46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52</xdr:row>
          <xdr:rowOff>19050</xdr:rowOff>
        </xdr:from>
        <xdr:to>
          <xdr:col>1</xdr:col>
          <xdr:colOff>733425</xdr:colOff>
          <xdr:row>52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52</xdr:row>
          <xdr:rowOff>19050</xdr:rowOff>
        </xdr:from>
        <xdr:to>
          <xdr:col>1</xdr:col>
          <xdr:colOff>1504950</xdr:colOff>
          <xdr:row>52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57</xdr:row>
          <xdr:rowOff>19050</xdr:rowOff>
        </xdr:from>
        <xdr:to>
          <xdr:col>1</xdr:col>
          <xdr:colOff>733425</xdr:colOff>
          <xdr:row>57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57</xdr:row>
          <xdr:rowOff>19050</xdr:rowOff>
        </xdr:from>
        <xdr:to>
          <xdr:col>1</xdr:col>
          <xdr:colOff>1504950</xdr:colOff>
          <xdr:row>57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66</xdr:row>
          <xdr:rowOff>19050</xdr:rowOff>
        </xdr:from>
        <xdr:to>
          <xdr:col>1</xdr:col>
          <xdr:colOff>733425</xdr:colOff>
          <xdr:row>66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66</xdr:row>
          <xdr:rowOff>19050</xdr:rowOff>
        </xdr:from>
        <xdr:to>
          <xdr:col>1</xdr:col>
          <xdr:colOff>1504950</xdr:colOff>
          <xdr:row>66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5"/>
  <sheetViews>
    <sheetView topLeftCell="A66" zoomScale="145" zoomScaleNormal="145" workbookViewId="0">
      <selection activeCell="D72" sqref="D72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182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12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3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1" t="s">
        <v>61</v>
      </c>
      <c r="C12" s="122"/>
      <c r="D12" s="122"/>
      <c r="E12" s="122"/>
      <c r="F12" s="123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4" t="s">
        <v>2</v>
      </c>
      <c r="C13" s="125"/>
      <c r="D13" s="125"/>
      <c r="E13" s="125"/>
      <c r="F13" s="12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4" t="s">
        <v>4</v>
      </c>
      <c r="C14" s="125"/>
      <c r="D14" s="125"/>
      <c r="E14" s="125"/>
      <c r="F14" s="126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7" t="s">
        <v>62</v>
      </c>
      <c r="C15" s="128"/>
      <c r="D15" s="128"/>
      <c r="E15" s="128"/>
      <c r="F15" s="129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183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6" t="s">
        <v>15</v>
      </c>
      <c r="C18" s="117"/>
      <c r="D18" s="117"/>
      <c r="E18" s="117"/>
      <c r="F18" s="118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184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185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 t="s">
        <v>186</v>
      </c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6" t="s">
        <v>53</v>
      </c>
      <c r="C22" s="117"/>
      <c r="D22" s="117"/>
      <c r="E22" s="117"/>
      <c r="F22" s="118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9" t="s">
        <v>44</v>
      </c>
      <c r="C28" s="120"/>
      <c r="D28" s="120"/>
      <c r="E28" s="120"/>
      <c r="F28" s="130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3" t="s">
        <v>164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161</v>
      </c>
      <c r="C30" s="114" t="s">
        <v>125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162</v>
      </c>
      <c r="C31" s="114" t="s">
        <v>140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3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6" t="s">
        <v>18</v>
      </c>
      <c r="C33" s="117"/>
      <c r="D33" s="117"/>
      <c r="E33" s="117"/>
      <c r="F33" s="118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175</v>
      </c>
      <c r="D34" s="23"/>
      <c r="E34" s="57">
        <v>3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187</v>
      </c>
      <c r="D35" s="23"/>
      <c r="E35" s="57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188</v>
      </c>
      <c r="D36" s="23"/>
      <c r="E36" s="57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176</v>
      </c>
      <c r="D37" s="23"/>
      <c r="E37" s="57">
        <v>2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 t="s">
        <v>189</v>
      </c>
      <c r="D38" s="23"/>
      <c r="E38" s="57">
        <v>1</v>
      </c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 t="s">
        <v>172</v>
      </c>
      <c r="D39" s="23"/>
      <c r="E39" s="57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 t="s">
        <v>173</v>
      </c>
      <c r="D40" s="23"/>
      <c r="E40" s="57">
        <v>1</v>
      </c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8</v>
      </c>
      <c r="C41" s="27" t="s">
        <v>174</v>
      </c>
      <c r="D41" s="23"/>
      <c r="E41" s="57">
        <v>1</v>
      </c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9</v>
      </c>
      <c r="C42" s="27" t="s">
        <v>179</v>
      </c>
      <c r="D42" s="23"/>
      <c r="E42" s="57">
        <v>1</v>
      </c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10</v>
      </c>
      <c r="C43" s="27"/>
      <c r="D43" s="23"/>
      <c r="E43" s="57">
        <v>1</v>
      </c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11</v>
      </c>
      <c r="C44" s="27"/>
      <c r="D44" s="23"/>
      <c r="E44" s="57">
        <v>1</v>
      </c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12</v>
      </c>
      <c r="C45" s="27"/>
      <c r="D45" s="23"/>
      <c r="E45" s="57">
        <v>1</v>
      </c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19" t="s">
        <v>19</v>
      </c>
      <c r="C46" s="120"/>
      <c r="D46" s="117"/>
      <c r="E46" s="120"/>
      <c r="F46" s="118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26">
        <v>1</v>
      </c>
      <c r="C47" s="27"/>
      <c r="D47" s="23"/>
      <c r="E47" s="55"/>
      <c r="F47" s="24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1"/>
      <c r="B48" s="26">
        <v>2</v>
      </c>
      <c r="C48" s="27"/>
      <c r="D48" s="23"/>
      <c r="E48" s="55"/>
      <c r="F48" s="24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3</v>
      </c>
      <c r="C49" s="27"/>
      <c r="D49" s="23"/>
      <c r="E49" s="55"/>
      <c r="F49" s="24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9" t="s">
        <v>45</v>
      </c>
      <c r="C50" s="120"/>
      <c r="D50" s="117"/>
      <c r="E50" s="120"/>
      <c r="F50" s="118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14" t="s">
        <v>46</v>
      </c>
      <c r="C51" s="13"/>
      <c r="D51" s="13"/>
      <c r="E51" s="16"/>
      <c r="F51" s="13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thickBot="1" x14ac:dyDescent="0.35">
      <c r="A52" s="1"/>
      <c r="B52" s="116" t="s">
        <v>54</v>
      </c>
      <c r="C52" s="117"/>
      <c r="D52" s="117"/>
      <c r="E52" s="117"/>
      <c r="F52" s="118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20"/>
      <c r="B53" s="30">
        <v>1</v>
      </c>
      <c r="C53" s="31"/>
      <c r="D53" s="32"/>
      <c r="E53" s="57"/>
      <c r="F53" s="57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20"/>
      <c r="B54" s="30">
        <v>2</v>
      </c>
      <c r="C54" s="31"/>
      <c r="D54" s="32"/>
      <c r="E54" s="57"/>
      <c r="F54" s="57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20"/>
      <c r="B55" s="26">
        <v>3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20"/>
      <c r="B56" s="26">
        <v>4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thickBot="1" x14ac:dyDescent="0.35">
      <c r="A57" s="1"/>
      <c r="B57" s="116" t="s">
        <v>20</v>
      </c>
      <c r="C57" s="117"/>
      <c r="D57" s="117"/>
      <c r="E57" s="117"/>
      <c r="F57" s="118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1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2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6">
        <v>3</v>
      </c>
      <c r="C60" s="27"/>
      <c r="D60" s="28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26">
        <v>4</v>
      </c>
      <c r="C61" s="27"/>
      <c r="D61" s="28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26">
        <v>5</v>
      </c>
      <c r="C62" s="27"/>
      <c r="D62" s="28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26">
        <v>6</v>
      </c>
      <c r="C63" s="27"/>
      <c r="D63" s="28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25"/>
      <c r="C64" s="25"/>
      <c r="D64" s="25"/>
      <c r="E64" s="25"/>
      <c r="F64" s="2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57.75" customHeight="1" thickBot="1" x14ac:dyDescent="0.35">
      <c r="A66" s="1"/>
      <c r="B66" s="17" t="s">
        <v>56</v>
      </c>
      <c r="C66" s="17" t="s">
        <v>52</v>
      </c>
      <c r="D66" s="17" t="s">
        <v>57</v>
      </c>
      <c r="E66" s="18" t="s">
        <v>58</v>
      </c>
      <c r="F66" s="19" t="s">
        <v>21</v>
      </c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2">
        <v>1</v>
      </c>
      <c r="C67" s="27" t="s">
        <v>165</v>
      </c>
      <c r="D67" s="55">
        <v>611.49</v>
      </c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2</v>
      </c>
      <c r="C68" s="27" t="s">
        <v>166</v>
      </c>
      <c r="D68" s="55">
        <v>279.58</v>
      </c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3</v>
      </c>
      <c r="C69" s="27" t="s">
        <v>167</v>
      </c>
      <c r="D69" s="55">
        <v>1895</v>
      </c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4</v>
      </c>
      <c r="C70" s="27" t="s">
        <v>168</v>
      </c>
      <c r="D70" s="55">
        <v>1500</v>
      </c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5</v>
      </c>
      <c r="C71" s="27" t="s">
        <v>169</v>
      </c>
      <c r="D71" s="55">
        <v>3000</v>
      </c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6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0">
        <v>7</v>
      </c>
      <c r="C73" s="27"/>
      <c r="D73" s="55"/>
      <c r="E73" s="55"/>
      <c r="F73" s="55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0">
        <v>8</v>
      </c>
      <c r="C74" s="27"/>
      <c r="D74" s="55"/>
      <c r="E74" s="55"/>
      <c r="F74" s="55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0">
        <v>9</v>
      </c>
      <c r="C75" s="27"/>
      <c r="D75" s="55"/>
      <c r="E75" s="55"/>
      <c r="F75" s="55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0">
        <v>10</v>
      </c>
      <c r="C76" s="27"/>
      <c r="D76" s="55"/>
      <c r="E76" s="55"/>
      <c r="F76" s="55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4.9000000000000004" customHeight="1" thickBot="1" x14ac:dyDescent="0.35">
      <c r="A77" s="1"/>
      <c r="B77" s="1"/>
      <c r="C77" s="1"/>
      <c r="D77" s="58"/>
      <c r="E77" s="58"/>
      <c r="F77" s="58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thickTop="1" x14ac:dyDescent="0.3">
      <c r="A78" s="1"/>
      <c r="B78" s="11"/>
      <c r="C78" s="4" t="s">
        <v>22</v>
      </c>
      <c r="D78" s="59">
        <f>SUM(D67:D77)</f>
        <v>7286.07</v>
      </c>
      <c r="E78" s="59">
        <f>SUM(E67:E77)</f>
        <v>0</v>
      </c>
      <c r="F78" s="59">
        <f>SUM(F67:F77)</f>
        <v>0</v>
      </c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  <row r="1012" spans="1:25" ht="13.5" customHeight="1" x14ac:dyDescent="0.3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</row>
    <row r="1013" spans="1:25" ht="13.5" customHeight="1" x14ac:dyDescent="0.3">
      <c r="A1013" s="1"/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</row>
    <row r="1014" spans="1:25" ht="13.5" customHeight="1" x14ac:dyDescent="0.3">
      <c r="A1014" s="1"/>
      <c r="B1014" s="1"/>
      <c r="C1014" s="1"/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</row>
    <row r="1015" spans="1:25" ht="13.5" customHeight="1" x14ac:dyDescent="0.3">
      <c r="A1015" s="1"/>
      <c r="B1015" s="1"/>
      <c r="C1015" s="1"/>
      <c r="D1015" s="1"/>
      <c r="E1015" s="1"/>
      <c r="F1015" s="1"/>
      <c r="G1015" s="1"/>
      <c r="H1015" s="1"/>
      <c r="I1015" s="1"/>
      <c r="J1015" s="1"/>
      <c r="K1015" s="1"/>
      <c r="L1015" s="1"/>
      <c r="M1015" s="1"/>
      <c r="N1015" s="1"/>
      <c r="O1015" s="1"/>
      <c r="P1015" s="1"/>
      <c r="Q1015" s="1"/>
      <c r="R1015" s="1"/>
      <c r="S1015" s="1"/>
      <c r="T1015" s="1"/>
      <c r="U1015" s="1"/>
      <c r="V1015" s="1"/>
      <c r="W1015" s="1"/>
      <c r="X1015" s="1"/>
      <c r="Y1015" s="1"/>
    </row>
  </sheetData>
  <sheetProtection formatColumns="0" formatRows="0" sort="0" autoFilter="0"/>
  <mergeCells count="12">
    <mergeCell ref="B57:F57"/>
    <mergeCell ref="B50:F50"/>
    <mergeCell ref="B12:F12"/>
    <mergeCell ref="B13:F13"/>
    <mergeCell ref="B14:F14"/>
    <mergeCell ref="B15:F15"/>
    <mergeCell ref="B18:F18"/>
    <mergeCell ref="B22:F22"/>
    <mergeCell ref="B33:F33"/>
    <mergeCell ref="B28:F28"/>
    <mergeCell ref="B46:F46"/>
    <mergeCell ref="B52:F52"/>
  </mergeCells>
  <dataValidations count="1">
    <dataValidation type="decimal" operator="greaterThanOrEqual" allowBlank="1" showInputMessage="1" showErrorMessage="1" sqref="E32 E47:E49 E51 E23:F27 E53:F56 E58:F63 D67:F76 E34:E45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5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46</xdr:row>
                    <xdr:rowOff>19050</xdr:rowOff>
                  </from>
                  <to>
                    <xdr:col>1</xdr:col>
                    <xdr:colOff>733425</xdr:colOff>
                    <xdr:row>46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46</xdr:row>
                    <xdr:rowOff>19050</xdr:rowOff>
                  </from>
                  <to>
                    <xdr:col>1</xdr:col>
                    <xdr:colOff>1504950</xdr:colOff>
                    <xdr:row>46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52</xdr:row>
                    <xdr:rowOff>19050</xdr:rowOff>
                  </from>
                  <to>
                    <xdr:col>1</xdr:col>
                    <xdr:colOff>733425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52</xdr:row>
                    <xdr:rowOff>19050</xdr:rowOff>
                  </from>
                  <to>
                    <xdr:col>1</xdr:col>
                    <xdr:colOff>1504950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57</xdr:row>
                    <xdr:rowOff>19050</xdr:rowOff>
                  </from>
                  <to>
                    <xdr:col>1</xdr:col>
                    <xdr:colOff>733425</xdr:colOff>
                    <xdr:row>57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57</xdr:row>
                    <xdr:rowOff>19050</xdr:rowOff>
                  </from>
                  <to>
                    <xdr:col>1</xdr:col>
                    <xdr:colOff>1504950</xdr:colOff>
                    <xdr:row>57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66</xdr:row>
                    <xdr:rowOff>19050</xdr:rowOff>
                  </from>
                  <to>
                    <xdr:col>1</xdr:col>
                    <xdr:colOff>733425</xdr:colOff>
                    <xdr:row>66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66</xdr:row>
                    <xdr:rowOff>19050</xdr:rowOff>
                  </from>
                  <to>
                    <xdr:col>1</xdr:col>
                    <xdr:colOff>1504950</xdr:colOff>
                    <xdr:row>66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abSelected="1" zoomScale="115" zoomScaleNormal="115" workbookViewId="0">
      <selection activeCell="E17" sqref="E17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DENGUE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1" t="s">
        <v>65</v>
      </c>
      <c r="C8" s="132"/>
      <c r="D8" s="132"/>
      <c r="E8" s="132"/>
      <c r="F8" s="132"/>
      <c r="G8" s="132"/>
      <c r="H8" s="132"/>
      <c r="I8" s="132"/>
      <c r="J8" s="133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190</v>
      </c>
      <c r="D11" s="27" t="s">
        <v>171</v>
      </c>
      <c r="E11" s="27" t="s">
        <v>191</v>
      </c>
      <c r="F11" s="55">
        <v>1</v>
      </c>
      <c r="G11" s="55">
        <v>1</v>
      </c>
      <c r="H11" s="55">
        <v>2</v>
      </c>
      <c r="I11" s="55">
        <v>49.33</v>
      </c>
      <c r="J11" s="55">
        <f>H11*I11</f>
        <v>98.66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180</v>
      </c>
      <c r="D12" s="27" t="s">
        <v>178</v>
      </c>
      <c r="E12" s="27" t="s">
        <v>181</v>
      </c>
      <c r="F12" s="55">
        <v>3</v>
      </c>
      <c r="G12" s="55">
        <v>3</v>
      </c>
      <c r="H12" s="55">
        <v>10</v>
      </c>
      <c r="I12" s="55">
        <v>4.57</v>
      </c>
      <c r="J12" s="55">
        <f t="shared" ref="J12:J26" si="0">H12*I12</f>
        <v>45.7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192</v>
      </c>
      <c r="D13" s="27" t="s">
        <v>178</v>
      </c>
      <c r="E13" s="27" t="s">
        <v>193</v>
      </c>
      <c r="F13" s="55">
        <v>1</v>
      </c>
      <c r="G13" s="55">
        <v>1</v>
      </c>
      <c r="H13" s="55">
        <v>1</v>
      </c>
      <c r="I13" s="55">
        <v>24.31</v>
      </c>
      <c r="J13" s="55">
        <f t="shared" si="0"/>
        <v>24.31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194</v>
      </c>
      <c r="D14" s="27" t="s">
        <v>195</v>
      </c>
      <c r="E14" s="27" t="s">
        <v>196</v>
      </c>
      <c r="F14" s="55">
        <v>2</v>
      </c>
      <c r="G14" s="55">
        <v>2</v>
      </c>
      <c r="H14" s="55">
        <v>4</v>
      </c>
      <c r="I14" s="55">
        <v>30.96</v>
      </c>
      <c r="J14" s="55">
        <f t="shared" si="0"/>
        <v>123.84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170</v>
      </c>
      <c r="D15" s="27" t="s">
        <v>171</v>
      </c>
      <c r="E15" s="27" t="s">
        <v>177</v>
      </c>
      <c r="F15" s="55">
        <v>1</v>
      </c>
      <c r="G15" s="55">
        <v>1</v>
      </c>
      <c r="H15" s="55">
        <v>4</v>
      </c>
      <c r="I15" s="55">
        <v>50.67</v>
      </c>
      <c r="J15" s="55">
        <f t="shared" si="0"/>
        <v>202.68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197</v>
      </c>
      <c r="D16" s="27" t="s">
        <v>171</v>
      </c>
      <c r="E16" s="27" t="s">
        <v>198</v>
      </c>
      <c r="F16" s="55">
        <v>1</v>
      </c>
      <c r="G16" s="55">
        <v>1</v>
      </c>
      <c r="H16" s="55">
        <v>1</v>
      </c>
      <c r="I16" s="55">
        <v>55.85</v>
      </c>
      <c r="J16" s="55">
        <f t="shared" si="0"/>
        <v>55.85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199</v>
      </c>
      <c r="D17" s="27" t="s">
        <v>178</v>
      </c>
      <c r="E17" s="27" t="s">
        <v>200</v>
      </c>
      <c r="F17" s="55">
        <v>1</v>
      </c>
      <c r="G17" s="55">
        <v>1</v>
      </c>
      <c r="H17" s="55">
        <v>3</v>
      </c>
      <c r="I17" s="55">
        <v>20.149999999999999</v>
      </c>
      <c r="J17" s="55">
        <f t="shared" si="0"/>
        <v>60.449999999999996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workbookViewId="0">
      <selection activeCell="E22" sqref="E22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DENGUE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4" t="s">
        <v>23</v>
      </c>
      <c r="C7" s="135"/>
      <c r="D7" s="135"/>
      <c r="E7" s="135"/>
      <c r="F7" s="135"/>
      <c r="G7" s="136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0" t="s">
        <v>24</v>
      </c>
      <c r="C8" s="141"/>
      <c r="D8" s="141"/>
      <c r="E8" s="141"/>
      <c r="F8" s="141"/>
      <c r="G8" s="142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0" t="s">
        <v>70</v>
      </c>
      <c r="C9" s="141"/>
      <c r="D9" s="141"/>
      <c r="E9" s="141"/>
      <c r="F9" s="141"/>
      <c r="G9" s="142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0" t="s">
        <v>25</v>
      </c>
      <c r="C10" s="141"/>
      <c r="D10" s="141"/>
      <c r="E10" s="141"/>
      <c r="F10" s="141"/>
      <c r="G10" s="142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0" t="s">
        <v>26</v>
      </c>
      <c r="C11" s="141"/>
      <c r="D11" s="141"/>
      <c r="E11" s="141"/>
      <c r="F11" s="141"/>
      <c r="G11" s="142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3" t="s">
        <v>27</v>
      </c>
      <c r="C12" s="144"/>
      <c r="D12" s="144"/>
      <c r="E12" s="144"/>
      <c r="F12" s="144"/>
      <c r="G12" s="145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7" t="s">
        <v>73</v>
      </c>
      <c r="C15" s="138"/>
      <c r="D15" s="138"/>
      <c r="E15" s="138"/>
      <c r="F15" s="138"/>
      <c r="G15" s="139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/>
      <c r="D16" s="70"/>
      <c r="E16" s="55"/>
      <c r="F16" s="55"/>
      <c r="G16" s="55"/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/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7" t="s">
        <v>77</v>
      </c>
      <c r="C27" s="138"/>
      <c r="D27" s="138"/>
      <c r="E27" s="138"/>
      <c r="F27" s="138"/>
      <c r="G27" s="139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7" t="s">
        <v>29</v>
      </c>
      <c r="C38" s="138"/>
      <c r="D38" s="138"/>
      <c r="E38" s="138"/>
      <c r="F38" s="138"/>
      <c r="G38" s="139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5" workbookViewId="0">
      <selection activeCell="D13" sqref="D13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DENGUE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6" t="s">
        <v>32</v>
      </c>
      <c r="E11" s="147"/>
      <c r="F11" s="147"/>
      <c r="G11" s="147"/>
      <c r="H11" s="147"/>
      <c r="I11" s="147"/>
      <c r="J11" s="147"/>
      <c r="K11" s="147"/>
      <c r="L11" s="147"/>
      <c r="M11" s="147"/>
      <c r="N11" s="148"/>
      <c r="P11" s="149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85</v>
      </c>
      <c r="J12" s="86" t="s">
        <v>83</v>
      </c>
      <c r="K12" s="85" t="s">
        <v>40</v>
      </c>
      <c r="L12" s="85" t="s">
        <v>84</v>
      </c>
      <c r="M12" s="90" t="s">
        <v>86</v>
      </c>
      <c r="N12" s="90" t="s">
        <v>87</v>
      </c>
      <c r="P12" s="150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>
        <v>25</v>
      </c>
      <c r="E13" s="55"/>
      <c r="F13" s="55"/>
      <c r="G13" s="55">
        <v>40</v>
      </c>
      <c r="H13" s="55"/>
      <c r="I13" s="55"/>
      <c r="J13" s="55"/>
      <c r="K13" s="55"/>
      <c r="L13" s="55"/>
      <c r="M13" s="55"/>
      <c r="N13" s="55"/>
      <c r="P13" s="88">
        <f>SUM(D13:N13)</f>
        <v>65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42</v>
      </c>
      <c r="D14" s="55"/>
      <c r="E14" s="55">
        <v>50</v>
      </c>
      <c r="F14" s="55"/>
      <c r="G14" s="55">
        <v>50</v>
      </c>
      <c r="H14" s="55"/>
      <c r="I14" s="55"/>
      <c r="J14" s="55"/>
      <c r="K14" s="55">
        <v>300</v>
      </c>
      <c r="L14" s="55"/>
      <c r="M14" s="55"/>
      <c r="N14" s="55"/>
      <c r="P14" s="88">
        <f t="shared" ref="P14:P22" si="0">SUM(D14:N14)</f>
        <v>400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25</v>
      </c>
      <c r="E30" s="88">
        <f t="shared" si="1"/>
        <v>50</v>
      </c>
      <c r="F30" s="88">
        <f t="shared" si="1"/>
        <v>0</v>
      </c>
      <c r="G30" s="88">
        <f t="shared" si="1"/>
        <v>90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300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465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II and III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PHIC-ECLAIMS 3</cp:lastModifiedBy>
  <dcterms:created xsi:type="dcterms:W3CDTF">2018-05-11T08:46:15Z</dcterms:created>
  <dcterms:modified xsi:type="dcterms:W3CDTF">2018-06-01T01:30:44Z</dcterms:modified>
</cp:coreProperties>
</file>