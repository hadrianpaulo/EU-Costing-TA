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60" windowWidth="19440" windowHeight="6885" activeTab="1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Supplies_Medical'!$C$15:$C$20</definedName>
    <definedName name="Drugs">'1.2 Drugs&amp;Med'!$C$11:$C$17</definedName>
    <definedName name="_xlnm.Print_Area" localSheetId="0">'1.1 Case data_general'!$B$1:$F$49</definedName>
    <definedName name="_xlnm.Print_Area" localSheetId="1">'1.2 Drugs&amp;Med'!$B$2:$J$20</definedName>
  </definedNames>
  <calcPr calcId="144525"/>
</workbook>
</file>

<file path=xl/calcChain.xml><?xml version="1.0" encoding="utf-8"?>
<calcChain xmlns="http://schemas.openxmlformats.org/spreadsheetml/2006/main">
  <c r="J12" i="2" l="1"/>
  <c r="J13" i="2"/>
  <c r="J11" i="2" l="1"/>
  <c r="G1" i="11" l="1"/>
  <c r="F1" i="11"/>
  <c r="E3" i="11" a="1"/>
  <c r="E3" i="11" s="1"/>
  <c r="E4" i="11" s="1" a="1"/>
  <c r="E4" i="11" s="1"/>
  <c r="G3" i="11" l="1" a="1"/>
  <c r="G3" i="11" s="1"/>
  <c r="G4" i="11" s="1" a="1"/>
  <c r="G4" i="11" s="1"/>
  <c r="F3" i="11" a="1"/>
  <c r="F3" i="11" s="1"/>
  <c r="F4" i="11" s="1" a="1"/>
  <c r="F4" i="11" s="1"/>
  <c r="G5" i="11" l="1" a="1"/>
  <c r="G5" i="11" s="1"/>
  <c r="G6" i="11" s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49" i="1"/>
  <c r="E49" i="1"/>
  <c r="D49" i="1"/>
  <c r="G11" i="11" l="1" a="1"/>
  <c r="G11" i="11" s="1"/>
  <c r="G12" i="11" s="1" a="1"/>
  <c r="G12" i="11" s="1"/>
  <c r="F8" i="11" a="1"/>
  <c r="F8" i="11" s="1"/>
  <c r="F9" i="11" s="1" a="1"/>
  <c r="F9" i="11" s="1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<sst xmlns="http://schemas.openxmlformats.org/spreadsheetml/2006/main" count="478" uniqueCount="187">
  <si>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</si>
  <si>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</si>
  <si>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</si>
  <si>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</si>
  <si>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</si>
  <si>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</si>
  <si>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</si>
  <si>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</si>
  <si>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</si>
  <si>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</si>
  <si>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</si>
  <si>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</si>
  <si>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</si>
  <si>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</si>
  <si>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</si>
  <si>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</si>
  <si>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</si>
  <si>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</si>
  <si>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</si>
  <si>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</si>
  <si>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</si>
  <si>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</si>
  <si>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</si>
  <si>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</si>
  <si>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</si>
  <si>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</si>
  <si>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</si>
  <si>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</si>
  <si>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</si>
  <si>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</si>
  <si>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</si>
  <si>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</si>
  <si>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</si>
  <si>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</si>
  <si>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</si>
  <si>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</si>
  <si>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</si>
  <si>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</si>
  <si>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</si>
  <si>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</si>
  <si>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</si>
  <si>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</si>
  <si>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</si>
  <si>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</si>
  <si>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</si>
  <si>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</si>
  <si>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</si>
  <si>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</si>
  <si>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</si>
  <si>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</si>
  <si>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</si>
  <si>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</si>
  <si>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</si>
  <si>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</si>
  <si>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</si>
  <si>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</si>
  <si>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</si>
  <si>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</si>
  <si>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</si>
  <si>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</si>
  <si>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</si>
  <si>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</si>
  <si>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</si>
  <si>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</si>
  <si>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</si>
  <si>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</si>
  <si>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</si>
  <si>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</si>
  <si>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</si>
  <si>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</si>
  <si>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</si>
  <si>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</si>
  <si>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</si>
  <si>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</si>
  <si>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</si>
  <si>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</si>
  <si>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</si>
  <si>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</si>
  <si>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</si>
  <si>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</si>
  <si>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</si>
  <si>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</si>
  <si>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</si>
  <si>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</si>
  <si>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</si>
  <si>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</si>
  <si>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</si>
  <si>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</si>
  <si>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</si>
  <si>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</si>
  <si>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</si>
  <si>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</si>
  <si>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</si>
  <si>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</si>
  <si>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</si>
  <si>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</si>
  <si>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</si>
  <si>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</si>
  <si>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</si>
  <si>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</si>
  <si>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</si>
  <si>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</si>
  <si>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</si>
  <si>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</si>
  <si>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</si>
  <si>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</si>
  <si>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</si>
  <si>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</si>
  <si>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</si>
  <si>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</si>
  <si>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</si>
  <si>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</si>
  <si>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</si>
  <si>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</si>
  <si>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</si>
  <si>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</si>
  <si>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</si>
  <si>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</si>
  <si>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</si>
  <si>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</si>
  <si>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</si>
  <si>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</si>
  <si>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</si>
  <si>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</si>
  <si>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</si>
  <si>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</si>
  <si>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</si>
  <si>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</si>
  <si>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</si>
  <si>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</si>
  <si>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</si>
  <si>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</si>
  <si>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</si>
  <si>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</si>
  <si>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</si>
  <si>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</si>
  <si>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</si>
  <si>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</si>
  <si>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</si>
  <si>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</si>
  <si>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</si>
  <si>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</si>
  <si>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</si>
  <si>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</si>
  <si>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</si>
  <si>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</si>
  <si>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</si>
  <si>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</si>
  <si>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</si>
  <si>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</si>
  <si>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</si>
  <si>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</si>
  <si>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</si>
  <si>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</si>
  <si>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</si>
  <si>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</si>
  <si>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</si>
  <si>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</si>
  <si>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</si>
  <si>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</si>
  <si>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</si>
  <si>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CHEST XRAY</t>
  </si>
  <si>
    <t>HIV/AIDS</t>
  </si>
  <si>
    <t>B24</t>
  </si>
  <si>
    <t>NA</t>
  </si>
  <si>
    <t>FBS</t>
  </si>
  <si>
    <t>BUN</t>
  </si>
  <si>
    <t>Serum Creatinine</t>
  </si>
  <si>
    <t>Lipid Profile</t>
  </si>
  <si>
    <t>SGOT</t>
  </si>
  <si>
    <t>SGPT</t>
  </si>
  <si>
    <t>CBC</t>
  </si>
  <si>
    <t>CD4</t>
  </si>
  <si>
    <t>HIV 1 PCR Viral Load</t>
  </si>
  <si>
    <t>tablet / orem</t>
  </si>
  <si>
    <t>Medical Technician</t>
  </si>
  <si>
    <t>Pharmacist</t>
  </si>
  <si>
    <t>ARV Adherance Counseling</t>
  </si>
  <si>
    <t>Blood Extraction and Testing</t>
  </si>
  <si>
    <t>Consultation</t>
  </si>
  <si>
    <t>Dispensing of Medications</t>
  </si>
  <si>
    <t>Efavirenz (C)</t>
  </si>
  <si>
    <t>Lamivudine + Zidovudine (A)</t>
  </si>
  <si>
    <t>150/300mg</t>
  </si>
  <si>
    <t>600mg</t>
  </si>
  <si>
    <t>Multivitamins</t>
  </si>
  <si>
    <t>D15-09-12635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</si>
</sst>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  <xf numFmtId="0" fontId="0" fillId="0" borderId="0" xfId="0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20</xdr:row>
          <xdr:rowOff>19050</xdr:rowOff>
        </xdr:from>
        <xdr:to>
          <xdr:col>1</xdr:col>
          <xdr:colOff>733425</xdr:colOff>
          <xdr:row>20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20</xdr:row>
          <xdr:rowOff>19050</xdr:rowOff>
        </xdr:from>
        <xdr:to>
          <xdr:col>1</xdr:col>
          <xdr:colOff>1504950</xdr:colOff>
          <xdr:row>20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27</xdr:row>
          <xdr:rowOff>19050</xdr:rowOff>
        </xdr:from>
        <xdr:to>
          <xdr:col>1</xdr:col>
          <xdr:colOff>733425</xdr:colOff>
          <xdr:row>27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27</xdr:row>
          <xdr:rowOff>19050</xdr:rowOff>
        </xdr:from>
        <xdr:to>
          <xdr:col>1</xdr:col>
          <xdr:colOff>1504950</xdr:colOff>
          <xdr:row>27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36</xdr:row>
          <xdr:rowOff>19050</xdr:rowOff>
        </xdr:from>
        <xdr:to>
          <xdr:col>1</xdr:col>
          <xdr:colOff>733425</xdr:colOff>
          <xdr:row>36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36</xdr:row>
          <xdr:rowOff>19050</xdr:rowOff>
        </xdr:from>
        <xdr:to>
          <xdr:col>1</xdr:col>
          <xdr:colOff>1504950</xdr:colOff>
          <xdr:row>36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40</xdr:row>
          <xdr:rowOff>19050</xdr:rowOff>
        </xdr:from>
        <xdr:to>
          <xdr:col>1</xdr:col>
          <xdr:colOff>733425</xdr:colOff>
          <xdr:row>40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40</xdr:row>
          <xdr:rowOff>19050</xdr:rowOff>
        </xdr:from>
        <xdr:to>
          <xdr:col>1</xdr:col>
          <xdr:colOff>1504950</xdr:colOff>
          <xdr:row>40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42</xdr:row>
          <xdr:rowOff>19050</xdr:rowOff>
        </xdr:from>
        <xdr:to>
          <xdr:col>1</xdr:col>
          <xdr:colOff>733425</xdr:colOff>
          <xdr:row>42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42</xdr:row>
          <xdr:rowOff>19050</xdr:rowOff>
        </xdr:from>
        <xdr:to>
          <xdr:col>1</xdr:col>
          <xdr:colOff>1504950</xdr:colOff>
          <xdr:row>42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46</xdr:row>
          <xdr:rowOff>19050</xdr:rowOff>
        </xdr:from>
        <xdr:to>
          <xdr:col>1</xdr:col>
          <xdr:colOff>733425</xdr:colOff>
          <xdr:row>46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46</xdr:row>
          <xdr:rowOff>19050</xdr:rowOff>
        </xdr:from>
        <xdr:to>
          <xdr:col>1</xdr:col>
          <xdr:colOff>1504950</xdr:colOff>
          <xdr:row>46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17</xdr:row>
          <xdr:rowOff>28575</xdr:rowOff>
        </xdr:from>
        <xdr:to>
          <xdr:col>1</xdr:col>
          <xdr:colOff>762000</xdr:colOff>
          <xdr:row>17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17</xdr:row>
          <xdr:rowOff>28575</xdr:rowOff>
        </xdr:from>
        <xdr:to>
          <xdr:col>1</xdr:col>
          <xdr:colOff>1533525</xdr:colOff>
          <xdr:row>17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19</xdr:row>
          <xdr:rowOff>28575</xdr:rowOff>
        </xdr:from>
        <xdr:to>
          <xdr:col>1</xdr:col>
          <xdr:colOff>771525</xdr:colOff>
          <xdr:row>19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19</xdr:row>
          <xdr:rowOff>28575</xdr:rowOff>
        </xdr:from>
        <xdr:to>
          <xdr:col>1</xdr:col>
          <xdr:colOff>1543050</xdr:colOff>
          <xdr:row>19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986"/>
  <sheetViews>
    <sheetView topLeftCell="A45" zoomScaleNormal="100" workbookViewId="0">
      <selection activeCell="C16" sqref="C16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45</v>
      </c>
      <c r="C2" s="9"/>
      <c r="D2" s="60" t="s">
        <v>162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58</v>
      </c>
      <c r="C4" s="2">
        <v>1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46</v>
      </c>
      <c r="C5" s="2">
        <v>1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47</v>
      </c>
      <c r="C6" s="2">
        <v>8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48</v>
      </c>
      <c r="C7" s="2">
        <v>1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53</v>
      </c>
      <c r="C8" s="2">
        <v>1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49</v>
      </c>
      <c r="C9" s="2">
        <v>1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57</v>
      </c>
      <c r="C10" s="2">
        <v>1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19" t="s">
        <v>59</v>
      </c>
      <c r="C12" s="120"/>
      <c r="D12" s="120"/>
      <c r="E12" s="120"/>
      <c r="F12" s="12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2" t="s">
        <v>2</v>
      </c>
      <c r="C13" s="123"/>
      <c r="D13" s="123"/>
      <c r="E13" s="123"/>
      <c r="F13" s="124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2" t="s">
        <v>4</v>
      </c>
      <c r="C14" s="123"/>
      <c r="D14" s="123"/>
      <c r="E14" s="123"/>
      <c r="F14" s="124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5" t="s">
        <v>60</v>
      </c>
      <c r="C15" s="126"/>
      <c r="D15" s="126"/>
      <c r="E15" s="126"/>
      <c r="F15" s="127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49" t="s">
        <v>186</v>
      </c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4" t="s">
        <v>15</v>
      </c>
      <c r="C18" s="115"/>
      <c r="D18" s="115"/>
      <c r="E18" s="115"/>
      <c r="F18" s="116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29">
        <v>1</v>
      </c>
      <c r="C19" s="30" t="s">
        <v>163</v>
      </c>
      <c r="D19" s="20"/>
      <c r="E19" s="20"/>
      <c r="F19" s="2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thickBot="1" x14ac:dyDescent="0.35">
      <c r="A20" s="1"/>
      <c r="B20" s="114" t="s">
        <v>51</v>
      </c>
      <c r="C20" s="115"/>
      <c r="D20" s="115"/>
      <c r="E20" s="115"/>
      <c r="F20" s="116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25">
        <v>1</v>
      </c>
      <c r="C21" s="26" t="s">
        <v>164</v>
      </c>
      <c r="D21" s="28"/>
      <c r="E21" s="54"/>
      <c r="F21" s="54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7" t="s">
        <v>42</v>
      </c>
      <c r="C22" s="118"/>
      <c r="D22" s="118"/>
      <c r="E22" s="118"/>
      <c r="F22" s="128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109" t="s">
        <v>156</v>
      </c>
      <c r="C23" s="112" t="s">
        <v>160</v>
      </c>
      <c r="D23" s="12"/>
      <c r="E23" s="12"/>
      <c r="F23" s="12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109" t="s">
        <v>157</v>
      </c>
      <c r="C24" s="113" t="s">
        <v>121</v>
      </c>
      <c r="D24" s="12"/>
      <c r="E24" s="12"/>
      <c r="F24" s="12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13" t="s">
        <v>158</v>
      </c>
      <c r="C25" s="113" t="s">
        <v>125</v>
      </c>
      <c r="D25" s="12"/>
      <c r="E25" s="12"/>
      <c r="F25" s="12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14" t="s">
        <v>17</v>
      </c>
      <c r="C26" s="7"/>
      <c r="D26" s="7"/>
      <c r="E26" s="55">
        <v>1</v>
      </c>
      <c r="F26" s="7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thickBot="1" x14ac:dyDescent="0.35">
      <c r="A27" s="1"/>
      <c r="B27" s="114" t="s">
        <v>18</v>
      </c>
      <c r="C27" s="115"/>
      <c r="D27" s="115"/>
      <c r="E27" s="115"/>
      <c r="F27" s="116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x14ac:dyDescent="0.3">
      <c r="A28" s="1"/>
      <c r="B28" s="29">
        <v>1</v>
      </c>
      <c r="C28" s="30" t="s">
        <v>165</v>
      </c>
      <c r="D28" s="22"/>
      <c r="E28" s="56">
        <v>1</v>
      </c>
      <c r="F28" s="23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25">
        <v>2</v>
      </c>
      <c r="C29" s="26" t="s">
        <v>166</v>
      </c>
      <c r="D29" s="22"/>
      <c r="E29" s="54">
        <v>1</v>
      </c>
      <c r="F29" s="2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25">
        <v>3</v>
      </c>
      <c r="C30" s="26" t="s">
        <v>167</v>
      </c>
      <c r="D30" s="22"/>
      <c r="E30" s="54">
        <v>1</v>
      </c>
      <c r="F30" s="2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25">
        <v>4</v>
      </c>
      <c r="C31" s="26" t="s">
        <v>168</v>
      </c>
      <c r="D31" s="22"/>
      <c r="E31" s="54">
        <v>1</v>
      </c>
      <c r="F31" s="2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25">
        <v>5</v>
      </c>
      <c r="C32" s="26" t="s">
        <v>169</v>
      </c>
      <c r="D32" s="22"/>
      <c r="E32" s="54">
        <v>1</v>
      </c>
      <c r="F32" s="23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x14ac:dyDescent="0.3">
      <c r="A33" s="1"/>
      <c r="B33" s="25">
        <v>6</v>
      </c>
      <c r="C33" s="26" t="s">
        <v>170</v>
      </c>
      <c r="D33" s="22"/>
      <c r="E33" s="54">
        <v>1</v>
      </c>
      <c r="F33" s="23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25">
        <v>7</v>
      </c>
      <c r="C34" s="26" t="s">
        <v>171</v>
      </c>
      <c r="D34" s="22"/>
      <c r="E34" s="54">
        <v>1</v>
      </c>
      <c r="F34" s="23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5">
        <v>8</v>
      </c>
      <c r="C35" s="26" t="s">
        <v>172</v>
      </c>
      <c r="D35" s="22"/>
      <c r="E35" s="54"/>
      <c r="F35" s="23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thickBot="1" x14ac:dyDescent="0.35">
      <c r="A36" s="1"/>
      <c r="B36" s="117" t="s">
        <v>19</v>
      </c>
      <c r="C36" s="118"/>
      <c r="D36" s="115"/>
      <c r="E36" s="118"/>
      <c r="F36" s="116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5">
        <v>1</v>
      </c>
      <c r="C37" s="26" t="s">
        <v>161</v>
      </c>
      <c r="D37" s="22"/>
      <c r="E37" s="54">
        <v>1</v>
      </c>
      <c r="F37" s="23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thickBot="1" x14ac:dyDescent="0.35">
      <c r="A38" s="1"/>
      <c r="B38" s="117" t="s">
        <v>43</v>
      </c>
      <c r="C38" s="118"/>
      <c r="D38" s="115"/>
      <c r="E38" s="118"/>
      <c r="F38" s="116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13" t="s">
        <v>44</v>
      </c>
      <c r="C39" s="12"/>
      <c r="D39" s="12"/>
      <c r="E39" s="15">
        <v>0</v>
      </c>
      <c r="F39" s="12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thickBot="1" x14ac:dyDescent="0.35">
      <c r="A40" s="1"/>
      <c r="B40" s="114" t="s">
        <v>52</v>
      </c>
      <c r="C40" s="115"/>
      <c r="D40" s="115"/>
      <c r="E40" s="115"/>
      <c r="F40" s="116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9"/>
      <c r="B41" s="29">
        <v>1</v>
      </c>
      <c r="C41" s="30" t="s">
        <v>164</v>
      </c>
      <c r="D41" s="31"/>
      <c r="E41" s="56"/>
      <c r="F41" s="56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thickBot="1" x14ac:dyDescent="0.35">
      <c r="A42" s="1"/>
      <c r="B42" s="114" t="s">
        <v>20</v>
      </c>
      <c r="C42" s="115"/>
      <c r="D42" s="115"/>
      <c r="E42" s="115"/>
      <c r="F42" s="116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1"/>
      <c r="B43" s="25">
        <v>1</v>
      </c>
      <c r="C43" s="26" t="s">
        <v>164</v>
      </c>
      <c r="D43" s="27"/>
      <c r="E43" s="54"/>
      <c r="F43" s="54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24"/>
      <c r="C44" s="24"/>
      <c r="D44" s="24"/>
      <c r="E44" s="24"/>
      <c r="F44" s="24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57.75" customHeight="1" thickBot="1" x14ac:dyDescent="0.35">
      <c r="A46" s="1"/>
      <c r="B46" s="16" t="s">
        <v>54</v>
      </c>
      <c r="C46" s="16" t="s">
        <v>50</v>
      </c>
      <c r="D46" s="16" t="s">
        <v>55</v>
      </c>
      <c r="E46" s="17" t="s">
        <v>56</v>
      </c>
      <c r="F46" s="18" t="s">
        <v>21</v>
      </c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1"/>
      <c r="B47" s="11">
        <v>1</v>
      </c>
      <c r="C47" s="26" t="s">
        <v>173</v>
      </c>
      <c r="D47" s="54">
        <v>6000</v>
      </c>
      <c r="E47" s="54"/>
      <c r="F47" s="54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4.9000000000000004" customHeight="1" thickBot="1" x14ac:dyDescent="0.35">
      <c r="A48" s="1"/>
      <c r="B48" s="1"/>
      <c r="C48" s="1"/>
      <c r="D48" s="57"/>
      <c r="E48" s="57"/>
      <c r="F48" s="57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thickTop="1" x14ac:dyDescent="0.3">
      <c r="A49" s="1"/>
      <c r="B49" s="10"/>
      <c r="C49" s="4" t="s">
        <v>22</v>
      </c>
      <c r="D49" s="58">
        <f>SUM(D47:D48)</f>
        <v>6000</v>
      </c>
      <c r="E49" s="58">
        <f>SUM(E47:E48)</f>
        <v>0</v>
      </c>
      <c r="F49" s="58">
        <f>SUM(F47:F48)</f>
        <v>0</v>
      </c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</sheetData>
  <sheetProtection formatColumns="0" formatRows="0" sort="0" autoFilter="0"/>
  <mergeCells count="12">
    <mergeCell ref="B42:F42"/>
    <mergeCell ref="B38:F38"/>
    <mergeCell ref="B12:F12"/>
    <mergeCell ref="B13:F13"/>
    <mergeCell ref="B14:F14"/>
    <mergeCell ref="B15:F15"/>
    <mergeCell ref="B18:F18"/>
    <mergeCell ref="B20:F20"/>
    <mergeCell ref="B27:F27"/>
    <mergeCell ref="B22:F22"/>
    <mergeCell ref="B36:F36"/>
    <mergeCell ref="B40:F40"/>
  </mergeCells>
  <dataValidations count="1">
    <dataValidation type="decimal" operator="greaterThanOrEqual" allowBlank="1" showInputMessage="1" showErrorMessage="1" sqref="E26 E37 E39 E21:F21 E41:F41 E43:F43 D47:F47 E28:E30 E31:E35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45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20</xdr:row>
                    <xdr:rowOff>19050</xdr:rowOff>
                  </from>
                  <to>
                    <xdr:col>1</xdr:col>
                    <xdr:colOff>733425</xdr:colOff>
                    <xdr:row>20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20</xdr:row>
                    <xdr:rowOff>19050</xdr:rowOff>
                  </from>
                  <to>
                    <xdr:col>1</xdr:col>
                    <xdr:colOff>1504950</xdr:colOff>
                    <xdr:row>20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27</xdr:row>
                    <xdr:rowOff>19050</xdr:rowOff>
                  </from>
                  <to>
                    <xdr:col>1</xdr:col>
                    <xdr:colOff>733425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27</xdr:row>
                    <xdr:rowOff>19050</xdr:rowOff>
                  </from>
                  <to>
                    <xdr:col>1</xdr:col>
                    <xdr:colOff>1504950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36</xdr:row>
                    <xdr:rowOff>19050</xdr:rowOff>
                  </from>
                  <to>
                    <xdr:col>1</xdr:col>
                    <xdr:colOff>733425</xdr:colOff>
                    <xdr:row>36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36</xdr:row>
                    <xdr:rowOff>19050</xdr:rowOff>
                  </from>
                  <to>
                    <xdr:col>1</xdr:col>
                    <xdr:colOff>1504950</xdr:colOff>
                    <xdr:row>36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40</xdr:row>
                    <xdr:rowOff>19050</xdr:rowOff>
                  </from>
                  <to>
                    <xdr:col>1</xdr:col>
                    <xdr:colOff>733425</xdr:colOff>
                    <xdr:row>40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40</xdr:row>
                    <xdr:rowOff>19050</xdr:rowOff>
                  </from>
                  <to>
                    <xdr:col>1</xdr:col>
                    <xdr:colOff>1504950</xdr:colOff>
                    <xdr:row>40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42</xdr:row>
                    <xdr:rowOff>19050</xdr:rowOff>
                  </from>
                  <to>
                    <xdr:col>1</xdr:col>
                    <xdr:colOff>733425</xdr:colOff>
                    <xdr:row>42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42</xdr:row>
                    <xdr:rowOff>19050</xdr:rowOff>
                  </from>
                  <to>
                    <xdr:col>1</xdr:col>
                    <xdr:colOff>1504950</xdr:colOff>
                    <xdr:row>42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46</xdr:row>
                    <xdr:rowOff>19050</xdr:rowOff>
                  </from>
                  <to>
                    <xdr:col>1</xdr:col>
                    <xdr:colOff>733425</xdr:colOff>
                    <xdr:row>46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46</xdr:row>
                    <xdr:rowOff>19050</xdr:rowOff>
                  </from>
                  <to>
                    <xdr:col>1</xdr:col>
                    <xdr:colOff>1504950</xdr:colOff>
                    <xdr:row>46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C25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C24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0"/>
  <sheetViews>
    <sheetView tabSelected="1" topLeftCell="C1" workbookViewId="0">
      <selection activeCell="C14" sqref="C14:J19"/>
    </sheetView>
  </sheetViews>
  <sheetFormatPr defaultColWidth="14.42578125" defaultRowHeight="15" customHeight="1" outlineLevelRow="1" x14ac:dyDescent="0.25"/>
  <cols>
    <col min="1" max="1" width="4.140625" style="34" customWidth="1"/>
    <col min="2" max="2" width="23.5703125" style="34" customWidth="1"/>
    <col min="3" max="3" width="33.42578125" style="34" customWidth="1"/>
    <col min="4" max="7" width="18.140625" style="34" customWidth="1"/>
    <col min="8" max="8" width="14.140625" style="34" customWidth="1"/>
    <col min="9" max="9" width="13.5703125" style="34" customWidth="1"/>
    <col min="10" max="10" width="9.85546875" style="34" bestFit="1" customWidth="1"/>
    <col min="11" max="19" width="8.7109375" style="34" customWidth="1"/>
    <col min="20" max="16384" width="14.42578125" style="34"/>
  </cols>
  <sheetData>
    <row r="1" spans="1:20" ht="12.75" customHeight="1" x14ac:dyDescent="0.25">
      <c r="A1" s="32"/>
      <c r="B1" s="33"/>
      <c r="C1" s="33"/>
      <c r="D1" s="33"/>
      <c r="E1" s="33"/>
      <c r="F1" s="33"/>
      <c r="G1" s="33"/>
      <c r="H1" s="33"/>
      <c r="I1" s="33"/>
      <c r="J1" s="33"/>
      <c r="K1" s="33"/>
      <c r="L1" s="33"/>
      <c r="M1" s="33"/>
      <c r="N1" s="33"/>
      <c r="O1" s="33"/>
      <c r="P1" s="33"/>
      <c r="Q1" s="33"/>
      <c r="R1" s="33"/>
      <c r="S1" s="33"/>
    </row>
    <row r="2" spans="1:20" ht="12.75" customHeight="1" x14ac:dyDescent="0.3">
      <c r="A2" s="32"/>
      <c r="B2" s="35" t="s">
        <v>61</v>
      </c>
      <c r="C2" s="36"/>
      <c r="D2" s="59" t="str">
        <f>'1.1 Case data_general'!D2</f>
        <v>HIV/AIDS</v>
      </c>
      <c r="E2" s="37"/>
      <c r="F2" s="37"/>
      <c r="G2" s="37"/>
      <c r="H2" s="33"/>
      <c r="I2" s="33"/>
      <c r="J2" s="33"/>
      <c r="K2" s="33"/>
      <c r="L2" s="33"/>
      <c r="M2" s="33"/>
      <c r="N2" s="33"/>
      <c r="O2" s="33"/>
      <c r="P2" s="33"/>
      <c r="Q2" s="33"/>
      <c r="R2" s="33"/>
      <c r="S2" s="33"/>
    </row>
    <row r="3" spans="1:20" ht="12.75" customHeight="1" collapsed="1" x14ac:dyDescent="0.3">
      <c r="A3" s="32"/>
      <c r="B3" s="38"/>
      <c r="C3" s="33"/>
      <c r="D3" s="33"/>
      <c r="E3" s="33"/>
      <c r="F3" s="33"/>
      <c r="G3" s="33"/>
      <c r="H3" s="33"/>
      <c r="I3" s="33"/>
      <c r="J3" s="33"/>
      <c r="K3" s="33"/>
      <c r="L3" s="33"/>
      <c r="M3" s="33"/>
      <c r="N3" s="33"/>
      <c r="O3" s="33"/>
      <c r="P3" s="33"/>
      <c r="Q3" s="33"/>
      <c r="R3" s="33"/>
      <c r="S3" s="33"/>
    </row>
    <row r="4" spans="1:20" ht="12.75" hidden="1" customHeight="1" outlineLevel="1" x14ac:dyDescent="0.3">
      <c r="A4" s="32"/>
      <c r="B4" s="38" t="s">
        <v>66</v>
      </c>
      <c r="C4" s="33">
        <v>9</v>
      </c>
      <c r="D4" s="33"/>
      <c r="E4" s="33"/>
      <c r="F4" s="33"/>
      <c r="G4" s="33"/>
      <c r="H4" s="33"/>
      <c r="I4" s="33"/>
      <c r="J4" s="33"/>
      <c r="K4" s="33"/>
      <c r="L4" s="33"/>
      <c r="M4" s="33"/>
      <c r="N4" s="33"/>
      <c r="O4" s="33"/>
      <c r="P4" s="33"/>
      <c r="Q4" s="33"/>
      <c r="R4" s="33"/>
      <c r="S4" s="33"/>
    </row>
    <row r="5" spans="1:20" ht="12.75" customHeight="1" x14ac:dyDescent="0.3">
      <c r="A5" s="32"/>
      <c r="B5" s="44" t="s">
        <v>0</v>
      </c>
      <c r="C5" s="45"/>
      <c r="D5" s="45"/>
      <c r="E5" s="45"/>
      <c r="F5" s="45"/>
      <c r="G5" s="45"/>
      <c r="H5" s="45"/>
      <c r="I5" s="45"/>
      <c r="J5" s="46"/>
      <c r="K5" s="33"/>
      <c r="L5" s="33"/>
      <c r="M5" s="33"/>
      <c r="N5" s="33"/>
      <c r="O5" s="33"/>
      <c r="P5" s="33"/>
      <c r="Q5" s="33"/>
      <c r="R5" s="33"/>
      <c r="S5" s="33"/>
    </row>
    <row r="6" spans="1:20" ht="12.75" customHeight="1" x14ac:dyDescent="0.3">
      <c r="A6" s="32"/>
      <c r="B6" s="47" t="s">
        <v>1</v>
      </c>
      <c r="C6" s="48"/>
      <c r="D6" s="48"/>
      <c r="E6" s="48"/>
      <c r="F6" s="48"/>
      <c r="G6" s="48"/>
      <c r="H6" s="48"/>
      <c r="I6" s="48"/>
      <c r="J6" s="49"/>
      <c r="K6" s="33"/>
      <c r="L6" s="33"/>
      <c r="M6" s="33"/>
      <c r="N6" s="33"/>
      <c r="O6" s="33"/>
      <c r="P6" s="33"/>
      <c r="Q6" s="33"/>
      <c r="R6" s="33"/>
      <c r="S6" s="33"/>
    </row>
    <row r="7" spans="1:20" ht="12.75" customHeight="1" x14ac:dyDescent="0.3">
      <c r="A7" s="32"/>
      <c r="B7" s="50" t="s">
        <v>62</v>
      </c>
      <c r="C7" s="48"/>
      <c r="D7" s="48"/>
      <c r="E7" s="48"/>
      <c r="F7" s="48"/>
      <c r="G7" s="48"/>
      <c r="H7" s="48"/>
      <c r="I7" s="48"/>
      <c r="J7" s="49"/>
      <c r="K7" s="33"/>
      <c r="L7" s="33"/>
      <c r="M7" s="33"/>
      <c r="N7" s="33"/>
      <c r="O7" s="33"/>
      <c r="P7" s="33"/>
      <c r="Q7" s="33"/>
      <c r="R7" s="33"/>
      <c r="S7" s="33"/>
    </row>
    <row r="8" spans="1:20" ht="30.4" customHeight="1" x14ac:dyDescent="0.3">
      <c r="A8" s="32"/>
      <c r="B8" s="129" t="s">
        <v>63</v>
      </c>
      <c r="C8" s="130"/>
      <c r="D8" s="130"/>
      <c r="E8" s="130"/>
      <c r="F8" s="130"/>
      <c r="G8" s="130"/>
      <c r="H8" s="130"/>
      <c r="I8" s="130"/>
      <c r="J8" s="131"/>
      <c r="K8" s="33"/>
      <c r="L8" s="33"/>
      <c r="M8" s="33"/>
      <c r="N8" s="33"/>
      <c r="O8" s="33"/>
      <c r="P8" s="33"/>
      <c r="Q8" s="33"/>
      <c r="R8" s="33"/>
      <c r="S8" s="33"/>
    </row>
    <row r="9" spans="1:20" ht="12.75" customHeight="1" x14ac:dyDescent="0.25">
      <c r="A9" s="33"/>
      <c r="B9" s="33"/>
      <c r="C9" s="33"/>
      <c r="D9" s="33"/>
      <c r="E9" s="33"/>
      <c r="F9" s="33"/>
      <c r="G9" s="33"/>
      <c r="H9" s="33"/>
      <c r="I9" s="33"/>
      <c r="J9" s="33"/>
      <c r="K9" s="33"/>
      <c r="L9" s="33"/>
      <c r="M9" s="33"/>
      <c r="N9" s="33"/>
      <c r="O9" s="33"/>
      <c r="P9" s="33"/>
      <c r="Q9" s="33"/>
      <c r="R9" s="33"/>
      <c r="S9" s="33"/>
    </row>
    <row r="10" spans="1:20" ht="42.75" customHeight="1" x14ac:dyDescent="0.25">
      <c r="B10" s="51" t="s">
        <v>5</v>
      </c>
      <c r="C10" s="53" t="s">
        <v>7</v>
      </c>
      <c r="D10" s="53" t="s">
        <v>64</v>
      </c>
      <c r="E10" s="53" t="s">
        <v>9</v>
      </c>
      <c r="F10" s="53" t="s">
        <v>3</v>
      </c>
      <c r="G10" s="53" t="s">
        <v>10</v>
      </c>
      <c r="H10" s="53" t="s">
        <v>65</v>
      </c>
      <c r="I10" s="53" t="s">
        <v>11</v>
      </c>
      <c r="J10" s="53" t="s">
        <v>16</v>
      </c>
      <c r="K10" s="33"/>
      <c r="L10" s="33"/>
      <c r="M10" s="33"/>
      <c r="N10" s="33"/>
      <c r="O10" s="33"/>
      <c r="P10" s="33"/>
      <c r="Q10" s="33"/>
      <c r="R10" s="33"/>
      <c r="S10" s="33"/>
      <c r="T10" s="33"/>
    </row>
    <row r="11" spans="1:20" ht="12.75" customHeight="1" x14ac:dyDescent="0.3">
      <c r="B11" s="41">
        <v>1</v>
      </c>
      <c r="C11" s="26" t="s">
        <v>185</v>
      </c>
      <c r="D11" s="26" t="s">
        <v>174</v>
      </c>
      <c r="E11" s="26"/>
      <c r="F11" s="54">
        <v>1</v>
      </c>
      <c r="G11" s="54">
        <v>90</v>
      </c>
      <c r="H11" s="54">
        <v>90</v>
      </c>
      <c r="I11" s="54">
        <v>3.73</v>
      </c>
      <c r="J11" s="54">
        <f t="shared" ref="J11:J15" si="0">H11*I11</f>
        <v>335.7</v>
      </c>
      <c r="K11" s="33"/>
      <c r="L11" s="33"/>
      <c r="M11" s="33"/>
      <c r="N11" s="33"/>
      <c r="O11" s="33"/>
      <c r="P11" s="33"/>
      <c r="Q11" s="33"/>
      <c r="R11" s="33"/>
      <c r="S11" s="33"/>
      <c r="T11" s="33"/>
    </row>
    <row r="12" spans="1:20" ht="12.75" customHeight="1" x14ac:dyDescent="0.3">
      <c r="B12" s="41">
        <v>2</v>
      </c>
      <c r="C12" s="26" t="s">
        <v>182</v>
      </c>
      <c r="D12" s="26" t="s">
        <v>174</v>
      </c>
      <c r="E12" s="26" t="s">
        <v>183</v>
      </c>
      <c r="F12" s="54">
        <v>2</v>
      </c>
      <c r="G12" s="54">
        <v>90</v>
      </c>
      <c r="H12" s="54">
        <v>180</v>
      </c>
      <c r="I12" s="54">
        <v>3.99</v>
      </c>
      <c r="J12" s="54">
        <f t="shared" si="0"/>
        <v>718.2</v>
      </c>
      <c r="K12" s="33"/>
      <c r="L12" s="33"/>
      <c r="M12" s="33"/>
      <c r="N12" s="33"/>
      <c r="O12" s="33"/>
      <c r="P12" s="33"/>
      <c r="Q12" s="33"/>
      <c r="R12" s="33"/>
      <c r="S12" s="33"/>
      <c r="T12" s="33"/>
    </row>
    <row r="13" spans="1:20" ht="12.75" customHeight="1" x14ac:dyDescent="0.3">
      <c r="B13" s="41">
        <v>3</v>
      </c>
      <c r="C13" s="26" t="s">
        <v>181</v>
      </c>
      <c r="D13" s="26" t="s">
        <v>174</v>
      </c>
      <c r="E13" s="26" t="s">
        <v>184</v>
      </c>
      <c r="F13" s="54">
        <v>1</v>
      </c>
      <c r="G13" s="54">
        <v>90</v>
      </c>
      <c r="H13" s="54">
        <v>90</v>
      </c>
      <c r="I13" s="54">
        <v>4.95</v>
      </c>
      <c r="J13" s="54">
        <f t="shared" si="0"/>
        <v>445.5</v>
      </c>
      <c r="K13" s="33"/>
      <c r="L13" s="33"/>
      <c r="M13" s="33"/>
      <c r="N13" s="33"/>
      <c r="O13" s="33"/>
      <c r="P13" s="33"/>
      <c r="Q13" s="33"/>
      <c r="R13" s="33"/>
      <c r="S13" s="33"/>
      <c r="T13" s="33"/>
    </row>
    <row r="14" spans="1:20" ht="12.75" customHeight="1" x14ac:dyDescent="0.3">
      <c r="B14" s="41">
        <v>4</v>
      </c>
      <c r="C14" s="26"/>
      <c r="D14" s="26"/>
      <c r="E14" s="26"/>
      <c r="F14" s="54"/>
      <c r="G14" s="54"/>
      <c r="H14" s="54"/>
      <c r="I14" s="54"/>
      <c r="J14" s="54"/>
      <c r="K14" s="33"/>
      <c r="L14" s="33"/>
      <c r="M14" s="33"/>
      <c r="N14" s="33"/>
      <c r="O14" s="33"/>
      <c r="P14" s="33"/>
      <c r="Q14" s="33"/>
      <c r="R14" s="33"/>
      <c r="S14" s="33"/>
      <c r="T14" s="33"/>
    </row>
    <row r="15" spans="1:20" ht="12.75" customHeight="1" x14ac:dyDescent="0.3">
      <c r="B15" s="41">
        <v>5</v>
      </c>
      <c r="C15" s="26"/>
      <c r="D15" s="26"/>
      <c r="E15" s="26"/>
      <c r="F15" s="54"/>
      <c r="G15" s="54"/>
      <c r="H15" s="54"/>
      <c r="I15" s="54"/>
      <c r="J15" s="54"/>
      <c r="K15" s="33"/>
      <c r="L15" s="33"/>
      <c r="M15" s="33"/>
      <c r="N15" s="33"/>
      <c r="O15" s="33"/>
      <c r="P15" s="33"/>
      <c r="Q15" s="33"/>
      <c r="R15" s="33"/>
      <c r="S15" s="33"/>
      <c r="T15" s="33"/>
    </row>
    <row r="16" spans="1:20" ht="12.75" customHeight="1" x14ac:dyDescent="0.3">
      <c r="B16" s="41">
        <v>6</v>
      </c>
      <c r="C16" s="26"/>
      <c r="D16" s="26"/>
      <c r="E16" s="26"/>
      <c r="F16" s="54"/>
      <c r="G16" s="54"/>
      <c r="H16" s="54"/>
      <c r="I16" s="54"/>
      <c r="J16" s="54"/>
      <c r="K16" s="33"/>
      <c r="L16" s="33"/>
      <c r="M16" s="33"/>
      <c r="N16" s="33"/>
      <c r="O16" s="33"/>
      <c r="P16" s="33"/>
      <c r="Q16" s="33"/>
      <c r="R16" s="33"/>
      <c r="S16" s="33"/>
      <c r="T16" s="33"/>
    </row>
    <row r="17" spans="1:20" ht="12.75" customHeight="1" x14ac:dyDescent="0.3">
      <c r="B17" s="41">
        <v>7</v>
      </c>
      <c r="C17" s="26"/>
      <c r="D17" s="26"/>
      <c r="E17" s="26"/>
      <c r="F17" s="54"/>
      <c r="G17" s="54"/>
      <c r="H17" s="54"/>
      <c r="I17" s="54"/>
      <c r="J17" s="54"/>
      <c r="K17" s="33"/>
      <c r="L17" s="33"/>
      <c r="M17" s="33"/>
      <c r="N17" s="33"/>
      <c r="O17" s="33"/>
      <c r="P17" s="33"/>
      <c r="Q17" s="33"/>
      <c r="R17" s="33"/>
      <c r="S17" s="33"/>
      <c r="T17" s="33"/>
    </row>
    <row r="18" spans="1:20" ht="12.75" customHeight="1" x14ac:dyDescent="0.3">
      <c r="B18" s="41">
        <v>8</v>
      </c>
      <c r="C18" s="26"/>
      <c r="D18" s="26"/>
      <c r="E18" s="26"/>
      <c r="F18" s="54"/>
      <c r="G18" s="54"/>
      <c r="H18" s="54"/>
      <c r="I18" s="54"/>
      <c r="J18" s="54"/>
      <c r="K18" s="33"/>
      <c r="L18" s="33"/>
      <c r="M18" s="33"/>
      <c r="N18" s="33"/>
      <c r="O18" s="33"/>
      <c r="P18" s="33"/>
      <c r="Q18" s="33"/>
      <c r="R18" s="33"/>
      <c r="S18" s="33"/>
      <c r="T18" s="33"/>
    </row>
    <row r="19" spans="1:20" ht="12.75" customHeight="1" x14ac:dyDescent="0.3">
      <c r="B19" s="41">
        <v>9</v>
      </c>
      <c r="C19" s="26"/>
      <c r="D19" s="26"/>
      <c r="E19" s="26"/>
      <c r="F19" s="54"/>
      <c r="G19" s="54"/>
      <c r="H19" s="54"/>
      <c r="I19" s="54"/>
      <c r="J19" s="54"/>
      <c r="K19" s="33"/>
      <c r="L19" s="33"/>
      <c r="M19" s="33"/>
      <c r="N19" s="33"/>
      <c r="O19" s="33"/>
      <c r="P19" s="33"/>
      <c r="Q19" s="33"/>
      <c r="R19" s="33"/>
      <c r="S19" s="33"/>
      <c r="T19" s="33"/>
    </row>
    <row r="20" spans="1:20" ht="12.75" customHeight="1" x14ac:dyDescent="0.25">
      <c r="A20" s="32"/>
      <c r="B20" s="33"/>
      <c r="C20" s="33"/>
      <c r="D20" s="33"/>
      <c r="E20" s="33"/>
      <c r="F20" s="33"/>
      <c r="G20" s="33"/>
      <c r="H20" s="33"/>
      <c r="I20" s="33"/>
      <c r="J20" s="33"/>
      <c r="K20" s="33"/>
      <c r="L20" s="33"/>
      <c r="M20" s="33"/>
      <c r="N20" s="33"/>
      <c r="O20" s="33"/>
      <c r="P20" s="33"/>
      <c r="Q20" s="33"/>
      <c r="R20" s="33"/>
      <c r="S20" s="33"/>
    </row>
    <row r="21" spans="1:20" ht="15.75" customHeight="1" x14ac:dyDescent="0.25"/>
    <row r="22" spans="1:20" ht="15.75" customHeight="1" x14ac:dyDescent="0.25"/>
    <row r="23" spans="1:20" ht="15.75" customHeight="1" x14ac:dyDescent="0.25"/>
    <row r="24" spans="1:20" ht="15.75" customHeight="1" x14ac:dyDescent="0.25"/>
    <row r="25" spans="1:20" ht="15.75" customHeight="1" x14ac:dyDescent="0.25"/>
    <row r="26" spans="1:20" ht="15.75" customHeight="1" x14ac:dyDescent="0.25"/>
    <row r="27" spans="1:20" ht="15.75" customHeight="1" x14ac:dyDescent="0.25"/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</sheetData>
  <sheetProtection algorithmName="SHA-512" hashValue="LVONYsgvy5YptDvh4fmyGNOibRrkoiL9qAMuR87RdEAMA6U76fKJ47s9LWDMJv4scQD7/MdJd273FmgU1mNrrQ==" saltValue="1BQ9O1FsGjwAiaQ6kl7UpA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19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44"/>
  <sheetViews>
    <sheetView topLeftCell="A7" workbookViewId="0">
      <selection activeCell="A27" sqref="A27"/>
    </sheetView>
  </sheetViews>
  <sheetFormatPr defaultColWidth="14.42578125" defaultRowHeight="15" customHeight="1" outlineLevelRow="1" x14ac:dyDescent="0.25"/>
  <cols>
    <col min="1" max="1" width="2.42578125" style="34" customWidth="1"/>
    <col min="2" max="2" width="27" style="34" customWidth="1"/>
    <col min="3" max="3" width="40.5703125" style="34" bestFit="1" customWidth="1"/>
    <col min="4" max="4" width="22.42578125" style="34" bestFit="1" customWidth="1"/>
    <col min="5" max="5" width="10.42578125" style="34" customWidth="1"/>
    <col min="6" max="6" width="18.28515625" style="34" customWidth="1"/>
    <col min="7" max="7" width="26.85546875" style="34" bestFit="1" customWidth="1"/>
    <col min="8" max="16" width="8.7109375" style="34" customWidth="1"/>
    <col min="17" max="16384" width="14.42578125" style="34"/>
  </cols>
  <sheetData>
    <row r="1" spans="1:16" ht="14.25" customHeight="1" x14ac:dyDescent="0.3">
      <c r="A1" s="43"/>
      <c r="B1" s="38"/>
      <c r="C1" s="43"/>
      <c r="D1" s="38"/>
      <c r="F1" s="38"/>
      <c r="G1" s="38"/>
      <c r="H1" s="38"/>
      <c r="I1" s="38"/>
      <c r="J1" s="38"/>
      <c r="K1" s="38"/>
      <c r="L1" s="38"/>
      <c r="M1" s="38"/>
      <c r="N1" s="38"/>
      <c r="O1" s="38"/>
      <c r="P1" s="38"/>
    </row>
    <row r="2" spans="1:16" ht="14.25" customHeight="1" x14ac:dyDescent="0.3">
      <c r="A2" s="43"/>
      <c r="B2" s="35" t="s">
        <v>67</v>
      </c>
      <c r="C2" s="35"/>
      <c r="D2" s="61" t="str">
        <f>'1.1 Case data_general'!D2</f>
        <v>HIV/AIDS</v>
      </c>
      <c r="E2" s="38"/>
      <c r="F2" s="38"/>
      <c r="G2" s="38"/>
      <c r="H2" s="38"/>
      <c r="I2" s="38"/>
      <c r="J2" s="38"/>
      <c r="K2" s="38"/>
      <c r="L2" s="38"/>
      <c r="M2" s="38"/>
      <c r="N2" s="38"/>
      <c r="O2" s="38"/>
      <c r="P2" s="38"/>
    </row>
    <row r="3" spans="1:16" ht="14.25" customHeight="1" collapsed="1" x14ac:dyDescent="0.3">
      <c r="A3" s="43"/>
      <c r="B3" s="38"/>
      <c r="C3" s="43"/>
      <c r="D3" s="38"/>
      <c r="F3" s="38"/>
      <c r="G3" s="38"/>
      <c r="H3" s="38"/>
      <c r="I3" s="38"/>
      <c r="J3" s="38"/>
      <c r="K3" s="38"/>
      <c r="L3" s="38"/>
      <c r="M3" s="38"/>
      <c r="N3" s="38"/>
      <c r="O3" s="38"/>
      <c r="P3" s="38"/>
    </row>
    <row r="4" spans="1:16" ht="14.25" hidden="1" customHeight="1" outlineLevel="1" x14ac:dyDescent="0.3">
      <c r="A4" s="43"/>
      <c r="B4" s="38" t="s">
        <v>72</v>
      </c>
      <c r="C4" s="43">
        <v>1</v>
      </c>
      <c r="D4" s="38"/>
      <c r="F4" s="38"/>
      <c r="G4" s="38"/>
      <c r="H4" s="38"/>
      <c r="I4" s="38"/>
      <c r="J4" s="38"/>
      <c r="K4" s="38"/>
      <c r="L4" s="38"/>
      <c r="M4" s="38"/>
      <c r="N4" s="38"/>
      <c r="O4" s="38"/>
      <c r="P4" s="38"/>
    </row>
    <row r="5" spans="1:16" ht="14.25" hidden="1" customHeight="1" outlineLevel="1" x14ac:dyDescent="0.3">
      <c r="A5" s="43"/>
      <c r="B5" s="38" t="s">
        <v>74</v>
      </c>
      <c r="C5" s="43">
        <v>1</v>
      </c>
      <c r="D5" s="38"/>
      <c r="F5" s="38"/>
      <c r="G5" s="38"/>
      <c r="H5" s="38"/>
      <c r="I5" s="38"/>
      <c r="J5" s="38"/>
      <c r="K5" s="38"/>
      <c r="L5" s="38"/>
      <c r="M5" s="38"/>
      <c r="N5" s="38"/>
      <c r="O5" s="38"/>
      <c r="P5" s="38"/>
    </row>
    <row r="6" spans="1:16" ht="14.25" hidden="1" customHeight="1" outlineLevel="1" x14ac:dyDescent="0.3">
      <c r="A6" s="43"/>
      <c r="B6" s="38" t="s">
        <v>73</v>
      </c>
      <c r="C6" s="43">
        <v>1</v>
      </c>
      <c r="D6" s="38"/>
      <c r="F6" s="38"/>
      <c r="G6" s="38"/>
      <c r="H6" s="38"/>
      <c r="I6" s="38"/>
      <c r="J6" s="38"/>
      <c r="K6" s="38"/>
      <c r="L6" s="38"/>
      <c r="M6" s="38"/>
      <c r="N6" s="38"/>
      <c r="O6" s="38"/>
      <c r="P6" s="38"/>
    </row>
    <row r="7" spans="1:16" ht="14.25" customHeight="1" x14ac:dyDescent="0.3">
      <c r="A7" s="43"/>
      <c r="B7" s="132" t="s">
        <v>23</v>
      </c>
      <c r="C7" s="133"/>
      <c r="D7" s="133"/>
      <c r="E7" s="133"/>
      <c r="F7" s="133"/>
      <c r="G7" s="134"/>
      <c r="H7" s="38"/>
      <c r="I7" s="38"/>
      <c r="J7" s="38"/>
      <c r="K7" s="38"/>
      <c r="L7" s="38"/>
      <c r="M7" s="38"/>
      <c r="N7" s="38"/>
      <c r="O7" s="38"/>
      <c r="P7" s="38"/>
    </row>
    <row r="8" spans="1:16" ht="14.25" customHeight="1" x14ac:dyDescent="0.3">
      <c r="A8" s="43"/>
      <c r="B8" s="138" t="s">
        <v>24</v>
      </c>
      <c r="C8" s="139"/>
      <c r="D8" s="139"/>
      <c r="E8" s="139"/>
      <c r="F8" s="139"/>
      <c r="G8" s="140"/>
      <c r="H8" s="38"/>
      <c r="I8" s="38"/>
      <c r="J8" s="38"/>
      <c r="K8" s="38"/>
      <c r="L8" s="38"/>
      <c r="M8" s="38"/>
      <c r="N8" s="38"/>
      <c r="O8" s="38"/>
      <c r="P8" s="38"/>
    </row>
    <row r="9" spans="1:16" ht="14.25" customHeight="1" x14ac:dyDescent="0.3">
      <c r="A9" s="43"/>
      <c r="B9" s="138" t="s">
        <v>68</v>
      </c>
      <c r="C9" s="139"/>
      <c r="D9" s="139"/>
      <c r="E9" s="139"/>
      <c r="F9" s="139"/>
      <c r="G9" s="140"/>
      <c r="H9" s="38"/>
      <c r="I9" s="38"/>
      <c r="J9" s="38"/>
      <c r="K9" s="38"/>
      <c r="L9" s="38"/>
      <c r="M9" s="38"/>
      <c r="N9" s="38"/>
      <c r="O9" s="38"/>
      <c r="P9" s="38"/>
    </row>
    <row r="10" spans="1:16" ht="14.25" customHeight="1" x14ac:dyDescent="0.3">
      <c r="A10" s="43"/>
      <c r="B10" s="138" t="s">
        <v>25</v>
      </c>
      <c r="C10" s="139"/>
      <c r="D10" s="139"/>
      <c r="E10" s="139"/>
      <c r="F10" s="139"/>
      <c r="G10" s="140"/>
      <c r="H10" s="38"/>
      <c r="I10" s="38"/>
      <c r="J10" s="38"/>
      <c r="K10" s="38"/>
      <c r="L10" s="38"/>
      <c r="M10" s="38"/>
      <c r="N10" s="38"/>
      <c r="O10" s="38"/>
      <c r="P10" s="38"/>
    </row>
    <row r="11" spans="1:16" ht="13.5" customHeight="1" x14ac:dyDescent="0.3">
      <c r="A11" s="62"/>
      <c r="B11" s="138" t="s">
        <v>26</v>
      </c>
      <c r="C11" s="139"/>
      <c r="D11" s="139"/>
      <c r="E11" s="139"/>
      <c r="F11" s="139"/>
      <c r="G11" s="140"/>
      <c r="H11" s="38"/>
      <c r="I11" s="38"/>
      <c r="J11" s="38"/>
      <c r="K11" s="38"/>
      <c r="L11" s="38"/>
      <c r="M11" s="38"/>
      <c r="N11" s="38"/>
      <c r="O11" s="38"/>
      <c r="P11" s="38"/>
    </row>
    <row r="12" spans="1:16" ht="14.25" customHeight="1" x14ac:dyDescent="0.3">
      <c r="A12" s="43"/>
      <c r="B12" s="141" t="s">
        <v>27</v>
      </c>
      <c r="C12" s="142"/>
      <c r="D12" s="142"/>
      <c r="E12" s="142"/>
      <c r="F12" s="142"/>
      <c r="G12" s="143"/>
      <c r="H12" s="38"/>
      <c r="I12" s="38"/>
      <c r="J12" s="38"/>
      <c r="K12" s="38"/>
      <c r="L12" s="38"/>
      <c r="M12" s="38"/>
      <c r="N12" s="38"/>
      <c r="O12" s="38"/>
      <c r="P12" s="38"/>
    </row>
    <row r="13" spans="1:16" ht="14.25" customHeight="1" x14ac:dyDescent="0.3">
      <c r="A13" s="43"/>
      <c r="B13" s="38"/>
      <c r="C13" s="43"/>
      <c r="D13" s="38"/>
      <c r="F13" s="38"/>
      <c r="G13" s="38"/>
      <c r="H13" s="38"/>
      <c r="I13" s="38"/>
      <c r="J13" s="38"/>
      <c r="K13" s="38"/>
      <c r="L13" s="38"/>
      <c r="M13" s="38"/>
      <c r="N13" s="38"/>
      <c r="O13" s="38"/>
      <c r="P13" s="38"/>
    </row>
    <row r="14" spans="1:16" ht="14.25" customHeight="1" x14ac:dyDescent="0.3">
      <c r="B14" s="63" t="s">
        <v>5</v>
      </c>
      <c r="C14" s="64" t="s">
        <v>70</v>
      </c>
      <c r="D14" s="65" t="s">
        <v>69</v>
      </c>
      <c r="E14" s="65" t="s">
        <v>28</v>
      </c>
      <c r="F14" s="65" t="s">
        <v>11</v>
      </c>
      <c r="G14" s="65" t="s">
        <v>16</v>
      </c>
      <c r="H14" s="66"/>
      <c r="I14" s="38"/>
      <c r="J14" s="38"/>
      <c r="K14" s="38"/>
      <c r="L14" s="38"/>
      <c r="M14" s="38"/>
      <c r="N14" s="38"/>
      <c r="O14" s="38"/>
      <c r="P14" s="38"/>
    </row>
    <row r="15" spans="1:16" ht="14.25" customHeight="1" x14ac:dyDescent="0.3">
      <c r="B15" s="135" t="s">
        <v>71</v>
      </c>
      <c r="C15" s="136"/>
      <c r="D15" s="136"/>
      <c r="E15" s="136"/>
      <c r="F15" s="136"/>
      <c r="G15" s="137"/>
      <c r="H15" s="38"/>
      <c r="I15" s="38"/>
      <c r="J15" s="38"/>
      <c r="K15" s="38"/>
      <c r="L15" s="38"/>
      <c r="M15" s="38"/>
      <c r="N15" s="38"/>
      <c r="O15" s="38"/>
      <c r="P15" s="38"/>
    </row>
    <row r="16" spans="1:16" ht="14.25" customHeight="1" x14ac:dyDescent="0.3">
      <c r="B16" s="67">
        <v>1</v>
      </c>
      <c r="C16" s="68" t="s">
        <v>164</v>
      </c>
      <c r="D16" s="69"/>
      <c r="E16" s="54"/>
      <c r="F16" s="54"/>
      <c r="G16" s="54"/>
      <c r="H16" s="38"/>
      <c r="I16" s="38"/>
      <c r="J16" s="38"/>
      <c r="K16" s="38"/>
      <c r="L16" s="38"/>
      <c r="M16" s="38"/>
      <c r="N16" s="38"/>
      <c r="O16" s="38"/>
      <c r="P16" s="38"/>
    </row>
    <row r="17" spans="1:16" ht="14.25" customHeight="1" x14ac:dyDescent="0.3">
      <c r="B17" s="135" t="s">
        <v>75</v>
      </c>
      <c r="C17" s="136"/>
      <c r="D17" s="136"/>
      <c r="E17" s="136"/>
      <c r="F17" s="136"/>
      <c r="G17" s="137"/>
      <c r="H17" s="38"/>
      <c r="I17" s="38"/>
      <c r="J17" s="38"/>
      <c r="K17" s="38"/>
      <c r="L17" s="38"/>
      <c r="M17" s="38"/>
      <c r="N17" s="38"/>
      <c r="O17" s="38"/>
      <c r="P17" s="38"/>
    </row>
    <row r="18" spans="1:16" ht="14.25" customHeight="1" x14ac:dyDescent="0.3">
      <c r="B18" s="67">
        <v>1</v>
      </c>
      <c r="C18" s="68" t="s">
        <v>164</v>
      </c>
      <c r="D18" s="69"/>
      <c r="E18" s="54"/>
      <c r="F18" s="54"/>
      <c r="G18" s="54"/>
      <c r="H18" s="38"/>
      <c r="I18" s="38"/>
      <c r="J18" s="38"/>
      <c r="K18" s="38"/>
      <c r="L18" s="38"/>
      <c r="M18" s="38"/>
      <c r="N18" s="38"/>
      <c r="O18" s="38"/>
      <c r="P18" s="38"/>
    </row>
    <row r="19" spans="1:16" ht="14.25" customHeight="1" x14ac:dyDescent="0.3">
      <c r="B19" s="135" t="s">
        <v>29</v>
      </c>
      <c r="C19" s="136"/>
      <c r="D19" s="136"/>
      <c r="E19" s="136"/>
      <c r="F19" s="136"/>
      <c r="G19" s="137"/>
      <c r="H19" s="38"/>
      <c r="I19" s="38"/>
      <c r="J19" s="38"/>
      <c r="K19" s="38"/>
      <c r="L19" s="38"/>
      <c r="M19" s="38"/>
      <c r="N19" s="38"/>
      <c r="O19" s="38"/>
      <c r="P19" s="38"/>
    </row>
    <row r="20" spans="1:16" ht="14.25" customHeight="1" x14ac:dyDescent="0.3">
      <c r="B20" s="67">
        <v>1</v>
      </c>
      <c r="C20" s="68" t="s">
        <v>164</v>
      </c>
      <c r="D20" s="69"/>
      <c r="E20" s="54"/>
      <c r="F20" s="54"/>
      <c r="G20" s="54"/>
      <c r="H20" s="38"/>
      <c r="I20" s="38"/>
      <c r="J20" s="38"/>
      <c r="K20" s="38"/>
      <c r="L20" s="38"/>
      <c r="M20" s="38"/>
      <c r="N20" s="38"/>
      <c r="O20" s="38"/>
      <c r="P20" s="38"/>
    </row>
    <row r="21" spans="1:16" ht="14.25" customHeight="1" x14ac:dyDescent="0.3">
      <c r="A21" s="43"/>
      <c r="B21" s="38"/>
      <c r="C21" s="43"/>
      <c r="D21" s="38"/>
      <c r="E21" s="38"/>
      <c r="F21" s="38"/>
      <c r="G21" s="38"/>
      <c r="H21" s="38"/>
      <c r="I21" s="38"/>
      <c r="J21" s="38"/>
      <c r="K21" s="38"/>
      <c r="L21" s="38"/>
      <c r="M21" s="38"/>
      <c r="N21" s="38"/>
      <c r="O21" s="38"/>
      <c r="P21" s="38"/>
    </row>
    <row r="22" spans="1:16" ht="14.25" customHeight="1" x14ac:dyDescent="0.3">
      <c r="A22" s="43"/>
      <c r="B22" s="38"/>
      <c r="C22" s="43"/>
      <c r="D22" s="38"/>
      <c r="F22" s="38"/>
      <c r="G22" s="38"/>
      <c r="H22" s="38"/>
      <c r="I22" s="38"/>
      <c r="J22" s="38"/>
      <c r="K22" s="38"/>
      <c r="L22" s="38"/>
      <c r="M22" s="38"/>
      <c r="N22" s="38"/>
      <c r="O22" s="38"/>
      <c r="P22" s="38"/>
    </row>
    <row r="23" spans="1:16" ht="15.75" customHeight="1" x14ac:dyDescent="0.25"/>
    <row r="24" spans="1:16" ht="15.75" customHeight="1" x14ac:dyDescent="0.25"/>
    <row r="25" spans="1:16" ht="15.75" customHeight="1" x14ac:dyDescent="0.25"/>
    <row r="26" spans="1:16" ht="15.75" customHeight="1" x14ac:dyDescent="0.25"/>
    <row r="27" spans="1:16" ht="15.75" customHeight="1" x14ac:dyDescent="0.25"/>
    <row r="28" spans="1:16" ht="15.75" customHeight="1" x14ac:dyDescent="0.25"/>
    <row r="29" spans="1:16" ht="15.75" customHeight="1" x14ac:dyDescent="0.25"/>
    <row r="30" spans="1:16" ht="15.75" customHeight="1" x14ac:dyDescent="0.25"/>
    <row r="31" spans="1:16" ht="15.75" customHeight="1" x14ac:dyDescent="0.25"/>
    <row r="32" spans="1:16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</sheetData>
  <sheetProtection algorithmName="SHA-512" hashValue="MSyQvLZRzkpB09TqhPZRwI9zZkyKM7hhYoN7I8LE5ePvvGPjdLQz4PXCXSmof3RIYFP0Sc3dthUAA6jvmeuFqw==" saltValue="7wRCGGcJv0Sk/1SbhLzuUQ==" spinCount="100000" sheet="1" objects="1" scenarios="1" formatColumns="0" formatRows="0" sort="0" autoFilter="0"/>
  <mergeCells count="9">
    <mergeCell ref="B7:G7"/>
    <mergeCell ref="B17:G17"/>
    <mergeCell ref="B19:G19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20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17</xdr:row>
                    <xdr:rowOff>28575</xdr:rowOff>
                  </from>
                  <to>
                    <xdr:col>1</xdr:col>
                    <xdr:colOff>762000</xdr:colOff>
                    <xdr:row>17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17</xdr:row>
                    <xdr:rowOff>28575</xdr:rowOff>
                  </from>
                  <to>
                    <xdr:col>1</xdr:col>
                    <xdr:colOff>1533525</xdr:colOff>
                    <xdr:row>17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19</xdr:row>
                    <xdr:rowOff>28575</xdr:rowOff>
                  </from>
                  <to>
                    <xdr:col>1</xdr:col>
                    <xdr:colOff>771525</xdr:colOff>
                    <xdr:row>19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19</xdr:row>
                    <xdr:rowOff>28575</xdr:rowOff>
                  </from>
                  <to>
                    <xdr:col>1</xdr:col>
                    <xdr:colOff>1543050</xdr:colOff>
                    <xdr:row>19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opLeftCell="A13" workbookViewId="0">
      <selection activeCell="A34" sqref="A34"/>
    </sheetView>
  </sheetViews>
  <sheetFormatPr defaultColWidth="14.42578125" defaultRowHeight="15" customHeight="1" outlineLevelRow="1" x14ac:dyDescent="0.3"/>
  <cols>
    <col min="1" max="1" width="2.85546875" style="39" customWidth="1"/>
    <col min="2" max="2" width="26" style="39" customWidth="1"/>
    <col min="3" max="3" width="26.42578125" style="39" customWidth="1"/>
    <col min="4" max="7" width="12.140625" style="39" customWidth="1"/>
    <col min="8" max="8" width="13.42578125" style="39" customWidth="1"/>
    <col min="9" max="14" width="12.140625" style="39" customWidth="1"/>
    <col min="15" max="15" width="1.140625" style="39" customWidth="1"/>
    <col min="16" max="16" width="12.140625" style="39" customWidth="1"/>
    <col min="17" max="26" width="8.7109375" style="39" customWidth="1"/>
    <col min="27" max="16384" width="14.42578125" style="39"/>
  </cols>
  <sheetData>
    <row r="1" spans="2:26" ht="12.75" customHeight="1" x14ac:dyDescent="0.3">
      <c r="B1" s="38"/>
      <c r="C1" s="38"/>
      <c r="D1" s="38"/>
      <c r="E1" s="38"/>
      <c r="F1" s="38"/>
      <c r="G1" s="38"/>
      <c r="H1" s="38"/>
      <c r="I1" s="38"/>
      <c r="J1" s="38"/>
      <c r="K1" s="38"/>
      <c r="L1" s="38"/>
      <c r="M1" s="38"/>
      <c r="N1" s="38"/>
      <c r="P1" s="38"/>
      <c r="Q1" s="38"/>
      <c r="R1" s="38"/>
      <c r="S1" s="38"/>
      <c r="T1" s="38"/>
      <c r="U1" s="38"/>
      <c r="V1" s="38"/>
      <c r="W1" s="38"/>
      <c r="X1" s="38"/>
      <c r="Y1" s="38"/>
      <c r="Z1" s="38"/>
    </row>
    <row r="2" spans="2:26" ht="12.75" customHeight="1" x14ac:dyDescent="0.3">
      <c r="B2" s="78" t="s">
        <v>76</v>
      </c>
      <c r="C2" s="78"/>
      <c r="D2" s="61" t="str">
        <f>'1.1 Case data_general'!D2</f>
        <v>HIV/AIDS</v>
      </c>
      <c r="E2" s="38"/>
      <c r="F2" s="38"/>
      <c r="G2" s="38"/>
      <c r="H2" s="38"/>
      <c r="I2" s="38"/>
      <c r="J2" s="38"/>
      <c r="K2" s="38"/>
      <c r="L2" s="38"/>
      <c r="M2" s="38"/>
      <c r="N2" s="38"/>
      <c r="P2" s="38"/>
      <c r="Q2" s="38"/>
      <c r="R2" s="38"/>
      <c r="S2" s="38"/>
      <c r="T2" s="38"/>
      <c r="U2" s="38"/>
      <c r="V2" s="38"/>
      <c r="W2" s="38"/>
      <c r="X2" s="38"/>
      <c r="Y2" s="38"/>
      <c r="Z2" s="38"/>
    </row>
    <row r="3" spans="2:26" ht="12.75" customHeight="1" collapsed="1" x14ac:dyDescent="0.3">
      <c r="B3" s="38"/>
      <c r="D3" s="38"/>
      <c r="E3" s="38"/>
      <c r="F3" s="38"/>
      <c r="G3" s="38"/>
      <c r="H3" s="38"/>
      <c r="I3" s="38"/>
      <c r="J3" s="38"/>
      <c r="K3" s="38"/>
      <c r="L3" s="38"/>
      <c r="M3" s="38"/>
      <c r="N3" s="38"/>
      <c r="P3" s="38"/>
      <c r="Q3" s="38"/>
      <c r="R3" s="38"/>
      <c r="S3" s="38"/>
      <c r="T3" s="38"/>
      <c r="U3" s="38"/>
      <c r="V3" s="38"/>
      <c r="W3" s="38"/>
      <c r="X3" s="38"/>
      <c r="Y3" s="38"/>
      <c r="Z3" s="38"/>
    </row>
    <row r="4" spans="2:26" ht="12.75" hidden="1" customHeight="1" outlineLevel="1" x14ac:dyDescent="0.3">
      <c r="B4" s="38" t="s">
        <v>80</v>
      </c>
      <c r="C4" s="38">
        <v>16</v>
      </c>
      <c r="D4" s="38"/>
      <c r="E4" s="38"/>
      <c r="F4" s="38"/>
      <c r="G4" s="38"/>
      <c r="H4" s="38"/>
      <c r="I4" s="38"/>
      <c r="J4" s="38"/>
      <c r="K4" s="38"/>
      <c r="L4" s="38"/>
      <c r="M4" s="38"/>
      <c r="N4" s="38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</row>
    <row r="5" spans="2:26" ht="12.75" customHeight="1" x14ac:dyDescent="0.3">
      <c r="B5" s="70" t="s">
        <v>78</v>
      </c>
      <c r="C5" s="75"/>
      <c r="D5" s="79"/>
      <c r="E5" s="79"/>
      <c r="F5" s="79"/>
      <c r="G5" s="79"/>
      <c r="H5" s="79"/>
      <c r="I5" s="79"/>
      <c r="J5" s="79"/>
      <c r="K5" s="79"/>
      <c r="L5" s="79"/>
      <c r="M5" s="79"/>
      <c r="N5" s="79"/>
      <c r="O5" s="79"/>
      <c r="P5" s="80"/>
      <c r="Q5" s="38"/>
      <c r="R5" s="38"/>
      <c r="S5" s="38"/>
      <c r="T5" s="38"/>
      <c r="U5" s="38"/>
      <c r="V5" s="38"/>
      <c r="W5" s="38"/>
      <c r="X5" s="38"/>
      <c r="Y5" s="38"/>
      <c r="Z5" s="38"/>
    </row>
    <row r="6" spans="2:26" ht="12.75" customHeight="1" x14ac:dyDescent="0.3">
      <c r="B6" s="47" t="s">
        <v>79</v>
      </c>
      <c r="C6" s="76"/>
      <c r="D6" s="71"/>
      <c r="E6" s="72"/>
      <c r="F6" s="72"/>
      <c r="G6" s="72"/>
      <c r="H6" s="72"/>
      <c r="I6" s="72"/>
      <c r="J6" s="72"/>
      <c r="K6" s="72"/>
      <c r="L6" s="72"/>
      <c r="M6" s="72"/>
      <c r="N6" s="72"/>
      <c r="O6" s="72"/>
      <c r="P6" s="73"/>
      <c r="Q6" s="38"/>
      <c r="R6" s="38"/>
      <c r="S6" s="38"/>
      <c r="T6" s="38"/>
      <c r="U6" s="38"/>
      <c r="V6" s="38"/>
      <c r="W6" s="38"/>
      <c r="X6" s="38"/>
      <c r="Y6" s="38"/>
      <c r="Z6" s="38"/>
    </row>
    <row r="7" spans="2:26" ht="12.75" customHeight="1" x14ac:dyDescent="0.3">
      <c r="B7" s="47" t="s">
        <v>30</v>
      </c>
      <c r="C7" s="76"/>
      <c r="D7" s="72"/>
      <c r="E7" s="72"/>
      <c r="F7" s="72"/>
      <c r="G7" s="72"/>
      <c r="H7" s="72"/>
      <c r="I7" s="72"/>
      <c r="J7" s="72"/>
      <c r="K7" s="72"/>
      <c r="L7" s="72"/>
      <c r="M7" s="72"/>
      <c r="N7" s="72"/>
      <c r="O7" s="72"/>
      <c r="P7" s="73"/>
      <c r="Q7" s="38"/>
      <c r="R7" s="38"/>
      <c r="S7" s="38"/>
      <c r="T7" s="38"/>
      <c r="U7" s="38"/>
      <c r="V7" s="38"/>
      <c r="W7" s="38"/>
      <c r="X7" s="38"/>
      <c r="Y7" s="38"/>
      <c r="Z7" s="38"/>
    </row>
    <row r="8" spans="2:26" ht="12.75" customHeight="1" x14ac:dyDescent="0.3">
      <c r="B8" s="47" t="s">
        <v>31</v>
      </c>
      <c r="C8" s="76"/>
      <c r="D8" s="72"/>
      <c r="E8" s="72"/>
      <c r="F8" s="72"/>
      <c r="G8" s="72"/>
      <c r="H8" s="72"/>
      <c r="I8" s="72"/>
      <c r="J8" s="72"/>
      <c r="K8" s="72"/>
      <c r="L8" s="72"/>
      <c r="M8" s="72"/>
      <c r="N8" s="72"/>
      <c r="O8" s="72"/>
      <c r="P8" s="73"/>
      <c r="Q8" s="38"/>
      <c r="R8" s="38"/>
      <c r="S8" s="38"/>
      <c r="T8" s="38"/>
      <c r="U8" s="38"/>
      <c r="V8" s="38"/>
      <c r="W8" s="38"/>
      <c r="X8" s="38"/>
      <c r="Y8" s="38"/>
      <c r="Z8" s="38"/>
    </row>
    <row r="9" spans="2:26" ht="12.75" customHeight="1" x14ac:dyDescent="0.3">
      <c r="B9" s="74" t="s">
        <v>77</v>
      </c>
      <c r="C9" s="77"/>
      <c r="D9" s="81"/>
      <c r="E9" s="81"/>
      <c r="F9" s="81"/>
      <c r="G9" s="81"/>
      <c r="H9" s="81"/>
      <c r="I9" s="81"/>
      <c r="J9" s="81"/>
      <c r="K9" s="81"/>
      <c r="L9" s="81"/>
      <c r="M9" s="81"/>
      <c r="N9" s="81"/>
      <c r="O9" s="81"/>
      <c r="P9" s="82"/>
      <c r="Q9" s="38"/>
      <c r="R9" s="38"/>
      <c r="S9" s="38"/>
      <c r="T9" s="38"/>
      <c r="U9" s="38"/>
      <c r="V9" s="38"/>
      <c r="W9" s="38"/>
      <c r="X9" s="38"/>
      <c r="Y9" s="38"/>
      <c r="Z9" s="38"/>
    </row>
    <row r="10" spans="2:26" ht="12.75" customHeight="1" x14ac:dyDescent="0.3">
      <c r="B10" s="38"/>
      <c r="D10" s="38"/>
      <c r="E10" s="38"/>
      <c r="F10" s="38"/>
      <c r="G10" s="38"/>
      <c r="H10" s="38"/>
      <c r="I10" s="38"/>
      <c r="J10" s="38"/>
      <c r="K10" s="38"/>
      <c r="L10" s="38"/>
      <c r="M10" s="38"/>
      <c r="N10" s="38"/>
      <c r="P10" s="38"/>
      <c r="Q10" s="38"/>
      <c r="R10" s="38"/>
      <c r="S10" s="38"/>
      <c r="T10" s="38"/>
      <c r="U10" s="38"/>
      <c r="V10" s="38"/>
      <c r="W10" s="38"/>
      <c r="X10" s="38"/>
      <c r="Y10" s="38"/>
      <c r="Z10" s="38"/>
    </row>
    <row r="11" spans="2:26" ht="23.25" customHeight="1" x14ac:dyDescent="0.3">
      <c r="B11" s="86"/>
      <c r="C11" s="86"/>
      <c r="D11" s="144" t="s">
        <v>32</v>
      </c>
      <c r="E11" s="145"/>
      <c r="F11" s="145"/>
      <c r="G11" s="145"/>
      <c r="H11" s="145"/>
      <c r="I11" s="145"/>
      <c r="J11" s="145"/>
      <c r="K11" s="145"/>
      <c r="L11" s="145"/>
      <c r="M11" s="145"/>
      <c r="N11" s="146"/>
      <c r="P11" s="147" t="s">
        <v>33</v>
      </c>
      <c r="Q11" s="38"/>
      <c r="R11" s="38"/>
      <c r="S11" s="38"/>
      <c r="T11" s="38"/>
      <c r="U11" s="38"/>
      <c r="V11" s="38"/>
      <c r="W11" s="38"/>
      <c r="X11" s="38"/>
      <c r="Y11" s="38"/>
      <c r="Z11" s="38"/>
    </row>
    <row r="12" spans="2:26" ht="53.25" customHeight="1" x14ac:dyDescent="0.3">
      <c r="B12" s="52" t="s">
        <v>5</v>
      </c>
      <c r="C12" s="52" t="s">
        <v>34</v>
      </c>
      <c r="D12" s="52" t="s">
        <v>35</v>
      </c>
      <c r="E12" s="52" t="s">
        <v>36</v>
      </c>
      <c r="F12" s="52" t="s">
        <v>37</v>
      </c>
      <c r="G12" s="52" t="s">
        <v>38</v>
      </c>
      <c r="H12" s="84" t="s">
        <v>39</v>
      </c>
      <c r="I12" s="85" t="s">
        <v>83</v>
      </c>
      <c r="J12" s="85" t="s">
        <v>81</v>
      </c>
      <c r="K12" s="84" t="s">
        <v>40</v>
      </c>
      <c r="L12" s="84" t="s">
        <v>82</v>
      </c>
      <c r="M12" s="89" t="s">
        <v>175</v>
      </c>
      <c r="N12" s="89" t="s">
        <v>176</v>
      </c>
      <c r="P12" s="148"/>
      <c r="Q12" s="83"/>
      <c r="R12" s="83"/>
      <c r="S12" s="83"/>
      <c r="T12" s="83"/>
      <c r="U12" s="83"/>
      <c r="V12" s="83"/>
      <c r="W12" s="83"/>
      <c r="X12" s="83"/>
      <c r="Y12" s="83"/>
      <c r="Z12" s="83"/>
    </row>
    <row r="13" spans="2:26" ht="12.75" customHeight="1" x14ac:dyDescent="0.3">
      <c r="B13" s="42">
        <v>1</v>
      </c>
      <c r="C13" s="68" t="s">
        <v>177</v>
      </c>
      <c r="D13" s="54"/>
      <c r="E13" s="54"/>
      <c r="F13" s="54"/>
      <c r="G13" s="54">
        <v>30</v>
      </c>
      <c r="H13" s="54"/>
      <c r="I13" s="54"/>
      <c r="J13" s="54"/>
      <c r="K13" s="54"/>
      <c r="L13" s="54"/>
      <c r="M13" s="54"/>
      <c r="N13" s="54"/>
      <c r="P13" s="87">
        <f>SUM(D13:N13)</f>
        <v>30</v>
      </c>
      <c r="Q13" s="38"/>
      <c r="R13" s="38"/>
      <c r="S13" s="38"/>
      <c r="T13" s="38"/>
      <c r="U13" s="38"/>
      <c r="V13" s="38"/>
      <c r="W13" s="38"/>
      <c r="X13" s="38"/>
      <c r="Y13" s="38"/>
      <c r="Z13" s="38"/>
    </row>
    <row r="14" spans="2:26" ht="12.75" customHeight="1" x14ac:dyDescent="0.3">
      <c r="B14" s="42">
        <v>2</v>
      </c>
      <c r="C14" s="68" t="s">
        <v>178</v>
      </c>
      <c r="D14" s="54"/>
      <c r="E14" s="54"/>
      <c r="F14" s="54"/>
      <c r="G14" s="54"/>
      <c r="H14" s="54"/>
      <c r="I14" s="54"/>
      <c r="J14" s="54"/>
      <c r="K14" s="54"/>
      <c r="L14" s="54"/>
      <c r="M14" s="54">
        <v>40</v>
      </c>
      <c r="N14" s="54"/>
      <c r="P14" s="87">
        <f t="shared" ref="P14:P22" si="0">SUM(D14:N14)</f>
        <v>40</v>
      </c>
      <c r="Q14" s="38"/>
      <c r="R14" s="38"/>
      <c r="S14" s="38"/>
      <c r="T14" s="38"/>
      <c r="U14" s="38"/>
      <c r="V14" s="38"/>
      <c r="W14" s="38"/>
      <c r="X14" s="38"/>
      <c r="Y14" s="38"/>
      <c r="Z14" s="38"/>
    </row>
    <row r="15" spans="2:26" ht="12.75" customHeight="1" x14ac:dyDescent="0.3">
      <c r="B15" s="42">
        <v>3</v>
      </c>
      <c r="C15" s="68" t="s">
        <v>179</v>
      </c>
      <c r="D15" s="54">
        <v>20</v>
      </c>
      <c r="E15" s="54">
        <v>20</v>
      </c>
      <c r="F15" s="54">
        <v>20</v>
      </c>
      <c r="G15" s="54"/>
      <c r="H15" s="54"/>
      <c r="I15" s="54"/>
      <c r="J15" s="54"/>
      <c r="K15" s="54"/>
      <c r="L15" s="54"/>
      <c r="M15" s="54"/>
      <c r="N15" s="54"/>
      <c r="P15" s="87">
        <f t="shared" si="0"/>
        <v>60</v>
      </c>
      <c r="Q15" s="38"/>
      <c r="R15" s="38"/>
      <c r="S15" s="38"/>
      <c r="T15" s="38"/>
      <c r="U15" s="38"/>
      <c r="V15" s="38"/>
      <c r="W15" s="38"/>
      <c r="X15" s="38"/>
      <c r="Y15" s="38"/>
      <c r="Z15" s="38"/>
    </row>
    <row r="16" spans="2:26" ht="12.75" customHeight="1" x14ac:dyDescent="0.3">
      <c r="B16" s="42">
        <v>4</v>
      </c>
      <c r="C16" s="68" t="s">
        <v>180</v>
      </c>
      <c r="D16" s="54"/>
      <c r="E16" s="54"/>
      <c r="F16" s="54"/>
      <c r="G16" s="54"/>
      <c r="H16" s="54"/>
      <c r="I16" s="54"/>
      <c r="J16" s="54"/>
      <c r="K16" s="54"/>
      <c r="L16" s="54"/>
      <c r="M16" s="54"/>
      <c r="N16" s="54">
        <v>10</v>
      </c>
      <c r="P16" s="87">
        <f t="shared" si="0"/>
        <v>10</v>
      </c>
      <c r="Q16" s="38"/>
      <c r="R16" s="38"/>
      <c r="S16" s="38"/>
      <c r="T16" s="38"/>
      <c r="U16" s="38"/>
      <c r="V16" s="38"/>
      <c r="W16" s="38"/>
      <c r="X16" s="38"/>
      <c r="Y16" s="38"/>
      <c r="Z16" s="38"/>
    </row>
    <row r="17" spans="2:26" ht="12.75" customHeight="1" x14ac:dyDescent="0.3">
      <c r="B17" s="42">
        <v>5</v>
      </c>
      <c r="C17" s="68"/>
      <c r="D17" s="54"/>
      <c r="E17" s="54"/>
      <c r="F17" s="54"/>
      <c r="G17" s="54"/>
      <c r="H17" s="54"/>
      <c r="I17" s="54"/>
      <c r="J17" s="54"/>
      <c r="K17" s="54"/>
      <c r="L17" s="54"/>
      <c r="M17" s="54"/>
      <c r="N17" s="54"/>
      <c r="P17" s="87">
        <f t="shared" si="0"/>
        <v>0</v>
      </c>
      <c r="Q17" s="38"/>
      <c r="R17" s="38"/>
      <c r="S17" s="38"/>
      <c r="T17" s="38"/>
      <c r="U17" s="38"/>
      <c r="V17" s="38"/>
      <c r="W17" s="38"/>
      <c r="X17" s="38"/>
      <c r="Y17" s="38"/>
      <c r="Z17" s="38"/>
    </row>
    <row r="18" spans="2:26" ht="12.75" customHeight="1" x14ac:dyDescent="0.3">
      <c r="B18" s="42">
        <v>6</v>
      </c>
      <c r="C18" s="68"/>
      <c r="D18" s="54"/>
      <c r="E18" s="54"/>
      <c r="F18" s="54"/>
      <c r="G18" s="54"/>
      <c r="H18" s="54"/>
      <c r="I18" s="54"/>
      <c r="J18" s="54"/>
      <c r="K18" s="54"/>
      <c r="L18" s="54"/>
      <c r="M18" s="54"/>
      <c r="N18" s="54"/>
      <c r="P18" s="87">
        <f t="shared" si="0"/>
        <v>0</v>
      </c>
      <c r="Q18" s="38"/>
      <c r="R18" s="38"/>
      <c r="S18" s="38"/>
      <c r="T18" s="38"/>
      <c r="U18" s="38"/>
      <c r="V18" s="38"/>
      <c r="W18" s="38"/>
      <c r="X18" s="38"/>
      <c r="Y18" s="38"/>
      <c r="Z18" s="38"/>
    </row>
    <row r="19" spans="2:26" ht="12.75" customHeight="1" x14ac:dyDescent="0.3">
      <c r="B19" s="42">
        <v>7</v>
      </c>
      <c r="C19" s="68"/>
      <c r="D19" s="54"/>
      <c r="E19" s="54"/>
      <c r="F19" s="54"/>
      <c r="G19" s="54"/>
      <c r="H19" s="54"/>
      <c r="I19" s="54"/>
      <c r="J19" s="54"/>
      <c r="K19" s="54"/>
      <c r="L19" s="54"/>
      <c r="M19" s="54"/>
      <c r="N19" s="54"/>
      <c r="P19" s="87">
        <f t="shared" si="0"/>
        <v>0</v>
      </c>
      <c r="Q19" s="38"/>
      <c r="R19" s="38"/>
      <c r="S19" s="38"/>
      <c r="T19" s="38"/>
      <c r="U19" s="38"/>
      <c r="V19" s="38"/>
      <c r="W19" s="38"/>
      <c r="X19" s="38"/>
      <c r="Y19" s="38"/>
      <c r="Z19" s="38"/>
    </row>
    <row r="20" spans="2:26" ht="12.75" customHeight="1" x14ac:dyDescent="0.3">
      <c r="B20" s="42">
        <v>8</v>
      </c>
      <c r="C20" s="68"/>
      <c r="D20" s="54"/>
      <c r="E20" s="54"/>
      <c r="F20" s="54"/>
      <c r="G20" s="54"/>
      <c r="H20" s="54"/>
      <c r="I20" s="54"/>
      <c r="J20" s="54"/>
      <c r="K20" s="54"/>
      <c r="L20" s="54"/>
      <c r="M20" s="54"/>
      <c r="N20" s="54"/>
      <c r="P20" s="87">
        <f t="shared" si="0"/>
        <v>0</v>
      </c>
      <c r="Q20" s="38"/>
      <c r="R20" s="38"/>
      <c r="S20" s="38"/>
      <c r="T20" s="38"/>
      <c r="U20" s="38"/>
      <c r="V20" s="38"/>
      <c r="W20" s="38"/>
      <c r="X20" s="38"/>
      <c r="Y20" s="38"/>
      <c r="Z20" s="38"/>
    </row>
    <row r="21" spans="2:26" ht="12.75" customHeight="1" x14ac:dyDescent="0.3">
      <c r="B21" s="42">
        <v>9</v>
      </c>
      <c r="C21" s="68"/>
      <c r="D21" s="54"/>
      <c r="E21" s="54"/>
      <c r="F21" s="54"/>
      <c r="G21" s="54"/>
      <c r="H21" s="54"/>
      <c r="I21" s="54"/>
      <c r="J21" s="54"/>
      <c r="K21" s="54"/>
      <c r="L21" s="54"/>
      <c r="M21" s="54"/>
      <c r="N21" s="54"/>
      <c r="P21" s="87">
        <f t="shared" si="0"/>
        <v>0</v>
      </c>
      <c r="Q21" s="38"/>
      <c r="R21" s="38"/>
      <c r="S21" s="38"/>
      <c r="T21" s="38"/>
      <c r="U21" s="38"/>
      <c r="V21" s="38"/>
      <c r="W21" s="38"/>
      <c r="X21" s="38"/>
      <c r="Y21" s="38"/>
      <c r="Z21" s="38"/>
    </row>
    <row r="22" spans="2:26" ht="12.75" customHeight="1" x14ac:dyDescent="0.3">
      <c r="B22" s="42">
        <v>10</v>
      </c>
      <c r="C22" s="68"/>
      <c r="D22" s="54"/>
      <c r="E22" s="54"/>
      <c r="F22" s="54"/>
      <c r="G22" s="54"/>
      <c r="H22" s="54"/>
      <c r="I22" s="54"/>
      <c r="J22" s="54"/>
      <c r="K22" s="54"/>
      <c r="L22" s="54"/>
      <c r="M22" s="54"/>
      <c r="N22" s="54"/>
      <c r="P22" s="87">
        <f t="shared" si="0"/>
        <v>0</v>
      </c>
      <c r="Q22" s="38"/>
      <c r="R22" s="38"/>
      <c r="S22" s="38"/>
      <c r="T22" s="38"/>
      <c r="U22" s="38"/>
      <c r="V22" s="38"/>
      <c r="W22" s="38"/>
      <c r="X22" s="38"/>
      <c r="Y22" s="38"/>
      <c r="Z22" s="38"/>
    </row>
    <row r="23" spans="2:26" ht="12.75" customHeight="1" x14ac:dyDescent="0.3">
      <c r="B23" s="42">
        <v>11</v>
      </c>
      <c r="C23" s="68"/>
      <c r="D23" s="54"/>
      <c r="E23" s="54"/>
      <c r="F23" s="54"/>
      <c r="G23" s="54"/>
      <c r="H23" s="54"/>
      <c r="I23" s="54"/>
      <c r="J23" s="54"/>
      <c r="K23" s="54"/>
      <c r="L23" s="54"/>
      <c r="M23" s="54"/>
      <c r="N23" s="54"/>
      <c r="P23" s="87"/>
      <c r="Q23" s="38"/>
      <c r="R23" s="38"/>
      <c r="S23" s="38"/>
      <c r="T23" s="38"/>
      <c r="U23" s="38"/>
      <c r="V23" s="38"/>
      <c r="W23" s="38"/>
      <c r="X23" s="38"/>
      <c r="Y23" s="38"/>
      <c r="Z23" s="38"/>
    </row>
    <row r="24" spans="2:26" ht="12.75" customHeight="1" x14ac:dyDescent="0.3">
      <c r="B24" s="42">
        <v>12</v>
      </c>
      <c r="C24" s="68"/>
      <c r="D24" s="54"/>
      <c r="E24" s="54"/>
      <c r="F24" s="54"/>
      <c r="G24" s="54"/>
      <c r="H24" s="54"/>
      <c r="I24" s="54"/>
      <c r="J24" s="54"/>
      <c r="K24" s="54"/>
      <c r="L24" s="54"/>
      <c r="M24" s="54"/>
      <c r="N24" s="54"/>
      <c r="P24" s="87"/>
      <c r="Q24" s="38"/>
      <c r="R24" s="38"/>
      <c r="S24" s="38"/>
      <c r="T24" s="38"/>
      <c r="U24" s="38"/>
      <c r="V24" s="38"/>
      <c r="W24" s="38"/>
      <c r="X24" s="38"/>
      <c r="Y24" s="38"/>
      <c r="Z24" s="38"/>
    </row>
    <row r="25" spans="2:26" ht="12.75" customHeight="1" x14ac:dyDescent="0.3">
      <c r="B25" s="42">
        <v>13</v>
      </c>
      <c r="C25" s="68"/>
      <c r="D25" s="54"/>
      <c r="E25" s="54"/>
      <c r="F25" s="54"/>
      <c r="G25" s="54"/>
      <c r="H25" s="54"/>
      <c r="I25" s="54"/>
      <c r="J25" s="54"/>
      <c r="K25" s="54"/>
      <c r="L25" s="54"/>
      <c r="M25" s="54"/>
      <c r="N25" s="54"/>
      <c r="P25" s="87"/>
      <c r="Q25" s="38"/>
      <c r="R25" s="38"/>
      <c r="S25" s="38"/>
      <c r="T25" s="38"/>
      <c r="U25" s="38"/>
      <c r="V25" s="38"/>
      <c r="W25" s="38"/>
      <c r="X25" s="38"/>
      <c r="Y25" s="38"/>
      <c r="Z25" s="38"/>
    </row>
    <row r="26" spans="2:26" ht="12.75" customHeight="1" x14ac:dyDescent="0.3">
      <c r="B26" s="42">
        <v>14</v>
      </c>
      <c r="C26" s="68"/>
      <c r="D26" s="54"/>
      <c r="E26" s="54"/>
      <c r="F26" s="54"/>
      <c r="G26" s="54"/>
      <c r="H26" s="54"/>
      <c r="I26" s="54"/>
      <c r="J26" s="54"/>
      <c r="K26" s="54"/>
      <c r="L26" s="54"/>
      <c r="M26" s="54"/>
      <c r="N26" s="54"/>
      <c r="P26" s="87"/>
      <c r="Q26" s="38"/>
      <c r="R26" s="38"/>
      <c r="S26" s="38"/>
      <c r="T26" s="38"/>
      <c r="U26" s="38"/>
      <c r="V26" s="38"/>
      <c r="W26" s="38"/>
      <c r="X26" s="38"/>
      <c r="Y26" s="38"/>
      <c r="Z26" s="38"/>
    </row>
    <row r="27" spans="2:26" ht="12.75" customHeight="1" x14ac:dyDescent="0.3">
      <c r="B27" s="42">
        <v>15</v>
      </c>
      <c r="C27" s="68"/>
      <c r="D27" s="54"/>
      <c r="E27" s="54"/>
      <c r="F27" s="54"/>
      <c r="G27" s="54"/>
      <c r="H27" s="54"/>
      <c r="I27" s="54"/>
      <c r="J27" s="54"/>
      <c r="K27" s="54"/>
      <c r="L27" s="54"/>
      <c r="M27" s="54"/>
      <c r="N27" s="54"/>
      <c r="P27" s="87"/>
      <c r="Q27" s="38"/>
      <c r="R27" s="38"/>
      <c r="S27" s="38"/>
      <c r="T27" s="38"/>
      <c r="U27" s="38"/>
      <c r="V27" s="38"/>
      <c r="W27" s="38"/>
      <c r="X27" s="38"/>
      <c r="Y27" s="38"/>
      <c r="Z27" s="38"/>
    </row>
    <row r="28" spans="2:26" ht="12.75" customHeight="1" x14ac:dyDescent="0.3">
      <c r="B28" s="42">
        <v>16</v>
      </c>
      <c r="C28" s="68"/>
      <c r="D28" s="54"/>
      <c r="E28" s="54"/>
      <c r="F28" s="54"/>
      <c r="G28" s="54"/>
      <c r="H28" s="54"/>
      <c r="I28" s="54"/>
      <c r="J28" s="54"/>
      <c r="K28" s="54"/>
      <c r="L28" s="54"/>
      <c r="M28" s="54"/>
      <c r="N28" s="54"/>
      <c r="P28" s="87"/>
      <c r="Q28" s="38"/>
      <c r="R28" s="38"/>
      <c r="S28" s="38"/>
      <c r="T28" s="38"/>
      <c r="U28" s="38"/>
      <c r="V28" s="38"/>
      <c r="W28" s="38"/>
      <c r="X28" s="38"/>
      <c r="Y28" s="38"/>
      <c r="Z28" s="38"/>
    </row>
    <row r="29" spans="2:26" ht="4.3499999999999996" customHeight="1" x14ac:dyDescent="0.3">
      <c r="B29" s="38"/>
      <c r="C29" s="38"/>
      <c r="D29" s="38"/>
      <c r="E29" s="38"/>
      <c r="F29" s="38"/>
      <c r="G29" s="38"/>
      <c r="H29" s="38"/>
      <c r="I29" s="38"/>
      <c r="J29" s="38"/>
      <c r="K29" s="38"/>
      <c r="L29" s="38"/>
      <c r="M29" s="38"/>
      <c r="N29" s="38"/>
      <c r="P29" s="38"/>
      <c r="Q29" s="38"/>
      <c r="R29" s="38"/>
      <c r="S29" s="38"/>
      <c r="T29" s="38"/>
      <c r="U29" s="38"/>
      <c r="V29" s="38"/>
      <c r="W29" s="38"/>
      <c r="X29" s="38"/>
      <c r="Y29" s="38"/>
      <c r="Z29" s="38"/>
    </row>
    <row r="30" spans="2:26" ht="12.75" customHeight="1" x14ac:dyDescent="0.3">
      <c r="B30" s="42"/>
      <c r="C30" s="40" t="s">
        <v>41</v>
      </c>
      <c r="D30" s="87">
        <f t="shared" ref="D30:N30" si="1">SUM(D13:D22)</f>
        <v>20</v>
      </c>
      <c r="E30" s="87">
        <f t="shared" si="1"/>
        <v>20</v>
      </c>
      <c r="F30" s="87">
        <f t="shared" si="1"/>
        <v>20</v>
      </c>
      <c r="G30" s="87">
        <f t="shared" si="1"/>
        <v>30</v>
      </c>
      <c r="H30" s="87">
        <f t="shared" si="1"/>
        <v>0</v>
      </c>
      <c r="I30" s="87">
        <f t="shared" si="1"/>
        <v>0</v>
      </c>
      <c r="J30" s="87">
        <f t="shared" si="1"/>
        <v>0</v>
      </c>
      <c r="K30" s="87">
        <f t="shared" si="1"/>
        <v>0</v>
      </c>
      <c r="L30" s="87">
        <f t="shared" si="1"/>
        <v>0</v>
      </c>
      <c r="M30" s="87">
        <f t="shared" si="1"/>
        <v>40</v>
      </c>
      <c r="N30" s="87">
        <f t="shared" si="1"/>
        <v>10</v>
      </c>
      <c r="P30" s="88">
        <f>SUM(P13:P22)</f>
        <v>140</v>
      </c>
      <c r="Q30" s="38"/>
      <c r="R30" s="38"/>
      <c r="S30" s="38"/>
      <c r="T30" s="38"/>
      <c r="U30" s="38"/>
      <c r="V30" s="38"/>
      <c r="W30" s="38"/>
      <c r="X30" s="38"/>
      <c r="Y30" s="38"/>
      <c r="Z30" s="38"/>
    </row>
    <row r="31" spans="2:26" ht="12.75" customHeight="1" x14ac:dyDescent="0.3">
      <c r="B31" s="38"/>
      <c r="C31" s="38"/>
      <c r="D31" s="38"/>
      <c r="E31" s="38"/>
      <c r="F31" s="38"/>
      <c r="G31" s="38"/>
      <c r="H31" s="38"/>
      <c r="I31" s="38"/>
      <c r="J31" s="38"/>
      <c r="K31" s="38"/>
      <c r="L31" s="38"/>
      <c r="M31" s="38"/>
      <c r="N31" s="38"/>
      <c r="P31" s="38"/>
      <c r="Q31" s="38"/>
      <c r="R31" s="38"/>
      <c r="S31" s="38"/>
      <c r="T31" s="38"/>
      <c r="U31" s="38"/>
      <c r="V31" s="38"/>
      <c r="W31" s="38"/>
      <c r="X31" s="38"/>
      <c r="Y31" s="38"/>
      <c r="Z31" s="38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4" customWidth="1"/>
    <col min="2" max="2" width="36.140625" style="94" customWidth="1"/>
    <col min="3" max="3" width="59.5703125" style="94" bestFit="1" customWidth="1"/>
    <col min="4" max="4" width="13.5703125" style="94" customWidth="1"/>
    <col min="5" max="5" width="14.7109375" style="94" bestFit="1" customWidth="1"/>
    <col min="6" max="6" width="27.85546875" style="94" bestFit="1" customWidth="1"/>
    <col min="7" max="7" width="38.42578125" style="94" bestFit="1" customWidth="1"/>
    <col min="8" max="9" width="14.7109375" style="94" customWidth="1"/>
    <col min="10" max="16384" width="9.140625" style="94"/>
  </cols>
  <sheetData>
    <row r="1" spans="1:9" ht="15.75" thickBot="1" x14ac:dyDescent="0.3">
      <c r="E1" s="92"/>
      <c r="F1" s="110" t="str">
        <f>'1.1 Case data_general'!$C$23</f>
        <v>Level II and III</v>
      </c>
      <c r="G1" s="111" t="str">
        <f>'1.1 Case data_general'!$C$24</f>
        <v>Clinical/Medical services</v>
      </c>
      <c r="H1" s="92"/>
      <c r="I1" s="92"/>
    </row>
    <row r="2" spans="1:9" ht="16.5" thickTop="1" thickBot="1" x14ac:dyDescent="0.3">
      <c r="A2" s="92" t="s">
        <v>153</v>
      </c>
      <c r="B2" s="92" t="s">
        <v>154</v>
      </c>
      <c r="C2" s="92" t="s">
        <v>155</v>
      </c>
      <c r="E2" s="92" t="s">
        <v>153</v>
      </c>
      <c r="F2" s="92" t="s">
        <v>154</v>
      </c>
      <c r="G2" s="92" t="s">
        <v>155</v>
      </c>
      <c r="H2"/>
      <c r="I2"/>
    </row>
    <row r="3" spans="1:9" ht="16.5" x14ac:dyDescent="0.3">
      <c r="A3" s="92" t="s">
        <v>159</v>
      </c>
      <c r="B3" s="93" t="s">
        <v>84</v>
      </c>
      <c r="C3" s="91" t="s">
        <v>85</v>
      </c>
      <c r="E3" s="99" t="str">
        <f t="array" ref="E3">IFERROR(INDEX($A$3:$A$117,MATCH(0,COUNTIF(E$2:$E2,$A$3:$A$117), 0)),"")</f>
        <v>Level I</v>
      </c>
      <c r="F3" s="100" t="str">
        <f t="array" ref="F3">IFERROR(INDEX($B$3:$B$117,MATCH(0,IF(($A$3:$A$117=$F$1),COUNTIF($F$2:F2,$B$3:$B$117), 1), 0)),"")</f>
        <v>Administrative/Overhead services</v>
      </c>
      <c r="G3" s="101" t="str">
        <f t="array" ref="G3">IFERROR(INDEX($C$3:$C$117,MATCH(0,IF(($A$3:$A$117=$F$1)*($B$3:$B$117=$G$1),COUNTIF($G$2:G2,$C$3:$C$117), 1), 0)),"")</f>
        <v>Outpatient Department</v>
      </c>
      <c r="H3"/>
      <c r="I3"/>
    </row>
    <row r="4" spans="1:9" ht="16.5" x14ac:dyDescent="0.3">
      <c r="A4" s="92" t="s">
        <v>159</v>
      </c>
      <c r="B4" s="93" t="s">
        <v>84</v>
      </c>
      <c r="C4" s="91" t="s">
        <v>86</v>
      </c>
      <c r="E4" s="102" t="str">
        <f t="array" ref="E4">IFERROR(INDEX($A$3:$A$117,MATCH(0,COUNTIF(E$2:$E3,$A$3:$A$117), 0)),"")</f>
        <v>Level II and III</v>
      </c>
      <c r="F4" s="103" t="str">
        <f t="array" ref="F4">IFERROR(INDEX($B$3:$B$117,MATCH(0,IF(($A$3:$A$117=$F$1),COUNTIF($F$2:F3,$B$3:$B$117), 1), 0)),"")</f>
        <v>Ancillary services/Support services</v>
      </c>
      <c r="G4" s="104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2" t="s">
        <v>159</v>
      </c>
      <c r="B5" s="93" t="s">
        <v>84</v>
      </c>
      <c r="C5" s="91" t="s">
        <v>87</v>
      </c>
      <c r="E5" s="105"/>
      <c r="F5" s="103" t="str">
        <f t="array" ref="F5">IFERROR(INDEX($B$3:$B$117,MATCH(0,IF(($A$3:$A$117=$F$1),COUNTIF($F$2:F4,$B$3:$B$117), 1), 0)),"")</f>
        <v>Clinical/Medical services</v>
      </c>
      <c r="G5" s="104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2" t="s">
        <v>159</v>
      </c>
      <c r="B6" s="93" t="s">
        <v>84</v>
      </c>
      <c r="C6" s="91" t="s">
        <v>88</v>
      </c>
      <c r="E6" s="102"/>
      <c r="F6" s="103" t="str">
        <f t="array" ref="F6">IFERROR(INDEX($B$3:$B$117,MATCH(0,IF(($A$3:$A$117=$F$1),COUNTIF($F$2:F5,$B$3:$B$117), 1), 0)),"")</f>
        <v/>
      </c>
      <c r="G6" s="104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2" t="s">
        <v>159</v>
      </c>
      <c r="B7" s="93" t="s">
        <v>84</v>
      </c>
      <c r="C7" s="91" t="s">
        <v>89</v>
      </c>
      <c r="E7" s="102" t="str">
        <f>IFERROR(INDEX($B$3:$B$117,MATCH(0,IF($A$3:$A$117=F$1,COUNTIF(F$1:F4,$B$3:$B$117),1),0)),"")</f>
        <v/>
      </c>
      <c r="F7" s="103" t="str">
        <f t="array" ref="F7">IFERROR(INDEX($B$3:$B$117,MATCH(0,IF(($A$3:$A$117=$F$1),COUNTIF($F$2:F6,$B$3:$B$117), 1), 0)),"")</f>
        <v/>
      </c>
      <c r="G7" s="104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2" t="s">
        <v>159</v>
      </c>
      <c r="B8" s="93" t="s">
        <v>84</v>
      </c>
      <c r="C8" s="91" t="s">
        <v>90</v>
      </c>
      <c r="E8" s="102"/>
      <c r="F8" s="103" t="str">
        <f t="array" ref="F8">IFERROR(INDEX($B$3:$B$117,MATCH(0,IF(($A$3:$A$117=$F$1),COUNTIF($F$2:F7,$B$3:$B$117), 1), 0)),"")</f>
        <v/>
      </c>
      <c r="G8" s="104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2" t="s">
        <v>159</v>
      </c>
      <c r="B9" s="93" t="s">
        <v>84</v>
      </c>
      <c r="C9" s="91" t="s">
        <v>91</v>
      </c>
      <c r="E9" s="102"/>
      <c r="F9" s="103" t="str">
        <f t="array" ref="F9">IFERROR(INDEX($B$3:$B$117,MATCH(0,IF(($A$3:$A$117=$F$1),COUNTIF($F$2:F8,$B$3:$B$117), 1), 0)),"")</f>
        <v/>
      </c>
      <c r="G9" s="104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2" t="s">
        <v>159</v>
      </c>
      <c r="B10" s="93" t="s">
        <v>84</v>
      </c>
      <c r="C10" s="91" t="s">
        <v>92</v>
      </c>
      <c r="E10" s="102"/>
      <c r="F10" s="103" t="str">
        <f t="array" ref="F10">IFERROR(INDEX($B$3:$B$117,MATCH(0,IF(($A$3:$A$117=$F$1),COUNTIF($F$2:F9,$B$3:$B$117), 1), 0)),"")</f>
        <v/>
      </c>
      <c r="G10" s="104" t="str">
        <f t="array" ref="G10">IFERROR(INDEX($C$3:$C$117,MATCH(0,IF(($A$3:$A$117=$F$1)*($B$3:$B$117=$G$1),COUNTIF($G$2:G9,$C$3:$C$117), 1), 0)),"")</f>
        <v>Diabetes MAP</v>
      </c>
      <c r="H10"/>
      <c r="I10"/>
    </row>
    <row r="11" spans="1:9" ht="16.5" x14ac:dyDescent="0.3">
      <c r="A11" s="92" t="s">
        <v>159</v>
      </c>
      <c r="B11" s="93" t="s">
        <v>84</v>
      </c>
      <c r="C11" s="91" t="s">
        <v>93</v>
      </c>
      <c r="E11" s="102"/>
      <c r="F11" s="103" t="str">
        <f t="array" ref="F11">IFERROR(INDEX($B$3:$B$117,MATCH(0,IF(($A$3:$A$117=$F$1),COUNTIF($F$2:F10,$B$3:$B$117), 1), 0)),"")</f>
        <v/>
      </c>
      <c r="G11" s="104" t="str">
        <f t="array" ref="G11">IFERROR(INDEX($C$3:$C$117,MATCH(0,IF(($A$3:$A$117=$F$1)*($B$3:$B$117=$G$1),COUNTIF($G$2:G10,$C$3:$C$117), 1), 0)),"")</f>
        <v>Hypertension MAP</v>
      </c>
      <c r="H11"/>
      <c r="I11"/>
    </row>
    <row r="12" spans="1:9" ht="16.5" x14ac:dyDescent="0.3">
      <c r="A12" s="92" t="s">
        <v>159</v>
      </c>
      <c r="B12" s="93" t="s">
        <v>84</v>
      </c>
      <c r="C12" s="91" t="s">
        <v>94</v>
      </c>
      <c r="E12" s="102"/>
      <c r="F12" s="103" t="str">
        <f t="array" ref="F12">IFERROR(INDEX($B$3:$B$117,MATCH(0,IF(($A$3:$A$117=$F$1),COUNTIF($F$2:F11,$B$3:$B$117), 1), 0)),"")</f>
        <v/>
      </c>
      <c r="G12" s="104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2" t="s">
        <v>159</v>
      </c>
      <c r="B13" s="93" t="s">
        <v>84</v>
      </c>
      <c r="C13" s="91" t="s">
        <v>95</v>
      </c>
      <c r="E13" s="102"/>
      <c r="F13" s="103" t="str">
        <f t="array" ref="F13">IFERROR(INDEX($B$3:$B$117,MATCH(0,IF(($A$3:$A$117=$F$1),COUNTIF($F$2:F12,$B$3:$B$117), 1), 0)),"")</f>
        <v/>
      </c>
      <c r="G13" s="104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2" t="s">
        <v>159</v>
      </c>
      <c r="B14" s="93" t="s">
        <v>84</v>
      </c>
      <c r="C14" s="91" t="s">
        <v>96</v>
      </c>
      <c r="E14" s="102"/>
      <c r="F14" s="103" t="str">
        <f t="array" ref="F14">IFERROR(INDEX($B$3:$B$117,MATCH(0,IF(($A$3:$A$117=$F$1),COUNTIF($F$2:F13,$B$3:$B$117), 1), 0)),"")</f>
        <v/>
      </c>
      <c r="G14" s="104" t="str">
        <f t="array" ref="G14">IFERROR(INDEX($C$3:$C$117,MATCH(0,IF(($A$3:$A$117=$F$1)*($B$3:$B$117=$G$1),COUNTIF($G$2:G13,$C$3:$C$117), 1), 0)),"")</f>
        <v>Nuclear Medicine</v>
      </c>
      <c r="H14"/>
      <c r="I14"/>
    </row>
    <row r="15" spans="1:9" ht="16.5" x14ac:dyDescent="0.3">
      <c r="A15" s="92" t="s">
        <v>159</v>
      </c>
      <c r="B15" s="93" t="s">
        <v>84</v>
      </c>
      <c r="C15" s="91" t="s">
        <v>97</v>
      </c>
      <c r="E15" s="102"/>
      <c r="F15" s="103" t="str">
        <f t="array" ref="F15">IFERROR(INDEX($B$3:$B$117,MATCH(0,IF(($A$3:$A$117=$F$1),COUNTIF($F$2:F14,$B$3:$B$117), 1), 0)),"")</f>
        <v/>
      </c>
      <c r="G15" s="104" t="str">
        <f t="array" ref="G15">IFERROR(INDEX($C$3:$C$117,MATCH(0,IF(($A$3:$A$117=$F$1)*($B$3:$B$117=$G$1),COUNTIF($G$2:G14,$C$3:$C$117), 1), 0)),"")</f>
        <v>Radiation Oncology Unit*</v>
      </c>
      <c r="H15"/>
      <c r="I15"/>
    </row>
    <row r="16" spans="1:9" ht="16.5" x14ac:dyDescent="0.3">
      <c r="A16" s="92" t="s">
        <v>159</v>
      </c>
      <c r="B16" s="93" t="s">
        <v>84</v>
      </c>
      <c r="C16" s="91" t="s">
        <v>98</v>
      </c>
      <c r="E16" s="102"/>
      <c r="F16" s="103" t="str">
        <f t="array" ref="F16">IFERROR(INDEX($B$3:$B$117,MATCH(0,IF(($A$3:$A$117=$F$1),COUNTIF($F$2:F15,$B$3:$B$117), 1), 0)),"")</f>
        <v/>
      </c>
      <c r="G16" s="104" t="str">
        <f t="array" ref="G16">IFERROR(INDEX($C$3:$C$117,MATCH(0,IF(($A$3:$A$117=$F$1)*($B$3:$B$117=$G$1),COUNTIF($G$2:G15,$C$3:$C$117), 1), 0)),"")</f>
        <v>Endoscopy Unit</v>
      </c>
      <c r="H16"/>
      <c r="I16"/>
    </row>
    <row r="17" spans="1:9" ht="16.5" x14ac:dyDescent="0.3">
      <c r="A17" s="92" t="s">
        <v>159</v>
      </c>
      <c r="B17" s="93" t="s">
        <v>84</v>
      </c>
      <c r="C17" s="91" t="s">
        <v>99</v>
      </c>
      <c r="E17" s="105"/>
      <c r="F17" s="103" t="str">
        <f t="array" ref="F17">IFERROR(INDEX($B$3:$B$117,MATCH(0,IF(($A$3:$A$117=$F$1),COUNTIF($F$2:F16,$B$3:$B$117), 1), 0)),"")</f>
        <v/>
      </c>
      <c r="G17" s="104" t="str">
        <f t="array" ref="G17">IFERROR(INDEX($C$3:$C$117,MATCH(0,IF(($A$3:$A$117=$F$1)*($B$3:$B$117=$G$1),COUNTIF($G$2:G16,$C$3:$C$117), 1), 0)),"")</f>
        <v>Dental</v>
      </c>
      <c r="H17"/>
      <c r="I17"/>
    </row>
    <row r="18" spans="1:9" ht="16.5" x14ac:dyDescent="0.3">
      <c r="A18" s="92" t="s">
        <v>159</v>
      </c>
      <c r="B18" s="93" t="s">
        <v>84</v>
      </c>
      <c r="C18" s="91" t="s">
        <v>100</v>
      </c>
      <c r="E18" s="105"/>
      <c r="F18" s="103" t="str">
        <f t="array" ref="F18">IFERROR(INDEX($B$3:$B$117,MATCH(0,IF(($A$3:$A$117=$F$1),COUNTIF($F$2:F17,$B$3:$B$117), 1), 0)),"")</f>
        <v/>
      </c>
      <c r="G18" s="104" t="str">
        <f t="array" ref="G18">IFERROR(INDEX($C$3:$C$117,MATCH(0,IF(($A$3:$A$117=$F$1)*($B$3:$B$117=$G$1),COUNTIF($G$2:G17,$C$3:$C$117), 1), 0)),"")</f>
        <v>Internal Medicine Ward</v>
      </c>
      <c r="H18"/>
      <c r="I18"/>
    </row>
    <row r="19" spans="1:9" ht="16.5" x14ac:dyDescent="0.3">
      <c r="A19" s="92" t="s">
        <v>159</v>
      </c>
      <c r="B19" s="93" t="s">
        <v>84</v>
      </c>
      <c r="C19" s="91" t="s">
        <v>101</v>
      </c>
      <c r="E19" s="105"/>
      <c r="F19" s="103" t="str">
        <f t="array" ref="F19">IFERROR(INDEX($B$3:$B$117,MATCH(0,IF(($A$3:$A$117=$F$1),COUNTIF($F$2:F18,$B$3:$B$117), 1), 0)),"")</f>
        <v/>
      </c>
      <c r="G19" s="104" t="str">
        <f t="array" ref="G19">IFERROR(INDEX($C$3:$C$117,MATCH(0,IF(($A$3:$A$117=$F$1)*($B$3:$B$117=$G$1),COUNTIF($G$2:G18,$C$3:$C$117), 1), 0)),"")</f>
        <v>Pediatric Ward</v>
      </c>
      <c r="H19"/>
      <c r="I19"/>
    </row>
    <row r="20" spans="1:9" ht="16.5" x14ac:dyDescent="0.3">
      <c r="A20" s="92" t="s">
        <v>159</v>
      </c>
      <c r="B20" s="93" t="s">
        <v>84</v>
      </c>
      <c r="C20" s="91" t="s">
        <v>102</v>
      </c>
      <c r="E20" s="105"/>
      <c r="F20" s="103" t="str">
        <f t="array" ref="F20">IFERROR(INDEX($B$3:$B$117,MATCH(0,IF(($A$3:$A$117=$F$1),COUNTIF($F$2:F19,$B$3:$B$117), 1), 0)),"")</f>
        <v/>
      </c>
      <c r="G20" s="104" t="str">
        <f t="array" ref="G20">IFERROR(INDEX($C$3:$C$117,MATCH(0,IF(($A$3:$A$117=$F$1)*($B$3:$B$117=$G$1),COUNTIF($G$2:G19,$C$3:$C$117), 1), 0)),"")</f>
        <v>Surgical Ward</v>
      </c>
      <c r="H20"/>
      <c r="I20"/>
    </row>
    <row r="21" spans="1:9" ht="16.5" x14ac:dyDescent="0.3">
      <c r="A21" s="92" t="s">
        <v>159</v>
      </c>
      <c r="B21" s="93" t="s">
        <v>103</v>
      </c>
      <c r="C21" s="91" t="s">
        <v>104</v>
      </c>
      <c r="E21" s="105"/>
      <c r="F21" s="103" t="str">
        <f t="array" ref="F21">IFERROR(INDEX($B$3:$B$117,MATCH(0,IF(($A$3:$A$117=$F$1),COUNTIF($F$2:F20,$B$3:$B$117), 1), 0)),"")</f>
        <v/>
      </c>
      <c r="G21" s="104" t="str">
        <f t="array" ref="G21">IFERROR(INDEX($C$3:$C$117,MATCH(0,IF(($A$3:$A$117=$F$1)*($B$3:$B$117=$G$1),COUNTIF($G$2:G20,$C$3:$C$117), 1), 0)),"")</f>
        <v>Ob/Gyne Ward</v>
      </c>
      <c r="H21"/>
      <c r="I21"/>
    </row>
    <row r="22" spans="1:9" ht="16.5" x14ac:dyDescent="0.3">
      <c r="A22" s="92" t="s">
        <v>159</v>
      </c>
      <c r="B22" s="93" t="s">
        <v>103</v>
      </c>
      <c r="C22" s="91" t="s">
        <v>105</v>
      </c>
      <c r="E22" s="105"/>
      <c r="F22" s="103" t="str">
        <f t="array" ref="F22">IFERROR(INDEX($B$3:$B$117,MATCH(0,IF(($A$3:$A$117=$F$1),COUNTIF($F$2:F21,$B$3:$B$117), 1), 0)),"")</f>
        <v/>
      </c>
      <c r="G22" s="104" t="str">
        <f t="array" ref="G22">IFERROR(INDEX($C$3:$C$117,MATCH(0,IF(($A$3:$A$117=$F$1)*($B$3:$B$117=$G$1),COUNTIF($G$2:G21,$C$3:$C$117), 1), 0)),"")</f>
        <v>Private Ward</v>
      </c>
      <c r="H22"/>
      <c r="I22"/>
    </row>
    <row r="23" spans="1:9" ht="16.5" x14ac:dyDescent="0.3">
      <c r="A23" s="92" t="s">
        <v>159</v>
      </c>
      <c r="B23" s="93" t="s">
        <v>103</v>
      </c>
      <c r="C23" s="95" t="s">
        <v>106</v>
      </c>
      <c r="E23" s="105"/>
      <c r="F23" s="103" t="str">
        <f t="array" ref="F23">IFERROR(INDEX($B$3:$B$117,MATCH(0,IF(($A$3:$A$117=$F$1),COUNTIF($F$2:F22,$B$3:$B$117), 1), 0)),"")</f>
        <v/>
      </c>
      <c r="G23" s="104" t="str">
        <f t="array" ref="G23">IFERROR(INDEX($C$3:$C$117,MATCH(0,IF(($A$3:$A$117=$F$1)*($B$3:$B$117=$G$1),COUNTIF($G$2:G22,$C$3:$C$117), 1), 0)),"")</f>
        <v>Neurosurgery Ward*</v>
      </c>
      <c r="H23"/>
      <c r="I23"/>
    </row>
    <row r="24" spans="1:9" ht="16.5" x14ac:dyDescent="0.3">
      <c r="A24" s="92" t="s">
        <v>159</v>
      </c>
      <c r="B24" s="93" t="s">
        <v>103</v>
      </c>
      <c r="C24" s="91" t="s">
        <v>107</v>
      </c>
      <c r="E24" s="105"/>
      <c r="F24" s="103" t="str">
        <f t="array" ref="F24">IFERROR(INDEX($B$3:$B$117,MATCH(0,IF(($A$3:$A$117=$F$1),COUNTIF($F$2:F23,$B$3:$B$117), 1), 0)),"")</f>
        <v/>
      </c>
      <c r="G24" s="104" t="str">
        <f t="array" ref="G24">IFERROR(INDEX($C$3:$C$117,MATCH(0,IF(($A$3:$A$117=$F$1)*($B$3:$B$117=$G$1),COUNTIF($G$2:G23,$C$3:$C$117), 1), 0)),"")</f>
        <v>Orthopedic Ward*</v>
      </c>
      <c r="H24"/>
      <c r="I24"/>
    </row>
    <row r="25" spans="1:9" ht="16.5" x14ac:dyDescent="0.3">
      <c r="A25" s="92" t="s">
        <v>159</v>
      </c>
      <c r="B25" s="93" t="s">
        <v>103</v>
      </c>
      <c r="C25" s="95" t="s">
        <v>108</v>
      </c>
      <c r="E25" s="105"/>
      <c r="F25" s="103" t="str">
        <f t="array" ref="F25">IFERROR(INDEX($B$3:$B$117,MATCH(0,IF(($A$3:$A$117=$F$1),COUNTIF($F$2:F24,$B$3:$B$117), 1), 0)),"")</f>
        <v/>
      </c>
      <c r="G25" s="104" t="str">
        <f t="array" ref="G25">IFERROR(INDEX($C$3:$C$117,MATCH(0,IF(($A$3:$A$117=$F$1)*($B$3:$B$117=$G$1),COUNTIF($G$2:G24,$C$3:$C$117), 1), 0)),"")</f>
        <v>Psychiatric Ward*</v>
      </c>
      <c r="H25"/>
      <c r="I25"/>
    </row>
    <row r="26" spans="1:9" ht="16.5" x14ac:dyDescent="0.3">
      <c r="A26" s="92" t="s">
        <v>159</v>
      </c>
      <c r="B26" s="93" t="s">
        <v>103</v>
      </c>
      <c r="C26" s="91" t="s">
        <v>109</v>
      </c>
      <c r="E26" s="105"/>
      <c r="F26" s="103" t="str">
        <f t="array" ref="F26">IFERROR(INDEX($B$3:$B$117,MATCH(0,IF(($A$3:$A$117=$F$1),COUNTIF($F$2:F25,$B$3:$B$117), 1), 0)),"")</f>
        <v/>
      </c>
      <c r="G26" s="104" t="str">
        <f t="array" ref="G26">IFERROR(INDEX($C$3:$C$117,MATCH(0,IF(($A$3:$A$117=$F$1)*($B$3:$B$117=$G$1),COUNTIF($G$2:G25,$C$3:$C$117), 1), 0)),"")</f>
        <v>ENT Ward*</v>
      </c>
      <c r="H26"/>
      <c r="I26"/>
    </row>
    <row r="27" spans="1:9" ht="17.25" thickBot="1" x14ac:dyDescent="0.35">
      <c r="A27" s="92" t="s">
        <v>159</v>
      </c>
      <c r="B27" s="93" t="s">
        <v>103</v>
      </c>
      <c r="C27" s="91" t="s">
        <v>110</v>
      </c>
      <c r="E27" s="106"/>
      <c r="F27" s="107" t="str">
        <f t="array" ref="F27">IFERROR(INDEX($B$3:$B$117,MATCH(0,IF(($A$3:$A$117=$F$1),COUNTIF($F$2:F26,$B$3:$B$117), 1), 0)),"")</f>
        <v/>
      </c>
      <c r="G27" s="108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2" t="s">
        <v>159</v>
      </c>
      <c r="B28" s="93" t="s">
        <v>103</v>
      </c>
      <c r="C28" s="91" t="s">
        <v>111</v>
      </c>
      <c r="E28"/>
      <c r="F28" s="90"/>
      <c r="G28" s="90"/>
      <c r="H28"/>
      <c r="I28"/>
    </row>
    <row r="29" spans="1:9" ht="16.5" x14ac:dyDescent="0.3">
      <c r="A29" s="92" t="s">
        <v>159</v>
      </c>
      <c r="B29" s="93" t="s">
        <v>103</v>
      </c>
      <c r="C29" s="91" t="s">
        <v>112</v>
      </c>
      <c r="E29"/>
      <c r="F29" s="90"/>
      <c r="G29" s="90"/>
      <c r="H29"/>
      <c r="I29"/>
    </row>
    <row r="30" spans="1:9" ht="16.5" x14ac:dyDescent="0.3">
      <c r="A30" s="92" t="s">
        <v>159</v>
      </c>
      <c r="B30" s="93" t="s">
        <v>103</v>
      </c>
      <c r="C30" s="96" t="s">
        <v>113</v>
      </c>
      <c r="E30"/>
      <c r="F30" s="90"/>
      <c r="G30" s="90"/>
      <c r="H30"/>
      <c r="I30"/>
    </row>
    <row r="31" spans="1:9" ht="16.5" x14ac:dyDescent="0.3">
      <c r="A31" s="92" t="s">
        <v>159</v>
      </c>
      <c r="B31" s="93" t="s">
        <v>103</v>
      </c>
      <c r="C31" s="91" t="s">
        <v>114</v>
      </c>
      <c r="E31"/>
      <c r="F31" s="90"/>
      <c r="G31" s="90"/>
      <c r="H31"/>
      <c r="I31"/>
    </row>
    <row r="32" spans="1:9" ht="16.5" x14ac:dyDescent="0.3">
      <c r="A32" s="92" t="s">
        <v>159</v>
      </c>
      <c r="B32" s="93" t="s">
        <v>103</v>
      </c>
      <c r="C32" s="96" t="s">
        <v>115</v>
      </c>
      <c r="E32"/>
      <c r="F32" s="90"/>
      <c r="G32" s="90"/>
      <c r="H32"/>
      <c r="I32"/>
    </row>
    <row r="33" spans="1:9" ht="16.5" x14ac:dyDescent="0.3">
      <c r="A33" s="92" t="s">
        <v>159</v>
      </c>
      <c r="B33" s="93" t="s">
        <v>103</v>
      </c>
      <c r="C33" s="96" t="s">
        <v>116</v>
      </c>
      <c r="E33"/>
      <c r="F33" s="90"/>
      <c r="G33" s="90"/>
      <c r="H33"/>
      <c r="I33"/>
    </row>
    <row r="34" spans="1:9" ht="16.5" x14ac:dyDescent="0.3">
      <c r="A34" s="92" t="s">
        <v>159</v>
      </c>
      <c r="B34" s="93" t="s">
        <v>103</v>
      </c>
      <c r="C34" s="96" t="s">
        <v>117</v>
      </c>
      <c r="E34"/>
      <c r="F34" s="90"/>
      <c r="G34" s="90"/>
      <c r="H34"/>
      <c r="I34"/>
    </row>
    <row r="35" spans="1:9" ht="16.5" x14ac:dyDescent="0.3">
      <c r="A35" s="92" t="s">
        <v>159</v>
      </c>
      <c r="B35" s="93" t="s">
        <v>103</v>
      </c>
      <c r="C35" s="96" t="s">
        <v>118</v>
      </c>
      <c r="E35"/>
      <c r="F35" s="90"/>
      <c r="G35" s="90"/>
      <c r="H35"/>
      <c r="I35"/>
    </row>
    <row r="36" spans="1:9" ht="16.5" x14ac:dyDescent="0.3">
      <c r="A36" s="92" t="s">
        <v>159</v>
      </c>
      <c r="B36" s="93" t="s">
        <v>103</v>
      </c>
      <c r="C36" s="95" t="s">
        <v>119</v>
      </c>
      <c r="E36"/>
      <c r="F36" s="90"/>
      <c r="G36" s="90"/>
      <c r="H36"/>
      <c r="I36"/>
    </row>
    <row r="37" spans="1:9" ht="16.5" x14ac:dyDescent="0.3">
      <c r="A37" s="92" t="s">
        <v>159</v>
      </c>
      <c r="B37" s="93" t="s">
        <v>103</v>
      </c>
      <c r="C37" s="95" t="s">
        <v>120</v>
      </c>
      <c r="E37"/>
      <c r="F37" s="90"/>
      <c r="G37" s="90"/>
      <c r="H37"/>
      <c r="I37"/>
    </row>
    <row r="38" spans="1:9" ht="16.5" x14ac:dyDescent="0.3">
      <c r="A38" s="92" t="s">
        <v>159</v>
      </c>
      <c r="B38" s="93" t="s">
        <v>103</v>
      </c>
      <c r="C38" s="91" t="s">
        <v>102</v>
      </c>
      <c r="E38"/>
      <c r="F38" s="90"/>
      <c r="G38" s="90"/>
      <c r="H38"/>
      <c r="I38"/>
    </row>
    <row r="39" spans="1:9" ht="16.5" x14ac:dyDescent="0.3">
      <c r="A39" s="92" t="s">
        <v>159</v>
      </c>
      <c r="B39" s="93" t="s">
        <v>121</v>
      </c>
      <c r="C39" s="91" t="s">
        <v>122</v>
      </c>
      <c r="E39"/>
      <c r="F39" s="90"/>
      <c r="G39" s="90"/>
      <c r="H39"/>
      <c r="I39"/>
    </row>
    <row r="40" spans="1:9" ht="16.5" x14ac:dyDescent="0.3">
      <c r="A40" s="92" t="s">
        <v>159</v>
      </c>
      <c r="B40" s="93" t="s">
        <v>121</v>
      </c>
      <c r="C40" s="91" t="s">
        <v>123</v>
      </c>
      <c r="E40"/>
      <c r="F40" s="90"/>
      <c r="G40" s="90"/>
      <c r="H40"/>
      <c r="I40"/>
    </row>
    <row r="41" spans="1:9" ht="16.5" x14ac:dyDescent="0.3">
      <c r="A41" s="92" t="s">
        <v>159</v>
      </c>
      <c r="B41" s="93" t="s">
        <v>121</v>
      </c>
      <c r="C41" s="91" t="s">
        <v>124</v>
      </c>
      <c r="E41"/>
      <c r="F41" s="90"/>
      <c r="G41" s="90"/>
      <c r="H41"/>
      <c r="I41"/>
    </row>
    <row r="42" spans="1:9" ht="16.5" x14ac:dyDescent="0.3">
      <c r="A42" s="92" t="s">
        <v>159</v>
      </c>
      <c r="B42" s="93" t="s">
        <v>121</v>
      </c>
      <c r="C42" s="91" t="s">
        <v>125</v>
      </c>
      <c r="E42"/>
      <c r="F42" s="90"/>
      <c r="G42" s="90"/>
      <c r="H42"/>
      <c r="I42"/>
    </row>
    <row r="43" spans="1:9" ht="16.5" x14ac:dyDescent="0.3">
      <c r="A43" s="92" t="s">
        <v>159</v>
      </c>
      <c r="B43" s="93" t="s">
        <v>121</v>
      </c>
      <c r="C43" s="91" t="s">
        <v>126</v>
      </c>
      <c r="E43"/>
      <c r="F43" s="90"/>
      <c r="G43" s="90"/>
      <c r="H43"/>
      <c r="I43"/>
    </row>
    <row r="44" spans="1:9" ht="16.5" x14ac:dyDescent="0.3">
      <c r="A44" s="92" t="s">
        <v>159</v>
      </c>
      <c r="B44" s="93" t="s">
        <v>121</v>
      </c>
      <c r="C44" s="91" t="s">
        <v>127</v>
      </c>
      <c r="E44"/>
      <c r="F44" s="90"/>
      <c r="G44" s="90"/>
      <c r="H44"/>
      <c r="I44"/>
    </row>
    <row r="45" spans="1:9" ht="16.5" x14ac:dyDescent="0.3">
      <c r="A45" s="92" t="s">
        <v>159</v>
      </c>
      <c r="B45" s="93" t="s">
        <v>121</v>
      </c>
      <c r="C45" s="91" t="s">
        <v>128</v>
      </c>
      <c r="E45"/>
      <c r="F45" s="90"/>
      <c r="G45" s="90"/>
      <c r="H45"/>
      <c r="I45"/>
    </row>
    <row r="46" spans="1:9" ht="16.5" x14ac:dyDescent="0.3">
      <c r="A46" s="92" t="s">
        <v>159</v>
      </c>
      <c r="B46" s="93" t="s">
        <v>121</v>
      </c>
      <c r="C46" s="95" t="s">
        <v>129</v>
      </c>
      <c r="E46"/>
      <c r="F46" s="90"/>
      <c r="G46" s="90"/>
      <c r="H46"/>
      <c r="I46"/>
    </row>
    <row r="47" spans="1:9" ht="16.5" x14ac:dyDescent="0.3">
      <c r="A47" s="92" t="s">
        <v>159</v>
      </c>
      <c r="B47" s="93" t="s">
        <v>121</v>
      </c>
      <c r="C47" s="91" t="s">
        <v>130</v>
      </c>
      <c r="E47"/>
      <c r="F47" s="90"/>
      <c r="G47" s="90"/>
      <c r="H47"/>
      <c r="I47"/>
    </row>
    <row r="48" spans="1:9" ht="16.5" x14ac:dyDescent="0.3">
      <c r="A48" s="92" t="s">
        <v>159</v>
      </c>
      <c r="B48" s="93" t="s">
        <v>121</v>
      </c>
      <c r="C48" s="91" t="s">
        <v>131</v>
      </c>
      <c r="E48"/>
      <c r="F48" s="90"/>
      <c r="G48" s="90"/>
      <c r="H48"/>
      <c r="I48"/>
    </row>
    <row r="49" spans="1:9" ht="16.5" x14ac:dyDescent="0.3">
      <c r="A49" s="92" t="s">
        <v>159</v>
      </c>
      <c r="B49" s="93" t="s">
        <v>121</v>
      </c>
      <c r="C49" s="91" t="s">
        <v>132</v>
      </c>
      <c r="E49"/>
      <c r="F49" s="90"/>
      <c r="G49" s="90"/>
      <c r="H49"/>
      <c r="I49"/>
    </row>
    <row r="50" spans="1:9" ht="16.5" x14ac:dyDescent="0.3">
      <c r="A50" s="92" t="s">
        <v>159</v>
      </c>
      <c r="B50" s="93" t="s">
        <v>121</v>
      </c>
      <c r="C50" s="91" t="s">
        <v>133</v>
      </c>
      <c r="E50"/>
      <c r="F50" s="90"/>
      <c r="G50" s="90"/>
      <c r="H50"/>
      <c r="I50"/>
    </row>
    <row r="51" spans="1:9" ht="16.5" x14ac:dyDescent="0.3">
      <c r="A51" s="92" t="s">
        <v>159</v>
      </c>
      <c r="B51" s="93" t="s">
        <v>121</v>
      </c>
      <c r="C51" s="91" t="s">
        <v>134</v>
      </c>
      <c r="E51"/>
      <c r="F51" s="90"/>
      <c r="G51" s="90"/>
      <c r="H51"/>
      <c r="I51"/>
    </row>
    <row r="52" spans="1:9" ht="16.5" x14ac:dyDescent="0.3">
      <c r="A52" s="92" t="s">
        <v>159</v>
      </c>
      <c r="B52" s="93" t="s">
        <v>121</v>
      </c>
      <c r="C52" s="91" t="s">
        <v>135</v>
      </c>
      <c r="E52"/>
      <c r="F52" s="90"/>
      <c r="G52" s="90"/>
      <c r="H52"/>
      <c r="I52"/>
    </row>
    <row r="53" spans="1:9" ht="16.5" x14ac:dyDescent="0.3">
      <c r="A53" s="92" t="s">
        <v>159</v>
      </c>
      <c r="B53" s="93" t="s">
        <v>121</v>
      </c>
      <c r="C53" s="91" t="s">
        <v>136</v>
      </c>
      <c r="E53"/>
      <c r="F53" s="90"/>
      <c r="G53" s="90"/>
      <c r="H53"/>
      <c r="I53"/>
    </row>
    <row r="54" spans="1:9" ht="16.5" x14ac:dyDescent="0.3">
      <c r="A54" s="92" t="s">
        <v>159</v>
      </c>
      <c r="B54" s="93" t="s">
        <v>121</v>
      </c>
      <c r="C54" s="91" t="s">
        <v>137</v>
      </c>
      <c r="E54"/>
      <c r="F54" s="90"/>
      <c r="G54" s="90"/>
      <c r="H54"/>
      <c r="I54"/>
    </row>
    <row r="55" spans="1:9" ht="16.5" x14ac:dyDescent="0.3">
      <c r="A55" s="92" t="s">
        <v>159</v>
      </c>
      <c r="B55" s="93" t="s">
        <v>121</v>
      </c>
      <c r="C55" s="91" t="s">
        <v>138</v>
      </c>
      <c r="E55"/>
      <c r="F55" s="90"/>
      <c r="G55" s="90"/>
      <c r="H55"/>
      <c r="I55"/>
    </row>
    <row r="56" spans="1:9" ht="16.5" x14ac:dyDescent="0.3">
      <c r="A56" s="92" t="s">
        <v>159</v>
      </c>
      <c r="B56" s="93" t="s">
        <v>121</v>
      </c>
      <c r="C56" s="91" t="s">
        <v>139</v>
      </c>
      <c r="E56"/>
      <c r="F56" s="90"/>
      <c r="G56" s="90"/>
      <c r="H56"/>
      <c r="I56"/>
    </row>
    <row r="57" spans="1:9" ht="16.5" x14ac:dyDescent="0.3">
      <c r="A57" s="92" t="s">
        <v>160</v>
      </c>
      <c r="B57" s="97" t="s">
        <v>84</v>
      </c>
      <c r="C57" s="96" t="s">
        <v>85</v>
      </c>
      <c r="E57"/>
      <c r="F57" s="90"/>
      <c r="G57" s="90"/>
      <c r="H57"/>
      <c r="I57"/>
    </row>
    <row r="58" spans="1:9" ht="16.5" x14ac:dyDescent="0.3">
      <c r="A58" s="92" t="s">
        <v>160</v>
      </c>
      <c r="B58" s="97" t="s">
        <v>84</v>
      </c>
      <c r="C58" s="91" t="s">
        <v>140</v>
      </c>
      <c r="E58"/>
      <c r="F58" s="90"/>
      <c r="G58" s="90"/>
      <c r="H58"/>
      <c r="I58"/>
    </row>
    <row r="59" spans="1:9" ht="16.5" x14ac:dyDescent="0.3">
      <c r="A59" s="92" t="s">
        <v>160</v>
      </c>
      <c r="B59" s="97" t="s">
        <v>84</v>
      </c>
      <c r="C59" s="96" t="s">
        <v>87</v>
      </c>
      <c r="E59"/>
      <c r="F59" s="90"/>
      <c r="G59" s="90"/>
      <c r="H59"/>
      <c r="I59"/>
    </row>
    <row r="60" spans="1:9" ht="16.5" x14ac:dyDescent="0.3">
      <c r="A60" s="92" t="s">
        <v>160</v>
      </c>
      <c r="B60" s="97" t="s">
        <v>84</v>
      </c>
      <c r="C60" s="96" t="s">
        <v>88</v>
      </c>
      <c r="E60"/>
      <c r="F60" s="90"/>
      <c r="G60" s="90"/>
      <c r="H60"/>
      <c r="I60"/>
    </row>
    <row r="61" spans="1:9" ht="16.5" x14ac:dyDescent="0.3">
      <c r="A61" s="92" t="s">
        <v>160</v>
      </c>
      <c r="B61" s="97" t="s">
        <v>84</v>
      </c>
      <c r="C61" s="96" t="s">
        <v>89</v>
      </c>
      <c r="E61"/>
      <c r="F61" s="90"/>
      <c r="G61" s="90"/>
      <c r="H61"/>
      <c r="I61"/>
    </row>
    <row r="62" spans="1:9" ht="16.5" x14ac:dyDescent="0.3">
      <c r="A62" s="92" t="s">
        <v>160</v>
      </c>
      <c r="B62" s="97" t="s">
        <v>84</v>
      </c>
      <c r="C62" s="96" t="s">
        <v>90</v>
      </c>
      <c r="E62"/>
      <c r="F62" s="90"/>
      <c r="G62" s="90"/>
      <c r="H62"/>
      <c r="I62"/>
    </row>
    <row r="63" spans="1:9" ht="16.5" x14ac:dyDescent="0.3">
      <c r="A63" s="92" t="s">
        <v>160</v>
      </c>
      <c r="B63" s="97" t="s">
        <v>84</v>
      </c>
      <c r="C63" s="96" t="s">
        <v>91</v>
      </c>
      <c r="E63"/>
      <c r="F63" s="90"/>
      <c r="G63" s="90"/>
      <c r="H63"/>
      <c r="I63"/>
    </row>
    <row r="64" spans="1:9" ht="16.5" x14ac:dyDescent="0.3">
      <c r="A64" s="92" t="s">
        <v>160</v>
      </c>
      <c r="B64" s="97" t="s">
        <v>84</v>
      </c>
      <c r="C64" s="91" t="s">
        <v>141</v>
      </c>
      <c r="E64"/>
      <c r="F64" s="90"/>
      <c r="G64" s="90"/>
      <c r="H64"/>
      <c r="I64"/>
    </row>
    <row r="65" spans="1:9" ht="16.5" x14ac:dyDescent="0.3">
      <c r="A65" s="92" t="s">
        <v>160</v>
      </c>
      <c r="B65" s="97" t="s">
        <v>84</v>
      </c>
      <c r="C65" s="96" t="s">
        <v>93</v>
      </c>
      <c r="E65"/>
      <c r="F65" s="90"/>
      <c r="G65" s="90"/>
      <c r="H65"/>
      <c r="I65"/>
    </row>
    <row r="66" spans="1:9" ht="16.5" x14ac:dyDescent="0.3">
      <c r="A66" s="92" t="s">
        <v>160</v>
      </c>
      <c r="B66" s="97" t="s">
        <v>84</v>
      </c>
      <c r="C66" s="96" t="s">
        <v>94</v>
      </c>
      <c r="E66"/>
      <c r="F66" s="90"/>
      <c r="G66" s="90"/>
      <c r="H66"/>
      <c r="I66"/>
    </row>
    <row r="67" spans="1:9" ht="16.5" x14ac:dyDescent="0.3">
      <c r="A67" s="92" t="s">
        <v>160</v>
      </c>
      <c r="B67" s="97" t="s">
        <v>84</v>
      </c>
      <c r="C67" s="96" t="s">
        <v>95</v>
      </c>
      <c r="E67"/>
      <c r="F67" s="90"/>
      <c r="G67" s="90"/>
      <c r="H67"/>
      <c r="I67"/>
    </row>
    <row r="68" spans="1:9" ht="16.5" x14ac:dyDescent="0.3">
      <c r="A68" s="92" t="s">
        <v>160</v>
      </c>
      <c r="B68" s="97" t="s">
        <v>84</v>
      </c>
      <c r="C68" s="96" t="s">
        <v>96</v>
      </c>
      <c r="E68"/>
      <c r="F68" s="90"/>
      <c r="G68" s="90"/>
      <c r="H68"/>
      <c r="I68"/>
    </row>
    <row r="69" spans="1:9" ht="16.5" x14ac:dyDescent="0.3">
      <c r="A69" s="92" t="s">
        <v>160</v>
      </c>
      <c r="B69" s="97" t="s">
        <v>84</v>
      </c>
      <c r="C69" s="96" t="s">
        <v>97</v>
      </c>
      <c r="E69"/>
      <c r="F69" s="90"/>
      <c r="G69" s="90"/>
      <c r="H69"/>
      <c r="I69"/>
    </row>
    <row r="70" spans="1:9" ht="16.5" x14ac:dyDescent="0.3">
      <c r="A70" s="92" t="s">
        <v>160</v>
      </c>
      <c r="B70" s="97" t="s">
        <v>84</v>
      </c>
      <c r="C70" s="96" t="s">
        <v>98</v>
      </c>
      <c r="E70"/>
      <c r="F70" s="90"/>
      <c r="G70" s="90"/>
      <c r="H70"/>
      <c r="I70"/>
    </row>
    <row r="71" spans="1:9" ht="16.5" x14ac:dyDescent="0.3">
      <c r="A71" s="92" t="s">
        <v>160</v>
      </c>
      <c r="B71" s="97" t="s">
        <v>84</v>
      </c>
      <c r="C71" s="96" t="s">
        <v>99</v>
      </c>
      <c r="E71"/>
      <c r="F71" s="90"/>
      <c r="G71" s="90"/>
      <c r="H71"/>
      <c r="I71"/>
    </row>
    <row r="72" spans="1:9" ht="16.5" x14ac:dyDescent="0.3">
      <c r="A72" s="92" t="s">
        <v>160</v>
      </c>
      <c r="B72" s="97" t="s">
        <v>84</v>
      </c>
      <c r="C72" s="96" t="s">
        <v>100</v>
      </c>
      <c r="E72"/>
      <c r="F72" s="90"/>
      <c r="G72" s="90"/>
      <c r="H72"/>
      <c r="I72"/>
    </row>
    <row r="73" spans="1:9" ht="16.5" x14ac:dyDescent="0.3">
      <c r="A73" s="92" t="s">
        <v>160</v>
      </c>
      <c r="B73" s="97" t="s">
        <v>84</v>
      </c>
      <c r="C73" s="91" t="s">
        <v>142</v>
      </c>
      <c r="E73"/>
      <c r="F73" s="90"/>
      <c r="G73" s="90"/>
      <c r="H73"/>
      <c r="I73"/>
    </row>
    <row r="74" spans="1:9" ht="16.5" x14ac:dyDescent="0.3">
      <c r="A74" s="92" t="s">
        <v>160</v>
      </c>
      <c r="B74" s="97" t="s">
        <v>84</v>
      </c>
      <c r="C74" s="91" t="s">
        <v>102</v>
      </c>
      <c r="E74"/>
      <c r="F74" s="90"/>
      <c r="G74" s="90"/>
      <c r="H74"/>
      <c r="I74"/>
    </row>
    <row r="75" spans="1:9" ht="16.5" x14ac:dyDescent="0.3">
      <c r="A75" s="92" t="s">
        <v>160</v>
      </c>
      <c r="B75" s="93" t="s">
        <v>103</v>
      </c>
      <c r="C75" s="91" t="s">
        <v>104</v>
      </c>
      <c r="E75"/>
      <c r="F75" s="90"/>
      <c r="G75" s="90"/>
      <c r="H75"/>
      <c r="I75"/>
    </row>
    <row r="76" spans="1:9" ht="16.5" x14ac:dyDescent="0.3">
      <c r="A76" s="92" t="s">
        <v>160</v>
      </c>
      <c r="B76" s="93" t="s">
        <v>103</v>
      </c>
      <c r="C76" s="91" t="s">
        <v>105</v>
      </c>
      <c r="E76"/>
      <c r="F76" s="90"/>
      <c r="G76" s="90"/>
      <c r="H76"/>
      <c r="I76"/>
    </row>
    <row r="77" spans="1:9" ht="16.5" x14ac:dyDescent="0.3">
      <c r="A77" s="92" t="s">
        <v>160</v>
      </c>
      <c r="B77" s="93" t="s">
        <v>103</v>
      </c>
      <c r="C77" s="91" t="s">
        <v>106</v>
      </c>
      <c r="E77"/>
      <c r="F77" s="90"/>
      <c r="G77" s="90"/>
      <c r="H77"/>
      <c r="I77"/>
    </row>
    <row r="78" spans="1:9" ht="16.5" x14ac:dyDescent="0.3">
      <c r="A78" s="92" t="s">
        <v>160</v>
      </c>
      <c r="B78" s="93" t="s">
        <v>103</v>
      </c>
      <c r="C78" s="91" t="s">
        <v>107</v>
      </c>
      <c r="E78"/>
      <c r="F78" s="90"/>
      <c r="G78" s="90"/>
      <c r="H78"/>
      <c r="I78"/>
    </row>
    <row r="79" spans="1:9" ht="16.5" x14ac:dyDescent="0.3">
      <c r="A79" s="92" t="s">
        <v>160</v>
      </c>
      <c r="B79" s="93" t="s">
        <v>103</v>
      </c>
      <c r="C79" s="91" t="s">
        <v>108</v>
      </c>
      <c r="E79"/>
      <c r="F79" s="90"/>
      <c r="G79" s="90"/>
      <c r="H79"/>
      <c r="I79"/>
    </row>
    <row r="80" spans="1:9" ht="16.5" x14ac:dyDescent="0.3">
      <c r="A80" s="92" t="s">
        <v>160</v>
      </c>
      <c r="B80" s="93" t="s">
        <v>103</v>
      </c>
      <c r="C80" s="91" t="s">
        <v>109</v>
      </c>
      <c r="E80"/>
      <c r="F80" s="90"/>
      <c r="G80" s="90"/>
      <c r="H80"/>
      <c r="I80"/>
    </row>
    <row r="81" spans="1:9" ht="16.5" x14ac:dyDescent="0.3">
      <c r="A81" s="92" t="s">
        <v>160</v>
      </c>
      <c r="B81" s="93" t="s">
        <v>103</v>
      </c>
      <c r="C81" s="91" t="s">
        <v>110</v>
      </c>
      <c r="E81"/>
      <c r="F81" s="90"/>
      <c r="G81" s="90"/>
      <c r="H81"/>
      <c r="I81"/>
    </row>
    <row r="82" spans="1:9" ht="16.5" x14ac:dyDescent="0.3">
      <c r="A82" s="92" t="s">
        <v>160</v>
      </c>
      <c r="B82" s="93" t="s">
        <v>103</v>
      </c>
      <c r="C82" s="91" t="s">
        <v>143</v>
      </c>
      <c r="E82"/>
      <c r="F82" s="90"/>
      <c r="G82" s="90"/>
      <c r="H82"/>
      <c r="I82"/>
    </row>
    <row r="83" spans="1:9" ht="16.5" x14ac:dyDescent="0.3">
      <c r="A83" s="92" t="s">
        <v>160</v>
      </c>
      <c r="B83" s="93" t="s">
        <v>103</v>
      </c>
      <c r="C83" s="91" t="s">
        <v>111</v>
      </c>
      <c r="E83"/>
      <c r="F83" s="90"/>
      <c r="G83" s="90"/>
      <c r="H83"/>
      <c r="I83"/>
    </row>
    <row r="84" spans="1:9" ht="16.5" x14ac:dyDescent="0.3">
      <c r="A84" s="92" t="s">
        <v>160</v>
      </c>
      <c r="B84" s="93" t="s">
        <v>103</v>
      </c>
      <c r="C84" s="91" t="s">
        <v>112</v>
      </c>
      <c r="E84"/>
      <c r="F84" s="90"/>
      <c r="G84" s="90"/>
      <c r="H84"/>
      <c r="I84"/>
    </row>
    <row r="85" spans="1:9" ht="16.5" x14ac:dyDescent="0.3">
      <c r="A85" s="92" t="s">
        <v>160</v>
      </c>
      <c r="B85" s="93" t="s">
        <v>103</v>
      </c>
      <c r="C85" s="96" t="s">
        <v>113</v>
      </c>
      <c r="E85"/>
      <c r="F85" s="90"/>
      <c r="G85" s="90"/>
      <c r="H85"/>
      <c r="I85"/>
    </row>
    <row r="86" spans="1:9" ht="16.5" x14ac:dyDescent="0.3">
      <c r="A86" s="92" t="s">
        <v>160</v>
      </c>
      <c r="B86" s="93" t="s">
        <v>103</v>
      </c>
      <c r="C86" s="91" t="s">
        <v>114</v>
      </c>
      <c r="E86"/>
      <c r="F86" s="90"/>
      <c r="G86" s="90"/>
      <c r="H86"/>
      <c r="I86"/>
    </row>
    <row r="87" spans="1:9" ht="16.5" x14ac:dyDescent="0.3">
      <c r="A87" s="92" t="s">
        <v>160</v>
      </c>
      <c r="B87" s="93" t="s">
        <v>103</v>
      </c>
      <c r="C87" s="96" t="s">
        <v>115</v>
      </c>
      <c r="E87"/>
      <c r="F87" s="90"/>
      <c r="G87" s="90"/>
      <c r="H87"/>
      <c r="I87"/>
    </row>
    <row r="88" spans="1:9" ht="16.5" x14ac:dyDescent="0.3">
      <c r="A88" s="92" t="s">
        <v>160</v>
      </c>
      <c r="B88" s="93" t="s">
        <v>103</v>
      </c>
      <c r="C88" s="96" t="s">
        <v>116</v>
      </c>
      <c r="E88"/>
      <c r="F88" s="90"/>
      <c r="G88" s="90"/>
      <c r="H88"/>
      <c r="I88"/>
    </row>
    <row r="89" spans="1:9" ht="16.5" x14ac:dyDescent="0.3">
      <c r="A89" s="92" t="s">
        <v>160</v>
      </c>
      <c r="B89" s="93" t="s">
        <v>103</v>
      </c>
      <c r="C89" s="96" t="s">
        <v>117</v>
      </c>
      <c r="E89"/>
      <c r="F89" s="90"/>
      <c r="G89" s="90"/>
      <c r="H89"/>
      <c r="I89"/>
    </row>
    <row r="90" spans="1:9" ht="16.5" x14ac:dyDescent="0.3">
      <c r="A90" s="92" t="s">
        <v>160</v>
      </c>
      <c r="B90" s="93" t="s">
        <v>103</v>
      </c>
      <c r="C90" s="96" t="s">
        <v>118</v>
      </c>
      <c r="E90"/>
      <c r="F90" s="90"/>
      <c r="G90" s="90"/>
      <c r="H90"/>
      <c r="I90"/>
    </row>
    <row r="91" spans="1:9" ht="16.5" x14ac:dyDescent="0.3">
      <c r="A91" s="92" t="s">
        <v>160</v>
      </c>
      <c r="B91" s="93" t="s">
        <v>103</v>
      </c>
      <c r="C91" s="96" t="s">
        <v>119</v>
      </c>
      <c r="E91"/>
      <c r="F91" s="90"/>
      <c r="G91" s="90"/>
      <c r="H91"/>
      <c r="I91"/>
    </row>
    <row r="92" spans="1:9" ht="16.5" x14ac:dyDescent="0.3">
      <c r="A92" s="92" t="s">
        <v>160</v>
      </c>
      <c r="B92" s="93" t="s">
        <v>103</v>
      </c>
      <c r="C92" s="91" t="s">
        <v>120</v>
      </c>
      <c r="E92"/>
      <c r="F92" s="90"/>
      <c r="G92" s="90"/>
      <c r="H92"/>
      <c r="I92"/>
    </row>
    <row r="93" spans="1:9" ht="16.5" x14ac:dyDescent="0.3">
      <c r="A93" s="92" t="s">
        <v>160</v>
      </c>
      <c r="B93" s="93" t="s">
        <v>103</v>
      </c>
      <c r="C93" s="95" t="s">
        <v>102</v>
      </c>
      <c r="E93"/>
      <c r="F93" s="90"/>
      <c r="G93" s="90"/>
      <c r="H93"/>
      <c r="I93"/>
    </row>
    <row r="94" spans="1:9" ht="16.5" x14ac:dyDescent="0.3">
      <c r="A94" s="92" t="s">
        <v>160</v>
      </c>
      <c r="B94" s="97" t="s">
        <v>121</v>
      </c>
      <c r="C94" s="96" t="s">
        <v>144</v>
      </c>
      <c r="E94"/>
      <c r="F94" s="90"/>
      <c r="G94" s="90"/>
      <c r="H94"/>
      <c r="I94"/>
    </row>
    <row r="95" spans="1:9" ht="16.5" x14ac:dyDescent="0.3">
      <c r="A95" s="92" t="s">
        <v>160</v>
      </c>
      <c r="B95" s="97" t="s">
        <v>121</v>
      </c>
      <c r="C95" s="91" t="s">
        <v>123</v>
      </c>
      <c r="E95"/>
      <c r="F95" s="90"/>
      <c r="G95" s="90"/>
      <c r="H95"/>
      <c r="I95"/>
    </row>
    <row r="96" spans="1:9" ht="16.5" x14ac:dyDescent="0.3">
      <c r="A96" s="92" t="s">
        <v>160</v>
      </c>
      <c r="B96" s="97" t="s">
        <v>121</v>
      </c>
      <c r="C96" s="91" t="s">
        <v>124</v>
      </c>
      <c r="E96"/>
      <c r="F96" s="90"/>
      <c r="G96" s="90"/>
      <c r="H96"/>
      <c r="I96"/>
    </row>
    <row r="97" spans="1:9" ht="16.5" x14ac:dyDescent="0.3">
      <c r="A97" s="92" t="s">
        <v>160</v>
      </c>
      <c r="B97" s="97" t="s">
        <v>121</v>
      </c>
      <c r="C97" s="91" t="s">
        <v>125</v>
      </c>
      <c r="E97"/>
      <c r="F97" s="90"/>
      <c r="G97" s="90"/>
      <c r="H97"/>
      <c r="I97"/>
    </row>
    <row r="98" spans="1:9" ht="16.5" x14ac:dyDescent="0.3">
      <c r="A98" s="92" t="s">
        <v>160</v>
      </c>
      <c r="B98" s="97" t="s">
        <v>121</v>
      </c>
      <c r="C98" s="91" t="s">
        <v>126</v>
      </c>
      <c r="E98"/>
      <c r="F98" s="90"/>
      <c r="G98" s="90"/>
      <c r="H98"/>
      <c r="I98"/>
    </row>
    <row r="99" spans="1:9" ht="16.5" x14ac:dyDescent="0.3">
      <c r="A99" s="92" t="s">
        <v>160</v>
      </c>
      <c r="B99" s="97" t="s">
        <v>121</v>
      </c>
      <c r="C99" s="91" t="s">
        <v>127</v>
      </c>
      <c r="E99"/>
      <c r="F99" s="90"/>
      <c r="G99" s="90"/>
      <c r="H99"/>
      <c r="I99"/>
    </row>
    <row r="100" spans="1:9" ht="16.5" x14ac:dyDescent="0.3">
      <c r="A100" s="92" t="s">
        <v>160</v>
      </c>
      <c r="B100" s="97" t="s">
        <v>121</v>
      </c>
      <c r="C100" s="91" t="s">
        <v>128</v>
      </c>
      <c r="E100"/>
      <c r="F100" s="90"/>
      <c r="G100" s="90"/>
      <c r="H100"/>
      <c r="I100"/>
    </row>
    <row r="101" spans="1:9" ht="16.5" x14ac:dyDescent="0.25">
      <c r="A101" s="92" t="s">
        <v>160</v>
      </c>
      <c r="B101" s="97" t="s">
        <v>121</v>
      </c>
      <c r="C101" s="98" t="s">
        <v>145</v>
      </c>
      <c r="E101"/>
      <c r="F101" s="90"/>
      <c r="G101" s="90"/>
      <c r="H101"/>
      <c r="I101"/>
    </row>
    <row r="102" spans="1:9" ht="16.5" x14ac:dyDescent="0.3">
      <c r="A102" s="92" t="s">
        <v>160</v>
      </c>
      <c r="B102" s="97" t="s">
        <v>121</v>
      </c>
      <c r="C102" s="91" t="s">
        <v>146</v>
      </c>
      <c r="E102"/>
      <c r="F102" s="90"/>
      <c r="G102" s="90"/>
      <c r="H102"/>
      <c r="I102"/>
    </row>
    <row r="103" spans="1:9" ht="16.5" x14ac:dyDescent="0.3">
      <c r="A103" s="92" t="s">
        <v>160</v>
      </c>
      <c r="B103" s="97" t="s">
        <v>121</v>
      </c>
      <c r="C103" s="96" t="s">
        <v>131</v>
      </c>
      <c r="E103"/>
      <c r="F103" s="90"/>
      <c r="G103" s="90"/>
      <c r="H103"/>
      <c r="I103"/>
    </row>
    <row r="104" spans="1:9" ht="16.5" x14ac:dyDescent="0.3">
      <c r="A104" s="92" t="s">
        <v>160</v>
      </c>
      <c r="B104" s="97" t="s">
        <v>121</v>
      </c>
      <c r="C104" s="96" t="s">
        <v>132</v>
      </c>
      <c r="E104"/>
      <c r="F104" s="90"/>
      <c r="G104" s="90"/>
      <c r="H104"/>
      <c r="I104"/>
    </row>
    <row r="105" spans="1:9" ht="16.5" x14ac:dyDescent="0.3">
      <c r="A105" s="92" t="s">
        <v>160</v>
      </c>
      <c r="B105" s="97" t="s">
        <v>121</v>
      </c>
      <c r="C105" s="91" t="s">
        <v>147</v>
      </c>
      <c r="E105"/>
      <c r="F105" s="90"/>
      <c r="G105" s="90"/>
      <c r="H105"/>
      <c r="I105"/>
    </row>
    <row r="106" spans="1:9" ht="16.5" x14ac:dyDescent="0.3">
      <c r="A106" s="92" t="s">
        <v>160</v>
      </c>
      <c r="B106" s="97" t="s">
        <v>121</v>
      </c>
      <c r="C106" s="96" t="s">
        <v>133</v>
      </c>
      <c r="E106"/>
      <c r="F106" s="90"/>
      <c r="G106" s="90"/>
      <c r="H106"/>
      <c r="I106"/>
    </row>
    <row r="107" spans="1:9" ht="16.5" x14ac:dyDescent="0.3">
      <c r="A107" s="92" t="s">
        <v>160</v>
      </c>
      <c r="B107" s="97" t="s">
        <v>121</v>
      </c>
      <c r="C107" s="91" t="s">
        <v>148</v>
      </c>
      <c r="E107"/>
      <c r="F107" s="90"/>
      <c r="G107" s="90"/>
      <c r="H107"/>
      <c r="I107"/>
    </row>
    <row r="108" spans="1:9" ht="16.5" x14ac:dyDescent="0.3">
      <c r="A108" s="92" t="s">
        <v>160</v>
      </c>
      <c r="B108" s="97" t="s">
        <v>121</v>
      </c>
      <c r="C108" s="96" t="s">
        <v>134</v>
      </c>
      <c r="E108"/>
      <c r="F108" s="90"/>
      <c r="G108" s="90"/>
      <c r="H108"/>
      <c r="I108"/>
    </row>
    <row r="109" spans="1:9" ht="16.5" x14ac:dyDescent="0.3">
      <c r="A109" s="92" t="s">
        <v>160</v>
      </c>
      <c r="B109" s="97" t="s">
        <v>121</v>
      </c>
      <c r="C109" s="96" t="s">
        <v>135</v>
      </c>
      <c r="E109"/>
      <c r="F109" s="90"/>
      <c r="G109" s="90"/>
      <c r="H109"/>
      <c r="I109"/>
    </row>
    <row r="110" spans="1:9" ht="16.5" x14ac:dyDescent="0.3">
      <c r="A110" s="92" t="s">
        <v>160</v>
      </c>
      <c r="B110" s="97" t="s">
        <v>121</v>
      </c>
      <c r="C110" s="96" t="s">
        <v>136</v>
      </c>
      <c r="E110"/>
      <c r="F110" s="90"/>
      <c r="G110" s="90"/>
      <c r="H110"/>
      <c r="I110"/>
    </row>
    <row r="111" spans="1:9" ht="16.5" x14ac:dyDescent="0.3">
      <c r="A111" s="92" t="s">
        <v>160</v>
      </c>
      <c r="B111" s="97" t="s">
        <v>121</v>
      </c>
      <c r="C111" s="96" t="s">
        <v>137</v>
      </c>
      <c r="E111"/>
      <c r="F111" s="90"/>
      <c r="G111" s="90"/>
      <c r="H111"/>
      <c r="I111"/>
    </row>
    <row r="112" spans="1:9" ht="16.5" x14ac:dyDescent="0.3">
      <c r="A112" s="92" t="s">
        <v>160</v>
      </c>
      <c r="B112" s="97" t="s">
        <v>121</v>
      </c>
      <c r="C112" s="96" t="s">
        <v>138</v>
      </c>
      <c r="E112"/>
      <c r="F112" s="90"/>
      <c r="G112" s="90"/>
      <c r="H112"/>
      <c r="I112"/>
    </row>
    <row r="113" spans="1:9" ht="16.5" x14ac:dyDescent="0.3">
      <c r="A113" s="92" t="s">
        <v>160</v>
      </c>
      <c r="B113" s="97" t="s">
        <v>121</v>
      </c>
      <c r="C113" s="96" t="s">
        <v>139</v>
      </c>
      <c r="E113"/>
      <c r="F113" s="90"/>
      <c r="G113" s="90"/>
      <c r="H113"/>
      <c r="I113"/>
    </row>
    <row r="114" spans="1:9" ht="16.5" x14ac:dyDescent="0.3">
      <c r="A114" s="92" t="s">
        <v>160</v>
      </c>
      <c r="B114" s="97" t="s">
        <v>121</v>
      </c>
      <c r="C114" s="96" t="s">
        <v>149</v>
      </c>
      <c r="E114"/>
      <c r="F114" s="90"/>
      <c r="G114" s="90"/>
      <c r="H114"/>
      <c r="I114"/>
    </row>
    <row r="115" spans="1:9" ht="16.5" x14ac:dyDescent="0.3">
      <c r="A115" s="92" t="s">
        <v>160</v>
      </c>
      <c r="B115" s="97" t="s">
        <v>121</v>
      </c>
      <c r="C115" s="96" t="s">
        <v>150</v>
      </c>
      <c r="E115"/>
      <c r="F115" s="90"/>
      <c r="G115" s="90"/>
      <c r="H115"/>
      <c r="I115"/>
    </row>
    <row r="116" spans="1:9" ht="16.5" x14ac:dyDescent="0.3">
      <c r="A116" s="92" t="s">
        <v>160</v>
      </c>
      <c r="B116" s="97" t="s">
        <v>121</v>
      </c>
      <c r="C116" s="96" t="s">
        <v>151</v>
      </c>
      <c r="E116"/>
      <c r="F116" s="90"/>
      <c r="G116" s="90"/>
      <c r="H116"/>
      <c r="I116"/>
    </row>
    <row r="117" spans="1:9" ht="16.5" x14ac:dyDescent="0.3">
      <c r="A117" s="92" t="s">
        <v>160</v>
      </c>
      <c r="B117" s="97" t="s">
        <v>121</v>
      </c>
      <c r="C117" s="96" t="s">
        <v>152</v>
      </c>
      <c r="E117"/>
      <c r="F117" s="90"/>
      <c r="G117" s="90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COMPUTER68</cp:lastModifiedBy>
  <cp:lastPrinted>2018-05-31T06:26:36Z</cp:lastPrinted>
  <dcterms:created xsi:type="dcterms:W3CDTF">2018-05-11T08:46:15Z</dcterms:created>
  <dcterms:modified xsi:type="dcterms:W3CDTF">2018-06-04T09:22:46Z</dcterms:modified>
</cp:coreProperties>
</file>