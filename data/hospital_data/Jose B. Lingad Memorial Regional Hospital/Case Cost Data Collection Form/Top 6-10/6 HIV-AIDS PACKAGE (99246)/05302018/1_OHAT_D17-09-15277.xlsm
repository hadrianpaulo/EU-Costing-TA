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4" i="2" l="1"/>
  <c r="J13" i="2"/>
  <c r="J12" i="2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<sst xmlns="http://schemas.openxmlformats.org/spreadsheetml/2006/main" count="481" uniqueCount="189">
  <si>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</si>
  <si>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</si>
  <si>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</si>
  <si>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</si>
  <si>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</si>
  <si>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</si>
  <si>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</si>
  <si>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</si>
  <si>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</si>
  <si>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</si>
  <si>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</si>
  <si>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</si>
  <si>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</si>
  <si>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</si>
  <si>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</si>
  <si>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</si>
  <si>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</si>
  <si>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</si>
  <si>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</si>
  <si>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</si>
  <si>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</si>
  <si>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</si>
  <si>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</si>
  <si>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</si>
  <si>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</si>
  <si>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</si>
  <si>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</si>
  <si>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</si>
  <si>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</si>
  <si>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</si>
  <si>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</si>
  <si>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</si>
  <si>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</si>
  <si>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</si>
  <si>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</si>
  <si>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</si>
  <si>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</si>
  <si>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</si>
  <si>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</si>
  <si>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</si>
  <si>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</si>
  <si>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</si>
  <si>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</si>
  <si>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</si>
  <si>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</si>
  <si>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</si>
  <si>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</si>
  <si>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</si>
  <si>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</si>
  <si>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</si>
  <si>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</si>
  <si>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</si>
  <si>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</si>
  <si>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</si>
  <si>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</si>
  <si>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</si>
  <si>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</si>
  <si>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</si>
  <si>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</si>
  <si>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</si>
  <si>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</si>
  <si>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</si>
  <si>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</si>
  <si>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</si>
  <si>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</si>
  <si>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</si>
  <si>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</si>
  <si>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</si>
  <si>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</si>
  <si>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</si>
  <si>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</si>
  <si>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</si>
  <si>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</si>
  <si>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</si>
  <si>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</si>
  <si>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</si>
  <si>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</si>
  <si>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</si>
  <si>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</si>
  <si>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</si>
  <si>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</si>
  <si>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</si>
  <si>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</si>
  <si>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</si>
  <si>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</si>
  <si>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</si>
  <si>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</si>
  <si>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</si>
  <si>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</si>
  <si>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</si>
  <si>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</si>
  <si>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</si>
  <si>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</si>
  <si>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</si>
  <si>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</si>
  <si>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</si>
  <si>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</si>
  <si>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</si>
  <si>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</si>
  <si>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</si>
  <si>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</si>
  <si>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</si>
  <si>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</si>
  <si>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</si>
  <si>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</si>
  <si>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</si>
  <si>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</si>
  <si>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</si>
  <si>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</si>
  <si>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</si>
  <si>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</si>
  <si>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</si>
  <si>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</si>
  <si>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</si>
  <si>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</si>
  <si>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</si>
  <si>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</si>
  <si>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</si>
  <si>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</si>
  <si>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</si>
  <si>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</si>
  <si>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</si>
  <si>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</si>
  <si>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</si>
  <si>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</si>
  <si>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</si>
  <si>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</si>
  <si>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</si>
  <si>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</si>
  <si>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</si>
  <si>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</si>
  <si>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</si>
  <si>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</si>
  <si>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</si>
  <si>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</si>
  <si>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</si>
  <si>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</si>
  <si>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</si>
  <si>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</si>
  <si>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</si>
  <si>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</si>
  <si>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</si>
  <si>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</si>
  <si>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</si>
  <si>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</si>
  <si>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</si>
  <si>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</si>
  <si>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</si>
  <si>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</si>
  <si>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</si>
  <si>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</si>
  <si>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</si>
  <si>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</si>
  <si>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</si>
  <si>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</si>
  <si>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</si>
  <si>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</si>
  <si>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</si>
  <si>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</si>
  <si>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</si>
  <si>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</si>
  <si>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</si>
  <si>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</si>
  <si>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</si>
  <si>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</si>
  <si>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</si>
  <si>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</si>
  <si>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</si>
  <si>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</si>
  <si>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</si>
  <si>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</si>
  <si>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</si>
  <si>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</si>
  <si>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</si>
  <si>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</si>
  <si>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500mg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</si>
  <si>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</si>
  <si>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</si>
  <si>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</si>
  <si>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</si>
  <si>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</si>
  <si>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</si>
  <si>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800/160mg</t>
  </si>
  <si>
    <t>Tenofovir + Lamivudine + Efavirenz (E)</t>
  </si>
  <si>
    <t>Cotrimoxazole (G)</t>
  </si>
  <si>
    <t>Azithromycin (H)</t>
  </si>
  <si>
    <t>300/300/600</t>
  </si>
  <si>
    <t>Multivitamins</t>
  </si>
  <si>
    <t>D17-09-15277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</si>
</sst>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0" xfId="0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topLeftCell="A36"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188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5" sqref="C15:J15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187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5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183</v>
      </c>
      <c r="D12" s="26" t="s">
        <v>174</v>
      </c>
      <c r="E12" s="26" t="s">
        <v>186</v>
      </c>
      <c r="F12" s="54">
        <v>1</v>
      </c>
      <c r="G12" s="54">
        <v>90</v>
      </c>
      <c r="H12" s="54">
        <v>90</v>
      </c>
      <c r="I12" s="54">
        <v>11.28</v>
      </c>
      <c r="J12" s="54">
        <f t="shared" si="0"/>
        <v>1015.1999999999999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184</v>
      </c>
      <c r="D13" s="26" t="s">
        <v>174</v>
      </c>
      <c r="E13" s="26" t="s">
        <v>182</v>
      </c>
      <c r="F13" s="54">
        <v>1</v>
      </c>
      <c r="G13" s="54">
        <v>90</v>
      </c>
      <c r="H13" s="54">
        <v>90</v>
      </c>
      <c r="I13" s="54">
        <v>2</v>
      </c>
      <c r="J13" s="54">
        <f t="shared" ref="J13:J14" si="1">H13*I13</f>
        <v>180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 t="s">
        <v>185</v>
      </c>
      <c r="D14" s="26" t="s">
        <v>174</v>
      </c>
      <c r="E14" s="26" t="s">
        <v>175</v>
      </c>
      <c r="F14" s="54"/>
      <c r="G14" s="54">
        <v>90</v>
      </c>
      <c r="H14" s="54">
        <v>24</v>
      </c>
      <c r="I14" s="54">
        <v>15.67</v>
      </c>
      <c r="J14" s="54">
        <f t="shared" si="1"/>
        <v>376.08</v>
      </c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176</v>
      </c>
      <c r="N12" s="89" t="s">
        <v>177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178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179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180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181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2018-06-04T09:07:13Z</dcterms:modified>
</cp:coreProperties>
</file>