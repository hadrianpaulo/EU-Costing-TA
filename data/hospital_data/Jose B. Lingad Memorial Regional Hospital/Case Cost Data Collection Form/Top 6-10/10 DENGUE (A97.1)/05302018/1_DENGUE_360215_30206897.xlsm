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30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Drugs&amp;Med'!$C$11:$C$14</definedName>
    <definedName name="_xlnm.Print_Area" localSheetId="0">'1.1 Case data_general'!$B$1:$F$66</definedName>
    <definedName name="_xlnm.Print_Area" localSheetId="1">'1.2 Drugs&amp;Med'!$B$2:$J$15</definedName>
  </definedNames>
  <calcPr calcId="162913"/>
</workbook>
</file>

<file path=xl/calcChain.xml><?xml version="1.0" encoding="utf-8"?>
<calcChain xmlns="http://schemas.openxmlformats.org/spreadsheetml/2006/main">
  <c r="G17" i="9" l="1"/>
  <c r="G18" i="9"/>
  <c r="G19" i="9"/>
  <c r="G16" i="9"/>
  <c r="J12" i="2" l="1"/>
  <c r="J13" i="2"/>
  <c r="J14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<sst xmlns="http://schemas.openxmlformats.org/spreadsheetml/2006/main" count="483" uniqueCount="194">
  <si>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</si>
  <si>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</si>
  <si>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</si>
  <si>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</si>
  <si>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</si>
  <si>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</si>
  <si>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</si>
  <si>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</si>
  <si>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</si>
  <si>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</si>
  <si>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</si>
  <si>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</si>
  <si>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</si>
  <si>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</si>
  <si>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</si>
  <si>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</si>
  <si>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</si>
  <si>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</si>
  <si>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</si>
  <si>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</si>
  <si>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</si>
  <si>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</si>
  <si>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</si>
  <si>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</si>
  <si>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</si>
  <si>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</si>
  <si>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</si>
  <si>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</si>
  <si>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</si>
  <si>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</si>
  <si>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</si>
  <si>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</si>
  <si>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</si>
  <si>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</si>
  <si>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</si>
  <si>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</si>
  <si>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</si>
  <si>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</si>
  <si>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</si>
  <si>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</si>
  <si>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</si>
  <si>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</si>
  <si>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</si>
  <si>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</si>
  <si>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</si>
  <si>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</si>
  <si>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</si>
  <si>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</si>
  <si>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</si>
  <si>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</si>
  <si>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</si>
  <si>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</si>
  <si>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</si>
  <si>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</si>
  <si>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</si>
  <si>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</si>
  <si>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</si>
  <si>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</si>
  <si>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</si>
  <si>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</si>
  <si>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</si>
  <si>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</si>
  <si>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</si>
  <si>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</si>
  <si>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</si>
  <si>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</si>
  <si>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</si>
  <si>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</si>
  <si>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</si>
  <si>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</si>
  <si>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</si>
  <si>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</si>
  <si>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</si>
  <si>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</si>
  <si>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</si>
  <si>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</si>
  <si>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</si>
  <si>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</si>
  <si>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</si>
  <si>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</si>
  <si>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</si>
  <si>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</si>
  <si>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</si>
  <si>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</si>
  <si>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</si>
  <si>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</si>
  <si>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</si>
  <si>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</si>
  <si>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</si>
  <si>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</si>
  <si>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</si>
  <si>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</si>
  <si>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</si>
  <si>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</si>
  <si>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</si>
  <si>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</si>
  <si>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</si>
  <si>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</si>
  <si>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</si>
  <si>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</si>
  <si>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</si>
  <si>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</si>
  <si>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</si>
  <si>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</si>
  <si>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</si>
  <si>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</si>
  <si>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</si>
  <si>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</si>
  <si>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</si>
  <si>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</si>
  <si>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</si>
  <si>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</si>
  <si>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</si>
  <si>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</si>
  <si>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</si>
  <si>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</si>
  <si>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</si>
  <si>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</si>
  <si>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</si>
  <si>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</si>
  <si>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</si>
  <si>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</si>
  <si>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</si>
  <si>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</si>
  <si>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</si>
  <si>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</si>
  <si>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</si>
  <si>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</si>
  <si>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</si>
  <si>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</si>
  <si>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</si>
  <si>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</si>
  <si>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</si>
  <si>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</si>
  <si>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</si>
  <si>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</si>
  <si>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</si>
  <si>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</si>
  <si>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</si>
  <si>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</si>
  <si>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</si>
  <si>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</si>
  <si>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</si>
  <si>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</si>
  <si>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</si>
  <si>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</si>
  <si>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</si>
  <si>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</si>
  <si>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</si>
  <si>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</si>
  <si>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</si>
  <si>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</si>
  <si>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</si>
  <si>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</si>
  <si>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</si>
  <si>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</si>
  <si>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</si>
  <si>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</si>
  <si>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</si>
  <si>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</si>
  <si>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</si>
  <si>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</si>
  <si>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</si>
  <si>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</si>
  <si>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</si>
  <si>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</si>
  <si>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LABORATORY</t>
  </si>
  <si>
    <t>ROOM AND ACCOMMODATION</t>
  </si>
  <si>
    <t>PROFESSIONAL FEE</t>
  </si>
  <si>
    <t>CBC, PC</t>
  </si>
  <si>
    <t>BLOOD EXTRACTION FEE</t>
  </si>
  <si>
    <t>piece</t>
  </si>
  <si>
    <t>A97.1</t>
  </si>
  <si>
    <t>360215/74065</t>
  </si>
  <si>
    <t>NA (SODIUM)</t>
  </si>
  <si>
    <t>K (POTASSIUM)</t>
  </si>
  <si>
    <t>CL (CHLORIDE)</t>
  </si>
  <si>
    <t>URINALYSIS (UA)</t>
  </si>
  <si>
    <t>DENGUE TEST</t>
  </si>
  <si>
    <t xml:space="preserve"> 1000ML</t>
  </si>
  <si>
    <t>5% DEXTROSE 0.9% SODIUM CHLORIDE</t>
  </si>
  <si>
    <t>OMEPRAZOLE  POWDER</t>
  </si>
  <si>
    <t>40MG</t>
  </si>
  <si>
    <t>750MG</t>
  </si>
  <si>
    <t>CEFUROXIME SODIUM</t>
  </si>
  <si>
    <t>1000ML</t>
  </si>
  <si>
    <t>bottle</t>
  </si>
  <si>
    <t>pack</t>
  </si>
  <si>
    <t>vial</t>
  </si>
  <si>
    <t>DISPOSABLE SYRINGE 10ML G</t>
  </si>
  <si>
    <t>IV SET W/ AIRWAY FOR IV PUSH</t>
  </si>
  <si>
    <t>IV CATHETER GAUGE 22</t>
  </si>
  <si>
    <t>DENGUE</t>
  </si>
  <si>
    <t>(PLAIN LRS 1L) LACTATED RINGER''''S SOLUTION X 12S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</si>
</sst>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abSelected="1" zoomScaleNormal="100" workbookViewId="0">
      <selection activeCell="D23" sqref="D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9" t="s">
        <v>42</v>
      </c>
      <c r="C27" s="120"/>
      <c r="D27" s="120"/>
      <c r="E27" s="120"/>
      <c r="F27" s="13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6" t="s">
        <v>18</v>
      </c>
      <c r="C32" s="117"/>
      <c r="D32" s="117"/>
      <c r="E32" s="117"/>
      <c r="F32" s="11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174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176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169</v>
      </c>
      <c r="D36" s="23"/>
      <c r="E36" s="57">
        <v>3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 t="s">
        <v>177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 t="s">
        <v>170</v>
      </c>
      <c r="D38" s="23"/>
      <c r="E38" s="57">
        <v>3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 t="s">
        <v>178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9" t="s">
        <v>19</v>
      </c>
      <c r="C40" s="120"/>
      <c r="D40" s="117"/>
      <c r="E40" s="120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43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52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20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164</v>
      </c>
      <c r="D59" s="55">
        <v>305.27999999999997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165</v>
      </c>
      <c r="D60" s="55">
        <v>63.44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166</v>
      </c>
      <c r="D61" s="55">
        <v>2100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167</v>
      </c>
      <c r="D62" s="55">
        <v>1000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168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SUM(D59:D65)</f>
        <v>6468.7199999999993</v>
      </c>
      <c r="E66" s="59">
        <f>SUM(E59:E65)</f>
        <v>0</v>
      </c>
      <c r="F66" s="59">
        <f>SUM(F59:F65)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zQ+yb6isIn6HeSPVnI+Ih3qqDDcxMXDDgB72THec8266qYtMba8ao+orGTUvle776owix3ATxRkJrFu0rUZAtg==" saltValue="lvipuvQIOsLBMfIkMufvkg==" spinCount="100000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1:F21"/>
    <mergeCell ref="B32:F32"/>
    <mergeCell ref="B27:F27"/>
    <mergeCell ref="B40:F40"/>
    <mergeCell ref="B44:F44"/>
  </mergeCells>
  <dataValidations count="1">
    <dataValidation type="decimal" operator="greaterThanOrEqual" allowBlank="1" showInputMessage="1" showErrorMessage="1" sqref="E31 E41 E43 E22:F26 E45:F48 E50:F55 D59:F64 E33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D14" sqref="D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33" x14ac:dyDescent="0.3">
      <c r="B11" s="42">
        <v>1</v>
      </c>
      <c r="C11" s="27" t="s">
        <v>180</v>
      </c>
      <c r="D11" s="27" t="s">
        <v>186</v>
      </c>
      <c r="E11" s="27" t="s">
        <v>179</v>
      </c>
      <c r="F11" s="55">
        <v>1</v>
      </c>
      <c r="G11" s="55">
        <v>2</v>
      </c>
      <c r="H11" s="55">
        <v>2</v>
      </c>
      <c r="I11" s="55">
        <v>57.05</v>
      </c>
      <c r="J11" s="55">
        <f>H11*I11</f>
        <v>114.1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181</v>
      </c>
      <c r="D12" s="27" t="s">
        <v>187</v>
      </c>
      <c r="E12" s="27" t="s">
        <v>182</v>
      </c>
      <c r="F12" s="55">
        <v>1</v>
      </c>
      <c r="G12" s="55">
        <v>1</v>
      </c>
      <c r="H12" s="55">
        <v>1</v>
      </c>
      <c r="I12" s="55">
        <v>30.96</v>
      </c>
      <c r="J12" s="55">
        <f t="shared" ref="J12:J14" si="0">H12*I12</f>
        <v>30.96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184</v>
      </c>
      <c r="D13" s="27" t="s">
        <v>188</v>
      </c>
      <c r="E13" s="27" t="s">
        <v>183</v>
      </c>
      <c r="F13" s="55">
        <v>1</v>
      </c>
      <c r="G13" s="55">
        <v>2</v>
      </c>
      <c r="H13" s="55">
        <v>3</v>
      </c>
      <c r="I13" s="55">
        <v>20.52</v>
      </c>
      <c r="J13" s="55">
        <f t="shared" si="0"/>
        <v>61.56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33" x14ac:dyDescent="0.3">
      <c r="B14" s="42">
        <v>4</v>
      </c>
      <c r="C14" s="27" t="s">
        <v>193</v>
      </c>
      <c r="D14" s="27" t="s">
        <v>186</v>
      </c>
      <c r="E14" s="27" t="s">
        <v>185</v>
      </c>
      <c r="F14" s="55">
        <v>1</v>
      </c>
      <c r="G14" s="55">
        <v>2</v>
      </c>
      <c r="H14" s="55">
        <v>2</v>
      </c>
      <c r="I14" s="55">
        <v>49.33</v>
      </c>
      <c r="J14" s="55">
        <f t="shared" si="0"/>
        <v>98.66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algorithmName="SHA-512" hashValue="qEnY/0Gd3SD70HLgeFhKxdS8RhliP7kC7pOdqZ1GgvLcqicJYcI+HcnzOrLTV7AH6oVOCcDkrmQPaXzMwqLC3A==" saltValue="WbwvVC6H4tzAqJxRhzCfi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171</v>
      </c>
      <c r="E16" s="55">
        <v>3</v>
      </c>
      <c r="F16" s="55">
        <v>2.77</v>
      </c>
      <c r="G16" s="55">
        <f>+E16*F16</f>
        <v>8.31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171</v>
      </c>
      <c r="E17" s="55">
        <v>1</v>
      </c>
      <c r="F17" s="55">
        <v>14</v>
      </c>
      <c r="G17" s="55">
        <f t="shared" ref="G17:G19" si="0">+E17*F17</f>
        <v>14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171</v>
      </c>
      <c r="E18" s="55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171</v>
      </c>
      <c r="E19" s="55">
        <v>2</v>
      </c>
      <c r="F19" s="55">
        <v>14</v>
      </c>
      <c r="G19" s="55">
        <f t="shared" si="0"/>
        <v>28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7" t="s">
        <v>75</v>
      </c>
      <c r="C20" s="138"/>
      <c r="D20" s="138"/>
      <c r="E20" s="138"/>
      <c r="F20" s="138"/>
      <c r="G20" s="139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7" t="s">
        <v>29</v>
      </c>
      <c r="C31" s="138"/>
      <c r="D31" s="138"/>
      <c r="E31" s="138"/>
      <c r="F31" s="138"/>
      <c r="G31" s="139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algorithmName="SHA-512" hashValue="1g15yvVVlG88O38kklOZLras0/H57/XmmhZQq7b9bfzBRmZCdaVcAWrov/M+Ip/aV7JvVrhJTnC8npdNYBeDjQ==" saltValue="0NgVTQ/j2SHeDcGZae30SQ==" spinCount="100000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3" sqref="C13: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2018-06-01T01:20:49Z</dcterms:modified>
</cp:coreProperties>
</file>