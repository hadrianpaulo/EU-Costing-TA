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data_general'!$B$1:$F$78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7" i="9" l="1"/>
  <c r="G18" i="9"/>
  <c r="G19" i="9"/>
  <c r="G16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8" i="1"/>
  <c r="E78" i="1"/>
  <c r="D78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<sst xmlns="http://schemas.openxmlformats.org/spreadsheetml/2006/main" count="495" uniqueCount="205">
  <si>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</si>
  <si>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</si>
  <si>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</si>
  <si>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</si>
  <si>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</si>
  <si>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</si>
  <si>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</si>
  <si>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</si>
  <si>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</si>
  <si>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</si>
  <si>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</si>
  <si>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</si>
  <si>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</si>
  <si>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</si>
  <si>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</si>
  <si>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</si>
  <si>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</si>
  <si>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</si>
  <si>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</si>
  <si>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</si>
  <si>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</si>
  <si>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</si>
  <si>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</si>
  <si>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</si>
  <si>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</si>
  <si>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</si>
  <si>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</si>
  <si>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</si>
  <si>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</si>
  <si>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</si>
  <si>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</si>
  <si>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</si>
  <si>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</si>
  <si>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</si>
  <si>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</si>
  <si>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</si>
  <si>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</si>
  <si>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</si>
  <si>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</si>
  <si>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</si>
  <si>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</si>
  <si>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</si>
  <si>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</si>
  <si>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</si>
  <si>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</si>
  <si>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</si>
  <si>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</si>
  <si>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</si>
  <si>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</si>
  <si>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</si>
  <si>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</si>
  <si>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</si>
  <si>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</si>
  <si>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</si>
  <si>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</si>
  <si>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</si>
  <si>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</si>
  <si>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</si>
  <si>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</si>
  <si>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</si>
  <si>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</si>
  <si>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</si>
  <si>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</si>
  <si>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</si>
  <si>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</si>
  <si>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</si>
  <si>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</si>
  <si>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</si>
  <si>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</si>
  <si>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</si>
  <si>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</si>
  <si>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</si>
  <si>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</si>
  <si>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</si>
  <si>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</si>
  <si>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</si>
  <si>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</si>
  <si>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</si>
  <si>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</si>
  <si>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</si>
  <si>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</si>
  <si>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</si>
  <si>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</si>
  <si>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</si>
  <si>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</si>
  <si>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</si>
  <si>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</si>
  <si>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</si>
  <si>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</si>
  <si>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</si>
  <si>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</si>
  <si>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</si>
  <si>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</si>
  <si>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</si>
  <si>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</si>
  <si>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</si>
  <si>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</si>
  <si>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</si>
  <si>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</si>
  <si>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</si>
  <si>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</si>
  <si>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</si>
  <si>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</si>
  <si>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</si>
  <si>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</si>
  <si>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</si>
  <si>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</si>
  <si>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</si>
  <si>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</si>
  <si>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</si>
  <si>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</si>
  <si>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</si>
  <si>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</si>
  <si>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</si>
  <si>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</si>
  <si>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</si>
  <si>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</si>
  <si>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</si>
  <si>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</si>
  <si>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</si>
  <si>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</si>
  <si>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</si>
  <si>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</si>
  <si>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</si>
  <si>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</si>
  <si>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</si>
  <si>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</si>
  <si>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</si>
  <si>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</si>
  <si>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</si>
  <si>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</si>
  <si>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</si>
  <si>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</si>
  <si>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</si>
  <si>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</si>
  <si>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</si>
  <si>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</si>
  <si>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</si>
  <si>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</si>
  <si>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</si>
  <si>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</si>
  <si>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</si>
  <si>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</si>
  <si>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</si>
  <si>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</si>
  <si>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</si>
  <si>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</si>
  <si>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</si>
  <si>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</si>
  <si>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</si>
  <si>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</si>
  <si>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</si>
  <si>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</si>
  <si>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</si>
  <si>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</si>
  <si>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</si>
  <si>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</si>
  <si>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</si>
  <si>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</si>
  <si>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</si>
  <si>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</si>
  <si>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</si>
  <si>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</si>
  <si>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</si>
  <si>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</si>
  <si>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LABORATORY</t>
  </si>
  <si>
    <t>ROOM AND ACCOMMODATION</t>
  </si>
  <si>
    <t>PROFESSIONAL FEE</t>
  </si>
  <si>
    <t>PLAIN NSS</t>
  </si>
  <si>
    <t>fluid</t>
  </si>
  <si>
    <t>NA (SODIUM)</t>
  </si>
  <si>
    <t>CREATININE (CREA)</t>
  </si>
  <si>
    <t>K (POTASSIUM)</t>
  </si>
  <si>
    <t>CBC, PC</t>
  </si>
  <si>
    <t>BLOOD EXTRACTION FEE</t>
  </si>
  <si>
    <t>1L</t>
  </si>
  <si>
    <t>vial</t>
  </si>
  <si>
    <t>FECALYSIS</t>
  </si>
  <si>
    <t>PARACETAMOL (ACETAMINOPHEN)</t>
  </si>
  <si>
    <t>300MG-2ML</t>
  </si>
  <si>
    <t>DENGUE</t>
  </si>
  <si>
    <t>360493/74210</t>
  </si>
  <si>
    <t>A97.1</t>
  </si>
  <si>
    <t>N10</t>
  </si>
  <si>
    <t>J06.8</t>
  </si>
  <si>
    <t>DENGUE TEST</t>
  </si>
  <si>
    <t>URINALYSIS (UA)</t>
  </si>
  <si>
    <t>OCCULT BLOOD</t>
  </si>
  <si>
    <t>(PLAIN LRS 1L) LACTATED RINGER'S SOLUTION</t>
  </si>
  <si>
    <t>1000ML</t>
  </si>
  <si>
    <t>DIPHENHYDRAMINE HCL</t>
  </si>
  <si>
    <t>50MG/1ML</t>
  </si>
  <si>
    <t>OMEPRAZOLE</t>
  </si>
  <si>
    <t>powder</t>
  </si>
  <si>
    <t>40MG</t>
  </si>
  <si>
    <t>D5 WATER</t>
  </si>
  <si>
    <t>500ML</t>
  </si>
  <si>
    <t>CEFTRIAXONE SODIUM</t>
  </si>
  <si>
    <t>1G</t>
  </si>
  <si>
    <t>IV SET W/ AIRWAY FOR IV PUSH VACOSET/MACRODRIP, ADULT</t>
  </si>
  <si>
    <t>IV SET FOR PEDIA W/ BURETTE FOR DOSIFICATION VENTS W/ FILTER, SOLUSET</t>
  </si>
  <si>
    <t>DISPOSABLE INSULIN SYRINGE 1CC G 30 0.3 X 8MM</t>
  </si>
  <si>
    <t>DISPOSABLE SYRINGE 10ML G 21, W/ NEEDLE</t>
  </si>
  <si>
    <t>set</t>
  </si>
  <si>
    <t>piece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</si>
</sst>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66</xdr:row>
          <xdr:rowOff>19050</xdr:rowOff>
        </xdr:from>
        <xdr:to>
          <xdr:col>1</xdr:col>
          <xdr:colOff>733425</xdr:colOff>
          <xdr:row>66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1504950</xdr:colOff>
          <xdr:row>66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5"/>
  <sheetViews>
    <sheetView topLeftCell="A66" zoomScale="145" zoomScaleNormal="145" workbookViewId="0">
      <selection activeCell="D72" sqref="D7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180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12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3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182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183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184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173</v>
      </c>
      <c r="D34" s="23"/>
      <c r="E34" s="57">
        <v>3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185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186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174</v>
      </c>
      <c r="D37" s="23"/>
      <c r="E37" s="57">
        <v>2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187</v>
      </c>
      <c r="D38" s="23"/>
      <c r="E38" s="57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170</v>
      </c>
      <c r="D39" s="23"/>
      <c r="E39" s="57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171</v>
      </c>
      <c r="D40" s="23"/>
      <c r="E40" s="57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172</v>
      </c>
      <c r="D41" s="23"/>
      <c r="E41" s="57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177</v>
      </c>
      <c r="D42" s="23"/>
      <c r="E42" s="57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7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7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27"/>
      <c r="D45" s="23"/>
      <c r="E45" s="57">
        <v>1</v>
      </c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19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2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3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9" t="s">
        <v>43</v>
      </c>
      <c r="C50" s="120"/>
      <c r="D50" s="117"/>
      <c r="E50" s="120"/>
      <c r="F50" s="118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4" t="s">
        <v>44</v>
      </c>
      <c r="C51" s="13"/>
      <c r="D51" s="13"/>
      <c r="E51" s="16"/>
      <c r="F51" s="1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6" t="s">
        <v>52</v>
      </c>
      <c r="C52" s="117"/>
      <c r="D52" s="117"/>
      <c r="E52" s="117"/>
      <c r="F52" s="118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1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2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thickBot="1" x14ac:dyDescent="0.35">
      <c r="A57" s="1"/>
      <c r="B57" s="116" t="s">
        <v>20</v>
      </c>
      <c r="C57" s="117"/>
      <c r="D57" s="117"/>
      <c r="E57" s="117"/>
      <c r="F57" s="118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1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2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3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4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5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6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5"/>
      <c r="C64" s="25"/>
      <c r="D64" s="25"/>
      <c r="E64" s="25"/>
      <c r="F64" s="2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57.75" customHeight="1" thickBot="1" x14ac:dyDescent="0.35">
      <c r="A66" s="1"/>
      <c r="B66" s="17" t="s">
        <v>54</v>
      </c>
      <c r="C66" s="17" t="s">
        <v>50</v>
      </c>
      <c r="D66" s="17" t="s">
        <v>55</v>
      </c>
      <c r="E66" s="18" t="s">
        <v>56</v>
      </c>
      <c r="F66" s="19" t="s">
        <v>21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2">
        <v>1</v>
      </c>
      <c r="C67" s="27" t="s">
        <v>163</v>
      </c>
      <c r="D67" s="55">
        <v>611.49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2</v>
      </c>
      <c r="C68" s="27" t="s">
        <v>164</v>
      </c>
      <c r="D68" s="55">
        <v>279.58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3</v>
      </c>
      <c r="C69" s="27" t="s">
        <v>165</v>
      </c>
      <c r="D69" s="55">
        <v>1895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4</v>
      </c>
      <c r="C70" s="27" t="s">
        <v>166</v>
      </c>
      <c r="D70" s="55">
        <v>1500</v>
      </c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5</v>
      </c>
      <c r="C71" s="27" t="s">
        <v>167</v>
      </c>
      <c r="D71" s="55">
        <v>3000</v>
      </c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6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7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8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9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10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4.9000000000000004" customHeight="1" thickBot="1" x14ac:dyDescent="0.35">
      <c r="A77" s="1"/>
      <c r="B77" s="1"/>
      <c r="C77" s="1"/>
      <c r="D77" s="58"/>
      <c r="E77" s="58"/>
      <c r="F77" s="58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thickTop="1" x14ac:dyDescent="0.3">
      <c r="A78" s="1"/>
      <c r="B78" s="11"/>
      <c r="C78" s="4" t="s">
        <v>22</v>
      </c>
      <c r="D78" s="59">
        <f>SUM(D67:D77)</f>
        <v>7286.07</v>
      </c>
      <c r="E78" s="59">
        <f>SUM(E67:E77)</f>
        <v>0</v>
      </c>
      <c r="F78" s="59">
        <f>SUM(F67:F77)</f>
        <v>0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</sheetData>
  <sheetProtection formatColumns="0" formatRows="0" sort="0" autoFilter="0"/>
  <mergeCells count="12">
    <mergeCell ref="B57:F57"/>
    <mergeCell ref="B50:F50"/>
    <mergeCell ref="B12:F12"/>
    <mergeCell ref="B13:F13"/>
    <mergeCell ref="B14:F14"/>
    <mergeCell ref="B15:F15"/>
    <mergeCell ref="B18:F18"/>
    <mergeCell ref="B22:F22"/>
    <mergeCell ref="B33:F33"/>
    <mergeCell ref="B28:F28"/>
    <mergeCell ref="B46:F46"/>
    <mergeCell ref="B52:F52"/>
  </mergeCells>
  <dataValidations count="1">
    <dataValidation type="decimal" operator="greaterThanOrEqual" allowBlank="1" showInputMessage="1" showErrorMessage="1" sqref="E32 E47:E49 E51 E23:F27 E53:F56 E58:F63 D67:F76 E34:E4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66</xdr:row>
                    <xdr:rowOff>19050</xdr:rowOff>
                  </from>
                  <to>
                    <xdr:col>1</xdr:col>
                    <xdr:colOff>733425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1504950</xdr:colOff>
                    <xdr:row>66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zoomScale="115" zoomScaleNormal="115" workbookViewId="0">
      <selection activeCell="C17" sqref="C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DENGUE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188</v>
      </c>
      <c r="D11" s="27" t="s">
        <v>169</v>
      </c>
      <c r="E11" s="27" t="s">
        <v>189</v>
      </c>
      <c r="F11" s="55">
        <v>1</v>
      </c>
      <c r="G11" s="55">
        <v>1</v>
      </c>
      <c r="H11" s="55">
        <v>2</v>
      </c>
      <c r="I11" s="55">
        <v>49.33</v>
      </c>
      <c r="J11" s="55">
        <f>H11*I11</f>
        <v>98.66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178</v>
      </c>
      <c r="D12" s="27" t="s">
        <v>176</v>
      </c>
      <c r="E12" s="27" t="s">
        <v>179</v>
      </c>
      <c r="F12" s="55">
        <v>3</v>
      </c>
      <c r="G12" s="55">
        <v>3</v>
      </c>
      <c r="H12" s="55">
        <v>10</v>
      </c>
      <c r="I12" s="55">
        <v>4.57</v>
      </c>
      <c r="J12" s="55">
        <f t="shared" ref="J12:J26" si="0">H12*I12</f>
        <v>45.7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190</v>
      </c>
      <c r="D13" s="27" t="s">
        <v>176</v>
      </c>
      <c r="E13" s="27" t="s">
        <v>191</v>
      </c>
      <c r="F13" s="55">
        <v>1</v>
      </c>
      <c r="G13" s="55">
        <v>1</v>
      </c>
      <c r="H13" s="55">
        <v>1</v>
      </c>
      <c r="I13" s="55">
        <v>24.31</v>
      </c>
      <c r="J13" s="55">
        <f t="shared" si="0"/>
        <v>24.31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192</v>
      </c>
      <c r="D14" s="27" t="s">
        <v>193</v>
      </c>
      <c r="E14" s="27" t="s">
        <v>194</v>
      </c>
      <c r="F14" s="55">
        <v>2</v>
      </c>
      <c r="G14" s="55">
        <v>2</v>
      </c>
      <c r="H14" s="55">
        <v>4</v>
      </c>
      <c r="I14" s="55">
        <v>30.96</v>
      </c>
      <c r="J14" s="55">
        <f t="shared" si="0"/>
        <v>123.84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168</v>
      </c>
      <c r="D15" s="27" t="s">
        <v>169</v>
      </c>
      <c r="E15" s="27" t="s">
        <v>175</v>
      </c>
      <c r="F15" s="55">
        <v>1</v>
      </c>
      <c r="G15" s="55">
        <v>1</v>
      </c>
      <c r="H15" s="55">
        <v>4</v>
      </c>
      <c r="I15" s="55">
        <v>50.67</v>
      </c>
      <c r="J15" s="55">
        <f t="shared" si="0"/>
        <v>202.68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195</v>
      </c>
      <c r="D16" s="27" t="s">
        <v>169</v>
      </c>
      <c r="E16" s="27" t="s">
        <v>196</v>
      </c>
      <c r="F16" s="55">
        <v>1</v>
      </c>
      <c r="G16" s="55">
        <v>1</v>
      </c>
      <c r="H16" s="55">
        <v>1</v>
      </c>
      <c r="I16" s="55">
        <v>55.85</v>
      </c>
      <c r="J16" s="55">
        <f t="shared" si="0"/>
        <v>55.85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197</v>
      </c>
      <c r="D17" s="27" t="s">
        <v>176</v>
      </c>
      <c r="E17" s="27" t="s">
        <v>198</v>
      </c>
      <c r="F17" s="55">
        <v>1</v>
      </c>
      <c r="G17" s="55">
        <v>1</v>
      </c>
      <c r="H17" s="55">
        <v>3</v>
      </c>
      <c r="I17" s="55">
        <v>20.149999999999999</v>
      </c>
      <c r="J17" s="55">
        <f t="shared" si="0"/>
        <v>60.449999999999996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C19" sqref="C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DENGUE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199</v>
      </c>
      <c r="D16" s="70" t="s">
        <v>203</v>
      </c>
      <c r="E16" s="55">
        <v>1</v>
      </c>
      <c r="F16" s="55">
        <v>14</v>
      </c>
      <c r="G16" s="55">
        <f>F16*E16</f>
        <v>14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200</v>
      </c>
      <c r="D17" s="70" t="s">
        <v>203</v>
      </c>
      <c r="E17" s="55">
        <v>2</v>
      </c>
      <c r="F17" s="55">
        <v>120</v>
      </c>
      <c r="G17" s="55">
        <f t="shared" ref="G17:G19" si="0">F17*E17</f>
        <v>240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201</v>
      </c>
      <c r="D18" s="70" t="s">
        <v>204</v>
      </c>
      <c r="E18" s="55">
        <v>1</v>
      </c>
      <c r="F18" s="55">
        <v>11.73</v>
      </c>
      <c r="G18" s="55">
        <f t="shared" si="0"/>
        <v>11.73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202</v>
      </c>
      <c r="D19" s="70" t="s">
        <v>204</v>
      </c>
      <c r="E19" s="55">
        <v>5</v>
      </c>
      <c r="F19" s="55">
        <v>2.77</v>
      </c>
      <c r="G19" s="55">
        <f t="shared" si="0"/>
        <v>13.85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C15" sqref="C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DENGUE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3</cp:lastModifiedBy>
  <dcterms:created xsi:type="dcterms:W3CDTF">2018-05-11T08:46:15Z</dcterms:created>
  <dcterms:modified xsi:type="dcterms:W3CDTF">2018-06-01T01:32:31Z</dcterms:modified>
</cp:coreProperties>
</file>