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Drugs&amp;Med'!$C$11:$C$12</definedName>
    <definedName name="_xlnm.Print_Area" localSheetId="0">'1.1 Case data_general'!$B$1:$F$74</definedName>
    <definedName name="_xlnm.Print_Area" localSheetId="1">'1.2 Drugs&amp;Med'!$B$2:$J$13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<sst xmlns="http://schemas.openxmlformats.org/spreadsheetml/2006/main" count="480" uniqueCount="193">
  <si>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</si>
  <si>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</si>
  <si>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</si>
  <si>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</si>
  <si>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</si>
  <si>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</si>
  <si>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</si>
  <si>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</si>
  <si>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</si>
  <si>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</si>
  <si>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</si>
  <si>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</si>
  <si>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</si>
  <si>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</si>
  <si>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</si>
  <si>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</si>
  <si>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</si>
  <si>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</si>
  <si>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</si>
  <si>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</si>
  <si>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</si>
  <si>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</si>
  <si>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</si>
  <si>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</si>
  <si>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</si>
  <si>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</si>
  <si>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</si>
  <si>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</si>
  <si>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</si>
  <si>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</si>
  <si>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</si>
  <si>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</si>
  <si>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</si>
  <si>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</si>
  <si>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</si>
  <si>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</si>
  <si>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</si>
  <si>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</si>
  <si>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</si>
  <si>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</si>
  <si>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</si>
  <si>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</si>
  <si>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</si>
  <si>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</si>
  <si>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</si>
  <si>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</si>
  <si>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</si>
  <si>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</si>
  <si>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</si>
  <si>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</si>
  <si>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</si>
  <si>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</si>
  <si>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</si>
  <si>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</si>
  <si>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</si>
  <si>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</si>
  <si>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</si>
  <si>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</si>
  <si>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</si>
  <si>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</si>
  <si>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</si>
  <si>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</si>
  <si>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</si>
  <si>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</si>
  <si>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</si>
  <si>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</si>
  <si>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</si>
  <si>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</si>
  <si>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</si>
  <si>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</si>
  <si>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</si>
  <si>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</si>
  <si>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</si>
  <si>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</si>
  <si>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</si>
  <si>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</si>
  <si>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</si>
  <si>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</si>
  <si>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</si>
  <si>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</si>
  <si>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</si>
  <si>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</si>
  <si>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</si>
  <si>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</si>
  <si>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</si>
  <si>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</si>
  <si>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</si>
  <si>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</si>
  <si>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</si>
  <si>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</si>
  <si>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</si>
  <si>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</si>
  <si>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</si>
  <si>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</si>
  <si>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</si>
  <si>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</si>
  <si>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</si>
  <si>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</si>
  <si>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</si>
  <si>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</si>
  <si>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</si>
  <si>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</si>
  <si>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</si>
  <si>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</si>
  <si>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</si>
  <si>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</si>
  <si>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</si>
  <si>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</si>
  <si>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</si>
  <si>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</si>
  <si>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</si>
  <si>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</si>
  <si>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</si>
  <si>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</si>
  <si>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</si>
  <si>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</si>
  <si>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</si>
  <si>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</si>
  <si>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</si>
  <si>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</si>
  <si>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</si>
  <si>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</si>
  <si>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</si>
  <si>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</si>
  <si>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</si>
  <si>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</si>
  <si>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</si>
  <si>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</si>
  <si>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</si>
  <si>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</si>
  <si>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</si>
  <si>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</si>
  <si>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</si>
  <si>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</si>
  <si>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</si>
  <si>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</si>
  <si>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</si>
  <si>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</si>
  <si>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</si>
  <si>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</si>
  <si>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</si>
  <si>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</si>
  <si>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</si>
  <si>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</si>
  <si>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</si>
  <si>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</si>
  <si>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</si>
  <si>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</si>
  <si>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</si>
  <si>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</si>
  <si>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</si>
  <si>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</si>
  <si>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</si>
  <si>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</si>
  <si>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</si>
  <si>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</si>
  <si>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</si>
  <si>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</si>
  <si>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</si>
  <si>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</si>
  <si>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</si>
  <si>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</si>
  <si>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</si>
  <si>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</si>
  <si>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</si>
  <si>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</si>
  <si>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</si>
  <si>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</si>
  <si>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PLAIN NSS</t>
  </si>
  <si>
    <t>fluid</t>
  </si>
  <si>
    <t>CBC, PC</t>
  </si>
  <si>
    <t>BLOOD EXTRACTION FEE</t>
  </si>
  <si>
    <t>1L</t>
  </si>
  <si>
    <t>vial</t>
  </si>
  <si>
    <t>FECALYSIS</t>
  </si>
  <si>
    <t>300MG-2ML</t>
  </si>
  <si>
    <t>DENGUE</t>
  </si>
  <si>
    <t>A97.1</t>
  </si>
  <si>
    <t>DENGUE TEST</t>
  </si>
  <si>
    <t>URINALYSIS (UA)</t>
  </si>
  <si>
    <t>359629/73861</t>
  </si>
  <si>
    <t>Z92.8</t>
  </si>
  <si>
    <t>BLOOD C/S</t>
  </si>
  <si>
    <t>SALMONELLA TYPHI TESTING - TYPHIDOT</t>
  </si>
  <si>
    <t>STOOL C/S</t>
  </si>
  <si>
    <t>OXYGEN NASAL CANNULA WITH THREAD CONNECTOR FOR ADULT</t>
  </si>
  <si>
    <t>DISPOSABLE SYRINGE 10ML G 21, W/ NEEDLE</t>
  </si>
  <si>
    <t>DISPOSABLE SYRINGE 5ML G 23, W/ NEEDLE</t>
  </si>
  <si>
    <t>DISPOSABLE SYRINGE 1ML G 25, W/ NEEDLE</t>
  </si>
  <si>
    <t>DISPOSABLE SYRINGE 3ML G 23, W/ NEEDLE</t>
  </si>
  <si>
    <t xml:space="preserve">PARACETAMOL (ACETAMINOPHEN) </t>
  </si>
  <si>
    <t>pack</t>
  </si>
  <si>
    <t>piece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</si>
</sst>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21" zoomScale="145" zoomScaleNormal="145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7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7">
        <v>11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179</v>
      </c>
      <c r="D37" s="23"/>
      <c r="E37" s="57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182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183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184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174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19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170.29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172.01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6060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3500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167</v>
      </c>
      <c r="D67" s="55">
        <v>3000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12902.3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8:F48"/>
  </mergeCells>
  <dataValidations count="1">
    <dataValidation type="decimal" operator="greaterThanOrEqual" allowBlank="1" showInputMessage="1" showErrorMessage="1" sqref="E32 E43:E45 E47 E23:F27 E49:F52 E54:F59 D63:F72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3"/>
  <sheetViews>
    <sheetView zoomScale="115" zoomScaleNormal="115" workbookViewId="0">
      <selection activeCell="C16" sqref="C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169</v>
      </c>
      <c r="E11" s="27" t="s">
        <v>172</v>
      </c>
      <c r="F11" s="55">
        <v>1</v>
      </c>
      <c r="G11" s="55">
        <v>3</v>
      </c>
      <c r="H11" s="55">
        <v>3</v>
      </c>
      <c r="I11" s="55">
        <v>50.67</v>
      </c>
      <c r="J11" s="55">
        <f>H11*I11</f>
        <v>152.01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173</v>
      </c>
      <c r="E12" s="27" t="s">
        <v>175</v>
      </c>
      <c r="F12" s="55">
        <v>1</v>
      </c>
      <c r="G12" s="55">
        <v>3</v>
      </c>
      <c r="H12" s="55">
        <v>4</v>
      </c>
      <c r="I12" s="55">
        <v>4.57</v>
      </c>
      <c r="J12" s="55">
        <f t="shared" ref="J12" si="0">H12*I12</f>
        <v>18.28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25">
      <c r="A13" s="33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20" ht="15.75" customHeight="1" x14ac:dyDescent="0.25"/>
    <row r="15" spans="1:20" ht="15.75" customHeight="1" x14ac:dyDescent="0.25"/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191</v>
      </c>
      <c r="E16" s="55">
        <v>1</v>
      </c>
      <c r="F16" s="55">
        <v>15.44</v>
      </c>
      <c r="G16" s="55">
        <f>F16*E16</f>
        <v>15.44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186</v>
      </c>
      <c r="D17" s="70" t="s">
        <v>192</v>
      </c>
      <c r="E17" s="55">
        <v>21</v>
      </c>
      <c r="F17" s="55">
        <v>2.77</v>
      </c>
      <c r="G17" s="55">
        <f t="shared" ref="G17:G20" si="0">F17*E17</f>
        <v>58.17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192</v>
      </c>
      <c r="E18" s="55">
        <v>12</v>
      </c>
      <c r="F18" s="55">
        <v>5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188</v>
      </c>
      <c r="D19" s="70" t="s">
        <v>192</v>
      </c>
      <c r="E19" s="55">
        <v>11</v>
      </c>
      <c r="F19" s="55">
        <v>1.6</v>
      </c>
      <c r="G19" s="55">
        <f t="shared" si="0"/>
        <v>17.600000000000001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192</v>
      </c>
      <c r="E20" s="55">
        <v>13</v>
      </c>
      <c r="F20" s="55">
        <v>1.6</v>
      </c>
      <c r="G20" s="55">
        <f t="shared" si="0"/>
        <v>20.8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7" t="s">
        <v>75</v>
      </c>
      <c r="C21" s="138"/>
      <c r="D21" s="138"/>
      <c r="E21" s="138"/>
      <c r="F21" s="138"/>
      <c r="G21" s="139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29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5" workbookViewId="0">
      <selection activeCell="L15" sqref="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2018-06-01T02:46:08Z</dcterms:modified>
</cp:coreProperties>
</file>