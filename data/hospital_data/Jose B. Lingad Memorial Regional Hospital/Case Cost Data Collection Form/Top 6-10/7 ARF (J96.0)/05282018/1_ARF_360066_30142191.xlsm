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PHIC-ECLAIMS 4\Desktop\Case Cost Data Collection Form\05312018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Supplies_Medical'!$C$15:$C$43</definedName>
    <definedName name="Drugs">'1.2 Drugs&amp;Med'!$C$11:$C$17</definedName>
    <definedName name="_xlnm.Print_Area" localSheetId="0">'1.1 Case data_general'!$B$1:$F$72</definedName>
    <definedName name="_xlnm.Print_Area" localSheetId="1">'1.2 Drugs&amp;Med'!$B$2:$J$18</definedName>
  </definedNames>
  <calcPr calcId="162913"/>
  <fileRecoveryPr repairLoad="1"/>
</workbook>
</file>

<file path=xl/calcChain.xml><?xml version="1.0" encoding="utf-8"?>
<calcChain xmlns="http://schemas.openxmlformats.org/spreadsheetml/2006/main">
  <c r="G21" i="9" l="1"/>
  <c r="G20" i="9"/>
  <c r="G19" i="9"/>
  <c r="G18" i="9"/>
  <c r="G17" i="9"/>
  <c r="G16" i="9"/>
  <c r="J12" i="2" l="1"/>
  <c r="J13" i="2"/>
  <c r="J14" i="2"/>
  <c r="J15" i="2"/>
  <c r="J16" i="2"/>
  <c r="J17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2" i="1"/>
  <c r="E72" i="1"/>
  <c r="D72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<sst xmlns="http://schemas.openxmlformats.org/spreadsheetml/2006/main" count="497" uniqueCount="208">
  <si>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</si>
  <si>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</si>
  <si>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</si>
  <si>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</si>
  <si>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</si>
  <si>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</si>
  <si>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</si>
  <si>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</si>
  <si>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</si>
  <si>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</si>
  <si>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</si>
  <si>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</si>
  <si>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</si>
  <si>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</si>
  <si>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</si>
  <si>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</si>
  <si>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</si>
  <si>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</si>
  <si>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</si>
  <si>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</si>
  <si>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</si>
  <si>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</si>
  <si>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</si>
  <si>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</si>
  <si>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</si>
  <si>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</si>
  <si>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</si>
  <si>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</si>
  <si>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</si>
  <si>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</si>
  <si>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</si>
  <si>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</si>
  <si>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</si>
  <si>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</si>
  <si>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</si>
  <si>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</si>
  <si>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</si>
  <si>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</si>
  <si>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</si>
  <si>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</si>
  <si>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</si>
  <si>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</si>
  <si>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</si>
  <si>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</si>
  <si>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</si>
  <si>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</si>
  <si>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</si>
  <si>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</si>
  <si>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</si>
  <si>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</si>
  <si>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</si>
  <si>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</si>
  <si>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</si>
  <si>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</si>
  <si>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</si>
  <si>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</si>
  <si>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</si>
  <si>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</si>
  <si>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</si>
  <si>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</si>
  <si>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</si>
  <si>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</si>
  <si>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</si>
  <si>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</si>
  <si>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</si>
  <si>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</si>
  <si>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</si>
  <si>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</si>
  <si>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</si>
  <si>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</si>
  <si>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</si>
  <si>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</si>
  <si>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</si>
  <si>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</si>
  <si>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</si>
  <si>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</si>
  <si>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</si>
  <si>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</si>
  <si>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</si>
  <si>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</si>
  <si>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</si>
  <si>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</si>
  <si>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</si>
  <si>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</si>
  <si>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</si>
  <si>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</si>
  <si>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</si>
  <si>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</si>
  <si>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</si>
  <si>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</si>
  <si>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</si>
  <si>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</si>
  <si>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</si>
  <si>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</si>
  <si>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</si>
  <si>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</si>
  <si>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</si>
  <si>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</si>
  <si>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</si>
  <si>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</si>
  <si>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</si>
  <si>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</si>
  <si>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</si>
  <si>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</si>
  <si>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</si>
  <si>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</si>
  <si>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</si>
  <si>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</si>
  <si>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</si>
  <si>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</si>
  <si>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</si>
  <si>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</si>
  <si>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</si>
  <si>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</si>
  <si>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</si>
  <si>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</si>
  <si>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</si>
  <si>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</si>
  <si>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</si>
  <si>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</si>
  <si>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</si>
  <si>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</si>
  <si>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</si>
  <si>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</si>
  <si>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</si>
  <si>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</si>
  <si>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</si>
  <si>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</si>
  <si>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</si>
  <si>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</si>
  <si>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</si>
  <si>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</si>
  <si>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</si>
  <si>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</si>
  <si>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</si>
  <si>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</si>
  <si>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</si>
  <si>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</si>
  <si>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</si>
  <si>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</si>
  <si>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</si>
  <si>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</si>
  <si>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</si>
  <si>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</si>
  <si>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</si>
  <si>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</si>
  <si>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</si>
  <si>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</si>
  <si>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</si>
  <si>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</si>
  <si>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</si>
  <si>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</si>
  <si>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</si>
  <si>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</si>
  <si>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</si>
  <si>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</si>
  <si>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</si>
  <si>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</si>
  <si>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</si>
  <si>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</si>
  <si>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</si>
  <si>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</si>
  <si>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</si>
  <si>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</si>
  <si>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</si>
  <si>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</si>
  <si>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</si>
  <si>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ROOM AND ACCOMMODATION</t>
  </si>
  <si>
    <t>PROFESSIONAL FEE</t>
  </si>
  <si>
    <t>PLAIN NSS</t>
  </si>
  <si>
    <t>fluid</t>
  </si>
  <si>
    <t>360066/73990</t>
  </si>
  <si>
    <t>I61.3</t>
  </si>
  <si>
    <t>J96.0</t>
  </si>
  <si>
    <t>ARF</t>
  </si>
  <si>
    <t>bottle</t>
  </si>
  <si>
    <t xml:space="preserve"> 3.35G/5ML 120ML</t>
  </si>
  <si>
    <t xml:space="preserve">MANNITOL X 24''S </t>
  </si>
  <si>
    <t>20%/ 500ML</t>
  </si>
  <si>
    <t xml:space="preserve"> 1L</t>
  </si>
  <si>
    <t xml:space="preserve">RANITIDINE HCI </t>
  </si>
  <si>
    <t>25MG/ML-2ML</t>
  </si>
  <si>
    <t>OMEPRAZOLE POWDER</t>
  </si>
  <si>
    <t xml:space="preserve">40MG </t>
  </si>
  <si>
    <t>CAPTOPRIL</t>
  </si>
  <si>
    <t xml:space="preserve"> 25MG</t>
  </si>
  <si>
    <t>AMLODIPINE BESYLATE IN BLISTER/FOIL PACK</t>
  </si>
  <si>
    <t xml:space="preserve"> 10MG</t>
  </si>
  <si>
    <t>tablet</t>
  </si>
  <si>
    <t xml:space="preserve">DISPOSABLE SYRINGE 10ML G 21, W/ NEEDLE X 100S </t>
  </si>
  <si>
    <t>HEMOGLUCOTEST TEST STRIP BOX OF 50S W/ FREE GLUCOMETER MACHINE FOR EVERY PURCHASE OF 25 BOXES WITH 2 EXTRA BATTERIES FOR EVERY GLUCOMETER MACHINE (CURACHECK/KOREA)</t>
  </si>
  <si>
    <t>IV CATHETER GAUGE 18</t>
  </si>
  <si>
    <t>IV CATHETER GAUGE 22</t>
  </si>
  <si>
    <t>OXYGEN FULL TANK</t>
  </si>
  <si>
    <t>VENTURI MASK, ADULT</t>
  </si>
  <si>
    <t>piece</t>
  </si>
  <si>
    <t>tank</t>
  </si>
  <si>
    <t>NA (SODIUM)</t>
  </si>
  <si>
    <t>CREATININE (CREA)</t>
  </si>
  <si>
    <t>K (POTASSIUM)</t>
  </si>
  <si>
    <t>BLOOD UREA NITROGEN (BUN)</t>
  </si>
  <si>
    <t>RANDOM BLOOD SUGAR (RBS)</t>
  </si>
  <si>
    <t>CBC, PC</t>
  </si>
  <si>
    <t>BLOOD EXTRACTION FEE</t>
  </si>
  <si>
    <t>LIPID PROFILE</t>
  </si>
  <si>
    <t>URINALYSIS (UA)</t>
  </si>
  <si>
    <t xml:space="preserve">LACTULOSE SYRUP </t>
  </si>
  <si>
    <t>CHEST PA ADULT (1 VIEW)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</si>
</sst>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42</xdr:row>
          <xdr:rowOff>19050</xdr:rowOff>
        </xdr:from>
        <xdr:to>
          <xdr:col>1</xdr:col>
          <xdr:colOff>733425</xdr:colOff>
          <xdr:row>42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42</xdr:row>
          <xdr:rowOff>19050</xdr:rowOff>
        </xdr:from>
        <xdr:to>
          <xdr:col>1</xdr:col>
          <xdr:colOff>1504950</xdr:colOff>
          <xdr:row>42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46</xdr:row>
          <xdr:rowOff>19050</xdr:rowOff>
        </xdr:from>
        <xdr:to>
          <xdr:col>1</xdr:col>
          <xdr:colOff>733425</xdr:colOff>
          <xdr:row>46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46</xdr:row>
          <xdr:rowOff>19050</xdr:rowOff>
        </xdr:from>
        <xdr:to>
          <xdr:col>1</xdr:col>
          <xdr:colOff>1504950</xdr:colOff>
          <xdr:row>46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51</xdr:row>
          <xdr:rowOff>19050</xdr:rowOff>
        </xdr:from>
        <xdr:to>
          <xdr:col>1</xdr:col>
          <xdr:colOff>733425</xdr:colOff>
          <xdr:row>51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51</xdr:row>
          <xdr:rowOff>19050</xdr:rowOff>
        </xdr:from>
        <xdr:to>
          <xdr:col>1</xdr:col>
          <xdr:colOff>1504950</xdr:colOff>
          <xdr:row>51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60</xdr:row>
          <xdr:rowOff>19050</xdr:rowOff>
        </xdr:from>
        <xdr:to>
          <xdr:col>1</xdr:col>
          <xdr:colOff>733425</xdr:colOff>
          <xdr:row>60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60</xdr:row>
          <xdr:rowOff>19050</xdr:rowOff>
        </xdr:from>
        <xdr:to>
          <xdr:col>1</xdr:col>
          <xdr:colOff>1504950</xdr:colOff>
          <xdr:row>60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22</xdr:row>
          <xdr:rowOff>28575</xdr:rowOff>
        </xdr:from>
        <xdr:to>
          <xdr:col>1</xdr:col>
          <xdr:colOff>762000</xdr:colOff>
          <xdr:row>22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22</xdr:row>
          <xdr:rowOff>28575</xdr:rowOff>
        </xdr:from>
        <xdr:to>
          <xdr:col>1</xdr:col>
          <xdr:colOff>1533525</xdr:colOff>
          <xdr:row>22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33</xdr:row>
          <xdr:rowOff>28575</xdr:rowOff>
        </xdr:from>
        <xdr:to>
          <xdr:col>1</xdr:col>
          <xdr:colOff>771525</xdr:colOff>
          <xdr:row>33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33</xdr:row>
          <xdr:rowOff>28575</xdr:rowOff>
        </xdr:from>
        <xdr:to>
          <xdr:col>1</xdr:col>
          <xdr:colOff>1543050</xdr:colOff>
          <xdr:row>33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9"/>
  <sheetViews>
    <sheetView tabSelected="1" zoomScaleNormal="100" workbookViewId="0">
      <selection activeCell="C47" sqref="C47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174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9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1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171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173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6" t="s">
        <v>51</v>
      </c>
      <c r="C21" s="117"/>
      <c r="D21" s="117"/>
      <c r="E21" s="117"/>
      <c r="F21" s="118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9" t="s">
        <v>42</v>
      </c>
      <c r="C27" s="120"/>
      <c r="D27" s="120"/>
      <c r="E27" s="120"/>
      <c r="F27" s="130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158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159</v>
      </c>
      <c r="C29" s="114" t="s">
        <v>123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160</v>
      </c>
      <c r="C30" s="114" t="s">
        <v>137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2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6" t="s">
        <v>18</v>
      </c>
      <c r="C32" s="117"/>
      <c r="D32" s="117"/>
      <c r="E32" s="117"/>
      <c r="F32" s="118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197</v>
      </c>
      <c r="D33" s="23"/>
      <c r="E33" s="57">
        <v>1</v>
      </c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198</v>
      </c>
      <c r="D34" s="23"/>
      <c r="E34" s="55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 t="s">
        <v>199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 t="s">
        <v>200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5</v>
      </c>
      <c r="C37" s="27" t="s">
        <v>201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6</v>
      </c>
      <c r="C38" s="27" t="s">
        <v>202</v>
      </c>
      <c r="D38" s="23"/>
      <c r="E38" s="55">
        <v>1</v>
      </c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7</v>
      </c>
      <c r="C39" s="27" t="s">
        <v>203</v>
      </c>
      <c r="D39" s="23"/>
      <c r="E39" s="55">
        <v>3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8</v>
      </c>
      <c r="C40" s="27" t="s">
        <v>204</v>
      </c>
      <c r="D40" s="23"/>
      <c r="E40" s="55">
        <v>1</v>
      </c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9</v>
      </c>
      <c r="C41" s="27" t="s">
        <v>205</v>
      </c>
      <c r="D41" s="23"/>
      <c r="E41" s="55">
        <v>1</v>
      </c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thickBot="1" x14ac:dyDescent="0.35">
      <c r="A42" s="1"/>
      <c r="B42" s="119" t="s">
        <v>19</v>
      </c>
      <c r="C42" s="120"/>
      <c r="D42" s="117"/>
      <c r="E42" s="120"/>
      <c r="F42" s="118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1</v>
      </c>
      <c r="C43" s="27" t="s">
        <v>207</v>
      </c>
      <c r="D43" s="23"/>
      <c r="E43" s="55">
        <v>1</v>
      </c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thickBot="1" x14ac:dyDescent="0.35">
      <c r="A44" s="1"/>
      <c r="B44" s="119" t="s">
        <v>43</v>
      </c>
      <c r="C44" s="120"/>
      <c r="D44" s="117"/>
      <c r="E44" s="120"/>
      <c r="F44" s="118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14" t="s">
        <v>44</v>
      </c>
      <c r="C45" s="13"/>
      <c r="D45" s="13"/>
      <c r="E45" s="16"/>
      <c r="F45" s="13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6" t="s">
        <v>52</v>
      </c>
      <c r="C46" s="117"/>
      <c r="D46" s="117"/>
      <c r="E46" s="117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1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30">
        <v>2</v>
      </c>
      <c r="C48" s="31"/>
      <c r="D48" s="32"/>
      <c r="E48" s="57"/>
      <c r="F48" s="57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3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26">
        <v>4</v>
      </c>
      <c r="C50" s="27"/>
      <c r="D50" s="28"/>
      <c r="E50" s="55"/>
      <c r="F50" s="55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thickBot="1" x14ac:dyDescent="0.35">
      <c r="A51" s="1"/>
      <c r="B51" s="116" t="s">
        <v>20</v>
      </c>
      <c r="C51" s="117"/>
      <c r="D51" s="117"/>
      <c r="E51" s="117"/>
      <c r="F51" s="118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1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2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3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4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5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6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5"/>
      <c r="C58" s="25"/>
      <c r="D58" s="25"/>
      <c r="E58" s="25"/>
      <c r="F58" s="2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57.75" customHeight="1" thickBot="1" x14ac:dyDescent="0.35">
      <c r="A60" s="1"/>
      <c r="B60" s="17" t="s">
        <v>54</v>
      </c>
      <c r="C60" s="17" t="s">
        <v>50</v>
      </c>
      <c r="D60" s="17" t="s">
        <v>55</v>
      </c>
      <c r="E60" s="18" t="s">
        <v>56</v>
      </c>
      <c r="F60" s="19" t="s">
        <v>21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2">
        <v>1</v>
      </c>
      <c r="C61" s="27" t="s">
        <v>163</v>
      </c>
      <c r="D61" s="55">
        <v>549.94000000000005</v>
      </c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2</v>
      </c>
      <c r="C62" s="27" t="s">
        <v>164</v>
      </c>
      <c r="D62" s="55">
        <v>909.45</v>
      </c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3</v>
      </c>
      <c r="C63" s="27" t="s">
        <v>165</v>
      </c>
      <c r="D63" s="55">
        <v>120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4</v>
      </c>
      <c r="C64" s="27" t="s">
        <v>166</v>
      </c>
      <c r="D64" s="55">
        <v>1405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5</v>
      </c>
      <c r="C65" s="27" t="s">
        <v>167</v>
      </c>
      <c r="D65" s="55">
        <v>2500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6</v>
      </c>
      <c r="C66" s="27" t="s">
        <v>168</v>
      </c>
      <c r="D66" s="55">
        <v>21000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7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8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9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10</v>
      </c>
      <c r="C70" s="27"/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4.9000000000000004" customHeight="1" thickBot="1" x14ac:dyDescent="0.35">
      <c r="A71" s="1"/>
      <c r="B71" s="1"/>
      <c r="C71" s="1"/>
      <c r="D71" s="58"/>
      <c r="E71" s="58"/>
      <c r="F71" s="58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thickTop="1" x14ac:dyDescent="0.3">
      <c r="A72" s="1"/>
      <c r="B72" s="11"/>
      <c r="C72" s="4" t="s">
        <v>22</v>
      </c>
      <c r="D72" s="59">
        <f>SUM(D61:D71)</f>
        <v>26484.39</v>
      </c>
      <c r="E72" s="59">
        <f>SUM(E61:E71)</f>
        <v>0</v>
      </c>
      <c r="F72" s="59">
        <f>SUM(F61:F71)</f>
        <v>0</v>
      </c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</sheetData>
  <sheetProtection algorithmName="SHA-512" hashValue="YYij4UMS7OzY0T5YntXTAELkg2vb7ml/1KIWofGMU+fQjxx2k6vdPbgV5ZVTQat6DWM76B6G1nWCVBDvapVq0g==" saltValue="i9A9JXCzlNS4F+cRqdqvcg==" spinCount="100000" sheet="1" objects="1" scenarios="1" formatColumns="0" formatRows="0" sort="0" autoFilter="0"/>
  <mergeCells count="12">
    <mergeCell ref="B51:F51"/>
    <mergeCell ref="B44:F44"/>
    <mergeCell ref="B12:F12"/>
    <mergeCell ref="B13:F13"/>
    <mergeCell ref="B14:F14"/>
    <mergeCell ref="B15:F15"/>
    <mergeCell ref="B18:F18"/>
    <mergeCell ref="B21:F21"/>
    <mergeCell ref="B32:F32"/>
    <mergeCell ref="B27:F27"/>
    <mergeCell ref="B42:F42"/>
    <mergeCell ref="B46:F46"/>
  </mergeCells>
  <dataValidations count="1">
    <dataValidation type="decimal" operator="greaterThanOrEqual" allowBlank="1" showInputMessage="1" showErrorMessage="1" sqref="E31 E43 E45 E22:F26 E47:F50 E52:F57 D61:F70 E33:E35 E36:E41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9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42</xdr:row>
                    <xdr:rowOff>19050</xdr:rowOff>
                  </from>
                  <to>
                    <xdr:col>1</xdr:col>
                    <xdr:colOff>733425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42</xdr:row>
                    <xdr:rowOff>19050</xdr:rowOff>
                  </from>
                  <to>
                    <xdr:col>1</xdr:col>
                    <xdr:colOff>1504950</xdr:colOff>
                    <xdr:row>42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46</xdr:row>
                    <xdr:rowOff>19050</xdr:rowOff>
                  </from>
                  <to>
                    <xdr:col>1</xdr:col>
                    <xdr:colOff>733425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46</xdr:row>
                    <xdr:rowOff>19050</xdr:rowOff>
                  </from>
                  <to>
                    <xdr:col>1</xdr:col>
                    <xdr:colOff>1504950</xdr:colOff>
                    <xdr:row>46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51</xdr:row>
                    <xdr:rowOff>19050</xdr:rowOff>
                  </from>
                  <to>
                    <xdr:col>1</xdr:col>
                    <xdr:colOff>733425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51</xdr:row>
                    <xdr:rowOff>19050</xdr:rowOff>
                  </from>
                  <to>
                    <xdr:col>1</xdr:col>
                    <xdr:colOff>1504950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60</xdr:row>
                    <xdr:rowOff>19050</xdr:rowOff>
                  </from>
                  <to>
                    <xdr:col>1</xdr:col>
                    <xdr:colOff>733425</xdr:colOff>
                    <xdr:row>60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60</xdr:row>
                    <xdr:rowOff>19050</xdr:rowOff>
                  </from>
                  <to>
                    <xdr:col>1</xdr:col>
                    <xdr:colOff>1504950</xdr:colOff>
                    <xdr:row>60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68"/>
  <sheetViews>
    <sheetView workbookViewId="0">
      <selection activeCell="D15" sqref="D15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ARF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7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6.5" x14ac:dyDescent="0.3">
      <c r="B11" s="42">
        <v>1</v>
      </c>
      <c r="C11" s="27" t="s">
        <v>206</v>
      </c>
      <c r="D11" s="27" t="s">
        <v>175</v>
      </c>
      <c r="E11" s="27" t="s">
        <v>176</v>
      </c>
      <c r="F11" s="55">
        <v>1</v>
      </c>
      <c r="G11" s="55">
        <v>1</v>
      </c>
      <c r="H11" s="55">
        <v>1</v>
      </c>
      <c r="I11" s="55">
        <v>160</v>
      </c>
      <c r="J11" s="55">
        <f>H11*I11</f>
        <v>160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6.5" x14ac:dyDescent="0.3">
      <c r="B12" s="42">
        <v>2</v>
      </c>
      <c r="C12" s="27" t="s">
        <v>177</v>
      </c>
      <c r="D12" s="27"/>
      <c r="E12" s="27" t="s">
        <v>178</v>
      </c>
      <c r="F12" s="55">
        <v>1</v>
      </c>
      <c r="G12" s="55">
        <v>1</v>
      </c>
      <c r="H12" s="55">
        <v>1</v>
      </c>
      <c r="I12" s="55">
        <v>149.63</v>
      </c>
      <c r="J12" s="55">
        <f t="shared" ref="J12:J17" si="0">H12*I12</f>
        <v>149.63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6.5" x14ac:dyDescent="0.3">
      <c r="B13" s="42">
        <v>3</v>
      </c>
      <c r="C13" s="27" t="s">
        <v>169</v>
      </c>
      <c r="D13" s="27" t="s">
        <v>170</v>
      </c>
      <c r="E13" s="27" t="s">
        <v>179</v>
      </c>
      <c r="F13" s="55">
        <v>1</v>
      </c>
      <c r="G13" s="55">
        <v>3</v>
      </c>
      <c r="H13" s="55">
        <v>3</v>
      </c>
      <c r="I13" s="55">
        <v>50.67</v>
      </c>
      <c r="J13" s="55">
        <f t="shared" si="0"/>
        <v>152.01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6.5" x14ac:dyDescent="0.3">
      <c r="B14" s="42">
        <v>4</v>
      </c>
      <c r="C14" s="27" t="s">
        <v>180</v>
      </c>
      <c r="D14" s="27"/>
      <c r="E14" s="27" t="s">
        <v>181</v>
      </c>
      <c r="F14" s="55">
        <v>3</v>
      </c>
      <c r="G14" s="55">
        <v>3</v>
      </c>
      <c r="H14" s="55">
        <v>9</v>
      </c>
      <c r="I14" s="55">
        <v>4.92</v>
      </c>
      <c r="J14" s="55">
        <f t="shared" si="0"/>
        <v>44.28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6.5" x14ac:dyDescent="0.3">
      <c r="B15" s="42">
        <v>5</v>
      </c>
      <c r="C15" s="27" t="s">
        <v>182</v>
      </c>
      <c r="D15" s="27"/>
      <c r="E15" s="27" t="s">
        <v>183</v>
      </c>
      <c r="F15" s="55">
        <v>1</v>
      </c>
      <c r="G15" s="55">
        <v>1</v>
      </c>
      <c r="H15" s="55">
        <v>1</v>
      </c>
      <c r="I15" s="55">
        <v>30.96</v>
      </c>
      <c r="J15" s="55">
        <f t="shared" si="0"/>
        <v>30.96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6.5" x14ac:dyDescent="0.3">
      <c r="B16" s="42">
        <v>6</v>
      </c>
      <c r="C16" s="27" t="s">
        <v>184</v>
      </c>
      <c r="D16" s="27" t="s">
        <v>188</v>
      </c>
      <c r="E16" s="27" t="s">
        <v>185</v>
      </c>
      <c r="F16" s="55">
        <v>2</v>
      </c>
      <c r="G16" s="55">
        <v>2</v>
      </c>
      <c r="H16" s="55">
        <v>4</v>
      </c>
      <c r="I16" s="55">
        <v>0.73</v>
      </c>
      <c r="J16" s="55">
        <f t="shared" si="0"/>
        <v>2.92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33" x14ac:dyDescent="0.3">
      <c r="B17" s="42">
        <v>7</v>
      </c>
      <c r="C17" s="27" t="s">
        <v>186</v>
      </c>
      <c r="D17" s="27" t="s">
        <v>188</v>
      </c>
      <c r="E17" s="27" t="s">
        <v>187</v>
      </c>
      <c r="F17" s="55">
        <v>1</v>
      </c>
      <c r="G17" s="55">
        <v>2</v>
      </c>
      <c r="H17" s="55">
        <v>2</v>
      </c>
      <c r="I17" s="55">
        <v>5.07</v>
      </c>
      <c r="J17" s="55">
        <f t="shared" si="0"/>
        <v>10.14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25">
      <c r="A18" s="33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4"/>
    </row>
    <row r="19" spans="1:20" ht="15.75" customHeight="1" x14ac:dyDescent="0.25"/>
    <row r="20" spans="1:20" ht="15.75" customHeight="1" x14ac:dyDescent="0.25"/>
    <row r="21" spans="1:20" ht="15.75" customHeight="1" x14ac:dyDescent="0.25"/>
    <row r="22" spans="1:20" ht="15.75" customHeight="1" x14ac:dyDescent="0.25"/>
    <row r="23" spans="1:20" ht="15.75" customHeight="1" x14ac:dyDescent="0.25"/>
    <row r="24" spans="1:20" ht="15.75" customHeight="1" x14ac:dyDescent="0.25"/>
    <row r="25" spans="1:20" ht="15.75" customHeight="1" x14ac:dyDescent="0.25"/>
    <row r="26" spans="1:20" ht="15.75" customHeight="1" x14ac:dyDescent="0.25"/>
    <row r="27" spans="1:20" ht="15.75" customHeight="1" x14ac:dyDescent="0.25"/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</sheetData>
  <sheetProtection algorithmName="SHA-512" hashValue="Riwp1wulBL5TUNR2PlDuOvSFmX9b1pA7l5RQIXw2lZ9h9/Rll0D2e2BAmRqP9UpAFh77xStT9mKL2vFW89eKbg==" saltValue="qbhfGz6vJfeOjhK+dJB/RA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17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67"/>
  <sheetViews>
    <sheetView workbookViewId="0">
      <selection activeCell="G16" sqref="G16:G21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ARF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6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195</v>
      </c>
      <c r="E16" s="55">
        <v>7</v>
      </c>
      <c r="F16" s="55">
        <v>2.77</v>
      </c>
      <c r="G16" s="55">
        <f>+E16*F16</f>
        <v>19.39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190</v>
      </c>
      <c r="D17" s="70" t="s">
        <v>195</v>
      </c>
      <c r="E17" s="55">
        <v>4</v>
      </c>
      <c r="F17" s="55">
        <v>20</v>
      </c>
      <c r="G17" s="55">
        <f t="shared" ref="G17:G21" si="0">+E17*F17</f>
        <v>80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191</v>
      </c>
      <c r="D18" s="70" t="s">
        <v>195</v>
      </c>
      <c r="E18" s="55">
        <v>1</v>
      </c>
      <c r="F18" s="55">
        <v>13.13</v>
      </c>
      <c r="G18" s="55">
        <f t="shared" si="0"/>
        <v>13.13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192</v>
      </c>
      <c r="D19" s="70" t="s">
        <v>195</v>
      </c>
      <c r="E19" s="55">
        <v>2</v>
      </c>
      <c r="F19" s="55">
        <v>13.13</v>
      </c>
      <c r="G19" s="55">
        <f t="shared" si="0"/>
        <v>26.26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193</v>
      </c>
      <c r="D20" s="70" t="s">
        <v>196</v>
      </c>
      <c r="E20" s="55">
        <v>1</v>
      </c>
      <c r="F20" s="55">
        <v>560</v>
      </c>
      <c r="G20" s="55">
        <f t="shared" si="0"/>
        <v>560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194</v>
      </c>
      <c r="D21" s="70" t="s">
        <v>195</v>
      </c>
      <c r="E21" s="55">
        <v>1</v>
      </c>
      <c r="F21" s="55">
        <v>210.67</v>
      </c>
      <c r="G21" s="55">
        <f t="shared" si="0"/>
        <v>210.67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137" t="s">
        <v>75</v>
      </c>
      <c r="C22" s="138"/>
      <c r="D22" s="138"/>
      <c r="E22" s="138"/>
      <c r="F22" s="138"/>
      <c r="G22" s="139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1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2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3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4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68">
        <v>5</v>
      </c>
      <c r="C27" s="69"/>
      <c r="D27" s="70"/>
      <c r="E27" s="55"/>
      <c r="F27" s="55"/>
      <c r="G27" s="55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6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7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8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9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10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1:16" ht="14.25" customHeight="1" x14ac:dyDescent="0.3">
      <c r="B33" s="137" t="s">
        <v>29</v>
      </c>
      <c r="C33" s="138"/>
      <c r="D33" s="138"/>
      <c r="E33" s="138"/>
      <c r="F33" s="138"/>
      <c r="G33" s="139"/>
      <c r="H33" s="39"/>
      <c r="I33" s="39"/>
      <c r="J33" s="39"/>
      <c r="K33" s="39"/>
      <c r="L33" s="39"/>
      <c r="M33" s="39"/>
      <c r="N33" s="39"/>
      <c r="O33" s="39"/>
      <c r="P33" s="39"/>
    </row>
    <row r="34" spans="1:16" ht="14.25" customHeight="1" x14ac:dyDescent="0.3">
      <c r="B34" s="68">
        <v>1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1:16" ht="14.25" customHeight="1" x14ac:dyDescent="0.3">
      <c r="B35" s="68">
        <v>2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1:16" ht="14.25" customHeight="1" x14ac:dyDescent="0.3">
      <c r="B36" s="68">
        <v>3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1:16" ht="14.25" customHeight="1" x14ac:dyDescent="0.3">
      <c r="B37" s="68">
        <v>4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1:16" ht="14.25" customHeight="1" x14ac:dyDescent="0.3">
      <c r="B38" s="68">
        <v>5</v>
      </c>
      <c r="C38" s="69"/>
      <c r="D38" s="70"/>
      <c r="E38" s="55"/>
      <c r="F38" s="55"/>
      <c r="G38" s="55"/>
      <c r="H38" s="39"/>
      <c r="I38" s="39"/>
      <c r="J38" s="39"/>
      <c r="K38" s="39"/>
      <c r="L38" s="39"/>
      <c r="M38" s="39"/>
      <c r="N38" s="39"/>
      <c r="O38" s="39"/>
      <c r="P38" s="39"/>
    </row>
    <row r="39" spans="1:16" ht="14.25" customHeight="1" x14ac:dyDescent="0.3">
      <c r="B39" s="68">
        <v>6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1:16" ht="14.25" customHeight="1" x14ac:dyDescent="0.3">
      <c r="B40" s="68">
        <v>7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1:16" ht="14.25" customHeight="1" x14ac:dyDescent="0.3">
      <c r="B41" s="68">
        <v>8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1:16" ht="14.25" customHeight="1" x14ac:dyDescent="0.3">
      <c r="B42" s="68">
        <v>9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1:16" ht="14.25" customHeight="1" x14ac:dyDescent="0.3">
      <c r="B43" s="68">
        <v>10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1:16" ht="14.25" customHeight="1" x14ac:dyDescent="0.3">
      <c r="A44" s="44"/>
      <c r="B44" s="39"/>
      <c r="C44" s="44"/>
      <c r="D44" s="39"/>
      <c r="E44" s="39"/>
      <c r="F44" s="39"/>
      <c r="G44" s="39"/>
      <c r="H44" s="39"/>
      <c r="I44" s="39"/>
      <c r="J44" s="39"/>
      <c r="K44" s="39"/>
      <c r="L44" s="39"/>
      <c r="M44" s="39"/>
      <c r="N44" s="39"/>
      <c r="O44" s="39"/>
      <c r="P44" s="39"/>
    </row>
    <row r="45" spans="1:16" ht="14.25" customHeight="1" x14ac:dyDescent="0.3">
      <c r="A45" s="44"/>
      <c r="B45" s="39"/>
      <c r="C45" s="44"/>
      <c r="D45" s="39"/>
      <c r="F45" s="39"/>
      <c r="G45" s="39"/>
      <c r="H45" s="39"/>
      <c r="I45" s="39"/>
      <c r="J45" s="39"/>
      <c r="K45" s="39"/>
      <c r="L45" s="39"/>
      <c r="M45" s="39"/>
      <c r="N45" s="39"/>
      <c r="O45" s="39"/>
      <c r="P45" s="39"/>
    </row>
    <row r="46" spans="1:16" ht="15.75" customHeight="1" x14ac:dyDescent="0.25"/>
    <row r="47" spans="1:16" ht="15.75" customHeight="1" x14ac:dyDescent="0.25"/>
    <row r="48" spans="1:16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</sheetData>
  <sheetProtection algorithmName="SHA-512" hashValue="S+A7aSjHM3dc64jLO2AtfnQioq0f8qYjnrUygSyn4ZJ1KmrAyzAnQFZ2KHj9xmIIa9psP89VWGlR7kFWFmyazw==" saltValue="y4EXsDiSVoOJ27PhOrZKpA==" spinCount="100000" sheet="1" objects="1" scenarios="1" formatColumns="0" formatRows="0" sort="0" autoFilter="0"/>
  <mergeCells count="9">
    <mergeCell ref="B7:G7"/>
    <mergeCell ref="B22:G22"/>
    <mergeCell ref="B33:G33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3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22</xdr:row>
                    <xdr:rowOff>28575</xdr:rowOff>
                  </from>
                  <to>
                    <xdr:col>1</xdr:col>
                    <xdr:colOff>762000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22</xdr:row>
                    <xdr:rowOff>28575</xdr:rowOff>
                  </from>
                  <to>
                    <xdr:col>1</xdr:col>
                    <xdr:colOff>1533525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33</xdr:row>
                    <xdr:rowOff>28575</xdr:rowOff>
                  </from>
                  <to>
                    <xdr:col>1</xdr:col>
                    <xdr:colOff>771525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33</xdr:row>
                    <xdr:rowOff>28575</xdr:rowOff>
                  </from>
                  <to>
                    <xdr:col>1</xdr:col>
                    <xdr:colOff>1543050</xdr:colOff>
                    <xdr:row>33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5" workbookViewId="0">
      <selection activeCell="E21" sqref="E21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ARF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II and III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PHIC-ECLAIMS 4</cp:lastModifiedBy>
  <dcterms:created xsi:type="dcterms:W3CDTF">2018-05-11T08:46:15Z</dcterms:created>
  <dcterms:modified xsi:type="dcterms:W3CDTF">2018-06-01T03:28:12Z</dcterms:modified>
</cp:coreProperties>
</file>