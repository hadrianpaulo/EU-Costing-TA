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Supplies_Medical'!$C$15:$C$55</definedName>
    <definedName name="Drugs">'1.2 Drugs&amp;Med'!$C$11:$C$25</definedName>
    <definedName name="_xlnm.Print_Area" localSheetId="0">'1.1 Case data_general'!$B$1:$F$80</definedName>
    <definedName name="_xlnm.Print_Area" localSheetId="1">'1.2 Drugs&amp;Med'!$B$2:$J$29</definedName>
  </definedNames>
  <calcPr calcId="144525"/>
</workbook>
</file>

<file path=xl/calcChain.xml><?xml version="1.0" encoding="utf-8"?>
<calcChain xmlns="http://schemas.openxmlformats.org/spreadsheetml/2006/main">
  <c r="G33" i="9" l="1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16" i="9"/>
  <c r="J28" i="2"/>
  <c r="J27" i="2"/>
  <c r="D69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0" i="1"/>
  <c r="E80" i="1"/>
  <c r="D8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<sst xmlns="http://schemas.openxmlformats.org/spreadsheetml/2006/main" count="565" uniqueCount="252">
  <si>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</si>
  <si>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</si>
  <si>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</si>
  <si>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</si>
  <si>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</si>
  <si>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</si>
  <si>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</si>
  <si>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</si>
  <si>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</si>
  <si>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</si>
  <si>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</si>
  <si>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</si>
  <si>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</si>
  <si>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</si>
  <si>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</si>
  <si>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</si>
  <si>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</si>
  <si>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</si>
  <si>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</si>
  <si>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</si>
  <si>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</si>
  <si>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</si>
  <si>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</si>
  <si>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</si>
  <si>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</si>
  <si>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</si>
  <si>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</si>
  <si>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</si>
  <si>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</si>
  <si>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</si>
  <si>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</si>
  <si>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</si>
  <si>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</si>
  <si>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</si>
  <si>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</si>
  <si>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</si>
  <si>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</si>
  <si>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</si>
  <si>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</si>
  <si>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</si>
  <si>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</si>
  <si>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</si>
  <si>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</si>
  <si>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</si>
  <si>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</si>
  <si>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</si>
  <si>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</si>
  <si>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</si>
  <si>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</si>
  <si>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</si>
  <si>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</si>
  <si>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</si>
  <si>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</si>
  <si>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</si>
  <si>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</si>
  <si>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</si>
  <si>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</si>
  <si>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</si>
  <si>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</si>
  <si>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</si>
  <si>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</si>
  <si>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</si>
  <si>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</si>
  <si>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</si>
  <si>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</si>
  <si>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</si>
  <si>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</si>
  <si>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</si>
  <si>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</si>
  <si>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</si>
  <si>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</si>
  <si>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</si>
  <si>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</si>
  <si>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</si>
  <si>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</si>
  <si>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</si>
  <si>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</si>
  <si>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</si>
  <si>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</si>
  <si>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</si>
  <si>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</si>
  <si>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</si>
  <si>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</si>
  <si>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</si>
  <si>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</si>
  <si>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</si>
  <si>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</si>
  <si>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</si>
  <si>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</si>
  <si>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</si>
  <si>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</si>
  <si>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</si>
  <si>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</si>
  <si>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</si>
  <si>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</si>
  <si>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</si>
  <si>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</si>
  <si>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</si>
  <si>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</si>
  <si>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</si>
  <si>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</si>
  <si>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</si>
  <si>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</si>
  <si>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</si>
  <si>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</si>
  <si>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</si>
  <si>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</si>
  <si>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</si>
  <si>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</si>
  <si>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</si>
  <si>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</si>
  <si>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</si>
  <si>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</si>
  <si>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</si>
  <si>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</si>
  <si>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</si>
  <si>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</si>
  <si>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</si>
  <si>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</si>
  <si>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</si>
  <si>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</si>
  <si>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</si>
  <si>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</si>
  <si>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</si>
  <si>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</si>
  <si>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</si>
  <si>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</si>
  <si>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</si>
  <si>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</si>
  <si>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</si>
  <si>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</si>
  <si>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</si>
  <si>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</si>
  <si>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</si>
  <si>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</si>
  <si>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</si>
  <si>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</si>
  <si>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</si>
  <si>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</si>
  <si>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</si>
  <si>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</si>
  <si>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</si>
  <si>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</si>
  <si>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</si>
  <si>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</si>
  <si>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</si>
  <si>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</si>
  <si>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</si>
  <si>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</si>
  <si>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</si>
  <si>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</si>
  <si>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</si>
  <si>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</si>
  <si>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</si>
  <si>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</si>
  <si>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</si>
  <si>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</si>
  <si>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</si>
  <si>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</si>
  <si>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</si>
  <si>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</si>
  <si>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</si>
  <si>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</si>
  <si>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</si>
  <si>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</si>
  <si>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</si>
  <si>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</si>
  <si>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XRAY</t>
  </si>
  <si>
    <t>LABORATORY</t>
  </si>
  <si>
    <t>ROOM AND ACCOMMODATION</t>
  </si>
  <si>
    <t>PROFESSIONAL FEE</t>
  </si>
  <si>
    <t>PLAIN NSS</t>
  </si>
  <si>
    <t>fluid</t>
  </si>
  <si>
    <t>ampule</t>
  </si>
  <si>
    <t>500mcg+2.5mg-2.5ml</t>
  </si>
  <si>
    <t>354651/73279</t>
  </si>
  <si>
    <t>J96.0</t>
  </si>
  <si>
    <t>J44.9</t>
  </si>
  <si>
    <t>J18.99,Y95</t>
  </si>
  <si>
    <t>I25.8</t>
  </si>
  <si>
    <t>I50.0</t>
  </si>
  <si>
    <t>NA (SODIUM)</t>
  </si>
  <si>
    <t>CREATININE (CREA)</t>
  </si>
  <si>
    <t>K (POTASSIUM)</t>
  </si>
  <si>
    <t>QUANTITATIVE TROPONIN</t>
  </si>
  <si>
    <t>CKMB</t>
  </si>
  <si>
    <t>ARTERIAL BLOOD GASES (ABG)</t>
  </si>
  <si>
    <t>CBC, PC</t>
  </si>
  <si>
    <t>BLOOD EXTRACTION FEE</t>
  </si>
  <si>
    <t>BLOOD C/S</t>
  </si>
  <si>
    <t>RESPIRATORY C/S (SPUTUM, ETA, NASAL, THROAT)</t>
  </si>
  <si>
    <t>BLOOD UREA NITROGEN (BUN)</t>
  </si>
  <si>
    <t>MG (MAGNESIUM)</t>
  </si>
  <si>
    <t>Chest PA ADULT (1 view)</t>
  </si>
  <si>
    <t>ARF</t>
  </si>
  <si>
    <t>1L</t>
  </si>
  <si>
    <t>vial</t>
  </si>
  <si>
    <t>600mg</t>
  </si>
  <si>
    <t>ACETYLCYSTEINE</t>
  </si>
  <si>
    <t>IPRATROPIUM+SALBUTAMOL</t>
  </si>
  <si>
    <t>1000 ml</t>
  </si>
  <si>
    <t>FUROSEMIDE</t>
  </si>
  <si>
    <t>20mg</t>
  </si>
  <si>
    <t>ROSUVASTATIN</t>
  </si>
  <si>
    <t>tablet</t>
  </si>
  <si>
    <t>pack</t>
  </si>
  <si>
    <t>CLOPIDOGREL IN BLISTER FOIL PACK</t>
  </si>
  <si>
    <t>75mg</t>
  </si>
  <si>
    <t>HYDROCORTISONE SODIUM SUCCINATE</t>
  </si>
  <si>
    <t>250mg</t>
  </si>
  <si>
    <t>ISOSORBIDE DINITRATE BLISTER/FOIL PACK</t>
  </si>
  <si>
    <t>5mg</t>
  </si>
  <si>
    <t>OMEPRAZOLE POWDER</t>
  </si>
  <si>
    <t>powder</t>
  </si>
  <si>
    <t>40mg</t>
  </si>
  <si>
    <t>PIPERACILLIN + TAZOBACTAM NA (IM, IV INFUSION)</t>
  </si>
  <si>
    <t>4.5g</t>
  </si>
  <si>
    <t xml:space="preserve">D5 WATER </t>
  </si>
  <si>
    <t>500ml</t>
  </si>
  <si>
    <t>METOCLOPRAMIDE</t>
  </si>
  <si>
    <t>POTASSIUM CHLORIDE PRESERVATIVE-FREE
REGARDLESS OF CONTAINER IN
BLISTER FOIL PACK</t>
  </si>
  <si>
    <t>TRIMETAZIDINE IN BLISTER/FOIL PACK</t>
  </si>
  <si>
    <t>35mg</t>
  </si>
  <si>
    <t>PREDNISONE</t>
  </si>
  <si>
    <t>LACTULOSE</t>
  </si>
  <si>
    <t>syrup</t>
  </si>
  <si>
    <t>3.35g/5ml</t>
  </si>
  <si>
    <t>5mg/ml-2ml</t>
  </si>
  <si>
    <t>(D5 WATER 1L) 5% DEXTROSE IN WATER</t>
  </si>
  <si>
    <t>NGT 16, COILED 125CM, SILICONE COATED WITH X-RAY
RADIOPAQUE LINE AND CAP</t>
  </si>
  <si>
    <t>sachet</t>
  </si>
  <si>
    <t>LUBRICANT JELLY 5G</t>
  </si>
  <si>
    <t>NGT 16, COILED, 120CM</t>
  </si>
  <si>
    <t>piece</t>
  </si>
  <si>
    <t>SUCTION CATHETER 16 ( W/ FTC 63 CM)</t>
  </si>
  <si>
    <t>ASEPTO BULB SYRINGE TIP 600ML</t>
  </si>
  <si>
    <t>GAUZE SPONGE 4"X4", 8 PLY 28X24 MESH, UNSTERILE, W/O
BLUE DETECTOR</t>
  </si>
  <si>
    <t>IV SET FOR PEDIA W/ BURETTE FOR DOSIFICATION VENTS W/
FILTER, SOLUSET</t>
  </si>
  <si>
    <t>DISPOSABLE SYRINGE 10ML G 21, WITH NEEDLE</t>
  </si>
  <si>
    <t>OXYGEN FULL TANK</t>
  </si>
  <si>
    <t>tank</t>
  </si>
  <si>
    <t>VENTURI MASK, ADULT</t>
  </si>
  <si>
    <t>SUCTION CATHETER 14 (W/ FTC 53 CM)</t>
  </si>
  <si>
    <t>pair</t>
  </si>
  <si>
    <t>SUCTION CATHETER 18 (W/ FTC 53 CM)</t>
  </si>
  <si>
    <t>MEDICAL GLOVES W/ CUFF STERILE LATEX, NATURAL RUBBER</t>
  </si>
  <si>
    <t>HEMOGLUCOTEST TEST STRIP</t>
  </si>
  <si>
    <t>MONITORING CHEST ELECTRODES, DISPOSABLE</t>
  </si>
  <si>
    <t>DISPOSABLE SYRINGE 3ML G 23 W/ NEEDLE</t>
  </si>
  <si>
    <t>NEBULIZER KIT WITH MOUTH PIECE</t>
  </si>
  <si>
    <t>OXYGEN NASAL CANNULA WITH THREAD CONNECTOR FOR ADULT (CURVED FLAIRED TIP)</t>
  </si>
  <si>
    <t>(D50%-50ML) 50% DEXTROSE 50ML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</si>
</sst>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733425</xdr:colOff>
          <xdr:row>24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24</xdr:row>
          <xdr:rowOff>19050</xdr:rowOff>
        </xdr:from>
        <xdr:to>
          <xdr:col>1</xdr:col>
          <xdr:colOff>1504950</xdr:colOff>
          <xdr:row>24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68</xdr:row>
          <xdr:rowOff>19050</xdr:rowOff>
        </xdr:from>
        <xdr:to>
          <xdr:col>1</xdr:col>
          <xdr:colOff>733425</xdr:colOff>
          <xdr:row>68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68</xdr:row>
          <xdr:rowOff>19050</xdr:rowOff>
        </xdr:from>
        <xdr:to>
          <xdr:col>1</xdr:col>
          <xdr:colOff>1504950</xdr:colOff>
          <xdr:row>68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34</xdr:row>
          <xdr:rowOff>28575</xdr:rowOff>
        </xdr:from>
        <xdr:to>
          <xdr:col>1</xdr:col>
          <xdr:colOff>762000</xdr:colOff>
          <xdr:row>34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34</xdr:row>
          <xdr:rowOff>28575</xdr:rowOff>
        </xdr:from>
        <xdr:to>
          <xdr:col>1</xdr:col>
          <xdr:colOff>1533525</xdr:colOff>
          <xdr:row>34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</xdr:row>
          <xdr:rowOff>28575</xdr:rowOff>
        </xdr:from>
        <xdr:to>
          <xdr:col>1</xdr:col>
          <xdr:colOff>771525</xdr:colOff>
          <xdr:row>45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45</xdr:row>
          <xdr:rowOff>28575</xdr:rowOff>
        </xdr:from>
        <xdr:to>
          <xdr:col>1</xdr:col>
          <xdr:colOff>1543050</xdr:colOff>
          <xdr:row>45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7"/>
  <sheetViews>
    <sheetView topLeftCell="A27" zoomScale="145" zoomScaleNormal="145" workbookViewId="0">
      <selection activeCell="D3" sqref="D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194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5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3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175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178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30">
        <v>4</v>
      </c>
      <c r="C22" s="31" t="s">
        <v>179</v>
      </c>
      <c r="D22" s="21"/>
      <c r="E22" s="21"/>
      <c r="F22" s="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30">
        <v>5</v>
      </c>
      <c r="C23" s="31" t="s">
        <v>180</v>
      </c>
      <c r="D23" s="21"/>
      <c r="E23" s="21"/>
      <c r="F23" s="2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thickBot="1" x14ac:dyDescent="0.35">
      <c r="A24" s="1"/>
      <c r="B24" s="116" t="s">
        <v>53</v>
      </c>
      <c r="C24" s="117"/>
      <c r="D24" s="117"/>
      <c r="E24" s="117"/>
      <c r="F24" s="118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1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2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3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6">
        <v>4</v>
      </c>
      <c r="C28" s="27"/>
      <c r="D28" s="29"/>
      <c r="E28" s="55"/>
      <c r="F28" s="55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6">
        <v>5</v>
      </c>
      <c r="C29" s="27"/>
      <c r="D29" s="29"/>
      <c r="E29" s="55"/>
      <c r="F29" s="55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thickBot="1" x14ac:dyDescent="0.35">
      <c r="A30" s="1"/>
      <c r="B30" s="119" t="s">
        <v>44</v>
      </c>
      <c r="C30" s="120"/>
      <c r="D30" s="120"/>
      <c r="E30" s="120"/>
      <c r="F30" s="130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10" t="s">
        <v>160</v>
      </c>
      <c r="C31" s="113" t="s">
        <v>164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10" t="s">
        <v>161</v>
      </c>
      <c r="C32" s="114" t="s">
        <v>125</v>
      </c>
      <c r="D32" s="13"/>
      <c r="E32" s="13"/>
      <c r="F32" s="1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14" t="s">
        <v>162</v>
      </c>
      <c r="C33" s="114" t="s">
        <v>139</v>
      </c>
      <c r="D33" s="13"/>
      <c r="E33" s="13"/>
      <c r="F33" s="1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15" t="s">
        <v>17</v>
      </c>
      <c r="C34" s="7"/>
      <c r="D34" s="7"/>
      <c r="E34" s="56">
        <v>9</v>
      </c>
      <c r="F34" s="7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6" t="s">
        <v>18</v>
      </c>
      <c r="C35" s="117"/>
      <c r="D35" s="117"/>
      <c r="E35" s="117"/>
      <c r="F35" s="118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1</v>
      </c>
      <c r="C36" s="31" t="s">
        <v>181</v>
      </c>
      <c r="D36" s="23"/>
      <c r="E36" s="57">
        <v>3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 t="s">
        <v>182</v>
      </c>
      <c r="D37" s="23"/>
      <c r="E37" s="55">
        <v>2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 t="s">
        <v>183</v>
      </c>
      <c r="D38" s="23"/>
      <c r="E38" s="55">
        <v>5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 t="s">
        <v>184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5</v>
      </c>
      <c r="C40" s="27" t="s">
        <v>185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6</v>
      </c>
      <c r="C41" s="27" t="s">
        <v>186</v>
      </c>
      <c r="D41" s="23"/>
      <c r="E41" s="55">
        <v>5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7</v>
      </c>
      <c r="C42" s="27" t="s">
        <v>187</v>
      </c>
      <c r="D42" s="23"/>
      <c r="E42" s="55">
        <v>2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8</v>
      </c>
      <c r="C43" s="27" t="s">
        <v>188</v>
      </c>
      <c r="D43" s="23"/>
      <c r="E43" s="55">
        <v>12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9</v>
      </c>
      <c r="C44" s="27" t="s">
        <v>189</v>
      </c>
      <c r="D44" s="23"/>
      <c r="E44" s="55">
        <v>2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10</v>
      </c>
      <c r="C45" s="27" t="s">
        <v>190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11</v>
      </c>
      <c r="C46" s="27" t="s">
        <v>191</v>
      </c>
      <c r="D46" s="23"/>
      <c r="E46" s="55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12</v>
      </c>
      <c r="C47" s="27" t="s">
        <v>192</v>
      </c>
      <c r="D47" s="23"/>
      <c r="E47" s="55">
        <v>1</v>
      </c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19</v>
      </c>
      <c r="C48" s="120"/>
      <c r="D48" s="117"/>
      <c r="E48" s="120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193</v>
      </c>
      <c r="D49" s="23"/>
      <c r="E49" s="55">
        <v>3</v>
      </c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3"/>
      <c r="E51" s="55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9" t="s">
        <v>45</v>
      </c>
      <c r="C52" s="120"/>
      <c r="D52" s="117"/>
      <c r="E52" s="120"/>
      <c r="F52" s="118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4" t="s">
        <v>46</v>
      </c>
      <c r="C53" s="13"/>
      <c r="D53" s="13"/>
      <c r="E53" s="16"/>
      <c r="F53" s="1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6" t="s">
        <v>54</v>
      </c>
      <c r="C54" s="117"/>
      <c r="D54" s="117"/>
      <c r="E54" s="117"/>
      <c r="F54" s="118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1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30">
        <v>2</v>
      </c>
      <c r="C56" s="31"/>
      <c r="D56" s="32"/>
      <c r="E56" s="57"/>
      <c r="F56" s="5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thickBot="1" x14ac:dyDescent="0.35">
      <c r="A59" s="1"/>
      <c r="B59" s="116" t="s">
        <v>20</v>
      </c>
      <c r="C59" s="117"/>
      <c r="D59" s="117"/>
      <c r="E59" s="117"/>
      <c r="F59" s="118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1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2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3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4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5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6</v>
      </c>
      <c r="C65" s="27"/>
      <c r="D65" s="28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5"/>
      <c r="C66" s="25"/>
      <c r="D66" s="25"/>
      <c r="E66" s="25"/>
      <c r="F66" s="2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57.75" customHeight="1" thickBot="1" x14ac:dyDescent="0.35">
      <c r="A68" s="1"/>
      <c r="B68" s="17" t="s">
        <v>56</v>
      </c>
      <c r="C68" s="17" t="s">
        <v>52</v>
      </c>
      <c r="D68" s="17" t="s">
        <v>57</v>
      </c>
      <c r="E68" s="18" t="s">
        <v>58</v>
      </c>
      <c r="F68" s="19" t="s">
        <v>21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2">
        <v>1</v>
      </c>
      <c r="C69" s="27" t="s">
        <v>165</v>
      </c>
      <c r="D69" s="55">
        <f>6872.7-144.67</f>
        <v>6728.03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2</v>
      </c>
      <c r="C70" s="27" t="s">
        <v>166</v>
      </c>
      <c r="D70" s="55">
        <v>5913.05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3</v>
      </c>
      <c r="C71" s="27" t="s">
        <v>167</v>
      </c>
      <c r="D71" s="55">
        <v>360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4</v>
      </c>
      <c r="C72" s="27" t="s">
        <v>168</v>
      </c>
      <c r="D72" s="55">
        <v>10370</v>
      </c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5</v>
      </c>
      <c r="C73" s="27" t="s">
        <v>169</v>
      </c>
      <c r="D73" s="55">
        <v>4500</v>
      </c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6</v>
      </c>
      <c r="C74" s="27" t="s">
        <v>170</v>
      </c>
      <c r="D74" s="55">
        <v>9600</v>
      </c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7</v>
      </c>
      <c r="C75" s="27"/>
      <c r="D75" s="55"/>
      <c r="E75" s="55">
        <v>5471.08</v>
      </c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8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9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10</v>
      </c>
      <c r="C78" s="27"/>
      <c r="D78" s="55"/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4.9000000000000004" customHeight="1" thickBot="1" x14ac:dyDescent="0.35">
      <c r="A79" s="1"/>
      <c r="B79" s="1"/>
      <c r="C79" s="1"/>
      <c r="D79" s="58"/>
      <c r="E79" s="58"/>
      <c r="F79" s="58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thickTop="1" x14ac:dyDescent="0.3">
      <c r="A80" s="1"/>
      <c r="B80" s="11"/>
      <c r="C80" s="4" t="s">
        <v>22</v>
      </c>
      <c r="D80" s="59">
        <f>SUM(D69:D79)</f>
        <v>37471.08</v>
      </c>
      <c r="E80" s="59">
        <f>SUM(E69:E79)</f>
        <v>5471.08</v>
      </c>
      <c r="F80" s="59">
        <f>SUM(F69:F79)</f>
        <v>0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</sheetData>
  <sheetProtection password="C2E9" sheet="1" objects="1" scenarios="1" formatColumns="0" formatRows="0" sort="0" autoFilter="0"/>
  <mergeCells count="12">
    <mergeCell ref="B59:F59"/>
    <mergeCell ref="B52:F52"/>
    <mergeCell ref="B12:F12"/>
    <mergeCell ref="B13:F13"/>
    <mergeCell ref="B14:F14"/>
    <mergeCell ref="B15:F15"/>
    <mergeCell ref="B18:F18"/>
    <mergeCell ref="B24:F24"/>
    <mergeCell ref="B35:F35"/>
    <mergeCell ref="B30:F30"/>
    <mergeCell ref="B48:F48"/>
    <mergeCell ref="B54:F54"/>
  </mergeCells>
  <dataValidations count="1">
    <dataValidation type="decimal" operator="greaterThanOrEqual" allowBlank="1" showInputMessage="1" showErrorMessage="1" sqref="E34 E49:E51 E53 E25:F29 E55:F58 E60:F65 D69:F78 E36:E38 E39:E4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733425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24</xdr:row>
                    <xdr:rowOff>19050</xdr:rowOff>
                  </from>
                  <to>
                    <xdr:col>1</xdr:col>
                    <xdr:colOff>1504950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68</xdr:row>
                    <xdr:rowOff>19050</xdr:rowOff>
                  </from>
                  <to>
                    <xdr:col>1</xdr:col>
                    <xdr:colOff>733425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68</xdr:row>
                    <xdr:rowOff>19050</xdr:rowOff>
                  </from>
                  <to>
                    <xdr:col>1</xdr:col>
                    <xdr:colOff>1504950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C33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C32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9"/>
  <sheetViews>
    <sheetView tabSelected="1" topLeftCell="A5" zoomScale="115" zoomScaleNormal="115" workbookViewId="0">
      <selection activeCell="G28" sqref="G2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ARF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172</v>
      </c>
      <c r="E11" s="27" t="s">
        <v>195</v>
      </c>
      <c r="F11" s="55">
        <v>1</v>
      </c>
      <c r="G11" s="55">
        <v>7</v>
      </c>
      <c r="H11" s="55">
        <v>19</v>
      </c>
      <c r="I11" s="55">
        <v>50.67</v>
      </c>
      <c r="J11" s="55">
        <f>H11*I11</f>
        <v>962.73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198</v>
      </c>
      <c r="D12" s="27" t="s">
        <v>196</v>
      </c>
      <c r="E12" s="27" t="s">
        <v>197</v>
      </c>
      <c r="F12" s="55">
        <v>1</v>
      </c>
      <c r="G12" s="55">
        <v>7</v>
      </c>
      <c r="H12" s="55">
        <v>11</v>
      </c>
      <c r="I12" s="55">
        <v>23</v>
      </c>
      <c r="J12" s="55">
        <f t="shared" ref="J12:J28" si="0">H12*I12</f>
        <v>253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199</v>
      </c>
      <c r="D13" s="27" t="s">
        <v>196</v>
      </c>
      <c r="E13" s="27" t="s">
        <v>174</v>
      </c>
      <c r="F13" s="55">
        <v>3</v>
      </c>
      <c r="G13" s="55">
        <v>7</v>
      </c>
      <c r="H13" s="55">
        <v>66</v>
      </c>
      <c r="I13" s="55">
        <v>12.57</v>
      </c>
      <c r="J13" s="55">
        <f t="shared" si="0"/>
        <v>829.62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251</v>
      </c>
      <c r="D14" s="27" t="s">
        <v>172</v>
      </c>
      <c r="E14" s="27" t="s">
        <v>200</v>
      </c>
      <c r="F14" s="55">
        <v>1</v>
      </c>
      <c r="G14" s="55">
        <v>1</v>
      </c>
      <c r="H14" s="55">
        <v>2</v>
      </c>
      <c r="I14" s="55">
        <v>45.33</v>
      </c>
      <c r="J14" s="55">
        <f t="shared" si="0"/>
        <v>90.66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201</v>
      </c>
      <c r="D15" s="27" t="s">
        <v>196</v>
      </c>
      <c r="E15" s="27" t="s">
        <v>202</v>
      </c>
      <c r="F15" s="55">
        <v>1</v>
      </c>
      <c r="G15" s="55">
        <v>2</v>
      </c>
      <c r="H15" s="55">
        <v>8</v>
      </c>
      <c r="I15" s="55">
        <v>3.2</v>
      </c>
      <c r="J15" s="55">
        <f t="shared" si="0"/>
        <v>25.6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203</v>
      </c>
      <c r="D16" s="27" t="s">
        <v>204</v>
      </c>
      <c r="E16" s="27" t="s">
        <v>202</v>
      </c>
      <c r="F16" s="55">
        <v>1</v>
      </c>
      <c r="G16" s="55">
        <v>7</v>
      </c>
      <c r="H16" s="55">
        <v>17</v>
      </c>
      <c r="I16" s="55">
        <v>14.73</v>
      </c>
      <c r="J16" s="55">
        <f t="shared" si="0"/>
        <v>250.41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206</v>
      </c>
      <c r="D17" s="27" t="s">
        <v>204</v>
      </c>
      <c r="E17" s="27" t="s">
        <v>207</v>
      </c>
      <c r="F17" s="55">
        <v>2</v>
      </c>
      <c r="G17" s="55">
        <v>7</v>
      </c>
      <c r="H17" s="55">
        <v>12</v>
      </c>
      <c r="I17" s="55">
        <v>1.71</v>
      </c>
      <c r="J17" s="55">
        <f t="shared" si="0"/>
        <v>20.52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208</v>
      </c>
      <c r="D18" s="27" t="s">
        <v>196</v>
      </c>
      <c r="E18" s="27" t="s">
        <v>209</v>
      </c>
      <c r="F18" s="55">
        <v>2</v>
      </c>
      <c r="G18" s="55">
        <v>2</v>
      </c>
      <c r="H18" s="55">
        <v>4</v>
      </c>
      <c r="I18" s="55">
        <v>71.12</v>
      </c>
      <c r="J18" s="55">
        <f t="shared" si="0"/>
        <v>284.48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210</v>
      </c>
      <c r="D19" s="27" t="s">
        <v>204</v>
      </c>
      <c r="E19" s="27" t="s">
        <v>211</v>
      </c>
      <c r="F19" s="55">
        <v>3</v>
      </c>
      <c r="G19" s="55">
        <v>3</v>
      </c>
      <c r="H19" s="55">
        <v>9</v>
      </c>
      <c r="I19" s="55">
        <v>10</v>
      </c>
      <c r="J19" s="55">
        <f t="shared" si="0"/>
        <v>90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212</v>
      </c>
      <c r="D20" s="27" t="s">
        <v>213</v>
      </c>
      <c r="E20" s="27" t="s">
        <v>214</v>
      </c>
      <c r="F20" s="55">
        <v>2</v>
      </c>
      <c r="G20" s="55">
        <v>4</v>
      </c>
      <c r="H20" s="55">
        <v>6</v>
      </c>
      <c r="I20" s="55">
        <v>30.96</v>
      </c>
      <c r="J20" s="55">
        <f t="shared" si="0"/>
        <v>185.76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215</v>
      </c>
      <c r="D21" s="27" t="s">
        <v>172</v>
      </c>
      <c r="E21" s="27" t="s">
        <v>216</v>
      </c>
      <c r="F21" s="55">
        <v>3</v>
      </c>
      <c r="G21" s="55">
        <v>7</v>
      </c>
      <c r="H21" s="55">
        <v>23</v>
      </c>
      <c r="I21" s="55">
        <v>129.77000000000001</v>
      </c>
      <c r="J21" s="55">
        <f t="shared" si="0"/>
        <v>2984.71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217</v>
      </c>
      <c r="D22" s="27" t="s">
        <v>172</v>
      </c>
      <c r="E22" s="27" t="s">
        <v>218</v>
      </c>
      <c r="F22" s="55">
        <v>2</v>
      </c>
      <c r="G22" s="55">
        <v>3</v>
      </c>
      <c r="H22" s="55">
        <v>2</v>
      </c>
      <c r="I22" s="55">
        <v>55.85</v>
      </c>
      <c r="J22" s="55">
        <f t="shared" si="0"/>
        <v>111.7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219</v>
      </c>
      <c r="D23" s="27" t="s">
        <v>173</v>
      </c>
      <c r="E23" s="27" t="s">
        <v>227</v>
      </c>
      <c r="F23" s="55">
        <v>3</v>
      </c>
      <c r="G23" s="55">
        <v>1</v>
      </c>
      <c r="H23" s="55">
        <v>3</v>
      </c>
      <c r="I23" s="55">
        <v>4.92</v>
      </c>
      <c r="J23" s="55">
        <f t="shared" si="0"/>
        <v>14.76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220</v>
      </c>
      <c r="D24" s="27" t="s">
        <v>204</v>
      </c>
      <c r="E24" s="27" t="s">
        <v>197</v>
      </c>
      <c r="F24" s="55">
        <v>1</v>
      </c>
      <c r="G24" s="55">
        <v>2</v>
      </c>
      <c r="H24" s="55">
        <v>13</v>
      </c>
      <c r="I24" s="55">
        <v>14.67</v>
      </c>
      <c r="J24" s="55">
        <f t="shared" si="0"/>
        <v>190.71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221</v>
      </c>
      <c r="D25" s="27" t="s">
        <v>204</v>
      </c>
      <c r="E25" s="27" t="s">
        <v>222</v>
      </c>
      <c r="F25" s="55">
        <v>2</v>
      </c>
      <c r="G25" s="55">
        <v>3</v>
      </c>
      <c r="H25" s="55">
        <v>11</v>
      </c>
      <c r="I25" s="55">
        <v>6.67</v>
      </c>
      <c r="J25" s="55">
        <f t="shared" si="0"/>
        <v>73.37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223</v>
      </c>
      <c r="D26" s="27" t="s">
        <v>204</v>
      </c>
      <c r="E26" s="27" t="s">
        <v>202</v>
      </c>
      <c r="F26" s="55">
        <v>4</v>
      </c>
      <c r="G26" s="55">
        <v>2</v>
      </c>
      <c r="H26" s="55">
        <v>8</v>
      </c>
      <c r="I26" s="55">
        <v>11</v>
      </c>
      <c r="J26" s="55">
        <f t="shared" si="0"/>
        <v>88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 t="s">
        <v>224</v>
      </c>
      <c r="D27" s="27" t="s">
        <v>225</v>
      </c>
      <c r="E27" s="27" t="s">
        <v>226</v>
      </c>
      <c r="F27" s="55">
        <v>1</v>
      </c>
      <c r="G27" s="55">
        <v>1</v>
      </c>
      <c r="H27" s="55">
        <v>1</v>
      </c>
      <c r="I27" s="55">
        <v>160</v>
      </c>
      <c r="J27" s="55">
        <f t="shared" si="0"/>
        <v>160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 t="s">
        <v>228</v>
      </c>
      <c r="D28" s="27" t="s">
        <v>172</v>
      </c>
      <c r="E28" s="27" t="s">
        <v>195</v>
      </c>
      <c r="F28" s="55">
        <v>1</v>
      </c>
      <c r="G28" s="55">
        <v>2</v>
      </c>
      <c r="H28" s="55">
        <v>2</v>
      </c>
      <c r="I28" s="55">
        <v>56</v>
      </c>
      <c r="J28" s="55">
        <f t="shared" si="0"/>
        <v>112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25">
      <c r="A29" s="33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</row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9"/>
  <sheetViews>
    <sheetView topLeftCell="A7" workbookViewId="0">
      <selection activeCell="G16" sqref="G16:G3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ARF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18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229</v>
      </c>
      <c r="D16" s="70" t="s">
        <v>205</v>
      </c>
      <c r="E16" s="55">
        <v>1</v>
      </c>
      <c r="F16" s="55">
        <v>213.33</v>
      </c>
      <c r="G16" s="55">
        <f>F16*E16</f>
        <v>213.33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231</v>
      </c>
      <c r="D17" s="70" t="s">
        <v>230</v>
      </c>
      <c r="E17" s="55">
        <v>3</v>
      </c>
      <c r="F17" s="55">
        <v>10</v>
      </c>
      <c r="G17" s="55">
        <f t="shared" ref="G17:G33" si="0">F17*E17</f>
        <v>30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232</v>
      </c>
      <c r="D18" s="70" t="s">
        <v>205</v>
      </c>
      <c r="E18" s="55">
        <v>1</v>
      </c>
      <c r="F18" s="55">
        <v>10.67</v>
      </c>
      <c r="G18" s="55">
        <f t="shared" si="0"/>
        <v>10.67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235</v>
      </c>
      <c r="D19" s="70" t="s">
        <v>205</v>
      </c>
      <c r="E19" s="55">
        <v>2</v>
      </c>
      <c r="F19" s="55">
        <v>23.91</v>
      </c>
      <c r="G19" s="55">
        <f t="shared" si="0"/>
        <v>47.82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234</v>
      </c>
      <c r="D20" s="70" t="s">
        <v>205</v>
      </c>
      <c r="E20" s="55">
        <v>23</v>
      </c>
      <c r="F20" s="55">
        <v>6.91</v>
      </c>
      <c r="G20" s="55">
        <f t="shared" si="0"/>
        <v>158.93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236</v>
      </c>
      <c r="D21" s="70" t="s">
        <v>205</v>
      </c>
      <c r="E21" s="55">
        <v>19</v>
      </c>
      <c r="F21" s="55">
        <v>1.51</v>
      </c>
      <c r="G21" s="55">
        <f t="shared" si="0"/>
        <v>28.69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237</v>
      </c>
      <c r="D22" s="70" t="s">
        <v>205</v>
      </c>
      <c r="E22" s="55">
        <v>2</v>
      </c>
      <c r="F22" s="55">
        <v>120</v>
      </c>
      <c r="G22" s="55">
        <f t="shared" si="0"/>
        <v>240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238</v>
      </c>
      <c r="D23" s="70" t="s">
        <v>233</v>
      </c>
      <c r="E23" s="55">
        <v>57</v>
      </c>
      <c r="F23" s="55">
        <v>2.77</v>
      </c>
      <c r="G23" s="55">
        <f t="shared" si="0"/>
        <v>157.89000000000001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239</v>
      </c>
      <c r="D24" s="70" t="s">
        <v>240</v>
      </c>
      <c r="E24" s="55">
        <v>7</v>
      </c>
      <c r="F24" s="55">
        <v>560</v>
      </c>
      <c r="G24" s="55">
        <f t="shared" si="0"/>
        <v>3920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241</v>
      </c>
      <c r="D25" s="70" t="s">
        <v>233</v>
      </c>
      <c r="E25" s="55">
        <v>3</v>
      </c>
      <c r="F25" s="55">
        <v>210.67</v>
      </c>
      <c r="G25" s="55">
        <f t="shared" si="0"/>
        <v>632.01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242</v>
      </c>
      <c r="D26" s="70" t="s">
        <v>205</v>
      </c>
      <c r="E26" s="55">
        <v>5</v>
      </c>
      <c r="F26" s="55">
        <v>7.73</v>
      </c>
      <c r="G26" s="55">
        <f t="shared" si="0"/>
        <v>38.650000000000006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244</v>
      </c>
      <c r="D27" s="70" t="s">
        <v>205</v>
      </c>
      <c r="E27" s="55">
        <v>2</v>
      </c>
      <c r="F27" s="55">
        <v>6.91</v>
      </c>
      <c r="G27" s="55">
        <f t="shared" si="0"/>
        <v>13.82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245</v>
      </c>
      <c r="D28" s="70" t="s">
        <v>243</v>
      </c>
      <c r="E28" s="55">
        <v>5</v>
      </c>
      <c r="F28" s="55">
        <v>15</v>
      </c>
      <c r="G28" s="55">
        <f t="shared" si="0"/>
        <v>75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248</v>
      </c>
      <c r="D29" s="70" t="s">
        <v>233</v>
      </c>
      <c r="E29" s="55">
        <v>3</v>
      </c>
      <c r="F29" s="55">
        <v>1.6</v>
      </c>
      <c r="G29" s="55">
        <f t="shared" si="0"/>
        <v>4.8000000000000007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247</v>
      </c>
      <c r="D30" s="70" t="s">
        <v>233</v>
      </c>
      <c r="E30" s="55">
        <v>5</v>
      </c>
      <c r="F30" s="55">
        <v>30</v>
      </c>
      <c r="G30" s="55">
        <f t="shared" si="0"/>
        <v>150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 t="s">
        <v>246</v>
      </c>
      <c r="D31" s="70" t="s">
        <v>233</v>
      </c>
      <c r="E31" s="55">
        <v>5</v>
      </c>
      <c r="F31" s="55">
        <v>20</v>
      </c>
      <c r="G31" s="55">
        <f t="shared" si="0"/>
        <v>100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 t="s">
        <v>249</v>
      </c>
      <c r="D32" s="70" t="s">
        <v>205</v>
      </c>
      <c r="E32" s="55">
        <v>2</v>
      </c>
      <c r="F32" s="55">
        <v>38</v>
      </c>
      <c r="G32" s="55">
        <f t="shared" si="0"/>
        <v>76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 t="s">
        <v>250</v>
      </c>
      <c r="D33" s="70" t="s">
        <v>233</v>
      </c>
      <c r="E33" s="55">
        <v>1</v>
      </c>
      <c r="F33" s="55">
        <v>15.44</v>
      </c>
      <c r="G33" s="55">
        <f t="shared" si="0"/>
        <v>15.44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137" t="s">
        <v>77</v>
      </c>
      <c r="C34" s="138"/>
      <c r="D34" s="138"/>
      <c r="E34" s="138"/>
      <c r="F34" s="138"/>
      <c r="G34" s="139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1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2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3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4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5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6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7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8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9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10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137" t="s">
        <v>29</v>
      </c>
      <c r="C45" s="138"/>
      <c r="D45" s="138"/>
      <c r="E45" s="138"/>
      <c r="F45" s="138"/>
      <c r="G45" s="139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3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4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5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6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7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8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9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10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password="C2E9" sheet="1" objects="1" scenarios="1" formatColumns="0" formatRows="0" sort="0" autoFilter="0"/>
  <mergeCells count="9">
    <mergeCell ref="B7:G7"/>
    <mergeCell ref="B34:G34"/>
    <mergeCell ref="B45:G4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34</xdr:row>
                    <xdr:rowOff>28575</xdr:rowOff>
                  </from>
                  <to>
                    <xdr:col>1</xdr:col>
                    <xdr:colOff>762000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34</xdr:row>
                    <xdr:rowOff>28575</xdr:rowOff>
                  </from>
                  <to>
                    <xdr:col>1</xdr:col>
                    <xdr:colOff>1533525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45</xdr:row>
                    <xdr:rowOff>28575</xdr:rowOff>
                  </from>
                  <to>
                    <xdr:col>1</xdr:col>
                    <xdr:colOff>771525</xdr:colOff>
                    <xdr:row>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45</xdr:row>
                    <xdr:rowOff>28575</xdr:rowOff>
                  </from>
                  <to>
                    <xdr:col>1</xdr:col>
                    <xdr:colOff>1543050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D13" sqref="D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ARF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25</v>
      </c>
      <c r="E13" s="55"/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50</v>
      </c>
      <c r="F14" s="55"/>
      <c r="G14" s="55">
        <v>50</v>
      </c>
      <c r="H14" s="55"/>
      <c r="I14" s="55"/>
      <c r="J14" s="55"/>
      <c r="K14" s="55">
        <v>300</v>
      </c>
      <c r="L14" s="55"/>
      <c r="M14" s="55"/>
      <c r="N14" s="55"/>
      <c r="P14" s="88">
        <f t="shared" ref="P14:P22" si="0">SUM(D14:N14)</f>
        <v>400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25</v>
      </c>
      <c r="E30" s="88">
        <f t="shared" si="1"/>
        <v>50</v>
      </c>
      <c r="F30" s="88">
        <f t="shared" si="1"/>
        <v>0</v>
      </c>
      <c r="G30" s="88">
        <f t="shared" si="1"/>
        <v>90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300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data_general'!$C$31</f>
        <v>Level II and III</v>
      </c>
      <c r="G1" s="112" t="str">
        <f>'1.1 Case data_general'!$C$32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3</cp:lastModifiedBy>
  <dcterms:created xsi:type="dcterms:W3CDTF">2018-05-11T08:46:15Z</dcterms:created>
  <dcterms:modified xsi:type="dcterms:W3CDTF">2018-05-30T07:52:33Z</dcterms:modified>
</cp:coreProperties>
</file>