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Supplies_Medical'!$C$15:$C$62</definedName>
    <definedName name="Drugs">'1.2 Drugs&amp;Med'!$C$11:$C$12</definedName>
    <definedName name="_xlnm.Print_Area" localSheetId="0">'1.1 Case data_general'!$B$1:$F$78</definedName>
    <definedName name="_xlnm.Print_Area" localSheetId="1">'1.2 Drugs&amp;Med'!$B$2:$J$16</definedName>
  </definedNames>
  <calcPr calcId="144525"/>
</workbook>
</file>

<file path=xl/calcChain.xml><?xml version="1.0" encoding="utf-8"?>
<calcChain xmlns="http://schemas.openxmlformats.org/spreadsheetml/2006/main">
  <c r="G21" i="9" l="1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J12" i="2"/>
  <c r="J13" i="2"/>
  <c r="J14" i="2"/>
  <c r="J15" i="2"/>
  <c r="G17" i="9"/>
  <c r="G18" i="9"/>
  <c r="G19" i="9"/>
  <c r="G20" i="9"/>
  <c r="G16" i="9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<sst xmlns="http://schemas.openxmlformats.org/spreadsheetml/2006/main" count="538" uniqueCount="235">
  <si>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</si>
  <si>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</si>
  <si>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</si>
  <si>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</si>
  <si>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</si>
  <si>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</si>
  <si>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</si>
  <si>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</si>
  <si>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</si>
  <si>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</si>
  <si>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</si>
  <si>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</si>
  <si>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</si>
  <si>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</si>
  <si>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</si>
  <si>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</si>
  <si>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</si>
  <si>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</si>
  <si>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</si>
  <si>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</si>
  <si>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</si>
  <si>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</si>
  <si>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</si>
  <si>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</si>
  <si>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</si>
  <si>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</si>
  <si>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</si>
  <si>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</si>
  <si>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</si>
  <si>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</si>
  <si>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</si>
  <si>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</si>
  <si>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</si>
  <si>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</si>
  <si>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</si>
  <si>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</si>
  <si>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</si>
  <si>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</si>
  <si>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</si>
  <si>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</si>
  <si>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</si>
  <si>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</si>
  <si>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</si>
  <si>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</si>
  <si>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</si>
  <si>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</si>
  <si>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</si>
  <si>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</si>
  <si>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</si>
  <si>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</si>
  <si>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</si>
  <si>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</si>
  <si>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</si>
  <si>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</si>
  <si>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</si>
  <si>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</si>
  <si>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</si>
  <si>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</si>
  <si>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</si>
  <si>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</si>
  <si>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</si>
  <si>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</si>
  <si>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</si>
  <si>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</si>
  <si>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</si>
  <si>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</si>
  <si>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</si>
  <si>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</si>
  <si>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</si>
  <si>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</si>
  <si>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</si>
  <si>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</si>
  <si>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</si>
  <si>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</si>
  <si>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</si>
  <si>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</si>
  <si>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</si>
  <si>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</si>
  <si>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</si>
  <si>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</si>
  <si>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</si>
  <si>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</si>
  <si>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</si>
  <si>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</si>
  <si>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</si>
  <si>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</si>
  <si>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</si>
  <si>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</si>
  <si>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</si>
  <si>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</si>
  <si>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</si>
  <si>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</si>
  <si>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</si>
  <si>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</si>
  <si>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</si>
  <si>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</si>
  <si>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</si>
  <si>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</si>
  <si>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</si>
  <si>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</si>
  <si>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</si>
  <si>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</si>
  <si>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</si>
  <si>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</si>
  <si>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</si>
  <si>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</si>
  <si>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</si>
  <si>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</si>
  <si>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</si>
  <si>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</si>
  <si>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</si>
  <si>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</si>
  <si>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</si>
  <si>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</si>
  <si>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</si>
  <si>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</si>
  <si>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</si>
  <si>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</si>
  <si>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</si>
  <si>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</si>
  <si>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</si>
  <si>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</si>
  <si>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</si>
  <si>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</si>
  <si>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</si>
  <si>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</si>
  <si>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</si>
  <si>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</si>
  <si>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</si>
  <si>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</si>
  <si>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</si>
  <si>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</si>
  <si>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</si>
  <si>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</si>
  <si>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</si>
  <si>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</si>
  <si>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</si>
  <si>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</si>
  <si>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</si>
  <si>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</si>
  <si>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</si>
  <si>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</si>
  <si>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</si>
  <si>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</si>
  <si>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</si>
  <si>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</si>
  <si>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</si>
  <si>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</si>
  <si>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</si>
  <si>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</si>
  <si>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</si>
  <si>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</si>
  <si>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</si>
  <si>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</si>
  <si>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</si>
  <si>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</si>
  <si>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</si>
  <si>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</si>
  <si>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</si>
  <si>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</si>
  <si>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</si>
  <si>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</si>
  <si>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</si>
  <si>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</si>
  <si>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</si>
  <si>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LABORATORY</t>
  </si>
  <si>
    <t>PROFESSIONAL FEE</t>
  </si>
  <si>
    <t>fluid</t>
  </si>
  <si>
    <t>NA (SODIUM)</t>
  </si>
  <si>
    <t>CREATININE (CREA)</t>
  </si>
  <si>
    <t>K (POTASSIUM)</t>
  </si>
  <si>
    <t>CBC, PC</t>
  </si>
  <si>
    <t>BLOOD EXTRACTION FEE</t>
  </si>
  <si>
    <t>1L</t>
  </si>
  <si>
    <t>vial</t>
  </si>
  <si>
    <t>URINALYSIS (UA)</t>
  </si>
  <si>
    <t>500ML</t>
  </si>
  <si>
    <t>PLAIN NSS 1L</t>
  </si>
  <si>
    <t>pack</t>
  </si>
  <si>
    <t>piece</t>
  </si>
  <si>
    <t>XRAY</t>
  </si>
  <si>
    <t>ROOM AND BOARD</t>
  </si>
  <si>
    <t>ARF</t>
  </si>
  <si>
    <t>360338/74113</t>
  </si>
  <si>
    <t>J96.0</t>
  </si>
  <si>
    <t>I67.9</t>
  </si>
  <si>
    <t>G93.5</t>
  </si>
  <si>
    <t>E11.9</t>
  </si>
  <si>
    <t>BLOOD UREA NITROGEN (BUN)</t>
  </si>
  <si>
    <t>RANDOM BLOOD SUGAR (RBS)</t>
  </si>
  <si>
    <t>FASTING BLOOD SUGAR (FBS)</t>
  </si>
  <si>
    <t>LIPID PROFILE</t>
  </si>
  <si>
    <t>HBA1C / GLYCOSYLATED</t>
  </si>
  <si>
    <t>ARTERIAL BLOOD GASES (ABG)</t>
  </si>
  <si>
    <t>URINE KETONE</t>
  </si>
  <si>
    <t>Chest PA ADULT (1 view)</t>
  </si>
  <si>
    <t>tab</t>
  </si>
  <si>
    <t>ASPIRIN</t>
  </si>
  <si>
    <t>80MG</t>
  </si>
  <si>
    <t>ROSUVASTATIN</t>
  </si>
  <si>
    <t>20MG</t>
  </si>
  <si>
    <t>(D5W 500ML) 5% DEXTROSE IN WATER</t>
  </si>
  <si>
    <t xml:space="preserve">NOREPINEPHRINE BITARTRATE </t>
  </si>
  <si>
    <t>1MG/ML-2ML</t>
  </si>
  <si>
    <t>IV SET W/ AIRWAY FOR IV PUSH, VACOSET/MACRODRIP, ADULT</t>
  </si>
  <si>
    <t>IV CATHETER GAUGE 20</t>
  </si>
  <si>
    <t>IV CATHETER GAUGE 18</t>
  </si>
  <si>
    <t>IV CATHETER GAUGE 22</t>
  </si>
  <si>
    <t>INDIVIDUAL IV KIT CONTENTS: 2 STERILE OS 2X2X2, 1 ALCOHOL PREP PAD ( 70% ISOPROPYL ALCOHOL, SIZE 1-1/4 X 1-1/2 INCHES), 1 POVIDONE-IODINE, 10% PREP PAD, 1 TRANSPARENT FILM DRESSING, 1 ROLL ADHESIVE PLASTER, 1
TORNIQUET, 1 IV SITE TAG, BOX OF 25'S/ BD IV START</t>
  </si>
  <si>
    <t>HEMOGLUCOTEST TEST STRIP</t>
  </si>
  <si>
    <t>ECG PAPER, UNWAXED, 80MM X 20M GREEN OR RED, NON-GLOSSY</t>
  </si>
  <si>
    <t>ECG PAPER, UNWAXED, 50MM X 30M GREEN NON-GLOSSY</t>
  </si>
  <si>
    <t>LUBRICANT JELLY 5G/SACHET</t>
  </si>
  <si>
    <t>MEDICAL GLOVES W/ CUFF, STERILE LATEX, NATURAL RUBBER: SIZE 6 1/2</t>
  </si>
  <si>
    <t>MEDICAL GLOVES W/ CUFF, STERILE LATEX, NATURAL RUBBER: SIZE 7</t>
  </si>
  <si>
    <t>MEDICAL GLOVES W/ CUFF, STERILE LATEX, NATURAL RUBBER: SIZE 7 1/2</t>
  </si>
  <si>
    <t>GAUZE SPONGE 4"X4", 8 PLY, 28X24 MESH, UNSTERILE, W/O BLUE DETECTOR</t>
  </si>
  <si>
    <t>STERILLE COTTON</t>
  </si>
  <si>
    <t>DISPOSABLE SYRINGE 1ML G 25 W/ NEEDLE</t>
  </si>
  <si>
    <t>DISPOSABLE SYRINGE 3ML G 23 W/ NEEDLE</t>
  </si>
  <si>
    <t>DISPOSABLE SYRINGE 5ML G 23 W/ NEEDLE</t>
  </si>
  <si>
    <t>DISPOSABLE SYRINGE 10ML G 21 W/ NEEDLE</t>
  </si>
  <si>
    <t>NGT 16, COILED 125CM, SILICONE COATED WITH X-RAY RADIOPAQUE LINE AND CAP</t>
  </si>
  <si>
    <t>DISPOSABLE SYRINGE 50ML</t>
  </si>
  <si>
    <t>ENDOTRACHEAL TUBES, SIZE 7.5 W/ CUFF</t>
  </si>
  <si>
    <t>MANUAL RESUSCITATOR, ADULT WITH SILICON BAG (REUSABLE), W/ DETACHABLE O2 TUBING, WITH PLASTIC CASE</t>
  </si>
  <si>
    <t>VENTURI MASK, ADULT</t>
  </si>
  <si>
    <t>IV SET FOR PEDIA W/ BURETTE FOR DOSIFICATION VENTS W/ FILTER, SOLUSET</t>
  </si>
  <si>
    <t>OXYGEN FULL TANK</t>
  </si>
  <si>
    <t>set</t>
  </si>
  <si>
    <t>kit</t>
  </si>
  <si>
    <t>roll</t>
  </si>
  <si>
    <t>sachet</t>
  </si>
  <si>
    <t>pair</t>
  </si>
  <si>
    <t>tank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</si>
</sst>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733425</xdr:colOff>
          <xdr:row>23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1504950</xdr:colOff>
          <xdr:row>23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733425</xdr:colOff>
          <xdr:row>34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1504950</xdr:colOff>
          <xdr:row>34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28575</xdr:rowOff>
        </xdr:from>
        <xdr:to>
          <xdr:col>1</xdr:col>
          <xdr:colOff>762000</xdr:colOff>
          <xdr:row>41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41</xdr:row>
          <xdr:rowOff>28575</xdr:rowOff>
        </xdr:from>
        <xdr:to>
          <xdr:col>1</xdr:col>
          <xdr:colOff>1533525</xdr:colOff>
          <xdr:row>41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</xdr:row>
          <xdr:rowOff>28575</xdr:rowOff>
        </xdr:from>
        <xdr:to>
          <xdr:col>1</xdr:col>
          <xdr:colOff>771525</xdr:colOff>
          <xdr:row>52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52</xdr:row>
          <xdr:rowOff>28575</xdr:rowOff>
        </xdr:from>
        <xdr:to>
          <xdr:col>1</xdr:col>
          <xdr:colOff>1543050</xdr:colOff>
          <xdr:row>52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60" zoomScale="145" zoomScaleNormal="145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186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30">
        <v>4</v>
      </c>
      <c r="C22" s="31" t="s">
        <v>187</v>
      </c>
      <c r="D22" s="21"/>
      <c r="E22" s="21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6" t="s">
        <v>51</v>
      </c>
      <c r="C23" s="117"/>
      <c r="D23" s="117"/>
      <c r="E23" s="117"/>
      <c r="F23" s="118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1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2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3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4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6">
        <v>5</v>
      </c>
      <c r="C28" s="27"/>
      <c r="D28" s="29"/>
      <c r="E28" s="55"/>
      <c r="F28" s="5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thickBot="1" x14ac:dyDescent="0.35">
      <c r="A29" s="1"/>
      <c r="B29" s="119" t="s">
        <v>42</v>
      </c>
      <c r="C29" s="120"/>
      <c r="D29" s="120"/>
      <c r="E29" s="120"/>
      <c r="F29" s="130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3" t="s">
        <v>162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10" t="s">
        <v>159</v>
      </c>
      <c r="C31" s="114" t="s">
        <v>123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4" t="s">
        <v>160</v>
      </c>
      <c r="C32" s="114" t="s">
        <v>137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5" t="s">
        <v>17</v>
      </c>
      <c r="C33" s="7"/>
      <c r="D33" s="7"/>
      <c r="E33" s="56">
        <v>2</v>
      </c>
      <c r="F33" s="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thickBot="1" x14ac:dyDescent="0.35">
      <c r="A34" s="1"/>
      <c r="B34" s="116" t="s">
        <v>18</v>
      </c>
      <c r="C34" s="117"/>
      <c r="D34" s="117"/>
      <c r="E34" s="117"/>
      <c r="F34" s="118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1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2</v>
      </c>
      <c r="C36" s="27" t="s">
        <v>169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3</v>
      </c>
      <c r="C37" s="27" t="s">
        <v>170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4</v>
      </c>
      <c r="C38" s="27" t="s">
        <v>188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5</v>
      </c>
      <c r="C39" s="27" t="s">
        <v>189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6</v>
      </c>
      <c r="C40" s="27" t="s">
        <v>171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7</v>
      </c>
      <c r="C41" s="27" t="s">
        <v>172</v>
      </c>
      <c r="D41" s="23"/>
      <c r="E41" s="57">
        <v>4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8</v>
      </c>
      <c r="C42" s="27" t="s">
        <v>190</v>
      </c>
      <c r="D42" s="23"/>
      <c r="E42" s="57">
        <v>2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9</v>
      </c>
      <c r="C43" s="27" t="s">
        <v>191</v>
      </c>
      <c r="D43" s="23"/>
      <c r="E43" s="57">
        <v>2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10</v>
      </c>
      <c r="C44" s="27" t="s">
        <v>192</v>
      </c>
      <c r="D44" s="23"/>
      <c r="E44" s="57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11</v>
      </c>
      <c r="C45" s="27" t="s">
        <v>194</v>
      </c>
      <c r="D45" s="23"/>
      <c r="E45" s="57">
        <v>2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12</v>
      </c>
      <c r="C46" s="27" t="s">
        <v>193</v>
      </c>
      <c r="D46" s="23"/>
      <c r="E46" s="57">
        <v>2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13</v>
      </c>
      <c r="C47" s="27" t="s">
        <v>175</v>
      </c>
      <c r="D47" s="23"/>
      <c r="E47" s="57">
        <v>2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19</v>
      </c>
      <c r="C48" s="120"/>
      <c r="D48" s="117"/>
      <c r="E48" s="120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195</v>
      </c>
      <c r="D49" s="23"/>
      <c r="E49" s="55">
        <v>1</v>
      </c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9" t="s">
        <v>43</v>
      </c>
      <c r="C50" s="120"/>
      <c r="D50" s="117"/>
      <c r="E50" s="120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44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6" t="s">
        <v>52</v>
      </c>
      <c r="C52" s="117"/>
      <c r="D52" s="117"/>
      <c r="E52" s="117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6" t="s">
        <v>20</v>
      </c>
      <c r="C57" s="117"/>
      <c r="D57" s="117"/>
      <c r="E57" s="117"/>
      <c r="F57" s="118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54</v>
      </c>
      <c r="C66" s="17" t="s">
        <v>50</v>
      </c>
      <c r="D66" s="17" t="s">
        <v>55</v>
      </c>
      <c r="E66" s="18" t="s">
        <v>56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163</v>
      </c>
      <c r="D67" s="55">
        <v>1169.0999999999999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164</v>
      </c>
      <c r="D68" s="55">
        <v>4835.63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180</v>
      </c>
      <c r="D69" s="55">
        <v>120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 t="s">
        <v>165</v>
      </c>
      <c r="D70" s="55">
        <v>3850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 t="s">
        <v>181</v>
      </c>
      <c r="D71" s="55">
        <v>2500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 t="s">
        <v>166</v>
      </c>
      <c r="D72" s="55">
        <v>9600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22074.73</v>
      </c>
      <c r="E78" s="59">
        <f>SUM(E67:E77)</f>
        <v>0</v>
      </c>
      <c r="F78" s="59">
        <f>SUM(F67:F77)</f>
        <v>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3:F23"/>
    <mergeCell ref="B34:F34"/>
    <mergeCell ref="B29:F29"/>
    <mergeCell ref="B48:F48"/>
    <mergeCell ref="B52:F52"/>
  </mergeCells>
  <dataValidations count="1">
    <dataValidation type="decimal" operator="greaterThanOrEqual" allowBlank="1" showInputMessage="1" showErrorMessage="1" sqref="E33 E49 E51 E24:F28 E53:F56 E58:F63 D67:F76 E35:E4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733425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1504950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733425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1504950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6"/>
  <sheetViews>
    <sheetView zoomScale="115" zoomScaleNormal="115" workbookViewId="0">
      <selection activeCell="D16" sqref="D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ARF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167</v>
      </c>
      <c r="E11" s="27" t="s">
        <v>173</v>
      </c>
      <c r="F11" s="55">
        <v>3</v>
      </c>
      <c r="G11" s="55">
        <v>2</v>
      </c>
      <c r="H11" s="55">
        <v>8</v>
      </c>
      <c r="I11" s="55">
        <v>50.67</v>
      </c>
      <c r="J11" s="55">
        <f>H11*I11</f>
        <v>405.36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197</v>
      </c>
      <c r="D12" s="27" t="s">
        <v>196</v>
      </c>
      <c r="E12" s="27" t="s">
        <v>198</v>
      </c>
      <c r="F12" s="55">
        <v>3</v>
      </c>
      <c r="G12" s="55">
        <v>2</v>
      </c>
      <c r="H12" s="55">
        <v>7</v>
      </c>
      <c r="I12" s="55">
        <v>3</v>
      </c>
      <c r="J12" s="55">
        <f t="shared" ref="J12:J15" si="0">H12*I12</f>
        <v>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199</v>
      </c>
      <c r="D13" s="27" t="s">
        <v>196</v>
      </c>
      <c r="E13" s="27" t="s">
        <v>200</v>
      </c>
      <c r="F13" s="55">
        <v>3</v>
      </c>
      <c r="G13" s="55">
        <v>2</v>
      </c>
      <c r="H13" s="55">
        <v>5</v>
      </c>
      <c r="I13" s="55">
        <v>14.73</v>
      </c>
      <c r="J13" s="55">
        <f t="shared" si="0"/>
        <v>73.650000000000006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201</v>
      </c>
      <c r="D14" s="27" t="s">
        <v>167</v>
      </c>
      <c r="E14" s="27" t="s">
        <v>176</v>
      </c>
      <c r="F14" s="55">
        <v>1</v>
      </c>
      <c r="G14" s="55">
        <v>2</v>
      </c>
      <c r="H14" s="55">
        <v>3</v>
      </c>
      <c r="I14" s="55">
        <v>49.33</v>
      </c>
      <c r="J14" s="55">
        <f t="shared" si="0"/>
        <v>147.99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202</v>
      </c>
      <c r="D15" s="27" t="s">
        <v>174</v>
      </c>
      <c r="E15" s="27" t="s">
        <v>203</v>
      </c>
      <c r="F15" s="55">
        <v>2</v>
      </c>
      <c r="G15" s="55">
        <v>2</v>
      </c>
      <c r="H15" s="55">
        <v>4</v>
      </c>
      <c r="I15" s="55">
        <v>131.11000000000001</v>
      </c>
      <c r="J15" s="55">
        <f t="shared" si="0"/>
        <v>524.44000000000005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25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6"/>
  <sheetViews>
    <sheetView topLeftCell="A13" workbookViewId="0">
      <selection activeCell="E40" sqref="E4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ARF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25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204</v>
      </c>
      <c r="D16" s="70" t="s">
        <v>229</v>
      </c>
      <c r="E16" s="55">
        <v>3</v>
      </c>
      <c r="F16" s="55">
        <v>14</v>
      </c>
      <c r="G16" s="55">
        <f>F16*E16</f>
        <v>42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205</v>
      </c>
      <c r="D17" s="70" t="s">
        <v>178</v>
      </c>
      <c r="E17" s="55">
        <v>3</v>
      </c>
      <c r="F17" s="55">
        <v>13.13</v>
      </c>
      <c r="G17" s="55">
        <f t="shared" ref="G17:G40" si="0">F17*E17</f>
        <v>39.39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206</v>
      </c>
      <c r="D18" s="70" t="s">
        <v>178</v>
      </c>
      <c r="E18" s="55">
        <v>3</v>
      </c>
      <c r="F18" s="55">
        <v>13.13</v>
      </c>
      <c r="G18" s="55">
        <f t="shared" si="0"/>
        <v>39.39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207</v>
      </c>
      <c r="D19" s="70" t="s">
        <v>178</v>
      </c>
      <c r="E19" s="55">
        <v>3</v>
      </c>
      <c r="F19" s="55">
        <v>13.13</v>
      </c>
      <c r="G19" s="55">
        <f t="shared" si="0"/>
        <v>39.39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208</v>
      </c>
      <c r="D20" s="70" t="s">
        <v>230</v>
      </c>
      <c r="E20" s="55">
        <v>3</v>
      </c>
      <c r="F20" s="55">
        <v>105.33</v>
      </c>
      <c r="G20" s="55">
        <f t="shared" si="0"/>
        <v>315.99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209</v>
      </c>
      <c r="D21" s="70" t="s">
        <v>179</v>
      </c>
      <c r="E21" s="55">
        <v>18</v>
      </c>
      <c r="F21" s="55">
        <v>20</v>
      </c>
      <c r="G21" s="55">
        <f t="shared" si="0"/>
        <v>360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210</v>
      </c>
      <c r="D22" s="70" t="s">
        <v>231</v>
      </c>
      <c r="E22" s="55">
        <v>1</v>
      </c>
      <c r="F22" s="55">
        <v>111.6</v>
      </c>
      <c r="G22" s="55">
        <f t="shared" si="0"/>
        <v>111.6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211</v>
      </c>
      <c r="D23" s="70" t="s">
        <v>231</v>
      </c>
      <c r="E23" s="55">
        <v>2</v>
      </c>
      <c r="F23" s="55">
        <v>100</v>
      </c>
      <c r="G23" s="55">
        <f t="shared" si="0"/>
        <v>200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212</v>
      </c>
      <c r="D24" s="70" t="s">
        <v>232</v>
      </c>
      <c r="E24" s="55">
        <v>10</v>
      </c>
      <c r="F24" s="55">
        <v>10</v>
      </c>
      <c r="G24" s="55">
        <f t="shared" si="0"/>
        <v>100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213</v>
      </c>
      <c r="D25" s="70" t="s">
        <v>233</v>
      </c>
      <c r="E25" s="55">
        <v>3</v>
      </c>
      <c r="F25" s="55">
        <v>12</v>
      </c>
      <c r="G25" s="55">
        <f t="shared" si="0"/>
        <v>36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214</v>
      </c>
      <c r="D26" s="70" t="s">
        <v>233</v>
      </c>
      <c r="E26" s="55">
        <v>3</v>
      </c>
      <c r="F26" s="55">
        <v>10.67</v>
      </c>
      <c r="G26" s="55">
        <f t="shared" si="0"/>
        <v>32.01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215</v>
      </c>
      <c r="D27" s="70" t="s">
        <v>233</v>
      </c>
      <c r="E27" s="55">
        <v>3</v>
      </c>
      <c r="F27" s="55">
        <v>10.67</v>
      </c>
      <c r="G27" s="55">
        <f t="shared" si="0"/>
        <v>32.01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216</v>
      </c>
      <c r="D28" s="70" t="s">
        <v>178</v>
      </c>
      <c r="E28" s="55">
        <v>15</v>
      </c>
      <c r="F28" s="55">
        <v>1.51</v>
      </c>
      <c r="G28" s="55">
        <f t="shared" si="0"/>
        <v>22.65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217</v>
      </c>
      <c r="D29" s="70" t="s">
        <v>178</v>
      </c>
      <c r="E29" s="55">
        <v>10</v>
      </c>
      <c r="F29" s="55">
        <v>15</v>
      </c>
      <c r="G29" s="55">
        <f t="shared" si="0"/>
        <v>150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218</v>
      </c>
      <c r="D30" s="70" t="s">
        <v>179</v>
      </c>
      <c r="E30" s="55">
        <v>5</v>
      </c>
      <c r="F30" s="55">
        <v>1.6</v>
      </c>
      <c r="G30" s="55">
        <f t="shared" si="0"/>
        <v>8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219</v>
      </c>
      <c r="D31" s="70" t="s">
        <v>179</v>
      </c>
      <c r="E31" s="55">
        <v>5</v>
      </c>
      <c r="F31" s="55">
        <v>1.6</v>
      </c>
      <c r="G31" s="55">
        <f t="shared" si="0"/>
        <v>8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220</v>
      </c>
      <c r="D32" s="70" t="s">
        <v>179</v>
      </c>
      <c r="E32" s="55">
        <v>5</v>
      </c>
      <c r="F32" s="55">
        <v>5</v>
      </c>
      <c r="G32" s="55">
        <f t="shared" si="0"/>
        <v>25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 t="s">
        <v>221</v>
      </c>
      <c r="D33" s="70" t="s">
        <v>179</v>
      </c>
      <c r="E33" s="55">
        <v>10</v>
      </c>
      <c r="F33" s="55">
        <v>2.77</v>
      </c>
      <c r="G33" s="55">
        <f t="shared" si="0"/>
        <v>27.7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 t="s">
        <v>222</v>
      </c>
      <c r="D34" s="70" t="s">
        <v>178</v>
      </c>
      <c r="E34" s="55">
        <v>1</v>
      </c>
      <c r="F34" s="55">
        <v>213.33</v>
      </c>
      <c r="G34" s="55">
        <f t="shared" si="0"/>
        <v>213.33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20</v>
      </c>
      <c r="C35" s="69" t="s">
        <v>223</v>
      </c>
      <c r="D35" s="70" t="s">
        <v>179</v>
      </c>
      <c r="E35" s="55">
        <v>2</v>
      </c>
      <c r="F35" s="55">
        <v>277.33</v>
      </c>
      <c r="G35" s="55">
        <f t="shared" si="0"/>
        <v>554.66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21</v>
      </c>
      <c r="C36" s="69" t="s">
        <v>224</v>
      </c>
      <c r="D36" s="70" t="s">
        <v>179</v>
      </c>
      <c r="E36" s="55">
        <v>1</v>
      </c>
      <c r="F36" s="55">
        <v>33.17</v>
      </c>
      <c r="G36" s="55">
        <f t="shared" si="0"/>
        <v>33.17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22</v>
      </c>
      <c r="C37" s="69" t="s">
        <v>225</v>
      </c>
      <c r="D37" s="70" t="s">
        <v>178</v>
      </c>
      <c r="E37" s="55">
        <v>1</v>
      </c>
      <c r="F37" s="55">
        <v>1554.67</v>
      </c>
      <c r="G37" s="55">
        <f t="shared" si="0"/>
        <v>1554.67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23</v>
      </c>
      <c r="C38" s="69" t="s">
        <v>226</v>
      </c>
      <c r="D38" s="70" t="s">
        <v>179</v>
      </c>
      <c r="E38" s="55">
        <v>1</v>
      </c>
      <c r="F38" s="55">
        <v>210.67</v>
      </c>
      <c r="G38" s="55">
        <f t="shared" si="0"/>
        <v>210.67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24</v>
      </c>
      <c r="C39" s="69" t="s">
        <v>227</v>
      </c>
      <c r="D39" s="70" t="s">
        <v>178</v>
      </c>
      <c r="E39" s="55">
        <v>1</v>
      </c>
      <c r="F39" s="55">
        <v>120</v>
      </c>
      <c r="G39" s="55">
        <f t="shared" si="0"/>
        <v>120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25</v>
      </c>
      <c r="C40" s="69" t="s">
        <v>228</v>
      </c>
      <c r="D40" s="70" t="s">
        <v>234</v>
      </c>
      <c r="E40" s="55">
        <v>1</v>
      </c>
      <c r="F40" s="55">
        <v>560</v>
      </c>
      <c r="G40" s="55">
        <f t="shared" si="0"/>
        <v>560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37" t="s">
        <v>75</v>
      </c>
      <c r="C41" s="138"/>
      <c r="D41" s="138"/>
      <c r="E41" s="138"/>
      <c r="F41" s="138"/>
      <c r="G41" s="139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137" t="s">
        <v>29</v>
      </c>
      <c r="C52" s="138"/>
      <c r="D52" s="138"/>
      <c r="E52" s="138"/>
      <c r="F52" s="138"/>
      <c r="G52" s="1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2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3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4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5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6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7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8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B61" s="68">
        <v>9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B62" s="68">
        <v>10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4.25" customHeight="1" x14ac:dyDescent="0.3">
      <c r="A63" s="44"/>
      <c r="B63" s="39"/>
      <c r="C63" s="44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</row>
    <row r="64" spans="1:16" ht="14.25" customHeight="1" x14ac:dyDescent="0.3">
      <c r="A64" s="44"/>
      <c r="B64" s="39"/>
      <c r="C64" s="44"/>
      <c r="D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</row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</sheetData>
  <sheetProtection password="C2E9" sheet="1" objects="1" scenarios="1" formatColumns="0" formatRows="0" sort="0" autoFilter="0"/>
  <mergeCells count="9">
    <mergeCell ref="B7:G7"/>
    <mergeCell ref="B41:G41"/>
    <mergeCell ref="B52:G5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41</xdr:row>
                    <xdr:rowOff>28575</xdr:rowOff>
                  </from>
                  <to>
                    <xdr:col>1</xdr:col>
                    <xdr:colOff>762000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41</xdr:row>
                    <xdr:rowOff>28575</xdr:rowOff>
                  </from>
                  <to>
                    <xdr:col>1</xdr:col>
                    <xdr:colOff>1533525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52</xdr:row>
                    <xdr:rowOff>28575</xdr:rowOff>
                  </from>
                  <to>
                    <xdr:col>1</xdr:col>
                    <xdr:colOff>771525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52</xdr:row>
                    <xdr:rowOff>28575</xdr:rowOff>
                  </from>
                  <to>
                    <xdr:col>1</xdr:col>
                    <xdr:colOff>1543050</xdr:colOff>
                    <xdr:row>52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L15" sqref="L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ARF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data_general'!$C$30</f>
        <v>Level II and III</v>
      </c>
      <c r="G1" s="112" t="str">
        <f>'1.1 Case data_general'!$C$31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3</cp:lastModifiedBy>
  <dcterms:created xsi:type="dcterms:W3CDTF">2018-05-11T08:46:15Z</dcterms:created>
  <dcterms:modified xsi:type="dcterms:W3CDTF">2018-06-01T03:19:14Z</dcterms:modified>
</cp:coreProperties>
</file>