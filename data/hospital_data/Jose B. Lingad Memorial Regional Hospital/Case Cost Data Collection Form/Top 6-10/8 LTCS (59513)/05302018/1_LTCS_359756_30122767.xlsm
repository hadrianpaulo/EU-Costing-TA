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Supplies_Medical'!$C$15:$C$66</definedName>
    <definedName name="Drugs">'1.2 Drugs&amp;Med'!$C$11:$C$16</definedName>
    <definedName name="_xlnm.Print_Area" localSheetId="0">'1.1 Case data_general'!$B$1:$F$91</definedName>
    <definedName name="_xlnm.Print_Area" localSheetId="1">'1.2 Drugs&amp;Med'!$B$2:$J$36</definedName>
  </definedNames>
  <calcPr calcId="144525"/>
</workbook>
</file>

<file path=xl/calcChain.xml><?xml version="1.0" encoding="utf-8"?>
<calcChain xmlns="http://schemas.openxmlformats.org/spreadsheetml/2006/main">
  <c r="G34" i="9" l="1"/>
  <c r="J35" i="2"/>
  <c r="J34" i="2"/>
  <c r="J33" i="2"/>
  <c r="J32" i="2" l="1"/>
  <c r="J31" i="2"/>
  <c r="J30" i="2"/>
  <c r="J29" i="2"/>
  <c r="G33" i="9"/>
  <c r="G32" i="9"/>
  <c r="G31" i="9"/>
  <c r="G30" i="9"/>
  <c r="G29" i="9"/>
  <c r="G28" i="9"/>
  <c r="G27" i="9"/>
  <c r="G26" i="9"/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5" i="9"/>
  <c r="G54" i="9"/>
  <c r="G53" i="9"/>
  <c r="G52" i="9"/>
  <c r="G51" i="9"/>
  <c r="G50" i="9"/>
  <c r="G49" i="9"/>
  <c r="G48" i="9"/>
  <c r="G47" i="9"/>
  <c r="J19" i="2" l="1"/>
  <c r="J18" i="2"/>
  <c r="J17" i="2"/>
  <c r="G46" i="9"/>
  <c r="G45" i="9"/>
  <c r="G44" i="9"/>
  <c r="G43" i="9"/>
  <c r="G42" i="9"/>
  <c r="G41" i="9"/>
  <c r="G40" i="9"/>
  <c r="G39" i="9"/>
  <c r="G38" i="9"/>
  <c r="G37" i="9"/>
  <c r="G36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91" i="1"/>
  <c r="E91" i="1"/>
  <c r="D9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<sst xmlns="http://schemas.openxmlformats.org/spreadsheetml/2006/main" count="633" uniqueCount="283">
  <si>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</si>
  <si>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</si>
  <si>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</si>
  <si>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</si>
  <si>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</si>
  <si>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</si>
  <si>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</si>
  <si>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</si>
  <si>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</si>
  <si>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</si>
  <si>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</si>
  <si>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</si>
  <si>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</si>
  <si>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</si>
  <si>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</si>
  <si>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</si>
  <si>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</si>
  <si>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</si>
  <si>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</si>
  <si>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</si>
  <si>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</si>
  <si>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</si>
  <si>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</si>
  <si>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</si>
  <si>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</si>
  <si>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</si>
  <si>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</si>
  <si>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</si>
  <si>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</si>
  <si>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</si>
  <si>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</si>
  <si>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</si>
  <si>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</si>
  <si>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</si>
  <si>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</si>
  <si>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</si>
  <si>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</si>
  <si>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</si>
  <si>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</si>
  <si>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</si>
  <si>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</si>
  <si>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</si>
  <si>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</si>
  <si>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</si>
  <si>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</si>
  <si>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</si>
  <si>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</si>
  <si>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</si>
  <si>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</si>
  <si>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</si>
  <si>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</si>
  <si>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</si>
  <si>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</si>
  <si>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</si>
  <si>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</si>
  <si>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</si>
  <si>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</si>
  <si>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</si>
  <si>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</si>
  <si>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</si>
  <si>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</si>
  <si>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</si>
  <si>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</si>
  <si>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</si>
  <si>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</si>
  <si>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</si>
  <si>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</si>
  <si>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</si>
  <si>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</si>
  <si>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</si>
  <si>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</si>
  <si>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</si>
  <si>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</si>
  <si>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</si>
  <si>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</si>
  <si>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</si>
  <si>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</si>
  <si>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</si>
  <si>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</si>
  <si>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</si>
  <si>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</si>
  <si>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</si>
  <si>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</si>
  <si>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</si>
  <si>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</si>
  <si>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</si>
  <si>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</si>
  <si>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</si>
  <si>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</si>
  <si>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</si>
  <si>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</si>
  <si>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</si>
  <si>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</si>
  <si>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</si>
  <si>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</si>
  <si>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</si>
  <si>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</si>
  <si>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</si>
  <si>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</si>
  <si>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</si>
  <si>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</si>
  <si>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</si>
  <si>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</si>
  <si>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</si>
  <si>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</si>
  <si>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</si>
  <si>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</si>
  <si>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</si>
  <si>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</si>
  <si>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</si>
  <si>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</si>
  <si>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</si>
  <si>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</si>
  <si>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</si>
  <si>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</si>
  <si>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</si>
  <si>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</si>
  <si>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</si>
  <si>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</si>
  <si>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</si>
  <si>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</si>
  <si>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</si>
  <si>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</si>
  <si>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</si>
  <si>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</si>
  <si>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</si>
  <si>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</si>
  <si>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</si>
  <si>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</si>
  <si>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</si>
  <si>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</si>
  <si>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</si>
  <si>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</si>
  <si>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</si>
  <si>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</si>
  <si>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</si>
  <si>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</si>
  <si>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</si>
  <si>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</si>
  <si>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</si>
  <si>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</si>
  <si>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</si>
  <si>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</si>
  <si>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</si>
  <si>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</si>
  <si>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</si>
  <si>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</si>
  <si>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</si>
  <si>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</si>
  <si>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</si>
  <si>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</si>
  <si>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</si>
  <si>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</si>
  <si>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</si>
  <si>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</si>
  <si>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</si>
  <si>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</si>
  <si>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</si>
  <si>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</si>
  <si>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</si>
  <si>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</si>
  <si>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</si>
  <si>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</si>
  <si>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</si>
  <si>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</si>
  <si>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</si>
  <si>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</si>
  <si>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</si>
  <si>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</si>
  <si>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</si>
  <si>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</si>
  <si>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</si>
  <si>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</si>
  <si>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</si>
  <si>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</si>
  <si>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OXYTOCIN MALEATE 10MCG INJECTION 10 UNITS/ML-1ML</t>
  </si>
  <si>
    <t>(D5LRS 1L) 5% DEXTROSE IN LACTATED RINGERS SOLUTION 1000ML (D5 LRS) X 12S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</si>
  <si>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</si>
  <si>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</si>
  <si>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</si>
  <si>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</si>
  <si>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</si>
  <si>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</si>
  <si>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</si>
  <si>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</si>
  <si>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AMPULE</t>
  </si>
  <si>
    <t>MEDICAL GLOVES W/ CUFF, STERILE LATEX, NATURAL RUBBER: BOX OF 50'S  WARD USE SIZE 6 1/2</t>
  </si>
  <si>
    <t>PAIR</t>
  </si>
  <si>
    <t>MAJOR</t>
  </si>
  <si>
    <t>CATGUT 1 ABSORBABLE SURGICAL SUTURE AT LEAST 75CM, WITH AT LEAST 37-40MM X 1/2 CIRCLE ROUND TAPER NEEDLE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</si>
  <si>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</si>
  <si>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</si>
  <si>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</si>
  <si>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SUCTION TUBING YANKAUER TIP F25 X 150CM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</si>
  <si>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</si>
  <si>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</si>
  <si>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</si>
  <si>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</si>
  <si>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</si>
  <si>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</si>
  <si>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FOLEY CATHETER FR 14, 2 WAY, BOX OF 20</t>
  </si>
  <si>
    <t>URINE BAG, ADULT W/ DRAINAGE TUBE 2,000 ML</t>
  </si>
  <si>
    <t>OXYGEN MASK ADULT W/ CONNECTING TUBE</t>
  </si>
  <si>
    <t>BUPIVACAINE HCL- SPINAL  0.5% - 4ML + 8% DEXTROSE</t>
  </si>
  <si>
    <t>RANITIDINE HCI 25MG/ML-2ML</t>
  </si>
  <si>
    <t>KETOROLAC TROMETHAMOL 30MG/ML-1ML</t>
  </si>
  <si>
    <t>TRAMADOL HCL 50MG/ML-2ML</t>
  </si>
  <si>
    <t>0.5%-4ML</t>
  </si>
  <si>
    <t>25MG</t>
  </si>
  <si>
    <t>30MG</t>
  </si>
  <si>
    <t>50MG</t>
  </si>
  <si>
    <t>O99.0</t>
  </si>
  <si>
    <t>D62</t>
  </si>
  <si>
    <t>SGPT</t>
  </si>
  <si>
    <t>SGOT</t>
  </si>
  <si>
    <t>CREATININE (CREA)</t>
  </si>
  <si>
    <t>LDH</t>
  </si>
  <si>
    <t>BLOOD UREA NITROGEN (BUN)</t>
  </si>
  <si>
    <t>URINALYSIS (UA)</t>
  </si>
  <si>
    <t>K (POTASSIUM)</t>
  </si>
  <si>
    <t>SCREENING/PROCESSING PRBC</t>
  </si>
  <si>
    <t>CBC, PC</t>
  </si>
  <si>
    <t>CASE RATE</t>
  </si>
  <si>
    <t>PF CASE RATE</t>
  </si>
  <si>
    <t>NBB</t>
  </si>
  <si>
    <t>SURGICAL LAPAROTOMY SPONGE 8"X36", 24X28 MESH, 12 PLY SEWED EDGES STERILE W/ DETECTABLE X-RAY THREAD (LAP SPONGE 8"X36"X12 PLY, LOOP W/ X-RAY THREAD, STERILE, 1 PIECE/PCK) (CPR NEEDED)</t>
  </si>
  <si>
    <t>BLOOD ADMINISTRATION SET W/ FILTER, STRAIGHT-TYPE BLOOD TRANSFUSION WITH A 170 MICRON NYLON MESH FILTER AND NEEDLE/CATHETER ADAPTER; APPROXIMATE LENGTH 58". INCLUDES ONE 18G X 1.5" NEEDLE</t>
  </si>
  <si>
    <t>IV CATHETER GAUGE 20</t>
  </si>
  <si>
    <t>ULTRASOUND PRINTING PAPER 110MM X 20MM (HIGH DENSITY) (DURICO TYPE 1)</t>
  </si>
  <si>
    <t>DISPOSABLE INSULIN SYRINGE 1CC G 30 0.3 X 8MM BOX OF 100'S ( SHORT NEEDLE ULTRAFINE ) (CPR NEEDED)</t>
  </si>
  <si>
    <t>Z-FOLD PAPER FOR FETAL CHART 30-240BPM X 40S (152MM X 90MM X 150 SHEETS)</t>
  </si>
  <si>
    <t>STERILE WATER FOR INJECTION, 10ML (SWFI)</t>
  </si>
  <si>
    <t>ROLL</t>
  </si>
  <si>
    <t>(SAFETY FILTER)   BLOOD ADMINISTRATION SET W/ FILTER</t>
  </si>
  <si>
    <t>PHYTOMENADIONE ( VITAMIN K ) 10MG/1ML</t>
  </si>
  <si>
    <t>TRANEXAMIC ACID 100MG/ML-5ML</t>
  </si>
  <si>
    <t>METRONIDAZOLE 500MG IN BLISTER FOIL PACK</t>
  </si>
  <si>
    <t>CEFUROXIME 500MG IN BLISTER FOIL PACK</t>
  </si>
  <si>
    <t>5MG</t>
  </si>
  <si>
    <t>10MG</t>
  </si>
  <si>
    <t>100MG</t>
  </si>
  <si>
    <t>TABLET</t>
  </si>
  <si>
    <t>359756/73910</t>
  </si>
  <si>
    <t>O60.1</t>
  </si>
  <si>
    <t>O64.9</t>
  </si>
  <si>
    <t>O82.1</t>
  </si>
  <si>
    <t>NA (SODIUM)</t>
  </si>
  <si>
    <t>CL (CHLORIDE)</t>
  </si>
  <si>
    <t>RANDOM BLOOD SUGAR (RBS)</t>
  </si>
  <si>
    <t>IONIZED CALCIUM (ICA)</t>
  </si>
  <si>
    <t>PT (PROTIME)</t>
  </si>
  <si>
    <t>APTT</t>
  </si>
  <si>
    <t>CROSSMATCHING PER UNIT</t>
  </si>
  <si>
    <t>TYPE SPECIFIC ONLY (PLT., CONC., FFP, CRYO PPT, CRYO SPT) PER UNIT</t>
  </si>
  <si>
    <t>SCREENING/PROCESSING PLT. CONC.</t>
  </si>
  <si>
    <t>CHEST PA ADULT (1 VIEW)</t>
  </si>
  <si>
    <t>IV CATHETER GAUGE 24</t>
  </si>
  <si>
    <t>IV CATHETER GAUGE 26</t>
  </si>
  <si>
    <t>IV SET FOR PEDIA W/ BURETTE FOR DOSIFICATION VENTS W/ FILTER, SOLUSET</t>
  </si>
  <si>
    <t>POVIDONE IODINE 10 % SOLUTION (ANTISEPTIC) 120ML</t>
  </si>
  <si>
    <t>SPINAL NEEDLE, G27 X 3 1/2" DISPOSABLE STERILE, SINGLE PACK (CPR NEEDED)</t>
  </si>
  <si>
    <t>CATGUT PLAIN ABSORBABLE 2/0 W/ 75CM WITH 37MM ROUND NEEDLE ,PLAIN 2-0 HR37S(CATGUT PLAIN W/ ROUND NEEDLE TAPER NEEDLE 24''''''''''''''''''''''''''''''''S/BOX</t>
  </si>
  <si>
    <t>5% DEXTROSE IN LACTATED RINGER''S SOLUTION 500ML   (D5 LRS) )X24S</t>
  </si>
  <si>
    <t>ATROPINE SULPHATE 1MG/1ML (IV)</t>
  </si>
  <si>
    <t>EPINEPHRINE (AS ADRENALINE) 1MG/ML- 1 ML</t>
  </si>
  <si>
    <t>LIDOCAINE HCI 2%-5ML PRESERVATIVE-FREE REGARDLESS OF CONTAINER</t>
  </si>
  <si>
    <t>BUTORPHANOL TARTRATE 2MG/ML-1ML</t>
  </si>
  <si>
    <t>MIDAZOLAM 5MG-1ML 5MG/ML-1ML</t>
  </si>
  <si>
    <t>MAGNESIUM SULFATE 500MG/ML-2ML AMP</t>
  </si>
  <si>
    <t>PLAIN NSS 1L  (X 12S)</t>
  </si>
  <si>
    <t>DEXAMETHASONE SODIUM PHOSPHATE 4MG/ML-2ML</t>
  </si>
  <si>
    <t>CEFUROXIME SODIUM 750MG</t>
  </si>
  <si>
    <t>CEFTRIAXONE SODIUM 1G</t>
  </si>
  <si>
    <t>NIFEDIPINE HCL 10MG BLISTER/FOIL PACK</t>
  </si>
  <si>
    <t>LOSARTAN (AS POTASSIUM SALT) 50MG</t>
  </si>
  <si>
    <t>AMLODIPINE BESYLATE 5MG BLISTER/FOIL PACK</t>
  </si>
  <si>
    <t>500ML</t>
  </si>
  <si>
    <t>1MG</t>
  </si>
  <si>
    <t>2%-5ML</t>
  </si>
  <si>
    <t>2MG</t>
  </si>
  <si>
    <t>4MG</t>
  </si>
  <si>
    <t>750MG</t>
  </si>
  <si>
    <t>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</si>
</sst>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733425</xdr:colOff>
          <xdr:row>25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1504950</xdr:colOff>
          <xdr:row>25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19050</xdr:rowOff>
        </xdr:from>
        <xdr:to>
          <xdr:col>1</xdr:col>
          <xdr:colOff>733425</xdr:colOff>
          <xdr:row>70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70</xdr:row>
          <xdr:rowOff>19050</xdr:rowOff>
        </xdr:from>
        <xdr:to>
          <xdr:col>1</xdr:col>
          <xdr:colOff>1504950</xdr:colOff>
          <xdr:row>70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19050</xdr:rowOff>
        </xdr:from>
        <xdr:to>
          <xdr:col>1</xdr:col>
          <xdr:colOff>733425</xdr:colOff>
          <xdr:row>79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79</xdr:row>
          <xdr:rowOff>19050</xdr:rowOff>
        </xdr:from>
        <xdr:to>
          <xdr:col>1</xdr:col>
          <xdr:colOff>1504950</xdr:colOff>
          <xdr:row>79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28575</xdr:rowOff>
        </xdr:from>
        <xdr:to>
          <xdr:col>1</xdr:col>
          <xdr:colOff>771525</xdr:colOff>
          <xdr:row>56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56</xdr:row>
          <xdr:rowOff>28575</xdr:rowOff>
        </xdr:from>
        <xdr:to>
          <xdr:col>1</xdr:col>
          <xdr:colOff>1543050</xdr:colOff>
          <xdr:row>56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8"/>
  <sheetViews>
    <sheetView tabSelected="1" zoomScaleNormal="100" workbookViewId="0">
      <selection activeCell="B65" sqref="B65: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242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244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211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212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245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9">
        <v>6</v>
      </c>
      <c r="C24" s="30" t="s">
        <v>164</v>
      </c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thickBot="1" x14ac:dyDescent="0.35">
      <c r="A25" s="1"/>
      <c r="B25" s="118" t="s">
        <v>51</v>
      </c>
      <c r="C25" s="119"/>
      <c r="D25" s="119"/>
      <c r="E25" s="119"/>
      <c r="F25" s="12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1</v>
      </c>
      <c r="C26" s="26">
        <v>59513</v>
      </c>
      <c r="D26" s="28" t="s">
        <v>188</v>
      </c>
      <c r="E26" s="54">
        <v>1</v>
      </c>
      <c r="F26" s="54">
        <v>0.95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2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3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4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5</v>
      </c>
      <c r="C30" s="26"/>
      <c r="D30" s="28"/>
      <c r="E30" s="54"/>
      <c r="F30" s="5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21" t="s">
        <v>42</v>
      </c>
      <c r="C31" s="122"/>
      <c r="D31" s="122"/>
      <c r="E31" s="122"/>
      <c r="F31" s="13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158</v>
      </c>
      <c r="C32" s="112" t="s">
        <v>162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09" t="s">
        <v>159</v>
      </c>
      <c r="C33" s="113" t="s">
        <v>123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4" t="s">
        <v>160</v>
      </c>
      <c r="C34" s="113" t="s">
        <v>140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5" t="s">
        <v>17</v>
      </c>
      <c r="C35" s="7"/>
      <c r="D35" s="7"/>
      <c r="E35" s="55">
        <v>5</v>
      </c>
      <c r="F35" s="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18</v>
      </c>
      <c r="C36" s="119"/>
      <c r="D36" s="119"/>
      <c r="E36" s="119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9">
        <v>1</v>
      </c>
      <c r="C37" s="26" t="s">
        <v>165</v>
      </c>
      <c r="D37" s="22"/>
      <c r="E37" s="56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2</v>
      </c>
      <c r="C38" s="26" t="s">
        <v>213</v>
      </c>
      <c r="D38" s="22"/>
      <c r="E38" s="54">
        <v>2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3</v>
      </c>
      <c r="C39" s="26" t="s">
        <v>246</v>
      </c>
      <c r="D39" s="22"/>
      <c r="E39" s="54">
        <v>2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4</v>
      </c>
      <c r="C40" s="26" t="s">
        <v>214</v>
      </c>
      <c r="D40" s="22"/>
      <c r="E40" s="54">
        <v>2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5</v>
      </c>
      <c r="C41" s="26" t="s">
        <v>215</v>
      </c>
      <c r="D41" s="22"/>
      <c r="E41" s="54">
        <v>2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6</v>
      </c>
      <c r="C42" s="26" t="s">
        <v>219</v>
      </c>
      <c r="D42" s="22"/>
      <c r="E42" s="54">
        <v>2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7</v>
      </c>
      <c r="C43" s="26" t="s">
        <v>216</v>
      </c>
      <c r="D43" s="22"/>
      <c r="E43" s="54">
        <v>2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8</v>
      </c>
      <c r="C44" s="26" t="s">
        <v>247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9</v>
      </c>
      <c r="C45" s="26" t="s">
        <v>217</v>
      </c>
      <c r="D45" s="22"/>
      <c r="E45" s="54">
        <v>1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10</v>
      </c>
      <c r="C46" s="26" t="s">
        <v>166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11</v>
      </c>
      <c r="C47" s="26" t="s">
        <v>248</v>
      </c>
      <c r="D47" s="22"/>
      <c r="E47" s="54">
        <v>1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12</v>
      </c>
      <c r="C48" s="26" t="s">
        <v>249</v>
      </c>
      <c r="D48" s="22"/>
      <c r="E48" s="54">
        <v>1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13</v>
      </c>
      <c r="C49" s="26" t="s">
        <v>250</v>
      </c>
      <c r="D49" s="22"/>
      <c r="E49" s="54">
        <v>1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14</v>
      </c>
      <c r="C50" s="26" t="s">
        <v>251</v>
      </c>
      <c r="D50" s="22"/>
      <c r="E50" s="54">
        <v>1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15</v>
      </c>
      <c r="C51" s="26" t="s">
        <v>167</v>
      </c>
      <c r="D51" s="22"/>
      <c r="E51" s="54">
        <v>4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>
        <v>16</v>
      </c>
      <c r="C52" s="26" t="s">
        <v>218</v>
      </c>
      <c r="D52" s="22"/>
      <c r="E52" s="54">
        <v>1</v>
      </c>
      <c r="F52" s="2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>
        <v>17</v>
      </c>
      <c r="C53" s="26" t="s">
        <v>252</v>
      </c>
      <c r="D53" s="22"/>
      <c r="E53" s="54">
        <v>2</v>
      </c>
      <c r="F53" s="2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18</v>
      </c>
      <c r="C54" s="26" t="s">
        <v>253</v>
      </c>
      <c r="D54" s="22"/>
      <c r="E54" s="54">
        <v>4</v>
      </c>
      <c r="F54" s="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19</v>
      </c>
      <c r="C55" s="26" t="s">
        <v>254</v>
      </c>
      <c r="D55" s="22"/>
      <c r="E55" s="54">
        <v>2</v>
      </c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20</v>
      </c>
      <c r="C56" s="26" t="s">
        <v>220</v>
      </c>
      <c r="D56" s="22"/>
      <c r="E56" s="54">
        <v>2</v>
      </c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21</v>
      </c>
      <c r="C57" s="26" t="s">
        <v>221</v>
      </c>
      <c r="D57" s="22"/>
      <c r="E57" s="54">
        <v>3</v>
      </c>
      <c r="F57" s="2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21" t="s">
        <v>19</v>
      </c>
      <c r="C58" s="122"/>
      <c r="D58" s="119"/>
      <c r="E58" s="122"/>
      <c r="F58" s="12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>
        <v>1</v>
      </c>
      <c r="C59" s="26" t="s">
        <v>255</v>
      </c>
      <c r="D59" s="22"/>
      <c r="E59" s="54">
        <v>1</v>
      </c>
      <c r="F59" s="23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>
        <v>2</v>
      </c>
      <c r="C60" s="26"/>
      <c r="D60" s="22"/>
      <c r="E60" s="54"/>
      <c r="F60" s="23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>
        <v>3</v>
      </c>
      <c r="C61" s="26"/>
      <c r="D61" s="22"/>
      <c r="E61" s="54"/>
      <c r="F61" s="23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>
        <v>4</v>
      </c>
      <c r="C62" s="26"/>
      <c r="D62" s="22"/>
      <c r="E62" s="54"/>
      <c r="F62" s="23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thickBot="1" x14ac:dyDescent="0.35">
      <c r="A63" s="1"/>
      <c r="B63" s="121" t="s">
        <v>43</v>
      </c>
      <c r="C63" s="122"/>
      <c r="D63" s="119"/>
      <c r="E63" s="122"/>
      <c r="F63" s="120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4" t="s">
        <v>44</v>
      </c>
      <c r="C64" s="13"/>
      <c r="D64" s="13"/>
      <c r="E64" s="54">
        <v>2</v>
      </c>
      <c r="F64" s="13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Bot="1" x14ac:dyDescent="0.35">
      <c r="A65" s="1"/>
      <c r="B65" s="118" t="s">
        <v>52</v>
      </c>
      <c r="C65" s="119"/>
      <c r="D65" s="119"/>
      <c r="E65" s="119"/>
      <c r="F65" s="120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9"/>
      <c r="B66" s="29">
        <v>1</v>
      </c>
      <c r="C66" s="30"/>
      <c r="D66" s="31"/>
      <c r="E66" s="56"/>
      <c r="F66" s="56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9"/>
      <c r="B67" s="29">
        <v>2</v>
      </c>
      <c r="C67" s="30"/>
      <c r="D67" s="31"/>
      <c r="E67" s="56"/>
      <c r="F67" s="56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9"/>
      <c r="B68" s="25">
        <v>3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9"/>
      <c r="B69" s="25">
        <v>4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Bot="1" x14ac:dyDescent="0.35">
      <c r="A70" s="1"/>
      <c r="B70" s="118" t="s">
        <v>20</v>
      </c>
      <c r="C70" s="119"/>
      <c r="D70" s="119"/>
      <c r="E70" s="119"/>
      <c r="F70" s="120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5">
        <v>1</v>
      </c>
      <c r="C71" s="26"/>
      <c r="D71" s="27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5">
        <v>2</v>
      </c>
      <c r="C72" s="26"/>
      <c r="D72" s="27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25">
        <v>3</v>
      </c>
      <c r="C73" s="26"/>
      <c r="D73" s="27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25">
        <v>4</v>
      </c>
      <c r="C74" s="26"/>
      <c r="D74" s="27"/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25">
        <v>5</v>
      </c>
      <c r="C75" s="26"/>
      <c r="D75" s="27"/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25">
        <v>6</v>
      </c>
      <c r="C76" s="26"/>
      <c r="D76" s="27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24"/>
      <c r="C77" s="24"/>
      <c r="D77" s="24"/>
      <c r="E77" s="24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57.75" customHeight="1" thickBot="1" x14ac:dyDescent="0.35">
      <c r="A79" s="1"/>
      <c r="B79" s="16" t="s">
        <v>54</v>
      </c>
      <c r="C79" s="16" t="s">
        <v>50</v>
      </c>
      <c r="D79" s="16" t="s">
        <v>55</v>
      </c>
      <c r="E79" s="17" t="s">
        <v>56</v>
      </c>
      <c r="F79" s="18" t="s">
        <v>21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2">
        <v>1</v>
      </c>
      <c r="C80" s="26" t="s">
        <v>222</v>
      </c>
      <c r="D80" s="54">
        <v>11400</v>
      </c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2</v>
      </c>
      <c r="C81" s="26" t="s">
        <v>223</v>
      </c>
      <c r="D81" s="54">
        <v>7600</v>
      </c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3</v>
      </c>
      <c r="C82" s="26" t="s">
        <v>224</v>
      </c>
      <c r="D82" s="54"/>
      <c r="E82" s="54">
        <v>11643.87</v>
      </c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4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5</v>
      </c>
      <c r="C84" s="26"/>
      <c r="D84" s="54"/>
      <c r="E84" s="54"/>
      <c r="F84" s="5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6</v>
      </c>
      <c r="C85" s="26"/>
      <c r="D85" s="54"/>
      <c r="E85" s="54"/>
      <c r="F85" s="54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0">
        <v>7</v>
      </c>
      <c r="C86" s="26"/>
      <c r="D86" s="54"/>
      <c r="E86" s="54"/>
      <c r="F86" s="54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0">
        <v>8</v>
      </c>
      <c r="C87" s="26"/>
      <c r="D87" s="54"/>
      <c r="E87" s="54"/>
      <c r="F87" s="54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0">
        <v>9</v>
      </c>
      <c r="C88" s="26"/>
      <c r="D88" s="54"/>
      <c r="E88" s="54"/>
      <c r="F88" s="54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0">
        <v>10</v>
      </c>
      <c r="C89" s="26"/>
      <c r="D89" s="54"/>
      <c r="E89" s="54"/>
      <c r="F89" s="54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4.9000000000000004" customHeight="1" thickBot="1" x14ac:dyDescent="0.35">
      <c r="A90" s="1"/>
      <c r="B90" s="1"/>
      <c r="C90" s="1"/>
      <c r="D90" s="57"/>
      <c r="E90" s="57"/>
      <c r="F90" s="57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thickTop="1" x14ac:dyDescent="0.3">
      <c r="A91" s="1"/>
      <c r="B91" s="11"/>
      <c r="C91" s="4" t="s">
        <v>22</v>
      </c>
      <c r="D91" s="58">
        <f>SUM(D80:D90)</f>
        <v>19000</v>
      </c>
      <c r="E91" s="58">
        <f>SUM(E80:E90)</f>
        <v>11643.87</v>
      </c>
      <c r="F91" s="58">
        <f>SUM(F80:F90)</f>
        <v>0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ht="13.5" customHeight="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ht="13.5" customHeight="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ht="13.5" customHeight="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ht="13.5" customHeight="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</sheetData>
  <sheetProtection password="C2E9" sheet="1" objects="1" scenarios="1" formatColumns="0" formatRows="0" sort="0" autoFilter="0"/>
  <mergeCells count="12">
    <mergeCell ref="B70:F70"/>
    <mergeCell ref="B63:F63"/>
    <mergeCell ref="B12:F12"/>
    <mergeCell ref="B13:F13"/>
    <mergeCell ref="B14:F14"/>
    <mergeCell ref="B15:F15"/>
    <mergeCell ref="B18:F18"/>
    <mergeCell ref="B25:F25"/>
    <mergeCell ref="B36:F36"/>
    <mergeCell ref="B31:F31"/>
    <mergeCell ref="B58:F58"/>
    <mergeCell ref="B65:F65"/>
  </mergeCells>
  <dataValidations count="1">
    <dataValidation type="decimal" operator="greaterThanOrEqual" allowBlank="1" showInputMessage="1" showErrorMessage="1" sqref="E35 E59:E62 E64 E26:F30 E66:F69 E71:F76 E37:E57 D80:F8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733425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1504950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70</xdr:row>
                    <xdr:rowOff>19050</xdr:rowOff>
                  </from>
                  <to>
                    <xdr:col>1</xdr:col>
                    <xdr:colOff>733425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70</xdr:row>
                    <xdr:rowOff>19050</xdr:rowOff>
                  </from>
                  <to>
                    <xdr:col>1</xdr:col>
                    <xdr:colOff>1504950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79</xdr:row>
                    <xdr:rowOff>19050</xdr:rowOff>
                  </from>
                  <to>
                    <xdr:col>1</xdr:col>
                    <xdr:colOff>733425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79</xdr:row>
                    <xdr:rowOff>19050</xdr:rowOff>
                  </from>
                  <to>
                    <xdr:col>1</xdr:col>
                    <xdr:colOff>1504950</xdr:colOff>
                    <xdr:row>79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C34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6"/>
  <sheetViews>
    <sheetView topLeftCell="C1" workbookViewId="0">
      <selection activeCell="L35" sqref="L35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25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262</v>
      </c>
      <c r="D11" s="26" t="s">
        <v>179</v>
      </c>
      <c r="E11" s="26" t="s">
        <v>276</v>
      </c>
      <c r="F11" s="54">
        <v>1</v>
      </c>
      <c r="G11" s="54">
        <v>1</v>
      </c>
      <c r="H11" s="54">
        <v>1</v>
      </c>
      <c r="I11" s="54">
        <v>57.05</v>
      </c>
      <c r="J11" s="54">
        <f>H11*I11</f>
        <v>57.05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176</v>
      </c>
      <c r="D12" s="26" t="s">
        <v>179</v>
      </c>
      <c r="E12" s="26" t="s">
        <v>182</v>
      </c>
      <c r="F12" s="54">
        <v>2</v>
      </c>
      <c r="G12" s="54">
        <v>4</v>
      </c>
      <c r="H12" s="54">
        <v>7</v>
      </c>
      <c r="I12" s="54">
        <v>49.33</v>
      </c>
      <c r="J12" s="54">
        <f t="shared" ref="J12:J35" si="0">H12*I12</f>
        <v>345.31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263</v>
      </c>
      <c r="D13" s="26" t="s">
        <v>178</v>
      </c>
      <c r="E13" s="26" t="s">
        <v>277</v>
      </c>
      <c r="F13" s="54">
        <v>1</v>
      </c>
      <c r="G13" s="54">
        <v>1</v>
      </c>
      <c r="H13" s="54">
        <v>1</v>
      </c>
      <c r="I13" s="54">
        <v>13.04</v>
      </c>
      <c r="J13" s="54">
        <f t="shared" si="0"/>
        <v>13.04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264</v>
      </c>
      <c r="D14" s="26" t="s">
        <v>185</v>
      </c>
      <c r="E14" s="26" t="s">
        <v>277</v>
      </c>
      <c r="F14" s="54">
        <v>1</v>
      </c>
      <c r="G14" s="54">
        <v>1</v>
      </c>
      <c r="H14" s="54">
        <v>1</v>
      </c>
      <c r="I14" s="54">
        <v>38.51</v>
      </c>
      <c r="J14" s="54">
        <f t="shared" si="0"/>
        <v>38.51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203</v>
      </c>
      <c r="D15" s="26" t="s">
        <v>179</v>
      </c>
      <c r="E15" s="117" t="s">
        <v>207</v>
      </c>
      <c r="F15" s="54">
        <v>1</v>
      </c>
      <c r="G15" s="54">
        <v>1</v>
      </c>
      <c r="H15" s="54">
        <v>1</v>
      </c>
      <c r="I15" s="54">
        <v>81.63</v>
      </c>
      <c r="J15" s="54">
        <f t="shared" si="0"/>
        <v>81.63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265</v>
      </c>
      <c r="D16" s="26" t="s">
        <v>179</v>
      </c>
      <c r="E16" s="26" t="s">
        <v>278</v>
      </c>
      <c r="F16" s="54">
        <v>1</v>
      </c>
      <c r="G16" s="54">
        <v>1</v>
      </c>
      <c r="H16" s="54">
        <v>1</v>
      </c>
      <c r="I16" s="54">
        <v>30.4</v>
      </c>
      <c r="J16" s="54">
        <f t="shared" si="0"/>
        <v>30.4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2:20" ht="12.75" customHeight="1" x14ac:dyDescent="0.3">
      <c r="B17" s="41">
        <v>7</v>
      </c>
      <c r="C17" s="26" t="s">
        <v>266</v>
      </c>
      <c r="D17" s="26" t="s">
        <v>178</v>
      </c>
      <c r="E17" s="26" t="s">
        <v>279</v>
      </c>
      <c r="F17" s="54">
        <v>1</v>
      </c>
      <c r="G17" s="54">
        <v>1</v>
      </c>
      <c r="H17" s="54">
        <v>1</v>
      </c>
      <c r="I17" s="54">
        <v>566.66999999999996</v>
      </c>
      <c r="J17" s="54">
        <f t="shared" si="0"/>
        <v>566.66999999999996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2:20" ht="12.75" customHeight="1" x14ac:dyDescent="0.3">
      <c r="B18" s="41">
        <v>8</v>
      </c>
      <c r="C18" s="26" t="s">
        <v>267</v>
      </c>
      <c r="D18" s="26" t="s">
        <v>185</v>
      </c>
      <c r="E18" s="26" t="s">
        <v>238</v>
      </c>
      <c r="F18" s="54">
        <v>1</v>
      </c>
      <c r="G18" s="54">
        <v>1</v>
      </c>
      <c r="H18" s="54">
        <v>1</v>
      </c>
      <c r="I18" s="54">
        <v>89.79</v>
      </c>
      <c r="J18" s="54">
        <f t="shared" si="0"/>
        <v>89.79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2:20" ht="12.75" customHeight="1" x14ac:dyDescent="0.3">
      <c r="B19" s="41">
        <v>9</v>
      </c>
      <c r="C19" s="26" t="s">
        <v>175</v>
      </c>
      <c r="D19" s="26" t="s">
        <v>185</v>
      </c>
      <c r="E19" s="26" t="s">
        <v>181</v>
      </c>
      <c r="F19" s="54">
        <v>2</v>
      </c>
      <c r="G19" s="54">
        <v>3</v>
      </c>
      <c r="H19" s="54">
        <v>5</v>
      </c>
      <c r="I19" s="54">
        <v>8.52</v>
      </c>
      <c r="J19" s="54">
        <f t="shared" si="0"/>
        <v>42.599999999999994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2:20" ht="12.75" customHeight="1" x14ac:dyDescent="0.3">
      <c r="B20" s="41">
        <v>10</v>
      </c>
      <c r="C20" s="26" t="s">
        <v>268</v>
      </c>
      <c r="D20" s="26" t="s">
        <v>185</v>
      </c>
      <c r="E20" s="26" t="s">
        <v>183</v>
      </c>
      <c r="F20" s="54">
        <v>13</v>
      </c>
      <c r="G20" s="54">
        <v>5</v>
      </c>
      <c r="H20" s="54">
        <v>65</v>
      </c>
      <c r="I20" s="54">
        <v>72</v>
      </c>
      <c r="J20" s="54">
        <f t="shared" si="0"/>
        <v>4680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2:20" ht="12.75" customHeight="1" x14ac:dyDescent="0.3">
      <c r="B21" s="41">
        <v>11</v>
      </c>
      <c r="C21" s="26" t="s">
        <v>269</v>
      </c>
      <c r="D21" s="26" t="s">
        <v>179</v>
      </c>
      <c r="E21" s="26" t="s">
        <v>182</v>
      </c>
      <c r="F21" s="54">
        <v>1</v>
      </c>
      <c r="G21" s="54">
        <v>2</v>
      </c>
      <c r="H21" s="54">
        <v>2</v>
      </c>
      <c r="I21" s="54">
        <v>50.67</v>
      </c>
      <c r="J21" s="54">
        <f t="shared" si="0"/>
        <v>101.34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2:20" ht="12.75" customHeight="1" x14ac:dyDescent="0.3">
      <c r="B22" s="41">
        <v>12</v>
      </c>
      <c r="C22" s="26" t="s">
        <v>270</v>
      </c>
      <c r="D22" s="26" t="s">
        <v>178</v>
      </c>
      <c r="E22" s="26" t="s">
        <v>280</v>
      </c>
      <c r="F22" s="54">
        <v>2</v>
      </c>
      <c r="G22" s="54">
        <v>5</v>
      </c>
      <c r="H22" s="54">
        <v>10</v>
      </c>
      <c r="I22" s="54">
        <v>14.96</v>
      </c>
      <c r="J22" s="54">
        <f t="shared" si="0"/>
        <v>149.60000000000002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2:20" ht="12.75" customHeight="1" x14ac:dyDescent="0.3">
      <c r="B23" s="41">
        <v>13</v>
      </c>
      <c r="C23" s="26" t="s">
        <v>205</v>
      </c>
      <c r="D23" s="26" t="s">
        <v>178</v>
      </c>
      <c r="E23" s="26" t="s">
        <v>209</v>
      </c>
      <c r="F23" s="54">
        <v>2</v>
      </c>
      <c r="G23" s="54">
        <v>2</v>
      </c>
      <c r="H23" s="54">
        <v>4</v>
      </c>
      <c r="I23" s="54">
        <v>20.43</v>
      </c>
      <c r="J23" s="54">
        <f t="shared" si="0"/>
        <v>81.72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2:20" ht="12.75" customHeight="1" x14ac:dyDescent="0.3">
      <c r="B24" s="41">
        <v>14</v>
      </c>
      <c r="C24" s="26" t="s">
        <v>204</v>
      </c>
      <c r="D24" s="26" t="s">
        <v>185</v>
      </c>
      <c r="E24" s="26" t="s">
        <v>208</v>
      </c>
      <c r="F24" s="54">
        <v>1</v>
      </c>
      <c r="G24" s="54">
        <v>2</v>
      </c>
      <c r="H24" s="54">
        <v>2</v>
      </c>
      <c r="I24" s="54">
        <v>4.92</v>
      </c>
      <c r="J24" s="54">
        <f t="shared" si="0"/>
        <v>9.84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2:20" ht="12.75" customHeight="1" x14ac:dyDescent="0.3">
      <c r="B25" s="41">
        <v>15</v>
      </c>
      <c r="C25" s="26" t="s">
        <v>206</v>
      </c>
      <c r="D25" s="26" t="s">
        <v>178</v>
      </c>
      <c r="E25" s="26" t="s">
        <v>210</v>
      </c>
      <c r="F25" s="54">
        <v>1</v>
      </c>
      <c r="G25" s="54">
        <v>2</v>
      </c>
      <c r="H25" s="54">
        <v>2</v>
      </c>
      <c r="I25" s="54">
        <v>6.39</v>
      </c>
      <c r="J25" s="54">
        <f t="shared" si="0"/>
        <v>12.78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2:20" ht="12.75" customHeight="1" x14ac:dyDescent="0.3">
      <c r="B26" s="41">
        <v>16</v>
      </c>
      <c r="C26" s="26" t="s">
        <v>235</v>
      </c>
      <c r="D26" s="26" t="s">
        <v>178</v>
      </c>
      <c r="E26" s="26" t="s">
        <v>240</v>
      </c>
      <c r="F26" s="54">
        <v>1</v>
      </c>
      <c r="G26" s="54">
        <v>2</v>
      </c>
      <c r="H26" s="54">
        <v>2</v>
      </c>
      <c r="I26" s="54">
        <v>17.03</v>
      </c>
      <c r="J26" s="54">
        <f t="shared" si="0"/>
        <v>34.06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2:20" ht="12.75" customHeight="1" x14ac:dyDescent="0.3">
      <c r="B27" s="41">
        <v>17</v>
      </c>
      <c r="C27" s="26" t="s">
        <v>271</v>
      </c>
      <c r="D27" s="26" t="s">
        <v>178</v>
      </c>
      <c r="E27" s="26" t="s">
        <v>281</v>
      </c>
      <c r="F27" s="54">
        <v>1</v>
      </c>
      <c r="G27" s="54">
        <v>2</v>
      </c>
      <c r="H27" s="54">
        <v>2</v>
      </c>
      <c r="I27" s="54">
        <v>20.52</v>
      </c>
      <c r="J27" s="54">
        <f t="shared" si="0"/>
        <v>41.04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2:20" ht="12.75" customHeight="1" x14ac:dyDescent="0.3">
      <c r="B28" s="41">
        <v>18</v>
      </c>
      <c r="C28" s="26" t="s">
        <v>272</v>
      </c>
      <c r="D28" s="26" t="s">
        <v>178</v>
      </c>
      <c r="E28" s="26" t="s">
        <v>282</v>
      </c>
      <c r="F28" s="54">
        <v>2</v>
      </c>
      <c r="G28" s="54">
        <v>2</v>
      </c>
      <c r="H28" s="54">
        <v>4</v>
      </c>
      <c r="I28" s="54">
        <v>20.149999999999999</v>
      </c>
      <c r="J28" s="54">
        <f t="shared" si="0"/>
        <v>80.599999999999994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2:20" ht="12.75" customHeight="1" x14ac:dyDescent="0.3">
      <c r="B29" s="41">
        <v>19</v>
      </c>
      <c r="C29" s="26" t="s">
        <v>234</v>
      </c>
      <c r="D29" s="26" t="s">
        <v>178</v>
      </c>
      <c r="E29" s="26" t="s">
        <v>239</v>
      </c>
      <c r="F29" s="54">
        <v>3</v>
      </c>
      <c r="G29" s="54">
        <v>4</v>
      </c>
      <c r="H29" s="54">
        <v>12</v>
      </c>
      <c r="I29" s="54">
        <v>21.31</v>
      </c>
      <c r="J29" s="54">
        <f t="shared" si="0"/>
        <v>255.71999999999997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2:20" ht="12.75" customHeight="1" x14ac:dyDescent="0.3">
      <c r="B30" s="41">
        <v>20</v>
      </c>
      <c r="C30" s="26" t="s">
        <v>273</v>
      </c>
      <c r="D30" s="26" t="s">
        <v>180</v>
      </c>
      <c r="E30" s="26" t="s">
        <v>239</v>
      </c>
      <c r="F30" s="54">
        <v>3</v>
      </c>
      <c r="G30" s="54">
        <v>12</v>
      </c>
      <c r="H30" s="54">
        <v>36</v>
      </c>
      <c r="I30" s="54">
        <v>5.04</v>
      </c>
      <c r="J30" s="54">
        <f t="shared" si="0"/>
        <v>181.44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2:20" ht="12.75" customHeight="1" x14ac:dyDescent="0.3">
      <c r="B31" s="41">
        <v>21</v>
      </c>
      <c r="C31" s="26" t="s">
        <v>177</v>
      </c>
      <c r="D31" s="26" t="s">
        <v>180</v>
      </c>
      <c r="E31" s="26" t="s">
        <v>184</v>
      </c>
      <c r="F31" s="54">
        <v>1</v>
      </c>
      <c r="G31" s="54">
        <v>200</v>
      </c>
      <c r="H31" s="54">
        <v>200</v>
      </c>
      <c r="I31" s="54">
        <v>1.27</v>
      </c>
      <c r="J31" s="54">
        <f t="shared" si="0"/>
        <v>254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2:20" ht="12.75" customHeight="1" x14ac:dyDescent="0.3">
      <c r="B32" s="41">
        <v>22</v>
      </c>
      <c r="C32" s="26" t="s">
        <v>237</v>
      </c>
      <c r="D32" s="26" t="s">
        <v>180</v>
      </c>
      <c r="E32" s="26" t="s">
        <v>183</v>
      </c>
      <c r="F32" s="54">
        <v>2</v>
      </c>
      <c r="G32" s="54">
        <v>14</v>
      </c>
      <c r="H32" s="54">
        <v>28</v>
      </c>
      <c r="I32" s="54">
        <v>11.72</v>
      </c>
      <c r="J32" s="54">
        <f t="shared" si="0"/>
        <v>328.16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20" ht="12.75" customHeight="1" x14ac:dyDescent="0.3">
      <c r="B33" s="41">
        <v>23</v>
      </c>
      <c r="C33" s="26" t="s">
        <v>236</v>
      </c>
      <c r="D33" s="26" t="s">
        <v>180</v>
      </c>
      <c r="E33" s="26" t="s">
        <v>183</v>
      </c>
      <c r="F33" s="54">
        <v>3</v>
      </c>
      <c r="G33" s="54">
        <v>7</v>
      </c>
      <c r="H33" s="54">
        <v>21</v>
      </c>
      <c r="I33" s="54">
        <v>1.93</v>
      </c>
      <c r="J33" s="54">
        <f t="shared" si="0"/>
        <v>40.53</v>
      </c>
      <c r="K33" s="33"/>
      <c r="L33" s="33"/>
      <c r="M33" s="33"/>
      <c r="N33" s="33"/>
      <c r="O33" s="33"/>
      <c r="P33" s="33"/>
      <c r="Q33" s="33"/>
      <c r="R33" s="33"/>
      <c r="S33" s="33"/>
      <c r="T33" s="33"/>
    </row>
    <row r="34" spans="1:20" ht="12.75" customHeight="1" x14ac:dyDescent="0.3">
      <c r="B34" s="41">
        <v>24</v>
      </c>
      <c r="C34" s="26" t="s">
        <v>274</v>
      </c>
      <c r="D34" s="26" t="s">
        <v>241</v>
      </c>
      <c r="E34" s="26" t="s">
        <v>210</v>
      </c>
      <c r="F34" s="54">
        <v>2</v>
      </c>
      <c r="G34" s="54">
        <v>5</v>
      </c>
      <c r="H34" s="54">
        <v>10</v>
      </c>
      <c r="I34" s="54">
        <v>0.75</v>
      </c>
      <c r="J34" s="54">
        <f t="shared" si="0"/>
        <v>7.5</v>
      </c>
      <c r="K34" s="33"/>
      <c r="L34" s="33"/>
      <c r="M34" s="33"/>
      <c r="N34" s="33"/>
      <c r="O34" s="33"/>
      <c r="P34" s="33"/>
      <c r="Q34" s="33"/>
      <c r="R34" s="33"/>
      <c r="S34" s="33"/>
      <c r="T34" s="33"/>
    </row>
    <row r="35" spans="1:20" ht="12.75" customHeight="1" x14ac:dyDescent="0.3">
      <c r="B35" s="41">
        <v>25</v>
      </c>
      <c r="C35" s="26" t="s">
        <v>275</v>
      </c>
      <c r="D35" s="26" t="s">
        <v>241</v>
      </c>
      <c r="E35" s="26" t="s">
        <v>238</v>
      </c>
      <c r="F35" s="54">
        <v>2</v>
      </c>
      <c r="G35" s="54">
        <v>7</v>
      </c>
      <c r="H35" s="54">
        <v>14</v>
      </c>
      <c r="I35" s="54">
        <v>2.67</v>
      </c>
      <c r="J35" s="54">
        <f t="shared" si="0"/>
        <v>37.379999999999995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</row>
    <row r="36" spans="1:20" ht="12.75" customHeight="1" x14ac:dyDescent="0.25">
      <c r="A36" s="32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</row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8">
    <cfRule type="duplicateValues" dxfId="45" priority="33"/>
  </conditionalFormatting>
  <conditionalFormatting sqref="C28">
    <cfRule type="duplicateValues" dxfId="44" priority="27"/>
  </conditionalFormatting>
  <conditionalFormatting sqref="C30">
    <cfRule type="duplicateValues" dxfId="43" priority="19"/>
  </conditionalFormatting>
  <conditionalFormatting sqref="C29">
    <cfRule type="duplicateValues" dxfId="42" priority="22"/>
  </conditionalFormatting>
  <conditionalFormatting sqref="C29">
    <cfRule type="duplicateValues" dxfId="41" priority="21"/>
  </conditionalFormatting>
  <conditionalFormatting sqref="C30">
    <cfRule type="duplicateValues" dxfId="40" priority="20"/>
  </conditionalFormatting>
  <conditionalFormatting sqref="C31">
    <cfRule type="duplicateValues" dxfId="39" priority="18"/>
  </conditionalFormatting>
  <conditionalFormatting sqref="C31">
    <cfRule type="duplicateValues" dxfId="38" priority="17"/>
  </conditionalFormatting>
  <conditionalFormatting sqref="C32">
    <cfRule type="duplicateValues" dxfId="37" priority="16"/>
  </conditionalFormatting>
  <conditionalFormatting sqref="C32">
    <cfRule type="duplicateValues" dxfId="36" priority="15"/>
  </conditionalFormatting>
  <conditionalFormatting sqref="C33">
    <cfRule type="duplicateValues" dxfId="35" priority="14"/>
  </conditionalFormatting>
  <conditionalFormatting sqref="C33">
    <cfRule type="duplicateValues" dxfId="34" priority="13"/>
  </conditionalFormatting>
  <conditionalFormatting sqref="C34">
    <cfRule type="duplicateValues" dxfId="33" priority="12"/>
  </conditionalFormatting>
  <conditionalFormatting sqref="C34">
    <cfRule type="duplicateValues" dxfId="32" priority="11"/>
  </conditionalFormatting>
  <conditionalFormatting sqref="C35">
    <cfRule type="duplicateValues" dxfId="31" priority="10"/>
  </conditionalFormatting>
  <conditionalFormatting sqref="C35">
    <cfRule type="duplicateValues" dxfId="30" priority="9"/>
  </conditionalFormatting>
  <conditionalFormatting sqref="C33">
    <cfRule type="duplicateValues" dxfId="27" priority="6"/>
  </conditionalFormatting>
  <conditionalFormatting sqref="C33">
    <cfRule type="duplicateValues" dxfId="26" priority="5"/>
  </conditionalFormatting>
  <conditionalFormatting sqref="C34">
    <cfRule type="duplicateValues" dxfId="25" priority="4"/>
  </conditionalFormatting>
  <conditionalFormatting sqref="C34">
    <cfRule type="duplicateValues" dxfId="24" priority="3"/>
  </conditionalFormatting>
  <conditionalFormatting sqref="C35">
    <cfRule type="duplicateValues" dxfId="23" priority="2"/>
  </conditionalFormatting>
  <conditionalFormatting sqref="C35">
    <cfRule type="duplicateValues" dxfId="22" priority="1"/>
  </conditionalFormatting>
  <dataValidations count="1">
    <dataValidation type="decimal" operator="greaterThanOrEqual" allowBlank="1" showInputMessage="1" showErrorMessage="1" sqref="F11:J3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0"/>
  <sheetViews>
    <sheetView topLeftCell="A7" workbookViewId="0">
      <selection activeCell="B35" sqref="B35:G35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19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20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26" t="s">
        <v>200</v>
      </c>
      <c r="D16" s="69" t="s">
        <v>163</v>
      </c>
      <c r="E16" s="115">
        <v>1</v>
      </c>
      <c r="F16" s="115">
        <v>22</v>
      </c>
      <c r="G16" s="115">
        <f t="shared" ref="G16:G34" si="0">+E16*F16</f>
        <v>22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201</v>
      </c>
      <c r="D17" s="69" t="s">
        <v>163</v>
      </c>
      <c r="E17" s="115">
        <v>1</v>
      </c>
      <c r="F17" s="115">
        <v>15.81</v>
      </c>
      <c r="G17" s="115">
        <f t="shared" si="0"/>
        <v>15.81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228</v>
      </c>
      <c r="D18" s="69" t="s">
        <v>232</v>
      </c>
      <c r="E18" s="115">
        <v>1</v>
      </c>
      <c r="F18" s="115">
        <v>100</v>
      </c>
      <c r="G18" s="115">
        <f t="shared" si="0"/>
        <v>100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231</v>
      </c>
      <c r="D19" s="69" t="s">
        <v>199</v>
      </c>
      <c r="E19" s="115">
        <v>3</v>
      </c>
      <c r="F19" s="115">
        <v>25</v>
      </c>
      <c r="G19" s="115">
        <f t="shared" si="0"/>
        <v>75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229</v>
      </c>
      <c r="D20" s="69" t="s">
        <v>163</v>
      </c>
      <c r="E20" s="115">
        <v>2</v>
      </c>
      <c r="F20" s="115">
        <v>11.73</v>
      </c>
      <c r="G20" s="115">
        <f t="shared" si="0"/>
        <v>23.46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171</v>
      </c>
      <c r="D21" s="69" t="s">
        <v>163</v>
      </c>
      <c r="E21" s="115">
        <v>17</v>
      </c>
      <c r="F21" s="115">
        <v>2.77</v>
      </c>
      <c r="G21" s="115">
        <f t="shared" si="0"/>
        <v>47.09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230</v>
      </c>
      <c r="D22" s="69" t="s">
        <v>232</v>
      </c>
      <c r="E22" s="115">
        <v>1</v>
      </c>
      <c r="F22" s="115">
        <v>100</v>
      </c>
      <c r="G22" s="115">
        <f t="shared" si="0"/>
        <v>100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168</v>
      </c>
      <c r="D23" s="69" t="s">
        <v>163</v>
      </c>
      <c r="E23" s="115">
        <v>1</v>
      </c>
      <c r="F23" s="115">
        <v>1.6</v>
      </c>
      <c r="G23" s="115">
        <f t="shared" si="0"/>
        <v>1.6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169</v>
      </c>
      <c r="D24" s="69" t="s">
        <v>163</v>
      </c>
      <c r="E24" s="115">
        <v>7</v>
      </c>
      <c r="F24" s="115">
        <v>1.6</v>
      </c>
      <c r="G24" s="115">
        <f t="shared" si="0"/>
        <v>11.200000000000001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170</v>
      </c>
      <c r="D25" s="69" t="s">
        <v>163</v>
      </c>
      <c r="E25" s="115">
        <v>7</v>
      </c>
      <c r="F25" s="115">
        <v>5</v>
      </c>
      <c r="G25" s="115">
        <f t="shared" si="0"/>
        <v>35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198</v>
      </c>
      <c r="D26" s="69" t="s">
        <v>163</v>
      </c>
      <c r="E26" s="115">
        <v>3</v>
      </c>
      <c r="F26" s="115">
        <v>100</v>
      </c>
      <c r="G26" s="115">
        <f t="shared" si="0"/>
        <v>300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202</v>
      </c>
      <c r="D27" s="69" t="s">
        <v>163</v>
      </c>
      <c r="E27" s="115">
        <v>1</v>
      </c>
      <c r="F27" s="115">
        <v>37.130000000000003</v>
      </c>
      <c r="G27" s="115">
        <f t="shared" si="0"/>
        <v>37.130000000000003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195</v>
      </c>
      <c r="D28" s="69" t="s">
        <v>187</v>
      </c>
      <c r="E28" s="115">
        <v>2</v>
      </c>
      <c r="F28" s="115">
        <v>10.67</v>
      </c>
      <c r="G28" s="115">
        <f t="shared" si="0"/>
        <v>21.34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256</v>
      </c>
      <c r="D29" s="69" t="s">
        <v>163</v>
      </c>
      <c r="E29" s="115">
        <v>6</v>
      </c>
      <c r="F29" s="115">
        <v>13.33</v>
      </c>
      <c r="G29" s="115">
        <f t="shared" si="0"/>
        <v>79.98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15</v>
      </c>
      <c r="C30" s="26" t="s">
        <v>257</v>
      </c>
      <c r="D30" s="69" t="s">
        <v>163</v>
      </c>
      <c r="E30" s="115">
        <v>3</v>
      </c>
      <c r="F30" s="115">
        <v>19.84</v>
      </c>
      <c r="G30" s="115">
        <f t="shared" si="0"/>
        <v>59.519999999999996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16</v>
      </c>
      <c r="C31" s="26" t="s">
        <v>258</v>
      </c>
      <c r="D31" s="69" t="s">
        <v>174</v>
      </c>
      <c r="E31" s="115">
        <v>1</v>
      </c>
      <c r="F31" s="115">
        <v>120</v>
      </c>
      <c r="G31" s="115">
        <f t="shared" si="0"/>
        <v>120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17</v>
      </c>
      <c r="C32" s="26" t="s">
        <v>226</v>
      </c>
      <c r="D32" s="69" t="s">
        <v>174</v>
      </c>
      <c r="E32" s="115">
        <v>2</v>
      </c>
      <c r="F32" s="115">
        <v>20</v>
      </c>
      <c r="G32" s="115">
        <f t="shared" si="0"/>
        <v>40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18</v>
      </c>
      <c r="C33" s="26" t="s">
        <v>227</v>
      </c>
      <c r="D33" s="69" t="s">
        <v>163</v>
      </c>
      <c r="E33" s="115">
        <v>2</v>
      </c>
      <c r="F33" s="115">
        <v>13.13</v>
      </c>
      <c r="G33" s="115">
        <f t="shared" si="0"/>
        <v>26.26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19</v>
      </c>
      <c r="C34" s="26" t="s">
        <v>233</v>
      </c>
      <c r="D34" s="69" t="s">
        <v>163</v>
      </c>
      <c r="E34" s="54">
        <v>2</v>
      </c>
      <c r="F34" s="54">
        <v>20</v>
      </c>
      <c r="G34" s="115">
        <f t="shared" si="0"/>
        <v>40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139" t="s">
        <v>75</v>
      </c>
      <c r="C35" s="140"/>
      <c r="D35" s="140"/>
      <c r="E35" s="140"/>
      <c r="F35" s="140"/>
      <c r="G35" s="141"/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1</v>
      </c>
      <c r="C36" s="26" t="s">
        <v>225</v>
      </c>
      <c r="D36" s="116" t="s">
        <v>163</v>
      </c>
      <c r="E36" s="115">
        <v>2</v>
      </c>
      <c r="F36" s="115">
        <v>95</v>
      </c>
      <c r="G36" s="115">
        <f>+E36*F36</f>
        <v>190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2</v>
      </c>
      <c r="C37" s="26" t="s">
        <v>196</v>
      </c>
      <c r="D37" s="116" t="s">
        <v>163</v>
      </c>
      <c r="E37" s="115">
        <v>70</v>
      </c>
      <c r="F37" s="115">
        <v>1.51</v>
      </c>
      <c r="G37" s="115">
        <f t="shared" ref="G37:G55" si="1">+E37*F37</f>
        <v>105.7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3</v>
      </c>
      <c r="C38" s="26" t="s">
        <v>186</v>
      </c>
      <c r="D38" s="116" t="s">
        <v>187</v>
      </c>
      <c r="E38" s="115">
        <v>6</v>
      </c>
      <c r="F38" s="115">
        <v>12</v>
      </c>
      <c r="G38" s="115">
        <f t="shared" si="1"/>
        <v>72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4</v>
      </c>
      <c r="C39" s="26" t="s">
        <v>194</v>
      </c>
      <c r="D39" s="116" t="s">
        <v>187</v>
      </c>
      <c r="E39" s="115">
        <v>6</v>
      </c>
      <c r="F39" s="115">
        <v>15</v>
      </c>
      <c r="G39" s="115">
        <f t="shared" si="1"/>
        <v>90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5</v>
      </c>
      <c r="C40" s="26" t="s">
        <v>195</v>
      </c>
      <c r="D40" s="116" t="s">
        <v>187</v>
      </c>
      <c r="E40" s="115">
        <v>6</v>
      </c>
      <c r="F40" s="115">
        <v>10.67</v>
      </c>
      <c r="G40" s="115">
        <f t="shared" si="1"/>
        <v>64.02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6</v>
      </c>
      <c r="C41" s="26" t="s">
        <v>168</v>
      </c>
      <c r="D41" s="116" t="s">
        <v>163</v>
      </c>
      <c r="E41" s="115">
        <v>4</v>
      </c>
      <c r="F41" s="115">
        <v>1.6</v>
      </c>
      <c r="G41" s="115">
        <f t="shared" si="1"/>
        <v>6.4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7</v>
      </c>
      <c r="C42" s="26" t="s">
        <v>169</v>
      </c>
      <c r="D42" s="116" t="s">
        <v>163</v>
      </c>
      <c r="E42" s="115">
        <v>4</v>
      </c>
      <c r="F42" s="115">
        <v>1.6</v>
      </c>
      <c r="G42" s="115">
        <f t="shared" si="1"/>
        <v>6.4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8</v>
      </c>
      <c r="C43" s="26" t="s">
        <v>170</v>
      </c>
      <c r="D43" s="116" t="s">
        <v>163</v>
      </c>
      <c r="E43" s="115">
        <v>4</v>
      </c>
      <c r="F43" s="115">
        <v>5</v>
      </c>
      <c r="G43" s="115">
        <f t="shared" si="1"/>
        <v>20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9</v>
      </c>
      <c r="C44" s="26" t="s">
        <v>171</v>
      </c>
      <c r="D44" s="116" t="s">
        <v>163</v>
      </c>
      <c r="E44" s="115">
        <v>4</v>
      </c>
      <c r="F44" s="115">
        <v>2.77</v>
      </c>
      <c r="G44" s="115">
        <f t="shared" si="1"/>
        <v>11.08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10</v>
      </c>
      <c r="C45" s="26" t="s">
        <v>173</v>
      </c>
      <c r="D45" s="116" t="s">
        <v>163</v>
      </c>
      <c r="E45" s="115">
        <v>1</v>
      </c>
      <c r="F45" s="115">
        <v>5</v>
      </c>
      <c r="G45" s="115">
        <f t="shared" si="1"/>
        <v>5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11</v>
      </c>
      <c r="C46" s="26" t="s">
        <v>172</v>
      </c>
      <c r="D46" s="116" t="s">
        <v>163</v>
      </c>
      <c r="E46" s="115">
        <v>1</v>
      </c>
      <c r="F46" s="115">
        <v>3.25</v>
      </c>
      <c r="G46" s="115">
        <f t="shared" si="1"/>
        <v>3.25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12</v>
      </c>
      <c r="C47" s="26" t="s">
        <v>193</v>
      </c>
      <c r="D47" s="116" t="s">
        <v>163</v>
      </c>
      <c r="E47" s="115">
        <v>1</v>
      </c>
      <c r="F47" s="115">
        <v>258</v>
      </c>
      <c r="G47" s="115">
        <f t="shared" si="1"/>
        <v>258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13</v>
      </c>
      <c r="C48" s="26" t="s">
        <v>192</v>
      </c>
      <c r="D48" s="116" t="s">
        <v>199</v>
      </c>
      <c r="E48" s="115">
        <v>0.5</v>
      </c>
      <c r="F48" s="115">
        <v>67.319999999999993</v>
      </c>
      <c r="G48" s="115">
        <f t="shared" si="1"/>
        <v>33.659999999999997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14</v>
      </c>
      <c r="C49" s="26" t="s">
        <v>259</v>
      </c>
      <c r="D49" s="116" t="s">
        <v>199</v>
      </c>
      <c r="E49" s="115">
        <v>1</v>
      </c>
      <c r="F49" s="115">
        <v>84</v>
      </c>
      <c r="G49" s="115">
        <f t="shared" si="1"/>
        <v>84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15</v>
      </c>
      <c r="C50" s="26" t="s">
        <v>197</v>
      </c>
      <c r="D50" s="116" t="s">
        <v>163</v>
      </c>
      <c r="E50" s="115">
        <v>1</v>
      </c>
      <c r="F50" s="115">
        <v>23.87</v>
      </c>
      <c r="G50" s="115">
        <f t="shared" si="1"/>
        <v>23.87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16</v>
      </c>
      <c r="C51" s="26" t="s">
        <v>260</v>
      </c>
      <c r="D51" s="116" t="s">
        <v>163</v>
      </c>
      <c r="E51" s="115">
        <v>1</v>
      </c>
      <c r="F51" s="115">
        <v>125.33</v>
      </c>
      <c r="G51" s="115">
        <f t="shared" si="1"/>
        <v>125.33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17</v>
      </c>
      <c r="C52" s="26" t="s">
        <v>189</v>
      </c>
      <c r="D52" s="116" t="s">
        <v>163</v>
      </c>
      <c r="E52" s="115">
        <v>3</v>
      </c>
      <c r="F52" s="115">
        <v>118.67</v>
      </c>
      <c r="G52" s="115">
        <f t="shared" si="1"/>
        <v>356.01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18</v>
      </c>
      <c r="C53" s="26" t="s">
        <v>261</v>
      </c>
      <c r="D53" s="116" t="s">
        <v>163</v>
      </c>
      <c r="E53" s="115">
        <v>3</v>
      </c>
      <c r="F53" s="115">
        <v>116.16</v>
      </c>
      <c r="G53" s="115">
        <f t="shared" si="1"/>
        <v>348.48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19</v>
      </c>
      <c r="C54" s="26" t="s">
        <v>190</v>
      </c>
      <c r="D54" s="116" t="s">
        <v>163</v>
      </c>
      <c r="E54" s="115">
        <v>2</v>
      </c>
      <c r="F54" s="115">
        <v>330.94</v>
      </c>
      <c r="G54" s="115">
        <f t="shared" si="1"/>
        <v>661.88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20</v>
      </c>
      <c r="C55" s="26" t="s">
        <v>191</v>
      </c>
      <c r="D55" s="116" t="s">
        <v>163</v>
      </c>
      <c r="E55" s="115">
        <v>2</v>
      </c>
      <c r="F55" s="115">
        <v>310.5</v>
      </c>
      <c r="G55" s="115">
        <f t="shared" si="1"/>
        <v>621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139" t="s">
        <v>29</v>
      </c>
      <c r="C56" s="140"/>
      <c r="D56" s="140"/>
      <c r="E56" s="140"/>
      <c r="F56" s="140"/>
      <c r="G56" s="141"/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1</v>
      </c>
      <c r="C57" s="68"/>
      <c r="D57" s="69"/>
      <c r="E57" s="54"/>
      <c r="F57" s="54"/>
      <c r="G57" s="54"/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2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3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4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5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6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7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8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9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67">
        <v>10</v>
      </c>
      <c r="C66" s="68"/>
      <c r="D66" s="69"/>
      <c r="E66" s="54"/>
      <c r="F66" s="54"/>
      <c r="G66" s="54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A67" s="43"/>
      <c r="B67" s="38"/>
      <c r="C67" s="43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A68" s="43"/>
      <c r="B68" s="38"/>
      <c r="C68" s="43"/>
      <c r="D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</sheetData>
  <sheetProtection password="C2E9" sheet="1" objects="1" scenarios="1" formatColumns="0" formatRows="0" sort="0" autoFilter="0"/>
  <mergeCells count="9">
    <mergeCell ref="B7:G7"/>
    <mergeCell ref="B35:G35"/>
    <mergeCell ref="B56:G56"/>
    <mergeCell ref="B8:G8"/>
    <mergeCell ref="B9:G9"/>
    <mergeCell ref="B10:G10"/>
    <mergeCell ref="B11:G11"/>
    <mergeCell ref="B12:G12"/>
    <mergeCell ref="B15:G15"/>
  </mergeCells>
  <conditionalFormatting sqref="C16:C33">
    <cfRule type="duplicateValues" dxfId="21" priority="22"/>
  </conditionalFormatting>
  <conditionalFormatting sqref="C33">
    <cfRule type="duplicateValues" dxfId="20" priority="21"/>
  </conditionalFormatting>
  <conditionalFormatting sqref="C36:C53">
    <cfRule type="duplicateValues" dxfId="9" priority="10"/>
  </conditionalFormatting>
  <conditionalFormatting sqref="C53">
    <cfRule type="duplicateValues" dxfId="8" priority="9"/>
  </conditionalFormatting>
  <conditionalFormatting sqref="C54">
    <cfRule type="duplicateValues" dxfId="7" priority="8"/>
  </conditionalFormatting>
  <conditionalFormatting sqref="C54">
    <cfRule type="duplicateValues" dxfId="6" priority="7"/>
  </conditionalFormatting>
  <conditionalFormatting sqref="C55">
    <cfRule type="duplicateValues" dxfId="5" priority="6"/>
  </conditionalFormatting>
  <conditionalFormatting sqref="C55">
    <cfRule type="duplicateValues" dxfId="4" priority="5"/>
  </conditionalFormatting>
  <conditionalFormatting sqref="C34">
    <cfRule type="duplicateValues" dxfId="3" priority="2"/>
  </conditionalFormatting>
  <conditionalFormatting sqref="C34">
    <cfRule type="duplicateValues" dxfId="2" priority="1"/>
  </conditionalFormatting>
  <dataValidations count="1">
    <dataValidation type="decimal" operator="greaterThanOrEqual" allowBlank="1" showInputMessage="1" showErrorMessage="1" sqref="E16:G6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56</xdr:row>
                    <xdr:rowOff>28575</xdr:rowOff>
                  </from>
                  <to>
                    <xdr:col>1</xdr:col>
                    <xdr:colOff>771525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56</xdr:row>
                    <xdr:rowOff>28575</xdr:rowOff>
                  </from>
                  <to>
                    <xdr:col>1</xdr:col>
                    <xdr:colOff>1543050</xdr:colOff>
                    <xdr:row>56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data_general'!$C$32</f>
        <v>Level II and III</v>
      </c>
      <c r="G1" s="111" t="str">
        <f>'1.1 Case data_general'!$C$33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2018-05-31T11:28:07Z</dcterms:modified>
</cp:coreProperties>
</file>