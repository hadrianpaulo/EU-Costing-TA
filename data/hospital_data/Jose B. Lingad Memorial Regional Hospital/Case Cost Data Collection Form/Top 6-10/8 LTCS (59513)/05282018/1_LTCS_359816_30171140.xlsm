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Supplies_Medical'!$C$15:$C$66</definedName>
    <definedName name="Drugs">'1.2 Drugs&amp;Med'!$C$11:$C$16</definedName>
    <definedName name="_xlnm.Print_Area" localSheetId="0">'1.1 Case data_general'!$B$1:$F$75</definedName>
    <definedName name="_xlnm.Print_Area" localSheetId="1">'1.2 Drugs&amp;Med'!$B$2:$J$29</definedName>
  </definedNames>
  <calcPr calcId="144525"/>
</workbook>
</file>

<file path=xl/calcChain.xml><?xml version="1.0" encoding="utf-8"?>
<calcChain xmlns="http://schemas.openxmlformats.org/spreadsheetml/2006/main">
  <c r="J28" i="2" l="1"/>
  <c r="J27" i="2"/>
  <c r="J26" i="2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J19" i="2" l="1"/>
  <c r="J18" i="2"/>
  <c r="J17" i="2"/>
  <c r="G37" i="9"/>
  <c r="G36" i="9"/>
  <c r="G35" i="9"/>
  <c r="G34" i="9"/>
  <c r="G33" i="9"/>
  <c r="G32" i="9"/>
  <c r="G31" i="9"/>
  <c r="G30" i="9"/>
  <c r="G29" i="9"/>
  <c r="G28" i="9"/>
  <c r="G27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<sst xmlns="http://schemas.openxmlformats.org/spreadsheetml/2006/main" count="593" uniqueCount="252">
  <si>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</si>
  <si>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</si>
  <si>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</si>
  <si>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</si>
  <si>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</si>
  <si>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</si>
  <si>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</si>
  <si>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</si>
  <si>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</si>
  <si>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</si>
  <si>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</si>
  <si>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</si>
  <si>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</si>
  <si>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</si>
  <si>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</si>
  <si>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</si>
  <si>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</si>
  <si>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</si>
  <si>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</si>
  <si>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</si>
  <si>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</si>
  <si>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</si>
  <si>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</si>
  <si>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</si>
  <si>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</si>
  <si>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</si>
  <si>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</si>
  <si>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</si>
  <si>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</si>
  <si>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</si>
  <si>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</si>
  <si>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</si>
  <si>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</si>
  <si>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</si>
  <si>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</si>
  <si>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</si>
  <si>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</si>
  <si>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</si>
  <si>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</si>
  <si>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</si>
  <si>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</si>
  <si>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</si>
  <si>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</si>
  <si>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</si>
  <si>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</si>
  <si>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</si>
  <si>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</si>
  <si>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</si>
  <si>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</si>
  <si>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</si>
  <si>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</si>
  <si>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</si>
  <si>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</si>
  <si>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</si>
  <si>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</si>
  <si>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</si>
  <si>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</si>
  <si>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</si>
  <si>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</si>
  <si>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</si>
  <si>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</si>
  <si>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</si>
  <si>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</si>
  <si>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</si>
  <si>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</si>
  <si>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</si>
  <si>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</si>
  <si>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</si>
  <si>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</si>
  <si>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</si>
  <si>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</si>
  <si>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</si>
  <si>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</si>
  <si>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</si>
  <si>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</si>
  <si>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</si>
  <si>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</si>
  <si>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</si>
  <si>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</si>
  <si>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</si>
  <si>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</si>
  <si>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</si>
  <si>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</si>
  <si>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</si>
  <si>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</si>
  <si>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</si>
  <si>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</si>
  <si>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</si>
  <si>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</si>
  <si>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</si>
  <si>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</si>
  <si>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</si>
  <si>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</si>
  <si>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</si>
  <si>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</si>
  <si>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</si>
  <si>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</si>
  <si>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</si>
  <si>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</si>
  <si>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</si>
  <si>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</si>
  <si>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</si>
  <si>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</si>
  <si>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</si>
  <si>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</si>
  <si>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</si>
  <si>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</si>
  <si>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</si>
  <si>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</si>
  <si>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</si>
  <si>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</si>
  <si>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</si>
  <si>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</si>
  <si>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</si>
  <si>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</si>
  <si>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</si>
  <si>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</si>
  <si>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</si>
  <si>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</si>
  <si>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</si>
  <si>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</si>
  <si>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</si>
  <si>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</si>
  <si>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</si>
  <si>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</si>
  <si>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</si>
  <si>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</si>
  <si>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</si>
  <si>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</si>
  <si>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</si>
  <si>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</si>
  <si>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</si>
  <si>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</si>
  <si>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</si>
  <si>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</si>
  <si>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</si>
  <si>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</si>
  <si>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</si>
  <si>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</si>
  <si>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</si>
  <si>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</si>
  <si>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</si>
  <si>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</si>
  <si>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</si>
  <si>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</si>
  <si>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</si>
  <si>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</si>
  <si>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</si>
  <si>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</si>
  <si>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</si>
  <si>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</si>
  <si>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</si>
  <si>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</si>
  <si>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</si>
  <si>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</si>
  <si>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</si>
  <si>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</si>
  <si>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</si>
  <si>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</si>
  <si>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</si>
  <si>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</si>
  <si>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</si>
  <si>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</si>
  <si>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</si>
  <si>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</si>
  <si>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</si>
  <si>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</si>
  <si>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</si>
  <si>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</si>
  <si>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</si>
  <si>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</si>
  <si>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</si>
  <si>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</si>
  <si>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</si>
  <si>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</si>
  <si>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</si>
  <si>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</si>
  <si>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OXYTOCIN MALEATE 10MCG INJECTION 10 UNITS/ML-1ML</t>
  </si>
  <si>
    <t>(D5LRS 1L) 5% DEXTROSE IN LACTATED RINGERS SOLUTION 1000ML (D5 LRS) X 12S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</si>
  <si>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</si>
  <si>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</si>
  <si>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</si>
  <si>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</si>
  <si>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</si>
  <si>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</si>
  <si>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10MCG</t>
  </si>
  <si>
    <t>1L</t>
  </si>
  <si>
    <t>500MG</t>
  </si>
  <si>
    <t>200MG</t>
  </si>
  <si>
    <t>DISPOSABLE HEAD CAP X 100S GARTERIZED</t>
  </si>
  <si>
    <t>CEFALEXIN MONOHYDRATE 500MG IN BLISTER FOIL PACK</t>
  </si>
  <si>
    <t>AMPULE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</si>
  <si>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</si>
  <si>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</si>
  <si>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(PLAIN LRS 1L) LACTATED RINGER''''S SOLUTION 1000ML (PLAIN LRS 1L) X 12S</t>
  </si>
  <si>
    <t>CALCIUM CARBONATE 500MG BLISTER/FOIL PACK</t>
  </si>
  <si>
    <t>DISPOSABLE FACE MASK, EAR LOOP 3 FOLDS X 50S</t>
  </si>
  <si>
    <t>MEDICAL GLOVES W/ CUFF, STERILE LATEX, NATURAL RUBBER: BOX OF 50'S  WARD USE SIZE 6 1/2</t>
  </si>
  <si>
    <t>PAIR</t>
  </si>
  <si>
    <t>359816/73931</t>
  </si>
  <si>
    <t>O64.1</t>
  </si>
  <si>
    <t>O82.1</t>
  </si>
  <si>
    <t>Z30.2</t>
  </si>
  <si>
    <t>MAJOR</t>
  </si>
  <si>
    <t>CROSSMATCHING FULLY AUTOMATED (1 UNIT)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</si>
  <si>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</si>
  <si>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</si>
  <si>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</si>
  <si>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</si>
  <si>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</si>
  <si>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</si>
  <si>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SUCTION TUBING YANKAUER TIP F25 X 150CM</t>
  </si>
  <si>
    <t>SURGICAL BLADE 20, BOX OF 100''S UNIMEX/CHINA</t>
  </si>
  <si>
    <t>SURGICAL COTTON THREAD 2/0, 18" X 10 STRANDS</t>
  </si>
  <si>
    <t>ADHESIVE PLASTER 1/2 X 10 (SILK) BOX OF 24S ADHESIVE PLASTER SILK</t>
  </si>
  <si>
    <t>DISPOSABLE RAZOR, DOUBLE BLADE UNIMEX/CHINA</t>
  </si>
  <si>
    <t>MONITORING CHEST ELECTRODES, DISPOSABLE</t>
  </si>
  <si>
    <t>ANESTHESIA BREATHING TUBE, ADULT 150CM</t>
  </si>
  <si>
    <t>MEDICAL GLOVES W/ CUFF, STERILE LATEX, NATURAL RUBBER: BOX OF 50''''S  WARD USE SIZE 7</t>
  </si>
  <si>
    <t>MEDICAL GLOVES W/ CUFF, STERILE LATEX, NATURAL RUBBER: BOX OF 50''S  WARD USE SIZE 7 1/2</t>
  </si>
  <si>
    <t>LUBRICANT JELLY 5G/SACHET, BOX OF 100''''''''''''''''S, STERIL AND BACTERIOLISTIC (STERILE)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</si>
  <si>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</si>
  <si>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</si>
  <si>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</si>
  <si>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</si>
  <si>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PACK</t>
  </si>
  <si>
    <t>FOLEY CATHETER FR 14, 2 WAY, BOX OF 20</t>
  </si>
  <si>
    <t>URINE BAG, ADULT W/ DRAINAGE TUBE 2,000 ML</t>
  </si>
  <si>
    <t>OXYGEN MASK ADULT W/ CONNECTING TUBE</t>
  </si>
  <si>
    <t>PRE-FILLED OXYGEN HUMIDIFIER, STERILE WATER 340ML W/ FITTED ADOPTER</t>
  </si>
  <si>
    <t>LIDOCAINE HCL 2% - 50ML</t>
  </si>
  <si>
    <t>BUTORPHANOL TARTRATE 2MG/ML-1ML</t>
  </si>
  <si>
    <t>BUPIVACAINE HCL- SPINAL  0.5% - 4ML + 8% DEXTROSE</t>
  </si>
  <si>
    <t>PLAIN NSS 1L  (X 12S)</t>
  </si>
  <si>
    <t>ATROPINE SULPHATE 1MG/1ML (IV)</t>
  </si>
  <si>
    <t>EPINEPHRINE (AS ADRENALINE) 1MG/ML- 1 ML</t>
  </si>
  <si>
    <t>RANITIDINE HCI 25MG/ML-2ML</t>
  </si>
  <si>
    <t>METOCLOPRAMIDE HCL 5MG/ML-2ML</t>
  </si>
  <si>
    <t>CEFOXITIN SODIUM 1G</t>
  </si>
  <si>
    <t>KETOROLAC TROMETHAMOL 30MG/ML-1ML</t>
  </si>
  <si>
    <t>TRAMADOL HCL 50MG/ML-2ML</t>
  </si>
  <si>
    <t>2%-50ML</t>
  </si>
  <si>
    <t>2MG</t>
  </si>
  <si>
    <t>0.5%-4ML</t>
  </si>
  <si>
    <t>1MG</t>
  </si>
  <si>
    <t>25MG</t>
  </si>
  <si>
    <t>4MG</t>
  </si>
  <si>
    <t>1G</t>
  </si>
  <si>
    <t>30MG</t>
  </si>
  <si>
    <t>50MG</t>
  </si>
  <si>
    <t>CASE RATE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</si>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</sst>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6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0" fontId="0" fillId="0" borderId="21" xfId="0" applyFill="1" applyBorder="1" applyProtection="1">
      <protection locked="0"/>
    </xf>
    <xf numFmtId="164" fontId="0" fillId="0" borderId="21" xfId="1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733425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1504950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733425</xdr:colOff>
          <xdr:row>34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1504950</xdr:colOff>
          <xdr:row>34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28575</xdr:rowOff>
        </xdr:from>
        <xdr:to>
          <xdr:col>1</xdr:col>
          <xdr:colOff>771525</xdr:colOff>
          <xdr:row>56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56</xdr:row>
          <xdr:rowOff>28575</xdr:rowOff>
        </xdr:from>
        <xdr:to>
          <xdr:col>1</xdr:col>
          <xdr:colOff>1543050</xdr:colOff>
          <xdr:row>56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6" t="s">
        <v>59</v>
      </c>
      <c r="C12" s="127"/>
      <c r="D12" s="127"/>
      <c r="E12" s="127"/>
      <c r="F12" s="1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9" t="s">
        <v>2</v>
      </c>
      <c r="C13" s="130"/>
      <c r="D13" s="130"/>
      <c r="E13" s="130"/>
      <c r="F13" s="13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9" t="s">
        <v>4</v>
      </c>
      <c r="C14" s="130"/>
      <c r="D14" s="130"/>
      <c r="E14" s="130"/>
      <c r="F14" s="13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2" t="s">
        <v>60</v>
      </c>
      <c r="C15" s="133"/>
      <c r="D15" s="133"/>
      <c r="E15" s="133"/>
      <c r="F15" s="13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1" t="s">
        <v>15</v>
      </c>
      <c r="C18" s="122"/>
      <c r="D18" s="122"/>
      <c r="E18" s="122"/>
      <c r="F18" s="12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201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164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202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21" t="s">
        <v>51</v>
      </c>
      <c r="C23" s="122"/>
      <c r="D23" s="122"/>
      <c r="E23" s="122"/>
      <c r="F23" s="12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1</v>
      </c>
      <c r="C24" s="27">
        <v>59513</v>
      </c>
      <c r="D24" s="29" t="s">
        <v>203</v>
      </c>
      <c r="E24" s="55">
        <v>1</v>
      </c>
      <c r="F24" s="55">
        <v>0.6166666666666667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2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3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4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5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24" t="s">
        <v>42</v>
      </c>
      <c r="C29" s="125"/>
      <c r="D29" s="125"/>
      <c r="E29" s="125"/>
      <c r="F29" s="13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3" t="s">
        <v>162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159</v>
      </c>
      <c r="C31" s="114" t="s">
        <v>123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160</v>
      </c>
      <c r="C32" s="114" t="s">
        <v>140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6">
        <v>3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21" t="s">
        <v>18</v>
      </c>
      <c r="C34" s="122"/>
      <c r="D34" s="122"/>
      <c r="E34" s="122"/>
      <c r="F34" s="1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1</v>
      </c>
      <c r="C35" s="31" t="s">
        <v>165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2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3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4</v>
      </c>
      <c r="C38" s="27" t="s">
        <v>204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5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6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7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4" t="s">
        <v>19</v>
      </c>
      <c r="C42" s="125"/>
      <c r="D42" s="122"/>
      <c r="E42" s="125"/>
      <c r="F42" s="1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4" t="s">
        <v>43</v>
      </c>
      <c r="C47" s="125"/>
      <c r="D47" s="122"/>
      <c r="E47" s="125"/>
      <c r="F47" s="1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44</v>
      </c>
      <c r="C48" s="13"/>
      <c r="D48" s="13"/>
      <c r="E48" s="16">
        <v>2</v>
      </c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1" t="s">
        <v>52</v>
      </c>
      <c r="C49" s="122"/>
      <c r="D49" s="122"/>
      <c r="E49" s="122"/>
      <c r="F49" s="1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21" t="s">
        <v>20</v>
      </c>
      <c r="C54" s="122"/>
      <c r="D54" s="122"/>
      <c r="E54" s="122"/>
      <c r="F54" s="12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>
        <v>58600</v>
      </c>
      <c r="D55" s="28"/>
      <c r="E55" s="55">
        <v>1</v>
      </c>
      <c r="F55" s="55">
        <v>8.3333333333333329E-2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54</v>
      </c>
      <c r="C63" s="17" t="s">
        <v>50</v>
      </c>
      <c r="D63" s="17" t="s">
        <v>55</v>
      </c>
      <c r="E63" s="18" t="s">
        <v>56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250</v>
      </c>
      <c r="D64" s="55">
        <v>12853.17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251</v>
      </c>
      <c r="D65" s="55">
        <v>8600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21453.17</v>
      </c>
      <c r="E75" s="59">
        <f>SUM(E64:E74)</f>
        <v>0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3:F23"/>
    <mergeCell ref="B34:F34"/>
    <mergeCell ref="B29:F29"/>
    <mergeCell ref="B42:F42"/>
    <mergeCell ref="B49:F49"/>
  </mergeCells>
  <dataValidations count="1">
    <dataValidation type="decimal" operator="greaterThanOrEqual" allowBlank="1" showInputMessage="1" showErrorMessage="1" sqref="E33 E43:E46 E48 E24:F28 E50:F53 E55:F60 E35:E41 D64:F7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733425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1504950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733425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1504950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B1" workbookViewId="0">
      <selection activeCell="G21" sqref="G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>
        <f>'1.1 Case data_general'!D2</f>
        <v>59513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6" t="s">
        <v>63</v>
      </c>
      <c r="C8" s="137"/>
      <c r="D8" s="137"/>
      <c r="E8" s="137"/>
      <c r="F8" s="137"/>
      <c r="G8" s="137"/>
      <c r="H8" s="137"/>
      <c r="I8" s="137"/>
      <c r="J8" s="138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9" t="s">
        <v>177</v>
      </c>
      <c r="D11" s="27" t="s">
        <v>191</v>
      </c>
      <c r="E11" s="27" t="s">
        <v>185</v>
      </c>
      <c r="F11" s="118">
        <v>1</v>
      </c>
      <c r="G11" s="55">
        <v>3</v>
      </c>
      <c r="H11" s="119">
        <v>3</v>
      </c>
      <c r="I11" s="120">
        <v>8.52</v>
      </c>
      <c r="J11" s="55">
        <f>H11*I11</f>
        <v>25.56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9" t="s">
        <v>230</v>
      </c>
      <c r="D12" s="27" t="s">
        <v>181</v>
      </c>
      <c r="E12" s="27" t="s">
        <v>241</v>
      </c>
      <c r="F12" s="118">
        <v>1</v>
      </c>
      <c r="G12" s="55">
        <v>5</v>
      </c>
      <c r="H12" s="119">
        <v>5</v>
      </c>
      <c r="I12" s="120">
        <v>0.96</v>
      </c>
      <c r="J12" s="55">
        <f t="shared" ref="J12:J28" si="0">H12*I12</f>
        <v>4.8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9" t="s">
        <v>231</v>
      </c>
      <c r="D13" s="27" t="s">
        <v>181</v>
      </c>
      <c r="E13" s="27" t="s">
        <v>242</v>
      </c>
      <c r="F13" s="118">
        <v>1</v>
      </c>
      <c r="G13" s="55">
        <v>1</v>
      </c>
      <c r="H13" s="119">
        <v>1</v>
      </c>
      <c r="I13" s="120">
        <v>566.66999999999996</v>
      </c>
      <c r="J13" s="55">
        <f t="shared" si="0"/>
        <v>566.66999999999996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9" t="s">
        <v>232</v>
      </c>
      <c r="D14" s="27" t="s">
        <v>181</v>
      </c>
      <c r="E14" s="27" t="s">
        <v>243</v>
      </c>
      <c r="F14" s="118">
        <v>1</v>
      </c>
      <c r="G14" s="55">
        <v>1</v>
      </c>
      <c r="H14" s="119">
        <v>1</v>
      </c>
      <c r="I14" s="120">
        <v>81.63</v>
      </c>
      <c r="J14" s="55">
        <f t="shared" si="0"/>
        <v>81.63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9" t="s">
        <v>194</v>
      </c>
      <c r="D15" s="27" t="s">
        <v>224</v>
      </c>
      <c r="E15" s="27" t="s">
        <v>186</v>
      </c>
      <c r="F15" s="118">
        <v>1</v>
      </c>
      <c r="G15" s="55">
        <v>1</v>
      </c>
      <c r="H15" s="119">
        <v>1</v>
      </c>
      <c r="I15" s="120">
        <v>49.33</v>
      </c>
      <c r="J15" s="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9" t="s">
        <v>233</v>
      </c>
      <c r="D16" s="27" t="s">
        <v>224</v>
      </c>
      <c r="E16" s="27" t="s">
        <v>186</v>
      </c>
      <c r="F16" s="118">
        <v>1</v>
      </c>
      <c r="G16" s="55">
        <v>2</v>
      </c>
      <c r="H16" s="119">
        <v>2</v>
      </c>
      <c r="I16" s="120">
        <v>50.67</v>
      </c>
      <c r="J16" s="55">
        <f t="shared" si="0"/>
        <v>101.34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9" t="s">
        <v>234</v>
      </c>
      <c r="D17" s="27" t="s">
        <v>181</v>
      </c>
      <c r="E17" s="27" t="s">
        <v>244</v>
      </c>
      <c r="F17" s="118">
        <v>1</v>
      </c>
      <c r="G17" s="55">
        <v>1</v>
      </c>
      <c r="H17" s="119">
        <v>1</v>
      </c>
      <c r="I17" s="120">
        <v>13.04</v>
      </c>
      <c r="J17" s="55">
        <f t="shared" si="0"/>
        <v>13.04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9" t="s">
        <v>235</v>
      </c>
      <c r="D18" s="27" t="s">
        <v>191</v>
      </c>
      <c r="E18" s="27" t="s">
        <v>244</v>
      </c>
      <c r="F18" s="118">
        <v>1</v>
      </c>
      <c r="G18" s="55">
        <v>1</v>
      </c>
      <c r="H18" s="119">
        <v>1</v>
      </c>
      <c r="I18" s="120">
        <v>38.51</v>
      </c>
      <c r="J18" s="55">
        <f t="shared" si="0"/>
        <v>38.51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9" t="s">
        <v>236</v>
      </c>
      <c r="D19" s="27" t="s">
        <v>191</v>
      </c>
      <c r="E19" s="27" t="s">
        <v>245</v>
      </c>
      <c r="F19" s="118">
        <v>3</v>
      </c>
      <c r="G19" s="55">
        <v>2</v>
      </c>
      <c r="H19" s="119">
        <v>5</v>
      </c>
      <c r="I19" s="120">
        <v>4.92</v>
      </c>
      <c r="J19" s="55">
        <f t="shared" si="0"/>
        <v>24.6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9" t="s">
        <v>237</v>
      </c>
      <c r="D20" s="27" t="s">
        <v>181</v>
      </c>
      <c r="E20" s="27" t="s">
        <v>246</v>
      </c>
      <c r="F20" s="118">
        <v>1</v>
      </c>
      <c r="G20" s="55">
        <v>1</v>
      </c>
      <c r="H20" s="119">
        <v>1</v>
      </c>
      <c r="I20" s="120">
        <v>3.24</v>
      </c>
      <c r="J20" s="55">
        <f t="shared" si="0"/>
        <v>3.24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19" t="s">
        <v>238</v>
      </c>
      <c r="D21" s="27" t="s">
        <v>181</v>
      </c>
      <c r="E21" s="27" t="s">
        <v>247</v>
      </c>
      <c r="F21" s="118">
        <v>3</v>
      </c>
      <c r="G21" s="55">
        <v>2</v>
      </c>
      <c r="H21" s="119">
        <v>6</v>
      </c>
      <c r="I21" s="120">
        <v>93.33</v>
      </c>
      <c r="J21" s="55">
        <f t="shared" si="0"/>
        <v>559.98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119" t="s">
        <v>239</v>
      </c>
      <c r="D22" s="27" t="s">
        <v>181</v>
      </c>
      <c r="E22" s="27" t="s">
        <v>248</v>
      </c>
      <c r="F22" s="118">
        <v>1</v>
      </c>
      <c r="G22" s="55">
        <v>1</v>
      </c>
      <c r="H22" s="119">
        <v>1</v>
      </c>
      <c r="I22" s="120">
        <v>20.43</v>
      </c>
      <c r="J22" s="55">
        <f t="shared" si="0"/>
        <v>20.43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119" t="s">
        <v>240</v>
      </c>
      <c r="D23" s="27" t="s">
        <v>181</v>
      </c>
      <c r="E23" s="27" t="s">
        <v>249</v>
      </c>
      <c r="F23" s="118">
        <v>1</v>
      </c>
      <c r="G23" s="55">
        <v>1</v>
      </c>
      <c r="H23" s="119">
        <v>1</v>
      </c>
      <c r="I23" s="120">
        <v>6.39</v>
      </c>
      <c r="J23" s="55">
        <f t="shared" si="0"/>
        <v>6.39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119" t="s">
        <v>178</v>
      </c>
      <c r="D24" s="27" t="s">
        <v>182</v>
      </c>
      <c r="E24" s="27" t="s">
        <v>186</v>
      </c>
      <c r="F24" s="118">
        <v>1</v>
      </c>
      <c r="G24" s="55">
        <v>1</v>
      </c>
      <c r="H24" s="119">
        <v>1</v>
      </c>
      <c r="I24" s="120">
        <v>49.33</v>
      </c>
      <c r="J24" s="55">
        <f t="shared" si="0"/>
        <v>49.33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119" t="s">
        <v>179</v>
      </c>
      <c r="D25" s="27" t="s">
        <v>184</v>
      </c>
      <c r="E25" s="27" t="s">
        <v>187</v>
      </c>
      <c r="F25" s="118">
        <v>3</v>
      </c>
      <c r="G25" s="55">
        <v>4</v>
      </c>
      <c r="H25" s="119">
        <v>12</v>
      </c>
      <c r="I25" s="120">
        <v>0.97</v>
      </c>
      <c r="J25" s="55">
        <f t="shared" si="0"/>
        <v>11.64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119" t="s">
        <v>180</v>
      </c>
      <c r="D26" s="27" t="s">
        <v>184</v>
      </c>
      <c r="E26" s="27" t="s">
        <v>188</v>
      </c>
      <c r="F26" s="118">
        <v>1</v>
      </c>
      <c r="G26" s="55">
        <v>100</v>
      </c>
      <c r="H26" s="119">
        <v>100</v>
      </c>
      <c r="I26" s="120">
        <v>1.27</v>
      </c>
      <c r="J26" s="55">
        <f t="shared" si="0"/>
        <v>127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119" t="s">
        <v>195</v>
      </c>
      <c r="D27" s="27" t="s">
        <v>184</v>
      </c>
      <c r="E27" s="27" t="s">
        <v>187</v>
      </c>
      <c r="F27" s="118">
        <v>2</v>
      </c>
      <c r="G27" s="55">
        <v>10</v>
      </c>
      <c r="H27" s="119">
        <v>20</v>
      </c>
      <c r="I27" s="120">
        <v>1.83</v>
      </c>
      <c r="J27" s="55">
        <f t="shared" si="0"/>
        <v>36.6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119" t="s">
        <v>190</v>
      </c>
      <c r="D28" s="27" t="s">
        <v>184</v>
      </c>
      <c r="E28" s="27" t="s">
        <v>187</v>
      </c>
      <c r="F28" s="118">
        <v>3</v>
      </c>
      <c r="G28" s="55">
        <v>7</v>
      </c>
      <c r="H28" s="119">
        <v>21</v>
      </c>
      <c r="I28" s="120">
        <v>2.87</v>
      </c>
      <c r="J28" s="55">
        <f t="shared" si="0"/>
        <v>60.27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8">
    <cfRule type="duplicateValues" dxfId="2" priority="1"/>
  </conditionalFormatting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0"/>
  <sheetViews>
    <sheetView topLeftCell="A21" workbookViewId="0">
      <selection activeCell="G58" sqref="G5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>
        <f>'1.1 Case data_general'!D2</f>
        <v>59513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10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29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9" t="s">
        <v>23</v>
      </c>
      <c r="C7" s="140"/>
      <c r="D7" s="140"/>
      <c r="E7" s="140"/>
      <c r="F7" s="140"/>
      <c r="G7" s="141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5" t="s">
        <v>24</v>
      </c>
      <c r="C8" s="146"/>
      <c r="D8" s="146"/>
      <c r="E8" s="146"/>
      <c r="F8" s="146"/>
      <c r="G8" s="147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5" t="s">
        <v>68</v>
      </c>
      <c r="C9" s="146"/>
      <c r="D9" s="146"/>
      <c r="E9" s="146"/>
      <c r="F9" s="146"/>
      <c r="G9" s="147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5" t="s">
        <v>25</v>
      </c>
      <c r="C10" s="146"/>
      <c r="D10" s="146"/>
      <c r="E10" s="146"/>
      <c r="F10" s="146"/>
      <c r="G10" s="147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5" t="s">
        <v>26</v>
      </c>
      <c r="C11" s="146"/>
      <c r="D11" s="146"/>
      <c r="E11" s="146"/>
      <c r="F11" s="146"/>
      <c r="G11" s="147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8" t="s">
        <v>27</v>
      </c>
      <c r="C12" s="149"/>
      <c r="D12" s="149"/>
      <c r="E12" s="149"/>
      <c r="F12" s="149"/>
      <c r="G12" s="150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2" t="s">
        <v>71</v>
      </c>
      <c r="C15" s="143"/>
      <c r="D15" s="143"/>
      <c r="E15" s="143"/>
      <c r="F15" s="143"/>
      <c r="G15" s="144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9" t="s">
        <v>192</v>
      </c>
      <c r="D16" s="70" t="s">
        <v>193</v>
      </c>
      <c r="E16" s="119">
        <v>1</v>
      </c>
      <c r="F16" s="120">
        <v>105.33</v>
      </c>
      <c r="G16" s="116">
        <f t="shared" ref="G16:G25" si="0">+E16*F16</f>
        <v>105.33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9" t="s">
        <v>226</v>
      </c>
      <c r="D17" s="70" t="s">
        <v>163</v>
      </c>
      <c r="E17" s="119">
        <v>1</v>
      </c>
      <c r="F17" s="120">
        <v>22</v>
      </c>
      <c r="G17" s="116">
        <f t="shared" si="0"/>
        <v>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9" t="s">
        <v>227</v>
      </c>
      <c r="D18" s="70" t="s">
        <v>163</v>
      </c>
      <c r="E18" s="119">
        <v>1</v>
      </c>
      <c r="F18" s="120">
        <v>15.81</v>
      </c>
      <c r="G18" s="116">
        <f t="shared" si="0"/>
        <v>15.81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9" t="s">
        <v>170</v>
      </c>
      <c r="D19" s="70" t="s">
        <v>163</v>
      </c>
      <c r="E19" s="119">
        <v>12</v>
      </c>
      <c r="F19" s="120">
        <v>5</v>
      </c>
      <c r="G19" s="116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9" t="s">
        <v>169</v>
      </c>
      <c r="D20" s="70" t="s">
        <v>163</v>
      </c>
      <c r="E20" s="119">
        <v>12</v>
      </c>
      <c r="F20" s="120">
        <v>1.6</v>
      </c>
      <c r="G20" s="116">
        <f t="shared" si="0"/>
        <v>19.200000000000003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9" t="s">
        <v>168</v>
      </c>
      <c r="D21" s="70" t="s">
        <v>163</v>
      </c>
      <c r="E21" s="119">
        <v>11</v>
      </c>
      <c r="F21" s="120">
        <v>1.6</v>
      </c>
      <c r="G21" s="116">
        <f t="shared" si="0"/>
        <v>17.600000000000001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9" t="s">
        <v>171</v>
      </c>
      <c r="D22" s="70" t="s">
        <v>163</v>
      </c>
      <c r="E22" s="119">
        <v>17</v>
      </c>
      <c r="F22" s="120">
        <v>2.77</v>
      </c>
      <c r="G22" s="116">
        <f t="shared" si="0"/>
        <v>47.09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9" t="s">
        <v>223</v>
      </c>
      <c r="D23" s="70" t="s">
        <v>163</v>
      </c>
      <c r="E23" s="119">
        <v>3</v>
      </c>
      <c r="F23" s="120">
        <v>100</v>
      </c>
      <c r="G23" s="116">
        <f t="shared" si="0"/>
        <v>300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9" t="s">
        <v>228</v>
      </c>
      <c r="D24" s="70" t="s">
        <v>163</v>
      </c>
      <c r="E24" s="119">
        <v>1</v>
      </c>
      <c r="F24" s="120">
        <v>37.130000000000003</v>
      </c>
      <c r="G24" s="116">
        <f t="shared" si="0"/>
        <v>37.130000000000003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9" t="s">
        <v>229</v>
      </c>
      <c r="D25" s="70" t="s">
        <v>163</v>
      </c>
      <c r="E25" s="119">
        <v>1</v>
      </c>
      <c r="F25" s="120">
        <v>157.33000000000001</v>
      </c>
      <c r="G25" s="116">
        <f t="shared" si="0"/>
        <v>157.33000000000001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142" t="s">
        <v>75</v>
      </c>
      <c r="C26" s="143"/>
      <c r="D26" s="143"/>
      <c r="E26" s="143"/>
      <c r="F26" s="143"/>
      <c r="G26" s="144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</v>
      </c>
      <c r="C27" s="119" t="s">
        <v>205</v>
      </c>
      <c r="D27" s="117" t="s">
        <v>163</v>
      </c>
      <c r="E27" s="119">
        <v>2</v>
      </c>
      <c r="F27" s="120">
        <v>118.67</v>
      </c>
      <c r="G27" s="116">
        <f>+E27*F27</f>
        <v>237.34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2</v>
      </c>
      <c r="C28" s="119" t="s">
        <v>175</v>
      </c>
      <c r="D28" s="117" t="s">
        <v>163</v>
      </c>
      <c r="E28" s="119">
        <v>1</v>
      </c>
      <c r="F28" s="120">
        <v>118.67</v>
      </c>
      <c r="G28" s="116">
        <f t="shared" ref="G28:G55" si="1">+E28*F28</f>
        <v>118.67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3</v>
      </c>
      <c r="C29" s="119" t="s">
        <v>206</v>
      </c>
      <c r="D29" s="117" t="s">
        <v>163</v>
      </c>
      <c r="E29" s="119">
        <v>1</v>
      </c>
      <c r="F29" s="120">
        <v>66.67</v>
      </c>
      <c r="G29" s="116">
        <f t="shared" si="1"/>
        <v>66.67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4</v>
      </c>
      <c r="C30" s="119" t="s">
        <v>207</v>
      </c>
      <c r="D30" s="117" t="s">
        <v>163</v>
      </c>
      <c r="E30" s="119">
        <v>1</v>
      </c>
      <c r="F30" s="120">
        <v>330.94</v>
      </c>
      <c r="G30" s="116">
        <f t="shared" si="1"/>
        <v>330.94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5</v>
      </c>
      <c r="C31" s="119" t="s">
        <v>208</v>
      </c>
      <c r="D31" s="117" t="s">
        <v>163</v>
      </c>
      <c r="E31" s="119">
        <v>1</v>
      </c>
      <c r="F31" s="120">
        <v>310.5</v>
      </c>
      <c r="G31" s="116">
        <f t="shared" si="1"/>
        <v>310.5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6</v>
      </c>
      <c r="C32" s="119" t="s">
        <v>209</v>
      </c>
      <c r="D32" s="117" t="s">
        <v>224</v>
      </c>
      <c r="E32" s="119">
        <v>0.5</v>
      </c>
      <c r="F32" s="120">
        <v>67.319999999999993</v>
      </c>
      <c r="G32" s="116">
        <f t="shared" si="1"/>
        <v>33.659999999999997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7</v>
      </c>
      <c r="C33" s="119" t="s">
        <v>210</v>
      </c>
      <c r="D33" s="117" t="s">
        <v>224</v>
      </c>
      <c r="E33" s="119">
        <v>1</v>
      </c>
      <c r="F33" s="120">
        <v>84</v>
      </c>
      <c r="G33" s="116">
        <f t="shared" si="1"/>
        <v>84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8</v>
      </c>
      <c r="C34" s="119" t="s">
        <v>211</v>
      </c>
      <c r="D34" s="117" t="s">
        <v>163</v>
      </c>
      <c r="E34" s="119">
        <v>2</v>
      </c>
      <c r="F34" s="120">
        <v>258</v>
      </c>
      <c r="G34" s="116">
        <f t="shared" si="1"/>
        <v>516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9</v>
      </c>
      <c r="C35" s="119" t="s">
        <v>212</v>
      </c>
      <c r="D35" s="117" t="s">
        <v>163</v>
      </c>
      <c r="E35" s="119">
        <v>1</v>
      </c>
      <c r="F35" s="120">
        <v>3</v>
      </c>
      <c r="G35" s="116">
        <f t="shared" si="1"/>
        <v>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10</v>
      </c>
      <c r="C36" s="119" t="s">
        <v>213</v>
      </c>
      <c r="D36" s="117" t="s">
        <v>225</v>
      </c>
      <c r="E36" s="119">
        <v>1</v>
      </c>
      <c r="F36" s="120">
        <v>70.67</v>
      </c>
      <c r="G36" s="116">
        <f t="shared" si="1"/>
        <v>70.67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11</v>
      </c>
      <c r="C37" s="119" t="s">
        <v>214</v>
      </c>
      <c r="D37" s="117" t="s">
        <v>163</v>
      </c>
      <c r="E37" s="119">
        <v>1</v>
      </c>
      <c r="F37" s="120">
        <v>84.22</v>
      </c>
      <c r="G37" s="116">
        <f t="shared" si="1"/>
        <v>84.22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12</v>
      </c>
      <c r="C38" s="119" t="s">
        <v>215</v>
      </c>
      <c r="D38" s="117" t="s">
        <v>163</v>
      </c>
      <c r="E38" s="119">
        <v>1</v>
      </c>
      <c r="F38" s="120">
        <v>5.33</v>
      </c>
      <c r="G38" s="116">
        <f t="shared" si="1"/>
        <v>5.33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13</v>
      </c>
      <c r="C39" s="119" t="s">
        <v>216</v>
      </c>
      <c r="D39" s="117" t="s">
        <v>163</v>
      </c>
      <c r="E39" s="119">
        <v>3</v>
      </c>
      <c r="F39" s="120">
        <v>30</v>
      </c>
      <c r="G39" s="116">
        <f t="shared" si="1"/>
        <v>90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14</v>
      </c>
      <c r="C40" s="119" t="s">
        <v>217</v>
      </c>
      <c r="D40" s="117" t="s">
        <v>163</v>
      </c>
      <c r="E40" s="119">
        <v>1</v>
      </c>
      <c r="F40" s="120">
        <v>573.33000000000004</v>
      </c>
      <c r="G40" s="116">
        <f t="shared" si="1"/>
        <v>573.33000000000004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15</v>
      </c>
      <c r="C41" s="119" t="s">
        <v>168</v>
      </c>
      <c r="D41" s="117" t="s">
        <v>163</v>
      </c>
      <c r="E41" s="119">
        <v>1</v>
      </c>
      <c r="F41" s="120">
        <v>1.6</v>
      </c>
      <c r="G41" s="116">
        <f t="shared" si="1"/>
        <v>1.6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16</v>
      </c>
      <c r="C42" s="119" t="s">
        <v>169</v>
      </c>
      <c r="D42" s="117" t="s">
        <v>163</v>
      </c>
      <c r="E42" s="119">
        <v>1</v>
      </c>
      <c r="F42" s="120">
        <v>1.6</v>
      </c>
      <c r="G42" s="116">
        <f t="shared" si="1"/>
        <v>1.6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17</v>
      </c>
      <c r="C43" s="119" t="s">
        <v>170</v>
      </c>
      <c r="D43" s="117" t="s">
        <v>163</v>
      </c>
      <c r="E43" s="119">
        <v>1</v>
      </c>
      <c r="F43" s="120">
        <v>5</v>
      </c>
      <c r="G43" s="116">
        <f t="shared" si="1"/>
        <v>5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18</v>
      </c>
      <c r="C44" s="119" t="s">
        <v>171</v>
      </c>
      <c r="D44" s="117" t="s">
        <v>163</v>
      </c>
      <c r="E44" s="119">
        <v>1</v>
      </c>
      <c r="F44" s="120">
        <v>2.77</v>
      </c>
      <c r="G44" s="116">
        <f t="shared" si="1"/>
        <v>2.77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19</v>
      </c>
      <c r="C45" s="119" t="s">
        <v>197</v>
      </c>
      <c r="D45" s="117" t="s">
        <v>198</v>
      </c>
      <c r="E45" s="119">
        <v>10</v>
      </c>
      <c r="F45" s="120">
        <v>12</v>
      </c>
      <c r="G45" s="116">
        <f t="shared" si="1"/>
        <v>120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20</v>
      </c>
      <c r="C46" s="119" t="s">
        <v>218</v>
      </c>
      <c r="D46" s="117" t="s">
        <v>198</v>
      </c>
      <c r="E46" s="119">
        <v>10</v>
      </c>
      <c r="F46" s="120">
        <v>15</v>
      </c>
      <c r="G46" s="116">
        <f t="shared" si="1"/>
        <v>150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21</v>
      </c>
      <c r="C47" s="119" t="s">
        <v>219</v>
      </c>
      <c r="D47" s="117" t="s">
        <v>198</v>
      </c>
      <c r="E47" s="119">
        <v>10</v>
      </c>
      <c r="F47" s="120">
        <v>10.67</v>
      </c>
      <c r="G47" s="116">
        <f t="shared" si="1"/>
        <v>106.7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22</v>
      </c>
      <c r="C48" s="119" t="s">
        <v>220</v>
      </c>
      <c r="D48" s="117" t="s">
        <v>183</v>
      </c>
      <c r="E48" s="119">
        <v>1</v>
      </c>
      <c r="F48" s="120">
        <v>10</v>
      </c>
      <c r="G48" s="116">
        <f t="shared" si="1"/>
        <v>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23</v>
      </c>
      <c r="C49" s="119" t="s">
        <v>221</v>
      </c>
      <c r="D49" s="117" t="s">
        <v>163</v>
      </c>
      <c r="E49" s="119">
        <v>40</v>
      </c>
      <c r="F49" s="120">
        <v>1.51</v>
      </c>
      <c r="G49" s="116">
        <f t="shared" si="1"/>
        <v>60.4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24</v>
      </c>
      <c r="C50" s="119" t="s">
        <v>222</v>
      </c>
      <c r="D50" s="117" t="s">
        <v>163</v>
      </c>
      <c r="E50" s="119">
        <v>1</v>
      </c>
      <c r="F50" s="120">
        <v>23.87</v>
      </c>
      <c r="G50" s="116">
        <f t="shared" si="1"/>
        <v>23.87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25</v>
      </c>
      <c r="C51" s="119" t="s">
        <v>189</v>
      </c>
      <c r="D51" s="117" t="s">
        <v>163</v>
      </c>
      <c r="E51" s="119">
        <v>5</v>
      </c>
      <c r="F51" s="120">
        <v>1.27</v>
      </c>
      <c r="G51" s="116">
        <f t="shared" si="1"/>
        <v>6.35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26</v>
      </c>
      <c r="C52" s="119" t="s">
        <v>196</v>
      </c>
      <c r="D52" s="117" t="s">
        <v>163</v>
      </c>
      <c r="E52" s="119">
        <v>5</v>
      </c>
      <c r="F52" s="120">
        <v>1.0900000000000001</v>
      </c>
      <c r="G52" s="116">
        <f t="shared" si="1"/>
        <v>5.45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27</v>
      </c>
      <c r="C53" s="119" t="s">
        <v>223</v>
      </c>
      <c r="D53" s="117" t="s">
        <v>163</v>
      </c>
      <c r="E53" s="119">
        <v>1</v>
      </c>
      <c r="F53" s="120">
        <v>100</v>
      </c>
      <c r="G53" s="116">
        <f t="shared" si="1"/>
        <v>100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28</v>
      </c>
      <c r="C54" s="119" t="s">
        <v>172</v>
      </c>
      <c r="D54" s="117" t="s">
        <v>163</v>
      </c>
      <c r="E54" s="119">
        <v>1</v>
      </c>
      <c r="F54" s="120">
        <v>3.25</v>
      </c>
      <c r="G54" s="116">
        <f t="shared" si="1"/>
        <v>3.25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29</v>
      </c>
      <c r="C55" s="119" t="s">
        <v>173</v>
      </c>
      <c r="D55" s="117" t="s">
        <v>163</v>
      </c>
      <c r="E55" s="119">
        <v>1</v>
      </c>
      <c r="F55" s="120">
        <v>5</v>
      </c>
      <c r="G55" s="116">
        <f t="shared" si="1"/>
        <v>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142" t="s">
        <v>29</v>
      </c>
      <c r="C56" s="143"/>
      <c r="D56" s="143"/>
      <c r="E56" s="143"/>
      <c r="F56" s="143"/>
      <c r="G56" s="144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1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4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5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6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7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8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9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10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A67" s="44"/>
      <c r="B67" s="39"/>
      <c r="C67" s="44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</sheetData>
  <sheetProtection password="C2E9" sheet="1" objects="1" scenarios="1" formatColumns="0" formatRows="0" sort="0" autoFilter="0"/>
  <mergeCells count="9">
    <mergeCell ref="B7:G7"/>
    <mergeCell ref="B26:G26"/>
    <mergeCell ref="B56:G56"/>
    <mergeCell ref="B8:G8"/>
    <mergeCell ref="B9:G9"/>
    <mergeCell ref="B10:G10"/>
    <mergeCell ref="B11:G11"/>
    <mergeCell ref="B12:G12"/>
    <mergeCell ref="B15:G15"/>
  </mergeCells>
  <conditionalFormatting sqref="C27:C55">
    <cfRule type="duplicateValues" dxfId="1" priority="2"/>
  </conditionalFormatting>
  <conditionalFormatting sqref="C16:C25">
    <cfRule type="duplicateValues" dxfId="0" priority="1"/>
  </conditionalFormatting>
  <dataValidations count="1">
    <dataValidation type="decimal" operator="greaterThanOrEqual" allowBlank="1" showInputMessage="1" showErrorMessage="1" sqref="E16:G6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56</xdr:row>
                    <xdr:rowOff>28575</xdr:rowOff>
                  </from>
                  <to>
                    <xdr:col>1</xdr:col>
                    <xdr:colOff>771525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56</xdr:row>
                    <xdr:rowOff>28575</xdr:rowOff>
                  </from>
                  <to>
                    <xdr:col>1</xdr:col>
                    <xdr:colOff>1543050</xdr:colOff>
                    <xdr:row>56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>
        <f>'1.1 Case data_general'!D2</f>
        <v>59513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1" t="s">
        <v>32</v>
      </c>
      <c r="E11" s="152"/>
      <c r="F11" s="152"/>
      <c r="G11" s="152"/>
      <c r="H11" s="152"/>
      <c r="I11" s="152"/>
      <c r="J11" s="152"/>
      <c r="K11" s="152"/>
      <c r="L11" s="152"/>
      <c r="M11" s="152"/>
      <c r="N11" s="153"/>
      <c r="P11" s="154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5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176</v>
      </c>
      <c r="E28" s="55"/>
      <c r="F28" s="55"/>
      <c r="G28" s="55" t="s">
        <v>174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data_general'!$C$30</f>
        <v>Level II and III</v>
      </c>
      <c r="G1" s="112" t="str">
        <f>'1.1 Case data_general'!$C$31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2018-05-31T04:51:32Z</dcterms:modified>
</cp:coreProperties>
</file>