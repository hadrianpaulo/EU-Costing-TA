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Supplies_Medical'!$C$15:$C$59</definedName>
    <definedName name="Drugs">'1.2 Drugs&amp;Med'!$C$11:$C$16</definedName>
    <definedName name="_xlnm.Print_Area" localSheetId="0">'1.1 Case data_general'!$B$1:$F$77</definedName>
    <definedName name="_xlnm.Print_Area" localSheetId="1">'1.2 Drugs&amp;Med'!$B$2:$J$25</definedName>
  </definedNames>
  <calcPr calcId="144525"/>
</workbook>
</file>

<file path=xl/calcChain.xml><?xml version="1.0" encoding="utf-8"?>
<calcChain xmlns="http://schemas.openxmlformats.org/spreadsheetml/2006/main">
  <c r="G48" i="9" l="1"/>
  <c r="G47" i="9"/>
  <c r="G46" i="9"/>
  <c r="G45" i="9" l="1"/>
  <c r="G44" i="9"/>
  <c r="G43" i="9"/>
  <c r="G42" i="9"/>
  <c r="G41" i="9"/>
  <c r="G40" i="9"/>
  <c r="J24" i="2" l="1"/>
  <c r="J23" i="2"/>
  <c r="J22" i="2"/>
  <c r="J21" i="2"/>
  <c r="J20" i="2"/>
  <c r="G18" i="9"/>
  <c r="G17" i="9"/>
  <c r="G16" i="9"/>
  <c r="G39" i="9"/>
  <c r="G38" i="9"/>
  <c r="G37" i="9"/>
  <c r="G36" i="9"/>
  <c r="G35" i="9"/>
  <c r="G34" i="9"/>
  <c r="G33" i="9"/>
  <c r="G32" i="9"/>
  <c r="G31" i="9"/>
  <c r="J19" i="2" l="1"/>
  <c r="J18" i="2"/>
  <c r="J17" i="2"/>
  <c r="G30" i="9"/>
  <c r="G29" i="9"/>
  <c r="G28" i="9"/>
  <c r="G27" i="9"/>
  <c r="G26" i="9"/>
  <c r="G25" i="9"/>
  <c r="G24" i="9"/>
  <c r="G23" i="9"/>
  <c r="G22" i="9"/>
  <c r="G21" i="9"/>
  <c r="G20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<sst xmlns="http://schemas.openxmlformats.org/spreadsheetml/2006/main" count="570" uniqueCount="245">
  <si>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</si>
  <si>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</si>
  <si>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</si>
  <si>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</si>
  <si>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</si>
  <si>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</si>
  <si>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</si>
  <si>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</si>
  <si>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</si>
  <si>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</si>
  <si>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</si>
  <si>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</si>
  <si>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</si>
  <si>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</si>
  <si>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</si>
  <si>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</si>
  <si>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</si>
  <si>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</si>
  <si>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</si>
  <si>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</si>
  <si>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</si>
  <si>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</si>
  <si>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</si>
  <si>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</si>
  <si>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</si>
  <si>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</si>
  <si>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</si>
  <si>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</si>
  <si>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</si>
  <si>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</si>
  <si>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</si>
  <si>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</si>
  <si>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</si>
  <si>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</si>
  <si>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</si>
  <si>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</si>
  <si>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</si>
  <si>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</si>
  <si>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</si>
  <si>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</si>
  <si>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</si>
  <si>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</si>
  <si>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</si>
  <si>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</si>
  <si>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</si>
  <si>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</si>
  <si>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</si>
  <si>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</si>
  <si>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</si>
  <si>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</si>
  <si>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</si>
  <si>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</si>
  <si>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</si>
  <si>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</si>
  <si>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</si>
  <si>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</si>
  <si>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</si>
  <si>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</si>
  <si>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</si>
  <si>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</si>
  <si>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</si>
  <si>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</si>
  <si>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</si>
  <si>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</si>
  <si>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</si>
  <si>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</si>
  <si>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</si>
  <si>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</si>
  <si>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</si>
  <si>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</si>
  <si>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</si>
  <si>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</si>
  <si>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</si>
  <si>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</si>
  <si>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</si>
  <si>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</si>
  <si>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</si>
  <si>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</si>
  <si>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</si>
  <si>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</si>
  <si>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</si>
  <si>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</si>
  <si>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</si>
  <si>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</si>
  <si>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</si>
  <si>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</si>
  <si>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</si>
  <si>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</si>
  <si>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</si>
  <si>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</si>
  <si>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</si>
  <si>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</si>
  <si>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</si>
  <si>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</si>
  <si>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</si>
  <si>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</si>
  <si>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</si>
  <si>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</si>
  <si>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</si>
  <si>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</si>
  <si>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</si>
  <si>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</si>
  <si>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</si>
  <si>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</si>
  <si>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</si>
  <si>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</si>
  <si>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</si>
  <si>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</si>
  <si>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</si>
  <si>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</si>
  <si>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</si>
  <si>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</si>
  <si>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</si>
  <si>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</si>
  <si>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</si>
  <si>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</si>
  <si>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</si>
  <si>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</si>
  <si>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</si>
  <si>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</si>
  <si>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</si>
  <si>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</si>
  <si>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</si>
  <si>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</si>
  <si>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</si>
  <si>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</si>
  <si>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</si>
  <si>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</si>
  <si>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</si>
  <si>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</si>
  <si>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</si>
  <si>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</si>
  <si>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</si>
  <si>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</si>
  <si>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</si>
  <si>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</si>
  <si>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</si>
  <si>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</si>
  <si>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</si>
  <si>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</si>
  <si>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</si>
  <si>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</si>
  <si>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</si>
  <si>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</si>
  <si>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</si>
  <si>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</si>
  <si>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</si>
  <si>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</si>
  <si>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</si>
  <si>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</si>
  <si>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</si>
  <si>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</si>
  <si>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</si>
  <si>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</si>
  <si>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</si>
  <si>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</si>
  <si>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</si>
  <si>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</si>
  <si>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</si>
  <si>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</si>
  <si>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</si>
  <si>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</si>
  <si>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</si>
  <si>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</si>
  <si>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</si>
  <si>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</si>
  <si>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</si>
  <si>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</si>
  <si>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</si>
  <si>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</si>
  <si>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</si>
  <si>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</si>
  <si>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</si>
  <si>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</si>
  <si>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CATGUT 2-0 ABSORBABLE SURGICAL SUTURE AT LEAST 75CM,  WITH AT LEAST 35-37MM X ½ CIRCLE ROUND TAPER NEEDLE</t>
  </si>
  <si>
    <t>OXYTOCIN MALEATE 10MCG INJECTION 10 UNITS/ML-1ML</t>
  </si>
  <si>
    <t>(D5LRS 1L) 5% DEXTROSE IN LACTATED RINGERS SOLUTION 1000ML (D5 LRS) X 12S</t>
  </si>
  <si>
    <t>MEFENAMIC ACID 500MG IN BLISTER FOIL PACK</t>
  </si>
  <si>
    <t>FERROUS SULFATE + FOLIC ACID 200MG./400MCG (DONATION)</t>
  </si>
  <si>
    <t>VIAL</t>
  </si>
  <si>
    <t>FLUID</t>
  </si>
  <si>
    <t>CAPSULE</t>
  </si>
  <si>
    <t>10MCG</t>
  </si>
  <si>
    <t>1L</t>
  </si>
  <si>
    <t>500MG</t>
  </si>
  <si>
    <t>200MG</t>
  </si>
  <si>
    <t>AMPULE</t>
  </si>
  <si>
    <t>(PLAIN LRS 1L) LACTATED RINGER''''S SOLUTION 1000ML (PLAIN LRS 1L) X 12S</t>
  </si>
  <si>
    <t>MEDICAL GLOVES W/ CUFF, STERILE LATEX, NATURAL RUBBER: BOX OF 50'S  WARD USE SIZE 6 1/2</t>
  </si>
  <si>
    <t>PAIR</t>
  </si>
  <si>
    <t>O64.1</t>
  </si>
  <si>
    <t>O82.1</t>
  </si>
  <si>
    <t>MAJOR</t>
  </si>
  <si>
    <t>CATGUT 1 ABSORBABLE SURGICAL SUTURE AT LEAST 75CM, WITH AT LEAST 37-40MM X 1/2 CIRCLE ROUND TAPER NEEDLE</t>
  </si>
  <si>
    <t>SPINAL NEEDLE, G23 X 3 1/2" DISPOSABLE STERILE, SINGLE PACK (CPR NEEDED)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</si>
  <si>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</si>
  <si>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</si>
  <si>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</si>
  <si>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POVIDONE IODINE 10 % SOLUTION (ANTISEPTIC) 120ML</t>
  </si>
  <si>
    <t>SUCTION TUBING YANKAUER TIP F25 X 150CM</t>
  </si>
  <si>
    <t>SURGICAL BLADE 20, BOX OF 100''S UNIMEX/CHINA</t>
  </si>
  <si>
    <t>SURGICAL COTTON THREAD 2/0, 18" X 10 STRANDS</t>
  </si>
  <si>
    <t>DISPOSABLE RAZOR, DOUBLE BLADE UNIMEX/CHINA</t>
  </si>
  <si>
    <t>MONITORING CHEST ELECTRODES, DISPOSABLE</t>
  </si>
  <si>
    <t>MEDICAL GLOVES W/ CUFF, STERILE LATEX, NATURAL RUBBER: BOX OF 50''''S  WARD USE SIZE 7</t>
  </si>
  <si>
    <t>MEDICAL GLOVES W/ CUFF, STERILE LATEX, NATURAL RUBBER: BOX OF 50''S  WARD USE SIZE 7 1/2</t>
  </si>
  <si>
    <t>LUBRICANT JELLY 5G/SACHET, BOX OF 100''''''''''''''''S, STERIL AND BACTERIOLISTIC (STERILE)</t>
  </si>
  <si>
    <t>GAUZE SPONGE 4"X4", 8 PLY, 28X24 MESH, UNSTERILE,  W/O BLUE DETECTOR, PACK OF 100S (OS 4X4) (CPR NEEDED)</t>
  </si>
  <si>
    <t>DISPOSABLE SURGICAL BRUSH W/ SPONGE AND NAIL CLEANER</t>
  </si>
  <si>
    <t>OXYGEN FLOW METER (PIPELINE) PER HOUR</t>
  </si>
  <si>
    <t>BOTTLE</t>
  </si>
  <si>
    <t>OXYGEN MASK ADULT W/ CONNECTING TUBE</t>
  </si>
  <si>
    <t>LIDOCAINE HCL 2% - 50ML</t>
  </si>
  <si>
    <t>BUPIVACAINE HCL- SPINAL  0.5% - 4ML + 8% DEXTROSE</t>
  </si>
  <si>
    <t>EPINEPHRINE (AS ADRENALINE) 1MG/ML- 1 ML</t>
  </si>
  <si>
    <t>RANITIDINE HCI 25MG/ML-2ML</t>
  </si>
  <si>
    <t>KETOROLAC TROMETHAMOL 30MG/ML-1ML</t>
  </si>
  <si>
    <t>TRAMADOL HCL 50MG/ML-2ML</t>
  </si>
  <si>
    <t>2%-50ML</t>
  </si>
  <si>
    <t>0.5%-4ML</t>
  </si>
  <si>
    <t>1MG</t>
  </si>
  <si>
    <t>25MG</t>
  </si>
  <si>
    <t>30MG</t>
  </si>
  <si>
    <t>50MG</t>
  </si>
  <si>
    <t>K (POTASSIUM)</t>
  </si>
  <si>
    <t>CASE RATE</t>
  </si>
  <si>
    <t>PF CASE RATE</t>
  </si>
  <si>
    <t>SURGICAL LAPAROTOMY SPONGE 8"X36", 24X28 MESH, 12 PLY SEWED EDGES STERILE W/ DETECTABLE X-RAY THREAD (LAP SPONGE 8"X36"X12 PLY, LOOP W/ X-RAY THREAD, STERILE, 1 PIECE/PCK) (CPR NEEDED)</t>
  </si>
  <si>
    <t>STERILE WATER FOR INJECTION, 10ML (SWFI)</t>
  </si>
  <si>
    <t>CEFUROXIME 500MG IN BLISTER FOIL PACK</t>
  </si>
  <si>
    <t>5MG</t>
  </si>
  <si>
    <t>CATGUT PLAIN ABSORBABLE 2/0 W/ 75CM WITH 37MM ROUND NEEDLE ,PLAIN 2-0 HR37S(CATGUT PLAIN W/ ROUND NEEDLE TAPER NEEDLE 24''''''''''''''''''''''''''''''''S/BOX</t>
  </si>
  <si>
    <t>METOCLOPRAMIDE 5MG/ML-2ML AMP</t>
  </si>
  <si>
    <t>NA (SODIUM)</t>
  </si>
  <si>
    <t>CL (CHLORIDE)</t>
  </si>
  <si>
    <t>HYDROGEN PEROXIDE 3% SOLUTION (10 VOLUMES), 120ML</t>
  </si>
  <si>
    <t>360242/74053</t>
  </si>
  <si>
    <t>O68.0</t>
  </si>
  <si>
    <t>O69.0</t>
  </si>
  <si>
    <t>IONIZED CALCIUM (ICA)</t>
  </si>
  <si>
    <t>MG (MAGNESIUM)</t>
  </si>
  <si>
    <t>CEFUROXIME SODIUM 750MG</t>
  </si>
  <si>
    <t>SURGICAL BLADE 15 BOX OF 100''''''''S UNIMEX/CHINA</t>
  </si>
  <si>
    <t>SAFETY GOGGLES, NO MOIST , PLASTIC, WITH SPOUT FRAME</t>
  </si>
  <si>
    <t>750MG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</si>
</sst>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9" fontId="10" fillId="5" borderId="21" xfId="0" quotePrefix="1" applyNumberFormat="1" applyFont="1" applyFill="1" applyBorder="1" applyAlignment="1" applyProtection="1">
      <alignment wrapText="1"/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733425</xdr:colOff>
          <xdr:row>24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1504950</xdr:colOff>
          <xdr:row>24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28575</xdr:rowOff>
        </xdr:from>
        <xdr:to>
          <xdr:col>1</xdr:col>
          <xdr:colOff>762000</xdr:colOff>
          <xdr:row>19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19</xdr:row>
          <xdr:rowOff>28575</xdr:rowOff>
        </xdr:from>
        <xdr:to>
          <xdr:col>1</xdr:col>
          <xdr:colOff>1533525</xdr:colOff>
          <xdr:row>19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</xdr:row>
          <xdr:rowOff>28575</xdr:rowOff>
        </xdr:from>
        <xdr:to>
          <xdr:col>1</xdr:col>
          <xdr:colOff>771525</xdr:colOff>
          <xdr:row>49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49</xdr:row>
          <xdr:rowOff>28575</xdr:rowOff>
        </xdr:from>
        <xdr:to>
          <xdr:col>1</xdr:col>
          <xdr:colOff>1543050</xdr:colOff>
          <xdr:row>49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zoomScaleNormal="100" workbookViewId="0">
      <selection activeCell="E45" sqref="E4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59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60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236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190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237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238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191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9">
        <v>5</v>
      </c>
      <c r="C23" s="30" t="s">
        <v>164</v>
      </c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thickBot="1" x14ac:dyDescent="0.35">
      <c r="A24" s="1"/>
      <c r="B24" s="117" t="s">
        <v>51</v>
      </c>
      <c r="C24" s="118"/>
      <c r="D24" s="118"/>
      <c r="E24" s="118"/>
      <c r="F24" s="119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5">
        <v>1</v>
      </c>
      <c r="C25" s="26">
        <v>59513</v>
      </c>
      <c r="D25" s="28" t="s">
        <v>192</v>
      </c>
      <c r="E25" s="54">
        <v>1</v>
      </c>
      <c r="F25" s="54">
        <v>0.58333333333333337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2</v>
      </c>
      <c r="C26" s="26"/>
      <c r="D26" s="28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3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4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5</v>
      </c>
      <c r="C29" s="26"/>
      <c r="D29" s="28"/>
      <c r="E29" s="54"/>
      <c r="F29" s="5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thickBot="1" x14ac:dyDescent="0.35">
      <c r="A30" s="1"/>
      <c r="B30" s="120" t="s">
        <v>42</v>
      </c>
      <c r="C30" s="121"/>
      <c r="D30" s="121"/>
      <c r="E30" s="121"/>
      <c r="F30" s="13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09" t="s">
        <v>158</v>
      </c>
      <c r="C31" s="112" t="s">
        <v>162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09" t="s">
        <v>159</v>
      </c>
      <c r="C32" s="113" t="s">
        <v>123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4" t="s">
        <v>160</v>
      </c>
      <c r="C33" s="113" t="s">
        <v>140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5" t="s">
        <v>17</v>
      </c>
      <c r="C34" s="7"/>
      <c r="D34" s="7"/>
      <c r="E34" s="55">
        <v>2</v>
      </c>
      <c r="F34" s="7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7" t="s">
        <v>18</v>
      </c>
      <c r="C35" s="118"/>
      <c r="D35" s="118"/>
      <c r="E35" s="118"/>
      <c r="F35" s="119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9">
        <v>1</v>
      </c>
      <c r="C36" s="26" t="s">
        <v>233</v>
      </c>
      <c r="D36" s="22"/>
      <c r="E36" s="56">
        <v>1</v>
      </c>
      <c r="F36" s="23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2</v>
      </c>
      <c r="C37" s="26" t="s">
        <v>224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3</v>
      </c>
      <c r="C38" s="26" t="s">
        <v>234</v>
      </c>
      <c r="D38" s="22"/>
      <c r="E38" s="54">
        <v>1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4</v>
      </c>
      <c r="C39" s="26" t="s">
        <v>239</v>
      </c>
      <c r="D39" s="22"/>
      <c r="E39" s="54">
        <v>1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5</v>
      </c>
      <c r="C40" s="26" t="s">
        <v>240</v>
      </c>
      <c r="D40" s="22"/>
      <c r="E40" s="54">
        <v>1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6</v>
      </c>
      <c r="C41" s="26" t="s">
        <v>165</v>
      </c>
      <c r="D41" s="22"/>
      <c r="E41" s="54">
        <v>1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7</v>
      </c>
      <c r="C42" s="26" t="s">
        <v>166</v>
      </c>
      <c r="D42" s="22"/>
      <c r="E42" s="54">
        <v>1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8</v>
      </c>
      <c r="C43" s="26" t="s">
        <v>167</v>
      </c>
      <c r="D43" s="22"/>
      <c r="E43" s="54">
        <v>1</v>
      </c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20" t="s">
        <v>19</v>
      </c>
      <c r="C44" s="121"/>
      <c r="D44" s="118"/>
      <c r="E44" s="121"/>
      <c r="F44" s="119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1</v>
      </c>
      <c r="C45" s="26"/>
      <c r="D45" s="22"/>
      <c r="E45" s="54"/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2</v>
      </c>
      <c r="C46" s="26"/>
      <c r="D46" s="22"/>
      <c r="E46" s="54"/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5">
        <v>3</v>
      </c>
      <c r="C47" s="26"/>
      <c r="D47" s="22"/>
      <c r="E47" s="54"/>
      <c r="F47" s="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5">
        <v>4</v>
      </c>
      <c r="C48" s="26"/>
      <c r="D48" s="22"/>
      <c r="E48" s="54"/>
      <c r="F48" s="2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20" t="s">
        <v>43</v>
      </c>
      <c r="C49" s="121"/>
      <c r="D49" s="118"/>
      <c r="E49" s="121"/>
      <c r="F49" s="119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54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7" t="s">
        <v>52</v>
      </c>
      <c r="C51" s="118"/>
      <c r="D51" s="118"/>
      <c r="E51" s="118"/>
      <c r="F51" s="119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9"/>
      <c r="B52" s="29">
        <v>1</v>
      </c>
      <c r="C52" s="30"/>
      <c r="D52" s="31"/>
      <c r="E52" s="56"/>
      <c r="F52" s="56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9"/>
      <c r="B53" s="29">
        <v>2</v>
      </c>
      <c r="C53" s="30"/>
      <c r="D53" s="31"/>
      <c r="E53" s="56"/>
      <c r="F53" s="56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9"/>
      <c r="B54" s="25">
        <v>3</v>
      </c>
      <c r="C54" s="26"/>
      <c r="D54" s="27"/>
      <c r="E54" s="54"/>
      <c r="F54" s="5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9"/>
      <c r="B55" s="25">
        <v>4</v>
      </c>
      <c r="C55" s="26"/>
      <c r="D55" s="27"/>
      <c r="E55" s="54"/>
      <c r="F55" s="5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7" t="s">
        <v>20</v>
      </c>
      <c r="C56" s="118"/>
      <c r="D56" s="118"/>
      <c r="E56" s="118"/>
      <c r="F56" s="119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>
        <v>1</v>
      </c>
      <c r="C57" s="26"/>
      <c r="D57" s="27"/>
      <c r="E57" s="54"/>
      <c r="F57" s="5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>
        <v>2</v>
      </c>
      <c r="C58" s="26"/>
      <c r="D58" s="27"/>
      <c r="E58" s="54"/>
      <c r="F58" s="5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>
        <v>3</v>
      </c>
      <c r="C59" s="26"/>
      <c r="D59" s="27"/>
      <c r="E59" s="54"/>
      <c r="F59" s="5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>
        <v>4</v>
      </c>
      <c r="C60" s="26"/>
      <c r="D60" s="27"/>
      <c r="E60" s="54"/>
      <c r="F60" s="5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>
        <v>5</v>
      </c>
      <c r="C61" s="26"/>
      <c r="D61" s="27"/>
      <c r="E61" s="54"/>
      <c r="F61" s="5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>
        <v>6</v>
      </c>
      <c r="C62" s="26"/>
      <c r="D62" s="27"/>
      <c r="E62" s="54"/>
      <c r="F62" s="5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4"/>
      <c r="C63" s="24"/>
      <c r="D63" s="24"/>
      <c r="E63" s="24"/>
      <c r="F63" s="2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6" t="s">
        <v>54</v>
      </c>
      <c r="C65" s="16" t="s">
        <v>50</v>
      </c>
      <c r="D65" s="16" t="s">
        <v>55</v>
      </c>
      <c r="E65" s="17" t="s">
        <v>56</v>
      </c>
      <c r="F65" s="18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6" t="s">
        <v>225</v>
      </c>
      <c r="D66" s="54">
        <v>10287.549999999999</v>
      </c>
      <c r="E66" s="54"/>
      <c r="F66" s="5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6" t="s">
        <v>226</v>
      </c>
      <c r="D67" s="54">
        <v>7600</v>
      </c>
      <c r="E67" s="54"/>
      <c r="F67" s="5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6"/>
      <c r="D68" s="54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6"/>
      <c r="D69" s="54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6"/>
      <c r="D70" s="54"/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6"/>
      <c r="D71" s="54"/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6"/>
      <c r="D72" s="54"/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6"/>
      <c r="D73" s="54"/>
      <c r="E73" s="54"/>
      <c r="F73" s="5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6"/>
      <c r="D74" s="54"/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6"/>
      <c r="D75" s="54"/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7"/>
      <c r="E76" s="57"/>
      <c r="F76" s="57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8">
        <f>SUM(D66:D76)</f>
        <v>17887.55</v>
      </c>
      <c r="E77" s="58">
        <f>SUM(E66:E76)</f>
        <v>0</v>
      </c>
      <c r="F77" s="58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4:F24"/>
    <mergeCell ref="B35:F35"/>
    <mergeCell ref="B30:F30"/>
    <mergeCell ref="B44:F44"/>
    <mergeCell ref="B51:F51"/>
  </mergeCells>
  <dataValidations count="1">
    <dataValidation type="decimal" operator="greaterThanOrEqual" allowBlank="1" showInputMessage="1" showErrorMessage="1" sqref="E34 E45:E48 E50 E25:F29 E52:F55 E57:F62 E36:E43 D66:F7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733425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1504950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5"/>
  <sheetViews>
    <sheetView topLeftCell="B1" workbookViewId="0">
      <selection activeCell="F25" sqref="F25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14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2" t="s">
        <v>63</v>
      </c>
      <c r="C8" s="133"/>
      <c r="D8" s="133"/>
      <c r="E8" s="133"/>
      <c r="F8" s="133"/>
      <c r="G8" s="133"/>
      <c r="H8" s="133"/>
      <c r="I8" s="133"/>
      <c r="J8" s="134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175</v>
      </c>
      <c r="D11" s="26" t="s">
        <v>186</v>
      </c>
      <c r="E11" s="26" t="s">
        <v>182</v>
      </c>
      <c r="F11" s="54">
        <v>2</v>
      </c>
      <c r="G11" s="54">
        <v>2</v>
      </c>
      <c r="H11" s="54">
        <v>4</v>
      </c>
      <c r="I11" s="54">
        <v>8.52</v>
      </c>
      <c r="J11" s="54">
        <f>H11*I11</f>
        <v>34.08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213</v>
      </c>
      <c r="D12" s="26" t="s">
        <v>180</v>
      </c>
      <c r="E12" s="26" t="s">
        <v>219</v>
      </c>
      <c r="F12" s="54">
        <v>1</v>
      </c>
      <c r="G12" s="54">
        <v>1</v>
      </c>
      <c r="H12" s="54">
        <v>1</v>
      </c>
      <c r="I12" s="54">
        <v>81.63</v>
      </c>
      <c r="J12" s="54">
        <f t="shared" ref="J12:J24" si="0">H12*I12</f>
        <v>81.63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212</v>
      </c>
      <c r="D13" s="26" t="s">
        <v>210</v>
      </c>
      <c r="E13" s="26" t="s">
        <v>218</v>
      </c>
      <c r="F13" s="54">
        <v>1</v>
      </c>
      <c r="G13" s="54">
        <v>2</v>
      </c>
      <c r="H13" s="54">
        <v>2</v>
      </c>
      <c r="I13" s="54">
        <v>0.96</v>
      </c>
      <c r="J13" s="54">
        <f t="shared" si="0"/>
        <v>1.92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214</v>
      </c>
      <c r="D14" s="26" t="s">
        <v>186</v>
      </c>
      <c r="E14" s="26" t="s">
        <v>220</v>
      </c>
      <c r="F14" s="54">
        <v>1</v>
      </c>
      <c r="G14" s="54">
        <v>1</v>
      </c>
      <c r="H14" s="54">
        <v>1</v>
      </c>
      <c r="I14" s="54">
        <v>38.51</v>
      </c>
      <c r="J14" s="54">
        <f t="shared" si="0"/>
        <v>38.51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187</v>
      </c>
      <c r="D15" s="26" t="s">
        <v>180</v>
      </c>
      <c r="E15" s="26" t="s">
        <v>183</v>
      </c>
      <c r="F15" s="54">
        <v>1</v>
      </c>
      <c r="G15" s="54">
        <v>1</v>
      </c>
      <c r="H15" s="54">
        <v>1</v>
      </c>
      <c r="I15" s="54">
        <v>49.33</v>
      </c>
      <c r="J15" s="54">
        <f t="shared" si="0"/>
        <v>49.33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176</v>
      </c>
      <c r="D16" s="26" t="s">
        <v>180</v>
      </c>
      <c r="E16" s="26" t="s">
        <v>183</v>
      </c>
      <c r="F16" s="54">
        <v>2</v>
      </c>
      <c r="G16" s="54">
        <v>2</v>
      </c>
      <c r="H16" s="54">
        <v>4</v>
      </c>
      <c r="I16" s="54">
        <v>49.33</v>
      </c>
      <c r="J16" s="54">
        <f t="shared" si="0"/>
        <v>197.32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 t="s">
        <v>232</v>
      </c>
      <c r="D17" s="26" t="s">
        <v>186</v>
      </c>
      <c r="E17" s="26" t="s">
        <v>230</v>
      </c>
      <c r="F17" s="54">
        <v>1</v>
      </c>
      <c r="G17" s="54">
        <v>1</v>
      </c>
      <c r="H17" s="54">
        <v>1</v>
      </c>
      <c r="I17" s="54">
        <v>4.92</v>
      </c>
      <c r="J17" s="54">
        <f t="shared" si="0"/>
        <v>4.92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 t="s">
        <v>215</v>
      </c>
      <c r="D18" s="26" t="s">
        <v>186</v>
      </c>
      <c r="E18" s="26" t="s">
        <v>221</v>
      </c>
      <c r="F18" s="54">
        <v>3</v>
      </c>
      <c r="G18" s="54">
        <v>1</v>
      </c>
      <c r="H18" s="54">
        <v>3</v>
      </c>
      <c r="I18" s="54">
        <v>4.92</v>
      </c>
      <c r="J18" s="54">
        <f t="shared" si="0"/>
        <v>14.76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 t="s">
        <v>216</v>
      </c>
      <c r="D19" s="26" t="s">
        <v>179</v>
      </c>
      <c r="E19" s="26" t="s">
        <v>222</v>
      </c>
      <c r="F19" s="54">
        <v>2</v>
      </c>
      <c r="G19" s="54">
        <v>2</v>
      </c>
      <c r="H19" s="54">
        <v>4</v>
      </c>
      <c r="I19" s="54">
        <v>20.43</v>
      </c>
      <c r="J19" s="54">
        <f t="shared" si="0"/>
        <v>81.72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3">
      <c r="B20" s="41">
        <v>10</v>
      </c>
      <c r="C20" s="26" t="s">
        <v>217</v>
      </c>
      <c r="D20" s="26" t="s">
        <v>179</v>
      </c>
      <c r="E20" s="26" t="s">
        <v>223</v>
      </c>
      <c r="F20" s="54">
        <v>1</v>
      </c>
      <c r="G20" s="54">
        <v>1</v>
      </c>
      <c r="H20" s="54">
        <v>1</v>
      </c>
      <c r="I20" s="54">
        <v>6.39</v>
      </c>
      <c r="J20" s="54">
        <f t="shared" si="0"/>
        <v>6.39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1:20" ht="12.75" customHeight="1" x14ac:dyDescent="0.3">
      <c r="B21" s="41">
        <v>11</v>
      </c>
      <c r="C21" s="26" t="s">
        <v>241</v>
      </c>
      <c r="D21" s="26" t="s">
        <v>179</v>
      </c>
      <c r="E21" s="26" t="s">
        <v>244</v>
      </c>
      <c r="F21" s="54">
        <v>1</v>
      </c>
      <c r="G21" s="54">
        <v>2</v>
      </c>
      <c r="H21" s="54">
        <v>2</v>
      </c>
      <c r="I21" s="54">
        <v>20.52</v>
      </c>
      <c r="J21" s="54">
        <f t="shared" si="0"/>
        <v>41.04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1:20" ht="12.75" customHeight="1" x14ac:dyDescent="0.3">
      <c r="B22" s="41">
        <v>12</v>
      </c>
      <c r="C22" s="26" t="s">
        <v>177</v>
      </c>
      <c r="D22" s="26" t="s">
        <v>181</v>
      </c>
      <c r="E22" s="26" t="s">
        <v>184</v>
      </c>
      <c r="F22" s="54">
        <v>3</v>
      </c>
      <c r="G22" s="54">
        <v>3</v>
      </c>
      <c r="H22" s="54">
        <v>9</v>
      </c>
      <c r="I22" s="54">
        <v>0.97</v>
      </c>
      <c r="J22" s="54">
        <f t="shared" si="0"/>
        <v>8.73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1:20" ht="12.75" customHeight="1" x14ac:dyDescent="0.3">
      <c r="B23" s="41">
        <v>13</v>
      </c>
      <c r="C23" s="26" t="s">
        <v>178</v>
      </c>
      <c r="D23" s="26" t="s">
        <v>181</v>
      </c>
      <c r="E23" s="26" t="s">
        <v>185</v>
      </c>
      <c r="F23" s="54">
        <v>1</v>
      </c>
      <c r="G23" s="54">
        <v>100</v>
      </c>
      <c r="H23" s="54">
        <v>100</v>
      </c>
      <c r="I23" s="54">
        <v>1.27</v>
      </c>
      <c r="J23" s="54">
        <f t="shared" si="0"/>
        <v>127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1:20" ht="12.75" customHeight="1" x14ac:dyDescent="0.3">
      <c r="B24" s="41">
        <v>14</v>
      </c>
      <c r="C24" s="26" t="s">
        <v>229</v>
      </c>
      <c r="D24" s="26" t="s">
        <v>181</v>
      </c>
      <c r="E24" s="26" t="s">
        <v>184</v>
      </c>
      <c r="F24" s="54">
        <v>2</v>
      </c>
      <c r="G24" s="54">
        <v>7</v>
      </c>
      <c r="H24" s="54">
        <v>14</v>
      </c>
      <c r="I24" s="54">
        <v>11.72</v>
      </c>
      <c r="J24" s="54">
        <f t="shared" si="0"/>
        <v>164.08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1:20" ht="12.75" customHeight="1" x14ac:dyDescent="0.25">
      <c r="A25" s="32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</row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3"/>
  <sheetViews>
    <sheetView topLeftCell="A16" workbookViewId="0">
      <selection activeCell="C35" sqref="C35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3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29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5" t="s">
        <v>23</v>
      </c>
      <c r="C7" s="136"/>
      <c r="D7" s="136"/>
      <c r="E7" s="136"/>
      <c r="F7" s="136"/>
      <c r="G7" s="137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1" t="s">
        <v>24</v>
      </c>
      <c r="C8" s="142"/>
      <c r="D8" s="142"/>
      <c r="E8" s="142"/>
      <c r="F8" s="142"/>
      <c r="G8" s="143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1" t="s">
        <v>68</v>
      </c>
      <c r="C9" s="142"/>
      <c r="D9" s="142"/>
      <c r="E9" s="142"/>
      <c r="F9" s="142"/>
      <c r="G9" s="143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1" t="s">
        <v>25</v>
      </c>
      <c r="C10" s="142"/>
      <c r="D10" s="142"/>
      <c r="E10" s="142"/>
      <c r="F10" s="142"/>
      <c r="G10" s="143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1" t="s">
        <v>26</v>
      </c>
      <c r="C11" s="142"/>
      <c r="D11" s="142"/>
      <c r="E11" s="142"/>
      <c r="F11" s="142"/>
      <c r="G11" s="143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4" t="s">
        <v>27</v>
      </c>
      <c r="C12" s="145"/>
      <c r="D12" s="145"/>
      <c r="E12" s="145"/>
      <c r="F12" s="145"/>
      <c r="G12" s="146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8" t="s">
        <v>71</v>
      </c>
      <c r="C15" s="139"/>
      <c r="D15" s="139"/>
      <c r="E15" s="139"/>
      <c r="F15" s="139"/>
      <c r="G15" s="140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152" t="s">
        <v>209</v>
      </c>
      <c r="D16" s="69" t="s">
        <v>163</v>
      </c>
      <c r="E16" s="115">
        <v>3</v>
      </c>
      <c r="F16" s="115">
        <v>100</v>
      </c>
      <c r="G16" s="115">
        <f t="shared" ref="G16:G18" si="0">+E16*F16</f>
        <v>300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211</v>
      </c>
      <c r="D17" s="69" t="s">
        <v>163</v>
      </c>
      <c r="E17" s="115">
        <v>1</v>
      </c>
      <c r="F17" s="115">
        <v>37.130000000000003</v>
      </c>
      <c r="G17" s="115">
        <f t="shared" si="0"/>
        <v>37.130000000000003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228</v>
      </c>
      <c r="D18" s="69" t="s">
        <v>163</v>
      </c>
      <c r="E18" s="115">
        <v>1</v>
      </c>
      <c r="F18" s="115">
        <v>25</v>
      </c>
      <c r="G18" s="115">
        <f t="shared" si="0"/>
        <v>25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138" t="s">
        <v>75</v>
      </c>
      <c r="C19" s="139"/>
      <c r="D19" s="139"/>
      <c r="E19" s="139"/>
      <c r="F19" s="139"/>
      <c r="G19" s="140"/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1</v>
      </c>
      <c r="C20" s="26" t="s">
        <v>227</v>
      </c>
      <c r="D20" s="116" t="s">
        <v>163</v>
      </c>
      <c r="E20" s="115">
        <v>3</v>
      </c>
      <c r="F20" s="115">
        <v>95</v>
      </c>
      <c r="G20" s="115">
        <f>+E20*F20</f>
        <v>285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2</v>
      </c>
      <c r="C21" s="26" t="s">
        <v>197</v>
      </c>
      <c r="D21" s="116" t="s">
        <v>210</v>
      </c>
      <c r="E21" s="115">
        <v>0.5</v>
      </c>
      <c r="F21" s="115">
        <v>67.319999999999993</v>
      </c>
      <c r="G21" s="115">
        <f t="shared" ref="G21:G48" si="1">+E21*F21</f>
        <v>33.659999999999997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3</v>
      </c>
      <c r="C22" s="26" t="s">
        <v>198</v>
      </c>
      <c r="D22" s="116" t="s">
        <v>210</v>
      </c>
      <c r="E22" s="115">
        <v>1</v>
      </c>
      <c r="F22" s="115">
        <v>84</v>
      </c>
      <c r="G22" s="115">
        <f t="shared" si="1"/>
        <v>84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4</v>
      </c>
      <c r="C23" s="26" t="s">
        <v>235</v>
      </c>
      <c r="D23" s="116" t="s">
        <v>210</v>
      </c>
      <c r="E23" s="115">
        <v>1</v>
      </c>
      <c r="F23" s="115">
        <v>22.67</v>
      </c>
      <c r="G23" s="115">
        <f t="shared" si="1"/>
        <v>22.67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5</v>
      </c>
      <c r="C24" s="26" t="s">
        <v>199</v>
      </c>
      <c r="D24" s="116" t="s">
        <v>163</v>
      </c>
      <c r="E24" s="115">
        <v>2</v>
      </c>
      <c r="F24" s="115">
        <v>258</v>
      </c>
      <c r="G24" s="115">
        <f t="shared" si="1"/>
        <v>516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6</v>
      </c>
      <c r="C25" s="26" t="s">
        <v>200</v>
      </c>
      <c r="D25" s="116" t="s">
        <v>163</v>
      </c>
      <c r="E25" s="115">
        <v>2</v>
      </c>
      <c r="F25" s="115">
        <v>3</v>
      </c>
      <c r="G25" s="115">
        <f t="shared" si="1"/>
        <v>6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7</v>
      </c>
      <c r="C26" s="26" t="s">
        <v>242</v>
      </c>
      <c r="D26" s="116" t="s">
        <v>163</v>
      </c>
      <c r="E26" s="115">
        <v>2</v>
      </c>
      <c r="F26" s="115">
        <v>2.0699999999999998</v>
      </c>
      <c r="G26" s="115">
        <f t="shared" si="1"/>
        <v>4.1399999999999997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8</v>
      </c>
      <c r="C27" s="26" t="s">
        <v>201</v>
      </c>
      <c r="D27" s="116" t="s">
        <v>163</v>
      </c>
      <c r="E27" s="115">
        <v>1</v>
      </c>
      <c r="F27" s="115">
        <v>70.67</v>
      </c>
      <c r="G27" s="115">
        <f t="shared" si="1"/>
        <v>70.67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9</v>
      </c>
      <c r="C28" s="26" t="s">
        <v>202</v>
      </c>
      <c r="D28" s="116" t="s">
        <v>163</v>
      </c>
      <c r="E28" s="115">
        <v>1</v>
      </c>
      <c r="F28" s="115">
        <v>5.33</v>
      </c>
      <c r="G28" s="115">
        <f t="shared" si="1"/>
        <v>5.33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67">
        <v>10</v>
      </c>
      <c r="C29" s="26" t="s">
        <v>243</v>
      </c>
      <c r="D29" s="116" t="s">
        <v>163</v>
      </c>
      <c r="E29" s="115">
        <v>3</v>
      </c>
      <c r="F29" s="115">
        <v>48.85</v>
      </c>
      <c r="G29" s="115">
        <f t="shared" si="1"/>
        <v>146.55000000000001</v>
      </c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11</v>
      </c>
      <c r="C30" s="26" t="s">
        <v>203</v>
      </c>
      <c r="D30" s="116" t="s">
        <v>163</v>
      </c>
      <c r="E30" s="115">
        <v>3</v>
      </c>
      <c r="F30" s="115">
        <v>30</v>
      </c>
      <c r="G30" s="115">
        <f t="shared" si="1"/>
        <v>90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12</v>
      </c>
      <c r="C31" s="26" t="s">
        <v>188</v>
      </c>
      <c r="D31" s="116" t="s">
        <v>189</v>
      </c>
      <c r="E31" s="115">
        <v>5</v>
      </c>
      <c r="F31" s="115">
        <v>12</v>
      </c>
      <c r="G31" s="115">
        <f t="shared" si="1"/>
        <v>60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13</v>
      </c>
      <c r="C32" s="26" t="s">
        <v>204</v>
      </c>
      <c r="D32" s="116" t="s">
        <v>189</v>
      </c>
      <c r="E32" s="115">
        <v>5</v>
      </c>
      <c r="F32" s="115">
        <v>15</v>
      </c>
      <c r="G32" s="115">
        <f t="shared" si="1"/>
        <v>75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14</v>
      </c>
      <c r="C33" s="26" t="s">
        <v>205</v>
      </c>
      <c r="D33" s="116" t="s">
        <v>189</v>
      </c>
      <c r="E33" s="115">
        <v>5</v>
      </c>
      <c r="F33" s="115">
        <v>10.67</v>
      </c>
      <c r="G33" s="115">
        <f t="shared" si="1"/>
        <v>53.35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15</v>
      </c>
      <c r="C34" s="26" t="s">
        <v>206</v>
      </c>
      <c r="D34" s="116" t="s">
        <v>163</v>
      </c>
      <c r="E34" s="115">
        <v>3</v>
      </c>
      <c r="F34" s="115">
        <v>10</v>
      </c>
      <c r="G34" s="115">
        <f t="shared" si="1"/>
        <v>30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67">
        <v>16</v>
      </c>
      <c r="C35" s="26" t="s">
        <v>207</v>
      </c>
      <c r="D35" s="116" t="s">
        <v>163</v>
      </c>
      <c r="E35" s="115">
        <v>50</v>
      </c>
      <c r="F35" s="115">
        <v>1.51</v>
      </c>
      <c r="G35" s="115">
        <f t="shared" si="1"/>
        <v>75.5</v>
      </c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17</v>
      </c>
      <c r="C36" s="26" t="s">
        <v>208</v>
      </c>
      <c r="D36" s="116" t="s">
        <v>163</v>
      </c>
      <c r="E36" s="115">
        <v>2</v>
      </c>
      <c r="F36" s="115">
        <v>23.87</v>
      </c>
      <c r="G36" s="115">
        <f t="shared" si="1"/>
        <v>47.74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18</v>
      </c>
      <c r="C37" s="26" t="s">
        <v>168</v>
      </c>
      <c r="D37" s="116" t="s">
        <v>163</v>
      </c>
      <c r="E37" s="115">
        <v>5</v>
      </c>
      <c r="F37" s="115">
        <v>1.6</v>
      </c>
      <c r="G37" s="115">
        <f t="shared" si="1"/>
        <v>8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19</v>
      </c>
      <c r="C38" s="26" t="s">
        <v>169</v>
      </c>
      <c r="D38" s="116" t="s">
        <v>163</v>
      </c>
      <c r="E38" s="115">
        <v>5</v>
      </c>
      <c r="F38" s="115">
        <v>1.6</v>
      </c>
      <c r="G38" s="115">
        <f t="shared" si="1"/>
        <v>8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20</v>
      </c>
      <c r="C39" s="26" t="s">
        <v>170</v>
      </c>
      <c r="D39" s="116" t="s">
        <v>163</v>
      </c>
      <c r="E39" s="115">
        <v>5</v>
      </c>
      <c r="F39" s="115">
        <v>5</v>
      </c>
      <c r="G39" s="115">
        <f t="shared" si="1"/>
        <v>25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21</v>
      </c>
      <c r="C40" s="26" t="s">
        <v>171</v>
      </c>
      <c r="D40" s="116" t="s">
        <v>163</v>
      </c>
      <c r="E40" s="115">
        <v>5</v>
      </c>
      <c r="F40" s="115">
        <v>2.77</v>
      </c>
      <c r="G40" s="115">
        <f t="shared" si="1"/>
        <v>13.85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22</v>
      </c>
      <c r="C41" s="26" t="s">
        <v>194</v>
      </c>
      <c r="D41" s="116" t="s">
        <v>163</v>
      </c>
      <c r="E41" s="115">
        <v>1</v>
      </c>
      <c r="F41" s="115">
        <v>66.67</v>
      </c>
      <c r="G41" s="115">
        <f t="shared" si="1"/>
        <v>66.67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23</v>
      </c>
      <c r="C42" s="26" t="s">
        <v>173</v>
      </c>
      <c r="D42" s="116" t="s">
        <v>163</v>
      </c>
      <c r="E42" s="115">
        <v>1</v>
      </c>
      <c r="F42" s="115">
        <v>5</v>
      </c>
      <c r="G42" s="115">
        <f t="shared" si="1"/>
        <v>5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24</v>
      </c>
      <c r="C43" s="26" t="s">
        <v>172</v>
      </c>
      <c r="D43" s="116" t="s">
        <v>163</v>
      </c>
      <c r="E43" s="115">
        <v>1</v>
      </c>
      <c r="F43" s="115">
        <v>3.25</v>
      </c>
      <c r="G43" s="115">
        <f t="shared" si="1"/>
        <v>3.25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25</v>
      </c>
      <c r="C44" s="26" t="s">
        <v>193</v>
      </c>
      <c r="D44" s="116" t="s">
        <v>163</v>
      </c>
      <c r="E44" s="115">
        <v>2</v>
      </c>
      <c r="F44" s="115">
        <v>118.67</v>
      </c>
      <c r="G44" s="115">
        <f t="shared" si="1"/>
        <v>237.34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26</v>
      </c>
      <c r="C45" s="26" t="s">
        <v>174</v>
      </c>
      <c r="D45" s="116" t="s">
        <v>163</v>
      </c>
      <c r="E45" s="115">
        <v>1</v>
      </c>
      <c r="F45" s="115">
        <v>118.67</v>
      </c>
      <c r="G45" s="115">
        <f t="shared" si="1"/>
        <v>118.67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27</v>
      </c>
      <c r="C46" s="26" t="s">
        <v>231</v>
      </c>
      <c r="D46" s="116" t="s">
        <v>163</v>
      </c>
      <c r="E46" s="115">
        <v>1</v>
      </c>
      <c r="F46" s="115">
        <v>116.16</v>
      </c>
      <c r="G46" s="115">
        <f t="shared" si="1"/>
        <v>116.16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28</v>
      </c>
      <c r="C47" s="26" t="s">
        <v>195</v>
      </c>
      <c r="D47" s="116" t="s">
        <v>163</v>
      </c>
      <c r="E47" s="115">
        <v>1</v>
      </c>
      <c r="F47" s="115">
        <v>330.94</v>
      </c>
      <c r="G47" s="115">
        <f t="shared" si="1"/>
        <v>330.94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29</v>
      </c>
      <c r="C48" s="26" t="s">
        <v>196</v>
      </c>
      <c r="D48" s="116" t="s">
        <v>163</v>
      </c>
      <c r="E48" s="115">
        <v>1</v>
      </c>
      <c r="F48" s="115">
        <v>310.5</v>
      </c>
      <c r="G48" s="115">
        <f t="shared" si="1"/>
        <v>310.5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1:16" ht="14.25" customHeight="1" x14ac:dyDescent="0.3">
      <c r="B49" s="138" t="s">
        <v>29</v>
      </c>
      <c r="C49" s="139"/>
      <c r="D49" s="139"/>
      <c r="E49" s="139"/>
      <c r="F49" s="139"/>
      <c r="G49" s="140"/>
      <c r="H49" s="38"/>
      <c r="I49" s="38"/>
      <c r="J49" s="38"/>
      <c r="K49" s="38"/>
      <c r="L49" s="38"/>
      <c r="M49" s="38"/>
      <c r="N49" s="38"/>
      <c r="O49" s="38"/>
      <c r="P49" s="38"/>
    </row>
    <row r="50" spans="1:16" ht="14.25" customHeight="1" x14ac:dyDescent="0.3">
      <c r="B50" s="67">
        <v>1</v>
      </c>
      <c r="C50" s="68"/>
      <c r="D50" s="69"/>
      <c r="E50" s="54"/>
      <c r="F50" s="54"/>
      <c r="G50" s="54"/>
      <c r="H50" s="38"/>
      <c r="I50" s="38"/>
      <c r="J50" s="38"/>
      <c r="K50" s="38"/>
      <c r="L50" s="38"/>
      <c r="M50" s="38"/>
      <c r="N50" s="38"/>
      <c r="O50" s="38"/>
      <c r="P50" s="38"/>
    </row>
    <row r="51" spans="1:16" ht="14.25" customHeight="1" x14ac:dyDescent="0.3">
      <c r="B51" s="67">
        <v>2</v>
      </c>
      <c r="C51" s="68"/>
      <c r="D51" s="69"/>
      <c r="E51" s="54"/>
      <c r="F51" s="54"/>
      <c r="G51" s="54"/>
      <c r="H51" s="38"/>
      <c r="I51" s="38"/>
      <c r="J51" s="38"/>
      <c r="K51" s="38"/>
      <c r="L51" s="38"/>
      <c r="M51" s="38"/>
      <c r="N51" s="38"/>
      <c r="O51" s="38"/>
      <c r="P51" s="38"/>
    </row>
    <row r="52" spans="1:16" ht="14.25" customHeight="1" x14ac:dyDescent="0.3">
      <c r="B52" s="67">
        <v>3</v>
      </c>
      <c r="C52" s="68"/>
      <c r="D52" s="69"/>
      <c r="E52" s="54"/>
      <c r="F52" s="54"/>
      <c r="G52" s="54"/>
      <c r="H52" s="38"/>
      <c r="I52" s="38"/>
      <c r="J52" s="38"/>
      <c r="K52" s="38"/>
      <c r="L52" s="38"/>
      <c r="M52" s="38"/>
      <c r="N52" s="38"/>
      <c r="O52" s="38"/>
      <c r="P52" s="38"/>
    </row>
    <row r="53" spans="1:16" ht="14.25" customHeight="1" x14ac:dyDescent="0.3">
      <c r="B53" s="67">
        <v>4</v>
      </c>
      <c r="C53" s="68"/>
      <c r="D53" s="69"/>
      <c r="E53" s="54"/>
      <c r="F53" s="54"/>
      <c r="G53" s="54"/>
      <c r="H53" s="38"/>
      <c r="I53" s="38"/>
      <c r="J53" s="38"/>
      <c r="K53" s="38"/>
      <c r="L53" s="38"/>
      <c r="M53" s="38"/>
      <c r="N53" s="38"/>
      <c r="O53" s="38"/>
      <c r="P53" s="38"/>
    </row>
    <row r="54" spans="1:16" ht="14.25" customHeight="1" x14ac:dyDescent="0.3">
      <c r="B54" s="67">
        <v>5</v>
      </c>
      <c r="C54" s="68"/>
      <c r="D54" s="69"/>
      <c r="E54" s="54"/>
      <c r="F54" s="54"/>
      <c r="G54" s="54"/>
      <c r="H54" s="38"/>
      <c r="I54" s="38"/>
      <c r="J54" s="38"/>
      <c r="K54" s="38"/>
      <c r="L54" s="38"/>
      <c r="M54" s="38"/>
      <c r="N54" s="38"/>
      <c r="O54" s="38"/>
      <c r="P54" s="38"/>
    </row>
    <row r="55" spans="1:16" ht="14.25" customHeight="1" x14ac:dyDescent="0.3">
      <c r="B55" s="67">
        <v>6</v>
      </c>
      <c r="C55" s="68"/>
      <c r="D55" s="69"/>
      <c r="E55" s="54"/>
      <c r="F55" s="54"/>
      <c r="G55" s="54"/>
      <c r="H55" s="38"/>
      <c r="I55" s="38"/>
      <c r="J55" s="38"/>
      <c r="K55" s="38"/>
      <c r="L55" s="38"/>
      <c r="M55" s="38"/>
      <c r="N55" s="38"/>
      <c r="O55" s="38"/>
      <c r="P55" s="38"/>
    </row>
    <row r="56" spans="1:16" ht="14.25" customHeight="1" x14ac:dyDescent="0.3">
      <c r="B56" s="67">
        <v>7</v>
      </c>
      <c r="C56" s="68"/>
      <c r="D56" s="69"/>
      <c r="E56" s="54"/>
      <c r="F56" s="54"/>
      <c r="G56" s="54"/>
      <c r="H56" s="38"/>
      <c r="I56" s="38"/>
      <c r="J56" s="38"/>
      <c r="K56" s="38"/>
      <c r="L56" s="38"/>
      <c r="M56" s="38"/>
      <c r="N56" s="38"/>
      <c r="O56" s="38"/>
      <c r="P56" s="38"/>
    </row>
    <row r="57" spans="1:16" ht="14.25" customHeight="1" x14ac:dyDescent="0.3">
      <c r="B57" s="67">
        <v>8</v>
      </c>
      <c r="C57" s="68"/>
      <c r="D57" s="69"/>
      <c r="E57" s="54"/>
      <c r="F57" s="54"/>
      <c r="G57" s="54"/>
      <c r="H57" s="38"/>
      <c r="I57" s="38"/>
      <c r="J57" s="38"/>
      <c r="K57" s="38"/>
      <c r="L57" s="38"/>
      <c r="M57" s="38"/>
      <c r="N57" s="38"/>
      <c r="O57" s="38"/>
      <c r="P57" s="38"/>
    </row>
    <row r="58" spans="1:16" ht="14.25" customHeight="1" x14ac:dyDescent="0.3">
      <c r="B58" s="67">
        <v>9</v>
      </c>
      <c r="C58" s="68"/>
      <c r="D58" s="69"/>
      <c r="E58" s="54"/>
      <c r="F58" s="54"/>
      <c r="G58" s="54"/>
      <c r="H58" s="38"/>
      <c r="I58" s="38"/>
      <c r="J58" s="38"/>
      <c r="K58" s="38"/>
      <c r="L58" s="38"/>
      <c r="M58" s="38"/>
      <c r="N58" s="38"/>
      <c r="O58" s="38"/>
      <c r="P58" s="38"/>
    </row>
    <row r="59" spans="1:16" ht="14.25" customHeight="1" x14ac:dyDescent="0.3">
      <c r="B59" s="67">
        <v>10</v>
      </c>
      <c r="C59" s="68"/>
      <c r="D59" s="69"/>
      <c r="E59" s="54"/>
      <c r="F59" s="54"/>
      <c r="G59" s="54"/>
      <c r="H59" s="38"/>
      <c r="I59" s="38"/>
      <c r="J59" s="38"/>
      <c r="K59" s="38"/>
      <c r="L59" s="38"/>
      <c r="M59" s="38"/>
      <c r="N59" s="38"/>
      <c r="O59" s="38"/>
      <c r="P59" s="38"/>
    </row>
    <row r="60" spans="1:16" ht="14.25" customHeight="1" x14ac:dyDescent="0.3">
      <c r="A60" s="43"/>
      <c r="B60" s="38"/>
      <c r="C60" s="43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</row>
    <row r="61" spans="1:16" ht="14.25" customHeight="1" x14ac:dyDescent="0.3">
      <c r="A61" s="43"/>
      <c r="B61" s="38"/>
      <c r="C61" s="43"/>
      <c r="D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</row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password="C2E9" sheet="1" objects="1" scenarios="1" formatColumns="0" formatRows="0" sort="0" autoFilter="0"/>
  <mergeCells count="9">
    <mergeCell ref="B7:G7"/>
    <mergeCell ref="B19:G19"/>
    <mergeCell ref="B49:G4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19</xdr:row>
                    <xdr:rowOff>28575</xdr:rowOff>
                  </from>
                  <to>
                    <xdr:col>1</xdr:col>
                    <xdr:colOff>762000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19</xdr:row>
                    <xdr:rowOff>28575</xdr:rowOff>
                  </from>
                  <to>
                    <xdr:col>1</xdr:col>
                    <xdr:colOff>1533525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49</xdr:row>
                    <xdr:rowOff>28575</xdr:rowOff>
                  </from>
                  <to>
                    <xdr:col>1</xdr:col>
                    <xdr:colOff>771525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49</xdr:row>
                    <xdr:rowOff>28575</xdr:rowOff>
                  </from>
                  <to>
                    <xdr:col>1</xdr:col>
                    <xdr:colOff>1543050</xdr:colOff>
                    <xdr:row>49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28" sqref="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1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data_general'!$C$31</f>
        <v>Level II and III</v>
      </c>
      <c r="G1" s="111" t="str">
        <f>'1.1 Case data_general'!$C$32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2018-05-31T07:19:53Z</dcterms:modified>
</cp:coreProperties>
</file>