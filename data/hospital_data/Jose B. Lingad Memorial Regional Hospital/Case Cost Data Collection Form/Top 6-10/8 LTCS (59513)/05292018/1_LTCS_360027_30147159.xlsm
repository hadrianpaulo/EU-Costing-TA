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Supplies_Medical'!$C$15:$C$67</definedName>
    <definedName name="Drugs">'1.2 Drugs&amp;Med'!$C$11:$C$16</definedName>
    <definedName name="_xlnm.Print_Area" localSheetId="0">'1.1 Case data_general'!$B$1:$F$86</definedName>
    <definedName name="_xlnm.Print_Area" localSheetId="1">'1.2 Drugs&amp;Med'!$B$2:$J$31</definedName>
  </definedNames>
  <calcPr calcId="144525"/>
</workbook>
</file>

<file path=xl/calcChain.xml><?xml version="1.0" encoding="utf-8"?>
<calcChain xmlns="http://schemas.openxmlformats.org/spreadsheetml/2006/main">
  <c r="G28" i="9" l="1"/>
  <c r="G27" i="9"/>
  <c r="J30" i="2"/>
  <c r="J29" i="2"/>
  <c r="G26" i="9" l="1"/>
  <c r="G55" i="9"/>
  <c r="G54" i="9"/>
  <c r="G53" i="9"/>
  <c r="G52" i="9"/>
  <c r="G51" i="9"/>
  <c r="G50" i="9"/>
  <c r="J28" i="2" l="1"/>
  <c r="J27" i="2"/>
  <c r="J26" i="2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49" i="9"/>
  <c r="G48" i="9"/>
  <c r="G47" i="9"/>
  <c r="G46" i="9"/>
  <c r="G45" i="9"/>
  <c r="G44" i="9"/>
  <c r="G43" i="9"/>
  <c r="G42" i="9"/>
  <c r="G41" i="9"/>
  <c r="J19" i="2" l="1"/>
  <c r="J18" i="2"/>
  <c r="J17" i="2"/>
  <c r="G40" i="9"/>
  <c r="G39" i="9"/>
  <c r="G38" i="9"/>
  <c r="G37" i="9"/>
  <c r="G36" i="9"/>
  <c r="G35" i="9"/>
  <c r="G34" i="9"/>
  <c r="G33" i="9"/>
  <c r="G32" i="9"/>
  <c r="G31" i="9"/>
  <c r="G30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6" i="1"/>
  <c r="E86" i="1"/>
  <c r="D8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<sst xmlns="http://schemas.openxmlformats.org/spreadsheetml/2006/main" count="615" uniqueCount="272">
  <si>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</si>
  <si>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</si>
  <si>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</si>
  <si>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</si>
  <si>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</si>
  <si>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</si>
  <si>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</si>
  <si>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</si>
  <si>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</si>
  <si>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</si>
  <si>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</si>
  <si>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</si>
  <si>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</si>
  <si>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</si>
  <si>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</si>
  <si>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</si>
  <si>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</si>
  <si>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</si>
  <si>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</si>
  <si>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</si>
  <si>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</si>
  <si>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</si>
  <si>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</si>
  <si>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</si>
  <si>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</si>
  <si>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</si>
  <si>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</si>
  <si>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</si>
  <si>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</si>
  <si>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</si>
  <si>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</si>
  <si>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</si>
  <si>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</si>
  <si>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</si>
  <si>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</si>
  <si>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</si>
  <si>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</si>
  <si>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</si>
  <si>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</si>
  <si>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</si>
  <si>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</si>
  <si>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</si>
  <si>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</si>
  <si>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</si>
  <si>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</si>
  <si>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</si>
  <si>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</si>
  <si>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</si>
  <si>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</si>
  <si>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</si>
  <si>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</si>
  <si>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</si>
  <si>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</si>
  <si>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</si>
  <si>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</si>
  <si>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</si>
  <si>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</si>
  <si>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</si>
  <si>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</si>
  <si>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</si>
  <si>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</si>
  <si>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</si>
  <si>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</si>
  <si>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</si>
  <si>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</si>
  <si>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</si>
  <si>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</si>
  <si>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</si>
  <si>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</si>
  <si>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</si>
  <si>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</si>
  <si>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</si>
  <si>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</si>
  <si>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</si>
  <si>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</si>
  <si>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</si>
  <si>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</si>
  <si>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</si>
  <si>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</si>
  <si>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</si>
  <si>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</si>
  <si>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</si>
  <si>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</si>
  <si>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</si>
  <si>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</si>
  <si>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</si>
  <si>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</si>
  <si>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</si>
  <si>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</si>
  <si>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</si>
  <si>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</si>
  <si>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</si>
  <si>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</si>
  <si>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</si>
  <si>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</si>
  <si>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</si>
  <si>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</si>
  <si>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</si>
  <si>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</si>
  <si>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</si>
  <si>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</si>
  <si>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</si>
  <si>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</si>
  <si>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</si>
  <si>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</si>
  <si>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</si>
  <si>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</si>
  <si>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</si>
  <si>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</si>
  <si>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</si>
  <si>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</si>
  <si>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</si>
  <si>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</si>
  <si>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</si>
  <si>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</si>
  <si>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</si>
  <si>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</si>
  <si>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</si>
  <si>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</si>
  <si>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</si>
  <si>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</si>
  <si>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</si>
  <si>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</si>
  <si>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</si>
  <si>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</si>
  <si>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</si>
  <si>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</si>
  <si>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</si>
  <si>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</si>
  <si>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</si>
  <si>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</si>
  <si>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</si>
  <si>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</si>
  <si>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</si>
  <si>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</si>
  <si>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</si>
  <si>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</si>
  <si>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</si>
  <si>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</si>
  <si>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</si>
  <si>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</si>
  <si>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</si>
  <si>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</si>
  <si>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</si>
  <si>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</si>
  <si>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</si>
  <si>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</si>
  <si>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</si>
  <si>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</si>
  <si>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</si>
  <si>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</si>
  <si>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</si>
  <si>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</si>
  <si>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</si>
  <si>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</si>
  <si>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</si>
  <si>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</si>
  <si>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</si>
  <si>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</si>
  <si>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</si>
  <si>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</si>
  <si>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</si>
  <si>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</si>
  <si>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</si>
  <si>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</si>
  <si>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</si>
  <si>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</si>
  <si>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</si>
  <si>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</si>
  <si>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</si>
  <si>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</si>
  <si>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</si>
  <si>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CATGUT 2-0 ABSORBABLE SURGICAL SUTURE AT LEAST 75CM,  WITH AT LEAST 35-37MM X ½ CIRCLE ROUND TAPER NEEDLE</t>
  </si>
  <si>
    <t>SET</t>
  </si>
  <si>
    <t>OXYTOCIN MALEATE 10MCG INJECTION 10 UNITS/ML-1ML</t>
  </si>
  <si>
    <t>(D5LRS 1L) 5% DEXTROSE IN LACTATED RINGERS SOLUTION 1000ML (D5 LRS) X 12S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</si>
  <si>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</si>
  <si>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</si>
  <si>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</si>
  <si>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</si>
  <si>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</si>
  <si>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</si>
  <si>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</si>
  <si>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</si>
  <si>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DISPOSABLE HEAD CAP X 100S GARTERIZED</t>
  </si>
  <si>
    <t>AMPULE</t>
  </si>
  <si>
    <t>(PLAIN LRS 1L) LACTATED RINGER''''S SOLUTION 1000ML (PLAIN LRS 1L) X 12S</t>
  </si>
  <si>
    <t>DISPOSABLE FACE MASK, EAR LOOP 3 FOLDS X 50S</t>
  </si>
  <si>
    <t>O82.1</t>
  </si>
  <si>
    <t>MAJOR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</si>
  <si>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</si>
  <si>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</si>
  <si>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</si>
  <si>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</si>
  <si>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</si>
  <si>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</si>
  <si>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SUCTION TUBING YANKAUER TIP F25 X 150CM</t>
  </si>
  <si>
    <t>SURGICAL BLADE 20, BOX OF 100''S UNIMEX/CHINA</t>
  </si>
  <si>
    <t>SURGICAL COTTON THREAD 2/0, 18" X 10 STRANDS</t>
  </si>
  <si>
    <t>DISPOSABLE RAZOR, DOUBLE BLADE UNIMEX/CHINA</t>
  </si>
  <si>
    <t>MONITORING CHEST ELECTRODES, DISPOSABLE</t>
  </si>
  <si>
    <t>LUBRICANT JELLY 5G/SACHET, BOX OF 100''''''''''''''''S, STERIL AND BACTERIOLISTIC (STERILE)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</si>
  <si>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</si>
  <si>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</si>
  <si>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</si>
  <si>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</si>
  <si>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OXYGEN MASK ADULT W/ CONNECTING TUBE</t>
  </si>
  <si>
    <t>BUPIVACAINE HCL- SPINAL  0.5% - 4ML + 8% DEXTROSE</t>
  </si>
  <si>
    <t>PLAIN NSS 1L  (X 12S)</t>
  </si>
  <si>
    <t>RANITIDINE HCI 25MG/ML-2ML</t>
  </si>
  <si>
    <t>CEFOXITIN SODIUM 1G</t>
  </si>
  <si>
    <t>KETOROLAC TROMETHAMOL 30MG/ML-1ML</t>
  </si>
  <si>
    <t>25MG</t>
  </si>
  <si>
    <t>1G</t>
  </si>
  <si>
    <t>30MG</t>
  </si>
  <si>
    <t>SGPT</t>
  </si>
  <si>
    <t>SGOT</t>
  </si>
  <si>
    <t>CREATININE (CREA)</t>
  </si>
  <si>
    <t>LDH</t>
  </si>
  <si>
    <t>BLOOD UREA NITROGEN (BUN)</t>
  </si>
  <si>
    <t>URINALYSIS (UA)</t>
  </si>
  <si>
    <t>K (POTASSIUM)</t>
  </si>
  <si>
    <t>CBC, PC</t>
  </si>
  <si>
    <t>CASE RATE</t>
  </si>
  <si>
    <t>PF CASE RATE</t>
  </si>
  <si>
    <t>NBB</t>
  </si>
  <si>
    <t>SURGICAL LAPAROTOMY SPONGE 8"X36", 24X28 MESH, 12 PLY SEWED EDGES STERILE W/ DETECTABLE X-RAY THREAD (LAP SPONGE 8"X36"X12 PLY, LOOP W/ X-RAY THREAD, STERILE, 1 PIECE/PCK) (CPR NEEDED)</t>
  </si>
  <si>
    <t>ULTRASOUND PRINTING PAPER 110MM X 20MM (HIGH DENSITY) (DURICO TYPE 1)</t>
  </si>
  <si>
    <t>IV SET W/ AIRWAY FOR IV PUSH, VACOSET/MACRODRIP, ADULT</t>
  </si>
  <si>
    <t>ROLL</t>
  </si>
  <si>
    <t>METHYLERGOMETRINE MALEATE 200MCG AMP</t>
  </si>
  <si>
    <t>TRANEXAMIC ACID 100MG/ML-5ML</t>
  </si>
  <si>
    <t>200MCG</t>
  </si>
  <si>
    <t>10MG</t>
  </si>
  <si>
    <t>20MG</t>
  </si>
  <si>
    <t>100MG</t>
  </si>
  <si>
    <t>CATGUT PLAIN ABSORBABLE 2/0 W/ 75CM WITH 37MM ROUND NEEDLE ,PLAIN 2-0 HR37S(CATGUT PLAIN W/ ROUND NEEDLE TAPER NEEDLE 24''''''''''''''''''''''''''''''''S/BOX</t>
  </si>
  <si>
    <t>IV CATHETER GAUGE 18</t>
  </si>
  <si>
    <t>LIDOCAINE HCI 2%-5ML PRESERVATIVE-FREE REGARDLESS OF CONTAINER</t>
  </si>
  <si>
    <t>2%-5ML</t>
  </si>
  <si>
    <t>POLYAMP</t>
  </si>
  <si>
    <t>360027/73961</t>
  </si>
  <si>
    <t>O15.9</t>
  </si>
  <si>
    <t>O61.8</t>
  </si>
  <si>
    <t>CHEST AP ADULT</t>
  </si>
  <si>
    <t>NA (SODIUM)</t>
  </si>
  <si>
    <t>CL (CHLORIDE)</t>
  </si>
  <si>
    <t>RANDOM BLOOD SUGAR (RBS)</t>
  </si>
  <si>
    <t>PT (PROTIME)</t>
  </si>
  <si>
    <t>APTT</t>
  </si>
  <si>
    <t>CROSSMATCHING PER UNIT</t>
  </si>
  <si>
    <t>WBC &amp; DIFFERENTIAL COUNT</t>
  </si>
  <si>
    <t>HYDROGEN PEROXIDE 3% SOLUTION (10 VOLUMES), 120ML</t>
  </si>
  <si>
    <t>ADHESIVE PLASTER 2 X 10 (SILK) BOX OF 12S</t>
  </si>
  <si>
    <t>ASEPTO BULB SYRINGE TIP 60ML</t>
  </si>
  <si>
    <t>HYDRALAZINE HCI 20MG/ML-1ML</t>
  </si>
  <si>
    <t>MAGNESIUM SULFATE 500MG/ML-2ML AMP</t>
  </si>
  <si>
    <t>(D5W 500ML) 5% DEXTROSE IN WATER  500ML (D5 W 500ML) X 24S</t>
  </si>
  <si>
    <t>(MICROSET) IV INFUSION SET PEDIA</t>
  </si>
  <si>
    <t>POTASSIUM CHLORIDE 600MG PRESERVATIVE-FREE REGARDLESS OF CONTAINER IN BLISTER FOIL PACK</t>
  </si>
  <si>
    <t>NIFEDIPINE HCL 10MG BLISTER/FOIL PACK</t>
  </si>
  <si>
    <t>SPIRONOLACTONE 25MG IN BLISTER FOIL PACK</t>
  </si>
  <si>
    <t>POTASSIUM CHLORIDE 2MEQ/ML-20ML</t>
  </si>
  <si>
    <t>(IRRIGATING SOLN) 0.9% SODIUM CHLORIDE (PLAIN NSS) 1000ML (IRRIGATION) X 12S</t>
  </si>
  <si>
    <t>600MG</t>
  </si>
  <si>
    <t>2MEQ</t>
  </si>
  <si>
    <t>0.5%-5ML</t>
  </si>
  <si>
    <t>OXYGEN NASAL CANNULA WITH THREAD CONNECTOR FOR ADULT (CURVED FLAIRED TIP)</t>
  </si>
  <si>
    <t>ADULT DIAPER WITH HIGH LIQUID ABSORBENCY</t>
  </si>
  <si>
    <t>IV CATHETER GAUGE 22</t>
  </si>
  <si>
    <t>IV SET FOR PEDIA W/ BURETTE FOR DOSIFICATION VENTS W/ FILTER, SOLUSET</t>
  </si>
  <si>
    <t>IV SET W/ AIRWAY FOR IV PUSH, MICRODRIP, PEDIA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</si>
</sst>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9" fontId="10" fillId="5" borderId="21" xfId="0" quotePrefix="1" applyNumberFormat="1" applyFont="1" applyFill="1" applyBorder="1" applyAlignment="1" applyProtection="1">
      <alignment wrapText="1"/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733425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1504950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733425</xdr:colOff>
          <xdr:row>34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1504950</xdr:colOff>
          <xdr:row>34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74</xdr:row>
          <xdr:rowOff>19050</xdr:rowOff>
        </xdr:from>
        <xdr:to>
          <xdr:col>1</xdr:col>
          <xdr:colOff>733425</xdr:colOff>
          <xdr:row>74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74</xdr:row>
          <xdr:rowOff>19050</xdr:rowOff>
        </xdr:from>
        <xdr:to>
          <xdr:col>1</xdr:col>
          <xdr:colOff>1504950</xdr:colOff>
          <xdr:row>74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28575</xdr:rowOff>
        </xdr:from>
        <xdr:to>
          <xdr:col>1</xdr:col>
          <xdr:colOff>762000</xdr:colOff>
          <xdr:row>29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29</xdr:row>
          <xdr:rowOff>28575</xdr:rowOff>
        </xdr:from>
        <xdr:to>
          <xdr:col>1</xdr:col>
          <xdr:colOff>1533525</xdr:colOff>
          <xdr:row>29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28575</xdr:rowOff>
        </xdr:from>
        <xdr:to>
          <xdr:col>1</xdr:col>
          <xdr:colOff>771525</xdr:colOff>
          <xdr:row>57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57</xdr:row>
          <xdr:rowOff>28575</xdr:rowOff>
        </xdr:from>
        <xdr:to>
          <xdr:col>1</xdr:col>
          <xdr:colOff>1543050</xdr:colOff>
          <xdr:row>57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3"/>
  <sheetViews>
    <sheetView tabSelected="1" zoomScaleNormal="100" workbookViewId="0">
      <selection activeCell="B60" sqref="B60:F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59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60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241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242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243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188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164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7" t="s">
        <v>51</v>
      </c>
      <c r="C23" s="118"/>
      <c r="D23" s="118"/>
      <c r="E23" s="118"/>
      <c r="F23" s="119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5">
        <v>1</v>
      </c>
      <c r="C24" s="26">
        <v>59513</v>
      </c>
      <c r="D24" s="28" t="s">
        <v>189</v>
      </c>
      <c r="E24" s="54">
        <v>1</v>
      </c>
      <c r="F24" s="54">
        <v>0.7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5">
        <v>2</v>
      </c>
      <c r="C25" s="26"/>
      <c r="D25" s="28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3</v>
      </c>
      <c r="C26" s="26"/>
      <c r="D26" s="28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4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5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20" t="s">
        <v>42</v>
      </c>
      <c r="C29" s="121"/>
      <c r="D29" s="121"/>
      <c r="E29" s="121"/>
      <c r="F29" s="13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158</v>
      </c>
      <c r="C30" s="112" t="s">
        <v>162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09" t="s">
        <v>159</v>
      </c>
      <c r="C31" s="113" t="s">
        <v>123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160</v>
      </c>
      <c r="C32" s="113" t="s">
        <v>140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5">
        <v>4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7" t="s">
        <v>18</v>
      </c>
      <c r="C34" s="118"/>
      <c r="D34" s="118"/>
      <c r="E34" s="118"/>
      <c r="F34" s="119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9">
        <v>1</v>
      </c>
      <c r="C35" s="26" t="s">
        <v>165</v>
      </c>
      <c r="D35" s="22"/>
      <c r="E35" s="56">
        <v>1</v>
      </c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5">
        <v>2</v>
      </c>
      <c r="C36" s="26" t="s">
        <v>215</v>
      </c>
      <c r="D36" s="22"/>
      <c r="E36" s="54">
        <v>1</v>
      </c>
      <c r="F36" s="2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3</v>
      </c>
      <c r="C37" s="26" t="s">
        <v>245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4</v>
      </c>
      <c r="C38" s="26" t="s">
        <v>216</v>
      </c>
      <c r="D38" s="22"/>
      <c r="E38" s="54">
        <v>1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5</v>
      </c>
      <c r="C39" s="26" t="s">
        <v>217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6</v>
      </c>
      <c r="C40" s="26" t="s">
        <v>221</v>
      </c>
      <c r="D40" s="22"/>
      <c r="E40" s="54">
        <v>5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7</v>
      </c>
      <c r="C41" s="26" t="s">
        <v>218</v>
      </c>
      <c r="D41" s="22"/>
      <c r="E41" s="54">
        <v>1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8</v>
      </c>
      <c r="C42" s="26" t="s">
        <v>246</v>
      </c>
      <c r="D42" s="22"/>
      <c r="E42" s="54">
        <v>1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9</v>
      </c>
      <c r="C43" s="26" t="s">
        <v>219</v>
      </c>
      <c r="D43" s="22"/>
      <c r="E43" s="54">
        <v>1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10</v>
      </c>
      <c r="C44" s="26" t="s">
        <v>166</v>
      </c>
      <c r="D44" s="22"/>
      <c r="E44" s="54">
        <v>1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11</v>
      </c>
      <c r="C45" s="26" t="s">
        <v>247</v>
      </c>
      <c r="D45" s="22"/>
      <c r="E45" s="54">
        <v>1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12</v>
      </c>
      <c r="C46" s="26" t="s">
        <v>248</v>
      </c>
      <c r="D46" s="22"/>
      <c r="E46" s="54">
        <v>1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13</v>
      </c>
      <c r="C47" s="26" t="s">
        <v>220</v>
      </c>
      <c r="D47" s="22"/>
      <c r="E47" s="54">
        <v>1</v>
      </c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14</v>
      </c>
      <c r="C48" s="26" t="s">
        <v>249</v>
      </c>
      <c r="D48" s="22"/>
      <c r="E48" s="54">
        <v>1</v>
      </c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15</v>
      </c>
      <c r="C49" s="26" t="s">
        <v>167</v>
      </c>
      <c r="D49" s="22"/>
      <c r="E49" s="54">
        <v>4</v>
      </c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16</v>
      </c>
      <c r="C50" s="26" t="s">
        <v>250</v>
      </c>
      <c r="D50" s="22"/>
      <c r="E50" s="54">
        <v>1</v>
      </c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17</v>
      </c>
      <c r="C51" s="26" t="s">
        <v>222</v>
      </c>
      <c r="D51" s="22"/>
      <c r="E51" s="54">
        <v>2</v>
      </c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>
        <v>18</v>
      </c>
      <c r="C52" s="26" t="s">
        <v>251</v>
      </c>
      <c r="D52" s="22"/>
      <c r="E52" s="54">
        <v>3</v>
      </c>
      <c r="F52" s="2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19</v>
      </c>
      <c r="C53" s="121"/>
      <c r="D53" s="118"/>
      <c r="E53" s="121"/>
      <c r="F53" s="11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>
        <v>1</v>
      </c>
      <c r="C54" s="26" t="s">
        <v>244</v>
      </c>
      <c r="D54" s="22"/>
      <c r="E54" s="54">
        <v>1</v>
      </c>
      <c r="F54" s="2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2</v>
      </c>
      <c r="C55" s="26"/>
      <c r="D55" s="22"/>
      <c r="E55" s="54"/>
      <c r="F55" s="2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3</v>
      </c>
      <c r="C56" s="26"/>
      <c r="D56" s="22"/>
      <c r="E56" s="54"/>
      <c r="F56" s="2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4</v>
      </c>
      <c r="C57" s="26"/>
      <c r="D57" s="22"/>
      <c r="E57" s="54"/>
      <c r="F57" s="2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20" t="s">
        <v>43</v>
      </c>
      <c r="C58" s="121"/>
      <c r="D58" s="118"/>
      <c r="E58" s="121"/>
      <c r="F58" s="119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4" t="s">
        <v>44</v>
      </c>
      <c r="C59" s="13"/>
      <c r="D59" s="13"/>
      <c r="E59" s="54">
        <v>1</v>
      </c>
      <c r="F59" s="13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thickBot="1" x14ac:dyDescent="0.35">
      <c r="A60" s="1"/>
      <c r="B60" s="117" t="s">
        <v>52</v>
      </c>
      <c r="C60" s="118"/>
      <c r="D60" s="118"/>
      <c r="E60" s="118"/>
      <c r="F60" s="119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9"/>
      <c r="B61" s="29">
        <v>1</v>
      </c>
      <c r="C61" s="30"/>
      <c r="D61" s="31"/>
      <c r="E61" s="56"/>
      <c r="F61" s="56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9"/>
      <c r="B62" s="29">
        <v>2</v>
      </c>
      <c r="C62" s="30"/>
      <c r="D62" s="31"/>
      <c r="E62" s="56"/>
      <c r="F62" s="56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9"/>
      <c r="B63" s="25">
        <v>3</v>
      </c>
      <c r="C63" s="26"/>
      <c r="D63" s="27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9"/>
      <c r="B64" s="25">
        <v>4</v>
      </c>
      <c r="C64" s="26"/>
      <c r="D64" s="27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Bot="1" x14ac:dyDescent="0.35">
      <c r="A65" s="1"/>
      <c r="B65" s="117" t="s">
        <v>20</v>
      </c>
      <c r="C65" s="118"/>
      <c r="D65" s="118"/>
      <c r="E65" s="118"/>
      <c r="F65" s="119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>
        <v>1</v>
      </c>
      <c r="C66" s="26"/>
      <c r="D66" s="27"/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>
        <v>2</v>
      </c>
      <c r="C67" s="26"/>
      <c r="D67" s="27"/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>
        <v>3</v>
      </c>
      <c r="C68" s="26"/>
      <c r="D68" s="27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5">
        <v>4</v>
      </c>
      <c r="C69" s="26"/>
      <c r="D69" s="27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>
        <v>5</v>
      </c>
      <c r="C70" s="26"/>
      <c r="D70" s="27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5">
        <v>6</v>
      </c>
      <c r="C71" s="26"/>
      <c r="D71" s="27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4"/>
      <c r="C72" s="24"/>
      <c r="D72" s="24"/>
      <c r="E72" s="24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57.75" customHeight="1" thickBot="1" x14ac:dyDescent="0.35">
      <c r="A74" s="1"/>
      <c r="B74" s="16" t="s">
        <v>54</v>
      </c>
      <c r="C74" s="16" t="s">
        <v>50</v>
      </c>
      <c r="D74" s="16" t="s">
        <v>55</v>
      </c>
      <c r="E74" s="17" t="s">
        <v>56</v>
      </c>
      <c r="F74" s="18" t="s">
        <v>21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2">
        <v>1</v>
      </c>
      <c r="C75" s="26" t="s">
        <v>223</v>
      </c>
      <c r="D75" s="54">
        <v>11400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2</v>
      </c>
      <c r="C76" s="26" t="s">
        <v>224</v>
      </c>
      <c r="D76" s="54">
        <v>7600</v>
      </c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3</v>
      </c>
      <c r="C77" s="26" t="s">
        <v>225</v>
      </c>
      <c r="D77" s="54"/>
      <c r="E77" s="54">
        <v>8419.7000000000007</v>
      </c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4</v>
      </c>
      <c r="C78" s="26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5</v>
      </c>
      <c r="C79" s="26"/>
      <c r="D79" s="54"/>
      <c r="E79" s="54"/>
      <c r="F79" s="5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6</v>
      </c>
      <c r="C80" s="26"/>
      <c r="D80" s="54"/>
      <c r="E80" s="54"/>
      <c r="F80" s="5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7</v>
      </c>
      <c r="C81" s="26"/>
      <c r="D81" s="54"/>
      <c r="E81" s="54"/>
      <c r="F81" s="5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8</v>
      </c>
      <c r="C82" s="26"/>
      <c r="D82" s="54"/>
      <c r="E82" s="54"/>
      <c r="F82" s="5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9</v>
      </c>
      <c r="C83" s="26"/>
      <c r="D83" s="54"/>
      <c r="E83" s="54"/>
      <c r="F83" s="5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10</v>
      </c>
      <c r="C84" s="26"/>
      <c r="D84" s="54"/>
      <c r="E84" s="54"/>
      <c r="F84" s="54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4.9000000000000004" customHeight="1" thickBot="1" x14ac:dyDescent="0.35">
      <c r="A85" s="1"/>
      <c r="B85" s="1"/>
      <c r="C85" s="1"/>
      <c r="D85" s="57"/>
      <c r="E85" s="57"/>
      <c r="F85" s="57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thickTop="1" x14ac:dyDescent="0.3">
      <c r="A86" s="1"/>
      <c r="B86" s="11"/>
      <c r="C86" s="4" t="s">
        <v>22</v>
      </c>
      <c r="D86" s="58">
        <f>SUM(D75:D85)</f>
        <v>19000</v>
      </c>
      <c r="E86" s="58">
        <f>SUM(E75:E85)</f>
        <v>8419.7000000000007</v>
      </c>
      <c r="F86" s="58">
        <f>SUM(F75:F85)</f>
        <v>0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</sheetData>
  <sheetProtection password="C2E9" sheet="1" objects="1" scenarios="1" formatColumns="0" formatRows="0" sort="0" autoFilter="0"/>
  <mergeCells count="12">
    <mergeCell ref="B65:F65"/>
    <mergeCell ref="B58:F58"/>
    <mergeCell ref="B12:F12"/>
    <mergeCell ref="B13:F13"/>
    <mergeCell ref="B14:F14"/>
    <mergeCell ref="B15:F15"/>
    <mergeCell ref="B18:F18"/>
    <mergeCell ref="B23:F23"/>
    <mergeCell ref="B34:F34"/>
    <mergeCell ref="B29:F29"/>
    <mergeCell ref="B53:F53"/>
    <mergeCell ref="B60:F60"/>
  </mergeCells>
  <dataValidations count="1">
    <dataValidation type="decimal" operator="greaterThanOrEqual" allowBlank="1" showInputMessage="1" showErrorMessage="1" sqref="E33 E54:E57 E59 E24:F28 E61:F64 E66:F71 E35:E52 D75:F8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733425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1504950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733425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1504950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74</xdr:row>
                    <xdr:rowOff>19050</xdr:rowOff>
                  </from>
                  <to>
                    <xdr:col>1</xdr:col>
                    <xdr:colOff>733425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74</xdr:row>
                    <xdr:rowOff>19050</xdr:rowOff>
                  </from>
                  <to>
                    <xdr:col>1</xdr:col>
                    <xdr:colOff>1504950</xdr:colOff>
                    <xdr:row>74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B1" workbookViewId="0">
      <selection activeCell="F14" sqref="F14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20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2" t="s">
        <v>63</v>
      </c>
      <c r="C8" s="133"/>
      <c r="D8" s="133"/>
      <c r="E8" s="133"/>
      <c r="F8" s="133"/>
      <c r="G8" s="133"/>
      <c r="H8" s="133"/>
      <c r="I8" s="133"/>
      <c r="J8" s="134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175</v>
      </c>
      <c r="D11" s="26" t="s">
        <v>178</v>
      </c>
      <c r="E11" s="26" t="s">
        <v>181</v>
      </c>
      <c r="F11" s="54">
        <v>2</v>
      </c>
      <c r="G11" s="54">
        <v>3</v>
      </c>
      <c r="H11" s="54">
        <v>5</v>
      </c>
      <c r="I11" s="54">
        <v>49.33</v>
      </c>
      <c r="J11" s="54">
        <f>H11*I11</f>
        <v>246.64999999999998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255</v>
      </c>
      <c r="D12" s="26" t="s">
        <v>185</v>
      </c>
      <c r="E12" s="26" t="s">
        <v>234</v>
      </c>
      <c r="F12" s="54">
        <v>1</v>
      </c>
      <c r="G12" s="54">
        <v>1</v>
      </c>
      <c r="H12" s="54">
        <v>1</v>
      </c>
      <c r="I12" s="54">
        <v>24.44</v>
      </c>
      <c r="J12" s="54">
        <f t="shared" ref="J12:J30" si="0">H12*I12</f>
        <v>24.44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256</v>
      </c>
      <c r="D13" s="26" t="s">
        <v>185</v>
      </c>
      <c r="E13" s="26" t="s">
        <v>182</v>
      </c>
      <c r="F13" s="54">
        <v>3</v>
      </c>
      <c r="G13" s="54">
        <v>15</v>
      </c>
      <c r="H13" s="54">
        <v>45</v>
      </c>
      <c r="I13" s="54">
        <v>72</v>
      </c>
      <c r="J13" s="54">
        <f t="shared" si="0"/>
        <v>3240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257</v>
      </c>
      <c r="D14" s="26" t="s">
        <v>178</v>
      </c>
      <c r="E14" s="26" t="s">
        <v>181</v>
      </c>
      <c r="F14" s="54">
        <v>1</v>
      </c>
      <c r="G14" s="54">
        <v>1</v>
      </c>
      <c r="H14" s="54">
        <v>1</v>
      </c>
      <c r="I14" s="54">
        <v>49.33</v>
      </c>
      <c r="J14" s="54">
        <f t="shared" si="0"/>
        <v>49.33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211</v>
      </c>
      <c r="D15" s="26" t="s">
        <v>177</v>
      </c>
      <c r="E15" s="26" t="s">
        <v>214</v>
      </c>
      <c r="F15" s="54">
        <v>1</v>
      </c>
      <c r="G15" s="54">
        <v>2</v>
      </c>
      <c r="H15" s="54">
        <v>2</v>
      </c>
      <c r="I15" s="54">
        <v>20.43</v>
      </c>
      <c r="J15" s="54">
        <f t="shared" si="0"/>
        <v>40.86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209</v>
      </c>
      <c r="D16" s="26" t="s">
        <v>185</v>
      </c>
      <c r="E16" s="26" t="s">
        <v>212</v>
      </c>
      <c r="F16" s="54">
        <v>1</v>
      </c>
      <c r="G16" s="54">
        <v>3</v>
      </c>
      <c r="H16" s="54">
        <v>3</v>
      </c>
      <c r="I16" s="54">
        <v>4.92</v>
      </c>
      <c r="J16" s="54">
        <f t="shared" si="0"/>
        <v>14.76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 t="s">
        <v>210</v>
      </c>
      <c r="D17" s="26" t="s">
        <v>177</v>
      </c>
      <c r="E17" s="26" t="s">
        <v>213</v>
      </c>
      <c r="F17" s="54">
        <v>3</v>
      </c>
      <c r="G17" s="54">
        <v>5</v>
      </c>
      <c r="H17" s="54">
        <v>15</v>
      </c>
      <c r="I17" s="54">
        <v>93.33</v>
      </c>
      <c r="J17" s="54">
        <f t="shared" si="0"/>
        <v>1399.95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 t="s">
        <v>259</v>
      </c>
      <c r="D18" s="26" t="s">
        <v>179</v>
      </c>
      <c r="E18" s="26" t="s">
        <v>264</v>
      </c>
      <c r="F18" s="54">
        <v>3</v>
      </c>
      <c r="G18" s="54">
        <v>12</v>
      </c>
      <c r="H18" s="54">
        <v>36</v>
      </c>
      <c r="I18" s="54">
        <v>14.67</v>
      </c>
      <c r="J18" s="54">
        <f t="shared" si="0"/>
        <v>528.12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 t="s">
        <v>260</v>
      </c>
      <c r="D19" s="26" t="s">
        <v>179</v>
      </c>
      <c r="E19" s="26" t="s">
        <v>233</v>
      </c>
      <c r="F19" s="54">
        <v>3</v>
      </c>
      <c r="G19" s="54">
        <v>5</v>
      </c>
      <c r="H19" s="54">
        <v>15</v>
      </c>
      <c r="I19" s="54">
        <v>5.04</v>
      </c>
      <c r="J19" s="54">
        <f t="shared" si="0"/>
        <v>75.599999999999994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3">
      <c r="B20" s="41">
        <v>10</v>
      </c>
      <c r="C20" s="26" t="s">
        <v>261</v>
      </c>
      <c r="D20" s="26" t="s">
        <v>179</v>
      </c>
      <c r="E20" s="26" t="s">
        <v>212</v>
      </c>
      <c r="F20" s="54">
        <v>3</v>
      </c>
      <c r="G20" s="54">
        <v>2</v>
      </c>
      <c r="H20" s="54">
        <v>6</v>
      </c>
      <c r="I20" s="54">
        <v>13.2</v>
      </c>
      <c r="J20" s="54">
        <f t="shared" si="0"/>
        <v>79.199999999999989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ht="12.75" customHeight="1" x14ac:dyDescent="0.3">
      <c r="B21" s="41">
        <v>11</v>
      </c>
      <c r="C21" s="26" t="s">
        <v>176</v>
      </c>
      <c r="D21" s="26" t="s">
        <v>179</v>
      </c>
      <c r="E21" s="26" t="s">
        <v>183</v>
      </c>
      <c r="F21" s="54">
        <v>1</v>
      </c>
      <c r="G21" s="54">
        <v>100</v>
      </c>
      <c r="H21" s="54">
        <v>100</v>
      </c>
      <c r="I21" s="54">
        <v>1.27</v>
      </c>
      <c r="J21" s="54">
        <f t="shared" si="0"/>
        <v>127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ht="12.75" customHeight="1" x14ac:dyDescent="0.3">
      <c r="B22" s="41">
        <v>12</v>
      </c>
      <c r="C22" s="26" t="s">
        <v>208</v>
      </c>
      <c r="D22" s="26" t="s">
        <v>178</v>
      </c>
      <c r="E22" s="26" t="s">
        <v>181</v>
      </c>
      <c r="F22" s="54">
        <v>1</v>
      </c>
      <c r="G22" s="54">
        <v>1</v>
      </c>
      <c r="H22" s="54">
        <v>1</v>
      </c>
      <c r="I22" s="54">
        <v>50.67</v>
      </c>
      <c r="J22" s="54">
        <f t="shared" si="0"/>
        <v>50.67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ht="12.75" customHeight="1" x14ac:dyDescent="0.3">
      <c r="B23" s="41">
        <v>13</v>
      </c>
      <c r="C23" s="26" t="s">
        <v>262</v>
      </c>
      <c r="D23" s="26" t="s">
        <v>205</v>
      </c>
      <c r="E23" s="26" t="s">
        <v>265</v>
      </c>
      <c r="F23" s="54">
        <v>2</v>
      </c>
      <c r="G23" s="54">
        <v>4</v>
      </c>
      <c r="H23" s="54">
        <v>7</v>
      </c>
      <c r="I23" s="54">
        <v>28.57</v>
      </c>
      <c r="J23" s="54">
        <f t="shared" si="0"/>
        <v>199.99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ht="12.75" customHeight="1" x14ac:dyDescent="0.3">
      <c r="B24" s="41">
        <v>14</v>
      </c>
      <c r="C24" s="26" t="s">
        <v>174</v>
      </c>
      <c r="D24" s="26" t="s">
        <v>185</v>
      </c>
      <c r="E24" s="26" t="s">
        <v>180</v>
      </c>
      <c r="F24" s="54">
        <v>2</v>
      </c>
      <c r="G24" s="54">
        <v>3</v>
      </c>
      <c r="H24" s="54">
        <v>5</v>
      </c>
      <c r="I24" s="54">
        <v>8.52</v>
      </c>
      <c r="J24" s="54">
        <f t="shared" si="0"/>
        <v>42.599999999999994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1:20" ht="12.75" customHeight="1" x14ac:dyDescent="0.3">
      <c r="B25" s="41">
        <v>15</v>
      </c>
      <c r="C25" s="26" t="s">
        <v>207</v>
      </c>
      <c r="D25" s="26" t="s">
        <v>178</v>
      </c>
      <c r="E25" s="26" t="s">
        <v>266</v>
      </c>
      <c r="F25" s="54">
        <v>1</v>
      </c>
      <c r="G25" s="54">
        <v>1</v>
      </c>
      <c r="H25" s="54">
        <v>1</v>
      </c>
      <c r="I25" s="54">
        <v>81.63</v>
      </c>
      <c r="J25" s="54">
        <f t="shared" si="0"/>
        <v>81.63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1:20" ht="12.75" customHeight="1" x14ac:dyDescent="0.3">
      <c r="B26" s="41">
        <v>16</v>
      </c>
      <c r="C26" s="26" t="s">
        <v>238</v>
      </c>
      <c r="D26" s="26" t="s">
        <v>240</v>
      </c>
      <c r="E26" s="26" t="s">
        <v>239</v>
      </c>
      <c r="F26" s="54">
        <v>1</v>
      </c>
      <c r="G26" s="54">
        <v>1</v>
      </c>
      <c r="H26" s="54">
        <v>1</v>
      </c>
      <c r="I26" s="54">
        <v>30.4</v>
      </c>
      <c r="J26" s="54">
        <f t="shared" si="0"/>
        <v>30.4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1:20" ht="12.75" customHeight="1" x14ac:dyDescent="0.3">
      <c r="B27" s="41">
        <v>17</v>
      </c>
      <c r="C27" s="26" t="s">
        <v>230</v>
      </c>
      <c r="D27" s="26" t="s">
        <v>185</v>
      </c>
      <c r="E27" s="26" t="s">
        <v>232</v>
      </c>
      <c r="F27" s="54">
        <v>1</v>
      </c>
      <c r="G27" s="54">
        <v>1</v>
      </c>
      <c r="H27" s="54">
        <v>1</v>
      </c>
      <c r="I27" s="54">
        <v>20</v>
      </c>
      <c r="J27" s="54">
        <f t="shared" si="0"/>
        <v>20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1:20" ht="12.75" customHeight="1" x14ac:dyDescent="0.3">
      <c r="B28" s="41">
        <v>18</v>
      </c>
      <c r="C28" s="26" t="s">
        <v>263</v>
      </c>
      <c r="D28" s="26" t="s">
        <v>178</v>
      </c>
      <c r="E28" s="26" t="s">
        <v>181</v>
      </c>
      <c r="F28" s="54">
        <v>1</v>
      </c>
      <c r="G28" s="54">
        <v>1</v>
      </c>
      <c r="H28" s="54">
        <v>1</v>
      </c>
      <c r="I28" s="54">
        <v>53.33</v>
      </c>
      <c r="J28" s="54">
        <f t="shared" si="0"/>
        <v>53.33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1:20" ht="12.75" customHeight="1" x14ac:dyDescent="0.3">
      <c r="B29" s="41">
        <v>19</v>
      </c>
      <c r="C29" s="26" t="s">
        <v>186</v>
      </c>
      <c r="D29" s="26" t="s">
        <v>178</v>
      </c>
      <c r="E29" s="26" t="s">
        <v>181</v>
      </c>
      <c r="F29" s="54">
        <v>1</v>
      </c>
      <c r="G29" s="54">
        <v>1</v>
      </c>
      <c r="H29" s="54">
        <v>1</v>
      </c>
      <c r="I29" s="54">
        <v>49.33</v>
      </c>
      <c r="J29" s="54">
        <f t="shared" si="0"/>
        <v>49.33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</row>
    <row r="30" spans="1:20" ht="12.75" customHeight="1" x14ac:dyDescent="0.3">
      <c r="B30" s="41">
        <v>20</v>
      </c>
      <c r="C30" s="26" t="s">
        <v>231</v>
      </c>
      <c r="D30" s="26" t="s">
        <v>185</v>
      </c>
      <c r="E30" s="26" t="s">
        <v>235</v>
      </c>
      <c r="F30" s="54">
        <v>1</v>
      </c>
      <c r="G30" s="54">
        <v>2</v>
      </c>
      <c r="H30" s="54">
        <v>2</v>
      </c>
      <c r="I30" s="54">
        <v>17.03</v>
      </c>
      <c r="J30" s="54">
        <f t="shared" si="0"/>
        <v>34.06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</row>
    <row r="31" spans="1:20" ht="12.75" customHeight="1" x14ac:dyDescent="0.25">
      <c r="A31" s="32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1"/>
  <sheetViews>
    <sheetView workbookViewId="0">
      <selection activeCell="B29" sqref="B29:G29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13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27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5" t="s">
        <v>23</v>
      </c>
      <c r="C7" s="136"/>
      <c r="D7" s="136"/>
      <c r="E7" s="136"/>
      <c r="F7" s="136"/>
      <c r="G7" s="137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1" t="s">
        <v>24</v>
      </c>
      <c r="C8" s="142"/>
      <c r="D8" s="142"/>
      <c r="E8" s="142"/>
      <c r="F8" s="142"/>
      <c r="G8" s="143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1" t="s">
        <v>68</v>
      </c>
      <c r="C9" s="142"/>
      <c r="D9" s="142"/>
      <c r="E9" s="142"/>
      <c r="F9" s="142"/>
      <c r="G9" s="143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1" t="s">
        <v>25</v>
      </c>
      <c r="C10" s="142"/>
      <c r="D10" s="142"/>
      <c r="E10" s="142"/>
      <c r="F10" s="142"/>
      <c r="G10" s="143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1" t="s">
        <v>26</v>
      </c>
      <c r="C11" s="142"/>
      <c r="D11" s="142"/>
      <c r="E11" s="142"/>
      <c r="F11" s="142"/>
      <c r="G11" s="143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4" t="s">
        <v>27</v>
      </c>
      <c r="C12" s="145"/>
      <c r="D12" s="145"/>
      <c r="E12" s="145"/>
      <c r="F12" s="145"/>
      <c r="G12" s="146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8" t="s">
        <v>71</v>
      </c>
      <c r="C15" s="139"/>
      <c r="D15" s="139"/>
      <c r="E15" s="139"/>
      <c r="F15" s="139"/>
      <c r="G15" s="140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152" t="s">
        <v>258</v>
      </c>
      <c r="D16" s="69" t="s">
        <v>173</v>
      </c>
      <c r="E16" s="115">
        <v>1</v>
      </c>
      <c r="F16" s="115">
        <v>19</v>
      </c>
      <c r="G16" s="115">
        <f t="shared" ref="G16:G28" si="0">+E16*F16</f>
        <v>19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228</v>
      </c>
      <c r="D17" s="69" t="s">
        <v>173</v>
      </c>
      <c r="E17" s="115">
        <v>1</v>
      </c>
      <c r="F17" s="115">
        <v>14</v>
      </c>
      <c r="G17" s="115">
        <f t="shared" si="0"/>
        <v>14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237</v>
      </c>
      <c r="D18" s="69" t="s">
        <v>163</v>
      </c>
      <c r="E18" s="115">
        <v>1</v>
      </c>
      <c r="F18" s="115">
        <v>13.13</v>
      </c>
      <c r="G18" s="115">
        <f t="shared" si="0"/>
        <v>13.13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267</v>
      </c>
      <c r="D19" s="69" t="s">
        <v>163</v>
      </c>
      <c r="E19" s="115">
        <v>1</v>
      </c>
      <c r="F19" s="115">
        <v>15.44</v>
      </c>
      <c r="G19" s="115">
        <f t="shared" si="0"/>
        <v>15.44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227</v>
      </c>
      <c r="D20" s="69" t="s">
        <v>229</v>
      </c>
      <c r="E20" s="115">
        <v>1</v>
      </c>
      <c r="F20" s="115">
        <v>100</v>
      </c>
      <c r="G20" s="115">
        <f t="shared" si="0"/>
        <v>100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268</v>
      </c>
      <c r="D21" s="69" t="s">
        <v>163</v>
      </c>
      <c r="E21" s="115">
        <v>1</v>
      </c>
      <c r="F21" s="115">
        <v>20.97</v>
      </c>
      <c r="G21" s="115">
        <f t="shared" si="0"/>
        <v>20.97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269</v>
      </c>
      <c r="D22" s="69" t="s">
        <v>163</v>
      </c>
      <c r="E22" s="115">
        <v>1</v>
      </c>
      <c r="F22" s="115">
        <v>13.13</v>
      </c>
      <c r="G22" s="115">
        <f t="shared" si="0"/>
        <v>13.13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204</v>
      </c>
      <c r="D23" s="69" t="s">
        <v>163</v>
      </c>
      <c r="E23" s="115">
        <v>3</v>
      </c>
      <c r="F23" s="115">
        <v>100</v>
      </c>
      <c r="G23" s="115">
        <f t="shared" si="0"/>
        <v>300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206</v>
      </c>
      <c r="D24" s="69" t="s">
        <v>163</v>
      </c>
      <c r="E24" s="115">
        <v>1</v>
      </c>
      <c r="F24" s="115">
        <v>37.130000000000003</v>
      </c>
      <c r="G24" s="115">
        <f t="shared" si="0"/>
        <v>37.130000000000003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171</v>
      </c>
      <c r="D25" s="69" t="s">
        <v>163</v>
      </c>
      <c r="E25" s="115">
        <v>2</v>
      </c>
      <c r="F25" s="115">
        <v>2.77</v>
      </c>
      <c r="G25" s="115">
        <f t="shared" si="0"/>
        <v>5.54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170</v>
      </c>
      <c r="D26" s="69" t="s">
        <v>163</v>
      </c>
      <c r="E26" s="54">
        <v>3</v>
      </c>
      <c r="F26" s="54">
        <v>5</v>
      </c>
      <c r="G26" s="115">
        <f t="shared" si="0"/>
        <v>15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270</v>
      </c>
      <c r="D27" s="69" t="s">
        <v>173</v>
      </c>
      <c r="E27" s="54">
        <v>1</v>
      </c>
      <c r="F27" s="54">
        <v>120</v>
      </c>
      <c r="G27" s="115">
        <f t="shared" si="0"/>
        <v>120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271</v>
      </c>
      <c r="D28" s="69" t="s">
        <v>173</v>
      </c>
      <c r="E28" s="54">
        <v>1</v>
      </c>
      <c r="F28" s="54">
        <v>20.440000000000001</v>
      </c>
      <c r="G28" s="115">
        <f t="shared" si="0"/>
        <v>20.440000000000001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138" t="s">
        <v>75</v>
      </c>
      <c r="C29" s="139"/>
      <c r="D29" s="139"/>
      <c r="E29" s="139"/>
      <c r="F29" s="139"/>
      <c r="G29" s="140"/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</v>
      </c>
      <c r="C30" s="26" t="s">
        <v>226</v>
      </c>
      <c r="D30" s="116" t="s">
        <v>163</v>
      </c>
      <c r="E30" s="115">
        <v>2</v>
      </c>
      <c r="F30" s="115">
        <v>95</v>
      </c>
      <c r="G30" s="115">
        <f>+E30*F30</f>
        <v>190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2</v>
      </c>
      <c r="C31" s="26" t="s">
        <v>194</v>
      </c>
      <c r="D31" s="116" t="s">
        <v>205</v>
      </c>
      <c r="E31" s="115">
        <v>0.5</v>
      </c>
      <c r="F31" s="115">
        <v>67.319999999999993</v>
      </c>
      <c r="G31" s="115">
        <f t="shared" ref="G31:G55" si="1">+E31*F31</f>
        <v>33.659999999999997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3</v>
      </c>
      <c r="C32" s="26" t="s">
        <v>195</v>
      </c>
      <c r="D32" s="116" t="s">
        <v>205</v>
      </c>
      <c r="E32" s="115">
        <v>1</v>
      </c>
      <c r="F32" s="115">
        <v>84</v>
      </c>
      <c r="G32" s="115">
        <f t="shared" si="1"/>
        <v>84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4</v>
      </c>
      <c r="C33" s="26" t="s">
        <v>252</v>
      </c>
      <c r="D33" s="116" t="s">
        <v>205</v>
      </c>
      <c r="E33" s="115">
        <v>1</v>
      </c>
      <c r="F33" s="115">
        <v>22.67</v>
      </c>
      <c r="G33" s="115">
        <f t="shared" si="1"/>
        <v>22.67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5</v>
      </c>
      <c r="C34" s="26" t="s">
        <v>196</v>
      </c>
      <c r="D34" s="116" t="s">
        <v>163</v>
      </c>
      <c r="E34" s="115">
        <v>1</v>
      </c>
      <c r="F34" s="115">
        <v>258</v>
      </c>
      <c r="G34" s="115">
        <f t="shared" si="1"/>
        <v>258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6</v>
      </c>
      <c r="C35" s="26" t="s">
        <v>197</v>
      </c>
      <c r="D35" s="116" t="s">
        <v>163</v>
      </c>
      <c r="E35" s="115">
        <v>1</v>
      </c>
      <c r="F35" s="115">
        <v>3</v>
      </c>
      <c r="G35" s="115">
        <f t="shared" si="1"/>
        <v>3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7</v>
      </c>
      <c r="C36" s="26" t="s">
        <v>198</v>
      </c>
      <c r="D36" s="116" t="s">
        <v>163</v>
      </c>
      <c r="E36" s="115">
        <v>2</v>
      </c>
      <c r="F36" s="115">
        <v>70.67</v>
      </c>
      <c r="G36" s="115">
        <f t="shared" si="1"/>
        <v>141.34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8</v>
      </c>
      <c r="C37" s="26" t="s">
        <v>253</v>
      </c>
      <c r="D37" s="116" t="s">
        <v>163</v>
      </c>
      <c r="E37" s="115">
        <v>0.5</v>
      </c>
      <c r="F37" s="115">
        <v>168.44</v>
      </c>
      <c r="G37" s="115">
        <f t="shared" si="1"/>
        <v>84.22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9</v>
      </c>
      <c r="C38" s="26" t="s">
        <v>199</v>
      </c>
      <c r="D38" s="116" t="s">
        <v>163</v>
      </c>
      <c r="E38" s="115">
        <v>1</v>
      </c>
      <c r="F38" s="115">
        <v>5.33</v>
      </c>
      <c r="G38" s="115">
        <f t="shared" si="1"/>
        <v>5.33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10</v>
      </c>
      <c r="C39" s="26" t="s">
        <v>200</v>
      </c>
      <c r="D39" s="116" t="s">
        <v>163</v>
      </c>
      <c r="E39" s="115">
        <v>3</v>
      </c>
      <c r="F39" s="115">
        <v>30</v>
      </c>
      <c r="G39" s="115">
        <f t="shared" si="1"/>
        <v>90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11</v>
      </c>
      <c r="C40" s="26" t="s">
        <v>201</v>
      </c>
      <c r="D40" s="116" t="s">
        <v>163</v>
      </c>
      <c r="E40" s="115">
        <v>1</v>
      </c>
      <c r="F40" s="115">
        <v>10</v>
      </c>
      <c r="G40" s="115">
        <f t="shared" si="1"/>
        <v>10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12</v>
      </c>
      <c r="C41" s="26" t="s">
        <v>202</v>
      </c>
      <c r="D41" s="116" t="s">
        <v>163</v>
      </c>
      <c r="E41" s="115">
        <v>40</v>
      </c>
      <c r="F41" s="115">
        <v>1.51</v>
      </c>
      <c r="G41" s="115">
        <f t="shared" si="1"/>
        <v>60.4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13</v>
      </c>
      <c r="C42" s="26" t="s">
        <v>203</v>
      </c>
      <c r="D42" s="116" t="s">
        <v>163</v>
      </c>
      <c r="E42" s="115">
        <v>1</v>
      </c>
      <c r="F42" s="115">
        <v>23.87</v>
      </c>
      <c r="G42" s="115">
        <f t="shared" si="1"/>
        <v>23.87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14</v>
      </c>
      <c r="C43" s="26" t="s">
        <v>254</v>
      </c>
      <c r="D43" s="116" t="s">
        <v>163</v>
      </c>
      <c r="E43" s="115">
        <v>1</v>
      </c>
      <c r="F43" s="115">
        <v>23.91</v>
      </c>
      <c r="G43" s="115">
        <f t="shared" si="1"/>
        <v>23.91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15</v>
      </c>
      <c r="C44" s="26" t="s">
        <v>168</v>
      </c>
      <c r="D44" s="116" t="s">
        <v>163</v>
      </c>
      <c r="E44" s="115">
        <v>3</v>
      </c>
      <c r="F44" s="115">
        <v>1.6</v>
      </c>
      <c r="G44" s="115">
        <f t="shared" si="1"/>
        <v>4.8000000000000007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16</v>
      </c>
      <c r="C45" s="26" t="s">
        <v>169</v>
      </c>
      <c r="D45" s="116" t="s">
        <v>163</v>
      </c>
      <c r="E45" s="115">
        <v>3</v>
      </c>
      <c r="F45" s="115">
        <v>1.6</v>
      </c>
      <c r="G45" s="115">
        <f t="shared" si="1"/>
        <v>4.8000000000000007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17</v>
      </c>
      <c r="C46" s="26" t="s">
        <v>170</v>
      </c>
      <c r="D46" s="116" t="s">
        <v>163</v>
      </c>
      <c r="E46" s="115">
        <v>3</v>
      </c>
      <c r="F46" s="115">
        <v>5</v>
      </c>
      <c r="G46" s="115">
        <f t="shared" si="1"/>
        <v>15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18</v>
      </c>
      <c r="C47" s="26" t="s">
        <v>171</v>
      </c>
      <c r="D47" s="116" t="s">
        <v>163</v>
      </c>
      <c r="E47" s="115">
        <v>3</v>
      </c>
      <c r="F47" s="115">
        <v>2.77</v>
      </c>
      <c r="G47" s="115">
        <f t="shared" si="1"/>
        <v>8.31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19</v>
      </c>
      <c r="C48" s="26" t="s">
        <v>184</v>
      </c>
      <c r="D48" s="116" t="s">
        <v>163</v>
      </c>
      <c r="E48" s="115">
        <v>5</v>
      </c>
      <c r="F48" s="115">
        <v>1.27</v>
      </c>
      <c r="G48" s="115">
        <f t="shared" si="1"/>
        <v>6.35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20</v>
      </c>
      <c r="C49" s="26" t="s">
        <v>187</v>
      </c>
      <c r="D49" s="116" t="s">
        <v>163</v>
      </c>
      <c r="E49" s="115">
        <v>5</v>
      </c>
      <c r="F49" s="115">
        <v>1.0900000000000001</v>
      </c>
      <c r="G49" s="115">
        <f t="shared" si="1"/>
        <v>5.45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21</v>
      </c>
      <c r="C50" s="26" t="s">
        <v>204</v>
      </c>
      <c r="D50" s="116" t="s">
        <v>163</v>
      </c>
      <c r="E50" s="115">
        <v>1</v>
      </c>
      <c r="F50" s="115">
        <v>100</v>
      </c>
      <c r="G50" s="115">
        <f t="shared" si="1"/>
        <v>100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22</v>
      </c>
      <c r="C51" s="26" t="s">
        <v>191</v>
      </c>
      <c r="D51" s="116" t="s">
        <v>163</v>
      </c>
      <c r="E51" s="115">
        <v>2</v>
      </c>
      <c r="F51" s="115">
        <v>66.67</v>
      </c>
      <c r="G51" s="115">
        <f t="shared" si="1"/>
        <v>133.34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23</v>
      </c>
      <c r="C52" s="26" t="s">
        <v>190</v>
      </c>
      <c r="D52" s="116" t="s">
        <v>163</v>
      </c>
      <c r="E52" s="115">
        <v>2</v>
      </c>
      <c r="F52" s="115">
        <v>118.67</v>
      </c>
      <c r="G52" s="115">
        <f t="shared" si="1"/>
        <v>237.34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24</v>
      </c>
      <c r="C53" s="26" t="s">
        <v>172</v>
      </c>
      <c r="D53" s="116" t="s">
        <v>163</v>
      </c>
      <c r="E53" s="115">
        <v>1</v>
      </c>
      <c r="F53" s="115">
        <v>118.67</v>
      </c>
      <c r="G53" s="115">
        <f t="shared" si="1"/>
        <v>118.67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25</v>
      </c>
      <c r="C54" s="26" t="s">
        <v>236</v>
      </c>
      <c r="D54" s="116" t="s">
        <v>163</v>
      </c>
      <c r="E54" s="115">
        <v>1</v>
      </c>
      <c r="F54" s="115">
        <v>116.16</v>
      </c>
      <c r="G54" s="115">
        <f t="shared" si="1"/>
        <v>116.16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26</v>
      </c>
      <c r="C55" s="26" t="s">
        <v>192</v>
      </c>
      <c r="D55" s="116" t="s">
        <v>163</v>
      </c>
      <c r="E55" s="115">
        <v>2</v>
      </c>
      <c r="F55" s="115">
        <v>330.94</v>
      </c>
      <c r="G55" s="115">
        <f t="shared" si="1"/>
        <v>661.88</v>
      </c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27</v>
      </c>
      <c r="C56" s="26" t="s">
        <v>193</v>
      </c>
      <c r="D56" s="116" t="s">
        <v>163</v>
      </c>
      <c r="E56" s="115">
        <v>1</v>
      </c>
      <c r="F56" s="115">
        <v>310.5</v>
      </c>
      <c r="G56" s="115"/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138" t="s">
        <v>29</v>
      </c>
      <c r="C57" s="139"/>
      <c r="D57" s="139"/>
      <c r="E57" s="139"/>
      <c r="F57" s="139"/>
      <c r="G57" s="140"/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1</v>
      </c>
      <c r="C58" s="68"/>
      <c r="D58" s="69"/>
      <c r="E58" s="54"/>
      <c r="F58" s="54"/>
      <c r="G58" s="54"/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2</v>
      </c>
      <c r="C59" s="68"/>
      <c r="D59" s="69"/>
      <c r="E59" s="54"/>
      <c r="F59" s="54"/>
      <c r="G59" s="54"/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3</v>
      </c>
      <c r="C60" s="68"/>
      <c r="D60" s="69"/>
      <c r="E60" s="54"/>
      <c r="F60" s="54"/>
      <c r="G60" s="54"/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4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5</v>
      </c>
      <c r="C62" s="68"/>
      <c r="D62" s="69"/>
      <c r="E62" s="54"/>
      <c r="F62" s="54"/>
      <c r="G62" s="54"/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6</v>
      </c>
      <c r="C63" s="68"/>
      <c r="D63" s="69"/>
      <c r="E63" s="54"/>
      <c r="F63" s="54"/>
      <c r="G63" s="54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7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8</v>
      </c>
      <c r="C65" s="68"/>
      <c r="D65" s="69"/>
      <c r="E65" s="54"/>
      <c r="F65" s="54"/>
      <c r="G65" s="54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B66" s="67">
        <v>9</v>
      </c>
      <c r="C66" s="68"/>
      <c r="D66" s="69"/>
      <c r="E66" s="54"/>
      <c r="F66" s="54"/>
      <c r="G66" s="54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B67" s="67">
        <v>10</v>
      </c>
      <c r="C67" s="68"/>
      <c r="D67" s="69"/>
      <c r="E67" s="54"/>
      <c r="F67" s="54"/>
      <c r="G67" s="54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4.25" customHeight="1" x14ac:dyDescent="0.3">
      <c r="A68" s="43"/>
      <c r="B68" s="38"/>
      <c r="C68" s="43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</row>
    <row r="69" spans="1:16" ht="14.25" customHeight="1" x14ac:dyDescent="0.3">
      <c r="A69" s="43"/>
      <c r="B69" s="38"/>
      <c r="C69" s="43"/>
      <c r="D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</row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password="C2E9" sheet="1" objects="1" scenarios="1" formatColumns="0" formatRows="0" sort="0" autoFilter="0"/>
  <mergeCells count="9">
    <mergeCell ref="B7:G7"/>
    <mergeCell ref="B29:G29"/>
    <mergeCell ref="B57:G5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29</xdr:row>
                    <xdr:rowOff>28575</xdr:rowOff>
                  </from>
                  <to>
                    <xdr:col>1</xdr:col>
                    <xdr:colOff>762000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29</xdr:row>
                    <xdr:rowOff>28575</xdr:rowOff>
                  </from>
                  <to>
                    <xdr:col>1</xdr:col>
                    <xdr:colOff>1533525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57</xdr:row>
                    <xdr:rowOff>28575</xdr:rowOff>
                  </from>
                  <to>
                    <xdr:col>1</xdr:col>
                    <xdr:colOff>771525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57</xdr:row>
                    <xdr:rowOff>28575</xdr:rowOff>
                  </from>
                  <to>
                    <xdr:col>1</xdr:col>
                    <xdr:colOff>1543050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1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data_general'!$C$30</f>
        <v>Level II and III</v>
      </c>
      <c r="G1" s="111" t="str">
        <f>'1.1 Case data_general'!$C$31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2018-05-31T06:13:11Z</dcterms:modified>
</cp:coreProperties>
</file>