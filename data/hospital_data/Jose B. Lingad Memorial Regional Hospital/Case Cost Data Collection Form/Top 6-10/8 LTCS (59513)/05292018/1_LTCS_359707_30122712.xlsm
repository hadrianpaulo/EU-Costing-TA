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Supplies_Medical'!$C$15:$C$64</definedName>
    <definedName name="Drugs">'1.2 Drugs&amp;Med'!$C$11:$C$16</definedName>
    <definedName name="_xlnm.Print_Area" localSheetId="0">'1.1 Case data_general'!$B$1:$F$76</definedName>
    <definedName name="_xlnm.Print_Area" localSheetId="1">'1.2 Drugs&amp;Med'!$B$2:$J$29</definedName>
  </definedNames>
  <calcPr calcId="144525"/>
</workbook>
</file>

<file path=xl/calcChain.xml><?xml version="1.0" encoding="utf-8"?>
<calcChain xmlns="http://schemas.openxmlformats.org/spreadsheetml/2006/main">
  <c r="G26" i="9" l="1"/>
  <c r="G53" i="9"/>
  <c r="G52" i="9"/>
  <c r="G51" i="9"/>
  <c r="G50" i="9"/>
  <c r="G49" i="9"/>
  <c r="G48" i="9"/>
  <c r="J28" i="2" l="1"/>
  <c r="J27" i="2"/>
  <c r="J26" i="2"/>
  <c r="J25" i="2"/>
  <c r="J24" i="2"/>
  <c r="J23" i="2"/>
  <c r="J22" i="2"/>
  <c r="J21" i="2"/>
  <c r="J20" i="2"/>
  <c r="G25" i="9"/>
  <c r="G24" i="9"/>
  <c r="G23" i="9"/>
  <c r="G22" i="9"/>
  <c r="G21" i="9"/>
  <c r="G20" i="9"/>
  <c r="G19" i="9"/>
  <c r="G18" i="9"/>
  <c r="G17" i="9"/>
  <c r="G16" i="9"/>
  <c r="G47" i="9"/>
  <c r="G46" i="9"/>
  <c r="G45" i="9"/>
  <c r="G44" i="9"/>
  <c r="G43" i="9"/>
  <c r="G42" i="9"/>
  <c r="G41" i="9"/>
  <c r="G40" i="9"/>
  <c r="G39" i="9"/>
  <c r="J19" i="2" l="1"/>
  <c r="J18" i="2"/>
  <c r="J17" i="2"/>
  <c r="G38" i="9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<sst xmlns="http://schemas.openxmlformats.org/spreadsheetml/2006/main" count="594" uniqueCount="254">
  <si>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</si>
  <si>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</si>
  <si>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</si>
  <si>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</si>
  <si>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</si>
  <si>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</si>
  <si>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</si>
  <si>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</si>
  <si>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</si>
  <si>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</si>
  <si>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</si>
  <si>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</si>
  <si>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</si>
  <si>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</si>
  <si>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</si>
  <si>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</si>
  <si>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</si>
  <si>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</si>
  <si>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</si>
  <si>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</si>
  <si>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</si>
  <si>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</si>
  <si>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</si>
  <si>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</si>
  <si>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</si>
  <si>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</si>
  <si>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</si>
  <si>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</si>
  <si>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</si>
  <si>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</si>
  <si>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</si>
  <si>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</si>
  <si>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</si>
  <si>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</si>
  <si>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</si>
  <si>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</si>
  <si>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</si>
  <si>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</si>
  <si>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</si>
  <si>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</si>
  <si>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</si>
  <si>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</si>
  <si>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</si>
  <si>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</si>
  <si>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</si>
  <si>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</si>
  <si>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</si>
  <si>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</si>
  <si>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</si>
  <si>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</si>
  <si>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</si>
  <si>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</si>
  <si>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</si>
  <si>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</si>
  <si>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</si>
  <si>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</si>
  <si>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</si>
  <si>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</si>
  <si>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</si>
  <si>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</si>
  <si>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</si>
  <si>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</si>
  <si>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</si>
  <si>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</si>
  <si>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</si>
  <si>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</si>
  <si>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</si>
  <si>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</si>
  <si>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</si>
  <si>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</si>
  <si>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</si>
  <si>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</si>
  <si>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</si>
  <si>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</si>
  <si>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</si>
  <si>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</si>
  <si>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</si>
  <si>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</si>
  <si>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</si>
  <si>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</si>
  <si>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</si>
  <si>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</si>
  <si>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</si>
  <si>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</si>
  <si>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</si>
  <si>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</si>
  <si>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</si>
  <si>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</si>
  <si>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</si>
  <si>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</si>
  <si>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</si>
  <si>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</si>
  <si>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</si>
  <si>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</si>
  <si>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</si>
  <si>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</si>
  <si>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</si>
  <si>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</si>
  <si>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</si>
  <si>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</si>
  <si>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</si>
  <si>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</si>
  <si>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</si>
  <si>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</si>
  <si>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</si>
  <si>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</si>
  <si>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</si>
  <si>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</si>
  <si>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</si>
  <si>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</si>
  <si>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</si>
  <si>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</si>
  <si>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</si>
  <si>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</si>
  <si>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</si>
  <si>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</si>
  <si>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</si>
  <si>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</si>
  <si>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</si>
  <si>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</si>
  <si>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</si>
  <si>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</si>
  <si>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</si>
  <si>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</si>
  <si>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</si>
  <si>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</si>
  <si>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</si>
  <si>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</si>
  <si>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</si>
  <si>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</si>
  <si>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</si>
  <si>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</si>
  <si>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</si>
  <si>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</si>
  <si>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</si>
  <si>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</si>
  <si>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</si>
  <si>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</si>
  <si>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</si>
  <si>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</si>
  <si>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</si>
  <si>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</si>
  <si>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</si>
  <si>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</si>
  <si>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</si>
  <si>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</si>
  <si>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</si>
  <si>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</si>
  <si>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</si>
  <si>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</si>
  <si>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</si>
  <si>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</si>
  <si>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</si>
  <si>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</si>
  <si>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</si>
  <si>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</si>
  <si>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</si>
  <si>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</si>
  <si>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</si>
  <si>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</si>
  <si>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</si>
  <si>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</si>
  <si>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</si>
  <si>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</si>
  <si>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Z37.0</t>
  </si>
  <si>
    <t>CBC, TYPING, HBSAG</t>
  </si>
  <si>
    <t>RAPID PLASMA REAGIN (RPR)</t>
  </si>
  <si>
    <t>BLOOD EXTRACTION FEE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</si>
  <si>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</si>
  <si>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</si>
  <si>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</si>
  <si>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</si>
  <si>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</si>
  <si>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</si>
  <si>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</si>
  <si>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</si>
  <si>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OXYTOCIN MALEATE 10MCG INJECTION 10 UNITS/ML-1ML</t>
  </si>
  <si>
    <t>(D5LRS 1L) 5% DEXTROSE IN LACTATED RINGERS SOLUTION 1000ML (D5 LRS) X 12S</t>
  </si>
  <si>
    <t>MEFENAMIC ACID 500MG IN BLISTER FOIL PACK</t>
  </si>
  <si>
    <t>FERROUS SULFATE + FOLIC ACID 200MG./400MCG (DONATION)</t>
  </si>
  <si>
    <t>VIAL</t>
  </si>
  <si>
    <t>FLUID</t>
  </si>
  <si>
    <t>CAPSULE</t>
  </si>
  <si>
    <t>10MCG</t>
  </si>
  <si>
    <t>1L</t>
  </si>
  <si>
    <t>500MG</t>
  </si>
  <si>
    <t>200MG</t>
  </si>
  <si>
    <t>DISPOSABLE HEAD CAP X 100S GARTERIZED</t>
  </si>
  <si>
    <t>CEFALEXIN MONOHYDRATE 500MG IN BLISTER FOIL PACK</t>
  </si>
  <si>
    <t>AMPULE</t>
  </si>
  <si>
    <t>DISPOSABLE FACE MASK, EAR LOOP 3 FOLDS X 50S</t>
  </si>
  <si>
    <t>MEDICAL GLOVES W/ CUFF, STERILE LATEX, NATURAL RUBBER: BOX OF 50'S  WARD USE SIZE 6 1/2</t>
  </si>
  <si>
    <t>PAIR</t>
  </si>
  <si>
    <t>O82.1</t>
  </si>
  <si>
    <t>Z30.2</t>
  </si>
  <si>
    <t>MAJOR</t>
  </si>
  <si>
    <t>CROSSMATCHING FULLY AUTOMATED (1 UNIT)</t>
  </si>
  <si>
    <t>CATGUT 1 ABSORBABLE SURGICAL SUTURE AT LEAST 75CM, WITH AT LEAST 37-40MM X 1/2 CIRCLE ROUND TAPER NEEDLE</t>
  </si>
  <si>
    <t>SPINAL NEEDLE, G23 X 3 1/2" DISPOSABLE STERILE, SINGLE PACK (CPR NEEDED)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</si>
  <si>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</si>
  <si>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</si>
  <si>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ISOPROPHYL ALCOHOL 70%, 500ML</t>
  </si>
  <si>
    <t>POVIDONE IODINE 10 % SOLUTION (ANTISEPTIC) 120ML</t>
  </si>
  <si>
    <t>SUCTION TUBING YANKAUER TIP F25 X 150CM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</si>
  <si>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</si>
  <si>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</si>
  <si>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</si>
  <si>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BOTTLE</t>
  </si>
  <si>
    <t>FOLEY CATHETER FR 14, 2 WAY, BOX OF 20</t>
  </si>
  <si>
    <t>URINE BAG, ADULT W/ DRAINAGE TUBE 2,000 ML</t>
  </si>
  <si>
    <t>BUPIVACAINE HCL- SPINAL  0.5% - 4ML + 8% DEXTROSE</t>
  </si>
  <si>
    <t>PLAIN NSS 1L  (X 12S)</t>
  </si>
  <si>
    <t>RANITIDINE HCI 25MG/ML-2ML</t>
  </si>
  <si>
    <t>CEFOXITIN SODIUM 1G</t>
  </si>
  <si>
    <t>KETOROLAC TROMETHAMOL 30MG/ML-1ML</t>
  </si>
  <si>
    <t>TRAMADOL HCL 50MG/ML-2ML</t>
  </si>
  <si>
    <t>0.5%-4ML</t>
  </si>
  <si>
    <t>25MG</t>
  </si>
  <si>
    <t>1G</t>
  </si>
  <si>
    <t>30MG</t>
  </si>
  <si>
    <t>50MG</t>
  </si>
  <si>
    <t>O99.0</t>
  </si>
  <si>
    <t>CBC, PC</t>
  </si>
  <si>
    <t>CASE RATE</t>
  </si>
  <si>
    <t>PF CASE RATE</t>
  </si>
  <si>
    <t>SURGICAL LAPAROTOMY SPONGE 8"X36", 24X28 MESH, 12 PLY SEWED EDGES STERILE W/ DETECTABLE X-RAY THREAD (LAP SPONGE 8"X36"X12 PLY, LOOP W/ X-RAY THREAD, STERILE, 1 PIECE/PCK) (CPR NEEDED)</t>
  </si>
  <si>
    <t>BLOOD ADMINISTRATION SET W/ FILTER, STRAIGHT-TYPE BLOOD TRANSFUSION WITH A 170 MICRON NYLON MESH FILTER AND NEEDLE/CATHETER ADAPTER; APPROXIMATE LENGTH 58". INCLUDES ONE 18G X 1.5" NEEDLE</t>
  </si>
  <si>
    <t>Z-FOLD PAPER FOR FETAL CHART 30-240BPM X 40S (152MM X 90MM X 150 SHEETS)</t>
  </si>
  <si>
    <t>IV SET W/ AIRWAY FOR IV PUSH, VACOSET/MACRODRIP, ADULT</t>
  </si>
  <si>
    <t>STERILE WATER FOR INJECTION, 10ML (SWFI)</t>
  </si>
  <si>
    <t>ROLL</t>
  </si>
  <si>
    <t>METHYLERGOMETRINE MALEATE 200MCG AMP</t>
  </si>
  <si>
    <t>(SAFETY FILTER)   BLOOD ADMINISTRATION SET W/ FILTER</t>
  </si>
  <si>
    <t>TRANEXAMIC ACID 100MG/ML-5ML</t>
  </si>
  <si>
    <t>PARACETAMOL (ACETAMINOPHEN) 300MG-2ML</t>
  </si>
  <si>
    <t>200MCG</t>
  </si>
  <si>
    <t>5MG</t>
  </si>
  <si>
    <t>100MG</t>
  </si>
  <si>
    <t>300MG</t>
  </si>
  <si>
    <t>TABLET</t>
  </si>
  <si>
    <t>359707/73904</t>
  </si>
  <si>
    <t>O64.9</t>
  </si>
  <si>
    <t>D64.9</t>
  </si>
  <si>
    <t>SCREENING/PROCESSING WHOLE BLOOD</t>
  </si>
  <si>
    <t>PAID BY PATIENT</t>
  </si>
  <si>
    <t>CATGUT PLAIN ABSORBABLE 2/0 W/ 75CM WITH 37MM ROUND NEEDLE ,PLAIN 2-0 HR37S(CATGUT PLAIN W/ ROUND NEEDLE TAPER NEEDLE 24''''''''''''''''''''''''''''''''S/BOX</t>
  </si>
  <si>
    <t>SURGICAL OXIDIZED REGENERATED CELLULOSE 3" X 4" X 12''''S</t>
  </si>
  <si>
    <t>IV CATHETER GAUGE 18</t>
  </si>
  <si>
    <t>EPHEDRINE SULFATE 50MG/ML-1ML (IM, IV)</t>
  </si>
  <si>
    <t>LIDOCAINE HCI 2%-5ML PRESERVATIVE-FREE REGARDLESS OF CONTAINER</t>
  </si>
  <si>
    <t>METOCLOPRAMIDE 5MG/ML-2ML AMP</t>
  </si>
  <si>
    <t>BISACODYL 5MG IN BLISTER FOIL PACK</t>
  </si>
  <si>
    <t>2%-5ML</t>
  </si>
  <si>
    <t>POLYAMP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</si>
</sst>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9" fontId="10" fillId="5" borderId="21" xfId="0" quotePrefix="1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733425</xdr:colOff>
          <xdr:row>25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1504950</xdr:colOff>
          <xdr:row>25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</xdr:row>
          <xdr:rowOff>28575</xdr:rowOff>
        </xdr:from>
        <xdr:to>
          <xdr:col>1</xdr:col>
          <xdr:colOff>771525</xdr:colOff>
          <xdr:row>54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54</xdr:row>
          <xdr:rowOff>28575</xdr:rowOff>
        </xdr:from>
        <xdr:to>
          <xdr:col>1</xdr:col>
          <xdr:colOff>1543050</xdr:colOff>
          <xdr:row>54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6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240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241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29">
        <v>2</v>
      </c>
      <c r="C20" s="30" t="s">
        <v>221</v>
      </c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9">
        <v>3</v>
      </c>
      <c r="C21" s="30" t="s">
        <v>242</v>
      </c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9">
        <v>4</v>
      </c>
      <c r="C22" s="30" t="s">
        <v>193</v>
      </c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9">
        <v>5</v>
      </c>
      <c r="C23" s="30" t="s">
        <v>164</v>
      </c>
      <c r="D23" s="20"/>
      <c r="E23" s="20"/>
      <c r="F23" s="2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9">
        <v>6</v>
      </c>
      <c r="C24" s="30" t="s">
        <v>194</v>
      </c>
      <c r="D24" s="20"/>
      <c r="E24" s="20"/>
      <c r="F24" s="2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thickBot="1" x14ac:dyDescent="0.35">
      <c r="A25" s="1"/>
      <c r="B25" s="118" t="s">
        <v>51</v>
      </c>
      <c r="C25" s="119"/>
      <c r="D25" s="119"/>
      <c r="E25" s="119"/>
      <c r="F25" s="12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5">
        <v>1</v>
      </c>
      <c r="C26" s="26">
        <v>59513</v>
      </c>
      <c r="D26" s="28" t="s">
        <v>195</v>
      </c>
      <c r="E26" s="54">
        <v>1</v>
      </c>
      <c r="F26" s="54">
        <v>1.0333333333333334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5">
        <v>2</v>
      </c>
      <c r="C27" s="26"/>
      <c r="D27" s="28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5">
        <v>3</v>
      </c>
      <c r="C28" s="26"/>
      <c r="D28" s="28"/>
      <c r="E28" s="54"/>
      <c r="F28" s="5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4</v>
      </c>
      <c r="C29" s="26"/>
      <c r="D29" s="28"/>
      <c r="E29" s="54"/>
      <c r="F29" s="5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5</v>
      </c>
      <c r="C30" s="26"/>
      <c r="D30" s="28"/>
      <c r="E30" s="54"/>
      <c r="F30" s="5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thickBot="1" x14ac:dyDescent="0.35">
      <c r="A31" s="1"/>
      <c r="B31" s="121" t="s">
        <v>42</v>
      </c>
      <c r="C31" s="122"/>
      <c r="D31" s="122"/>
      <c r="E31" s="122"/>
      <c r="F31" s="13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09" t="s">
        <v>158</v>
      </c>
      <c r="C32" s="112" t="s">
        <v>162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09" t="s">
        <v>159</v>
      </c>
      <c r="C33" s="113" t="s">
        <v>123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4" t="s">
        <v>160</v>
      </c>
      <c r="C34" s="113" t="s">
        <v>140</v>
      </c>
      <c r="D34" s="13"/>
      <c r="E34" s="13"/>
      <c r="F34" s="1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15" t="s">
        <v>17</v>
      </c>
      <c r="C35" s="7"/>
      <c r="D35" s="7"/>
      <c r="E35" s="55">
        <v>5</v>
      </c>
      <c r="F35" s="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18</v>
      </c>
      <c r="C36" s="119"/>
      <c r="D36" s="119"/>
      <c r="E36" s="119"/>
      <c r="F36" s="12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9">
        <v>1</v>
      </c>
      <c r="C37" s="26" t="s">
        <v>165</v>
      </c>
      <c r="D37" s="22"/>
      <c r="E37" s="56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5">
        <v>2</v>
      </c>
      <c r="C38" s="26" t="s">
        <v>166</v>
      </c>
      <c r="D38" s="22"/>
      <c r="E38" s="54">
        <v>1</v>
      </c>
      <c r="F38" s="2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5">
        <v>3</v>
      </c>
      <c r="C39" s="26" t="s">
        <v>196</v>
      </c>
      <c r="D39" s="22"/>
      <c r="E39" s="54">
        <v>1</v>
      </c>
      <c r="F39" s="2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5">
        <v>4</v>
      </c>
      <c r="C40" s="26" t="s">
        <v>243</v>
      </c>
      <c r="D40" s="22"/>
      <c r="E40" s="54">
        <v>1</v>
      </c>
      <c r="F40" s="2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5">
        <v>5</v>
      </c>
      <c r="C41" s="26" t="s">
        <v>222</v>
      </c>
      <c r="D41" s="22"/>
      <c r="E41" s="54">
        <v>2</v>
      </c>
      <c r="F41" s="2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5">
        <v>6</v>
      </c>
      <c r="C42" s="26" t="s">
        <v>167</v>
      </c>
      <c r="D42" s="22"/>
      <c r="E42" s="54">
        <v>2</v>
      </c>
      <c r="F42" s="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1" t="s">
        <v>19</v>
      </c>
      <c r="C43" s="122"/>
      <c r="D43" s="119"/>
      <c r="E43" s="122"/>
      <c r="F43" s="12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5">
        <v>1</v>
      </c>
      <c r="C44" s="26"/>
      <c r="D44" s="22"/>
      <c r="E44" s="54"/>
      <c r="F44" s="2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5">
        <v>2</v>
      </c>
      <c r="C45" s="26"/>
      <c r="D45" s="22"/>
      <c r="E45" s="54"/>
      <c r="F45" s="2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5">
        <v>3</v>
      </c>
      <c r="C46" s="26"/>
      <c r="D46" s="22"/>
      <c r="E46" s="54"/>
      <c r="F46" s="2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5">
        <v>4</v>
      </c>
      <c r="C47" s="26"/>
      <c r="D47" s="22"/>
      <c r="E47" s="54"/>
      <c r="F47" s="2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1" t="s">
        <v>43</v>
      </c>
      <c r="C48" s="122"/>
      <c r="D48" s="119"/>
      <c r="E48" s="122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44</v>
      </c>
      <c r="C49" s="13"/>
      <c r="D49" s="13"/>
      <c r="E49" s="54">
        <v>0</v>
      </c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52</v>
      </c>
      <c r="C50" s="119"/>
      <c r="D50" s="119"/>
      <c r="E50" s="119"/>
      <c r="F50" s="120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9"/>
      <c r="B51" s="29">
        <v>1</v>
      </c>
      <c r="C51" s="30"/>
      <c r="D51" s="31"/>
      <c r="E51" s="56"/>
      <c r="F51" s="56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9"/>
      <c r="B52" s="29">
        <v>2</v>
      </c>
      <c r="C52" s="30"/>
      <c r="D52" s="31"/>
      <c r="E52" s="56"/>
      <c r="F52" s="56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9"/>
      <c r="B53" s="25">
        <v>3</v>
      </c>
      <c r="C53" s="26"/>
      <c r="D53" s="27"/>
      <c r="E53" s="54"/>
      <c r="F53" s="5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9"/>
      <c r="B54" s="25">
        <v>4</v>
      </c>
      <c r="C54" s="26"/>
      <c r="D54" s="27"/>
      <c r="E54" s="54"/>
      <c r="F54" s="5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8" t="s">
        <v>20</v>
      </c>
      <c r="C55" s="119"/>
      <c r="D55" s="119"/>
      <c r="E55" s="119"/>
      <c r="F55" s="120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>
        <v>1</v>
      </c>
      <c r="C56" s="26"/>
      <c r="D56" s="27"/>
      <c r="E56" s="54"/>
      <c r="F56" s="5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>
        <v>2</v>
      </c>
      <c r="C57" s="26"/>
      <c r="D57" s="27"/>
      <c r="E57" s="54"/>
      <c r="F57" s="5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>
        <v>3</v>
      </c>
      <c r="C58" s="26"/>
      <c r="D58" s="27"/>
      <c r="E58" s="54"/>
      <c r="F58" s="5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>
        <v>4</v>
      </c>
      <c r="C59" s="26"/>
      <c r="D59" s="27"/>
      <c r="E59" s="54"/>
      <c r="F59" s="5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>
        <v>5</v>
      </c>
      <c r="C60" s="26"/>
      <c r="D60" s="27"/>
      <c r="E60" s="54"/>
      <c r="F60" s="5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>
        <v>6</v>
      </c>
      <c r="C61" s="26"/>
      <c r="D61" s="27"/>
      <c r="E61" s="54"/>
      <c r="F61" s="5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4"/>
      <c r="C62" s="24"/>
      <c r="D62" s="24"/>
      <c r="E62" s="24"/>
      <c r="F62" s="2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6" t="s">
        <v>54</v>
      </c>
      <c r="C64" s="16" t="s">
        <v>50</v>
      </c>
      <c r="D64" s="16" t="s">
        <v>55</v>
      </c>
      <c r="E64" s="17" t="s">
        <v>56</v>
      </c>
      <c r="F64" s="18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6" t="s">
        <v>223</v>
      </c>
      <c r="D65" s="54">
        <v>14400</v>
      </c>
      <c r="E65" s="54"/>
      <c r="F65" s="5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6" t="s">
        <v>224</v>
      </c>
      <c r="D66" s="54">
        <v>8600</v>
      </c>
      <c r="E66" s="54"/>
      <c r="F66" s="5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6" t="s">
        <v>244</v>
      </c>
      <c r="D67" s="54"/>
      <c r="E67" s="54"/>
      <c r="F67" s="54">
        <v>2248.77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6"/>
      <c r="D68" s="54"/>
      <c r="E68" s="54"/>
      <c r="F68" s="5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6"/>
      <c r="D69" s="54"/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6"/>
      <c r="D70" s="54"/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6"/>
      <c r="D71" s="54"/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6"/>
      <c r="D72" s="54"/>
      <c r="E72" s="54"/>
      <c r="F72" s="5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6"/>
      <c r="D73" s="54"/>
      <c r="E73" s="54"/>
      <c r="F73" s="5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6"/>
      <c r="D74" s="54"/>
      <c r="E74" s="54"/>
      <c r="F74" s="5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7"/>
      <c r="E75" s="57"/>
      <c r="F75" s="57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8">
        <f>SUM(D65:D75)</f>
        <v>23000</v>
      </c>
      <c r="E76" s="58">
        <f>SUM(E65:E75)</f>
        <v>0</v>
      </c>
      <c r="F76" s="58">
        <f>SUM(F65:F75)</f>
        <v>2248.77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5:F25"/>
    <mergeCell ref="B36:F36"/>
    <mergeCell ref="B31:F31"/>
    <mergeCell ref="B43:F43"/>
    <mergeCell ref="B50:F50"/>
  </mergeCells>
  <dataValidations count="1">
    <dataValidation type="decimal" operator="greaterThanOrEqual" allowBlank="1" showInputMessage="1" showErrorMessage="1" sqref="E35 E44:E47 E49 E26:F30 E51:F54 E56:F61 E37:E42 D65:F7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733425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1504950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C34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C33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opLeftCell="B1" workbookViewId="0">
      <selection activeCell="F29" sqref="F2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>
        <f>'1.1 Case data_general'!D2</f>
        <v>59513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18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176</v>
      </c>
      <c r="D11" s="26" t="s">
        <v>189</v>
      </c>
      <c r="E11" s="26" t="s">
        <v>183</v>
      </c>
      <c r="F11" s="54">
        <v>2</v>
      </c>
      <c r="G11" s="54">
        <v>3</v>
      </c>
      <c r="H11" s="54">
        <v>5</v>
      </c>
      <c r="I11" s="54">
        <v>8.52</v>
      </c>
      <c r="J11" s="54">
        <f>H11*I11</f>
        <v>42.599999999999994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231</v>
      </c>
      <c r="D12" s="26" t="s">
        <v>189</v>
      </c>
      <c r="E12" s="26" t="s">
        <v>235</v>
      </c>
      <c r="F12" s="54">
        <v>1</v>
      </c>
      <c r="G12" s="54">
        <v>1</v>
      </c>
      <c r="H12" s="54">
        <v>1</v>
      </c>
      <c r="I12" s="54">
        <v>20</v>
      </c>
      <c r="J12" s="54">
        <f t="shared" ref="J12:J28" si="0">H12*I12</f>
        <v>20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248</v>
      </c>
      <c r="D13" s="26" t="s">
        <v>189</v>
      </c>
      <c r="E13" s="26" t="s">
        <v>220</v>
      </c>
      <c r="F13" s="54">
        <v>1</v>
      </c>
      <c r="G13" s="54">
        <v>1</v>
      </c>
      <c r="H13" s="54">
        <v>1</v>
      </c>
      <c r="I13" s="54">
        <v>123.84</v>
      </c>
      <c r="J13" s="54">
        <f t="shared" si="0"/>
        <v>123.84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210</v>
      </c>
      <c r="D14" s="26" t="s">
        <v>181</v>
      </c>
      <c r="E14" s="26" t="s">
        <v>216</v>
      </c>
      <c r="F14" s="54">
        <v>1</v>
      </c>
      <c r="G14" s="54">
        <v>1</v>
      </c>
      <c r="H14" s="54">
        <v>1</v>
      </c>
      <c r="I14" s="54">
        <v>81.63</v>
      </c>
      <c r="J14" s="54">
        <f t="shared" si="0"/>
        <v>81.63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117" t="s">
        <v>177</v>
      </c>
      <c r="D15" s="26" t="s">
        <v>181</v>
      </c>
      <c r="E15" s="117" t="s">
        <v>184</v>
      </c>
      <c r="F15" s="54">
        <v>2</v>
      </c>
      <c r="G15" s="54">
        <v>2</v>
      </c>
      <c r="H15" s="54">
        <v>4</v>
      </c>
      <c r="I15" s="54">
        <v>49.33</v>
      </c>
      <c r="J15" s="54">
        <f t="shared" si="0"/>
        <v>197.32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 t="s">
        <v>249</v>
      </c>
      <c r="D16" s="26" t="s">
        <v>253</v>
      </c>
      <c r="E16" s="26" t="s">
        <v>252</v>
      </c>
      <c r="F16" s="54">
        <v>1</v>
      </c>
      <c r="G16" s="54">
        <v>1</v>
      </c>
      <c r="H16" s="54">
        <v>1</v>
      </c>
      <c r="I16" s="54">
        <v>30.4</v>
      </c>
      <c r="J16" s="54">
        <f t="shared" si="0"/>
        <v>30.4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 t="s">
        <v>250</v>
      </c>
      <c r="D17" s="26" t="s">
        <v>189</v>
      </c>
      <c r="E17" s="26" t="s">
        <v>236</v>
      </c>
      <c r="F17" s="54">
        <v>1</v>
      </c>
      <c r="G17" s="54">
        <v>1</v>
      </c>
      <c r="H17" s="54">
        <v>1</v>
      </c>
      <c r="I17" s="54">
        <v>4.92</v>
      </c>
      <c r="J17" s="54">
        <f t="shared" si="0"/>
        <v>4.92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 t="s">
        <v>214</v>
      </c>
      <c r="D18" s="26" t="s">
        <v>189</v>
      </c>
      <c r="E18" s="26" t="s">
        <v>219</v>
      </c>
      <c r="F18" s="54">
        <v>2</v>
      </c>
      <c r="G18" s="54">
        <v>2</v>
      </c>
      <c r="H18" s="54">
        <v>4</v>
      </c>
      <c r="I18" s="54">
        <v>20.43</v>
      </c>
      <c r="J18" s="54">
        <f t="shared" si="0"/>
        <v>81.72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 t="s">
        <v>234</v>
      </c>
      <c r="D19" s="26" t="s">
        <v>239</v>
      </c>
      <c r="E19" s="26" t="s">
        <v>238</v>
      </c>
      <c r="F19" s="54">
        <v>2</v>
      </c>
      <c r="G19" s="54">
        <v>2</v>
      </c>
      <c r="H19" s="54">
        <v>4</v>
      </c>
      <c r="I19" s="54">
        <v>4.57</v>
      </c>
      <c r="J19" s="54">
        <f t="shared" si="0"/>
        <v>18.28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3">
      <c r="B20" s="41">
        <v>10</v>
      </c>
      <c r="C20" s="26" t="s">
        <v>212</v>
      </c>
      <c r="D20" s="26" t="s">
        <v>189</v>
      </c>
      <c r="E20" s="26" t="s">
        <v>217</v>
      </c>
      <c r="F20" s="54">
        <v>2</v>
      </c>
      <c r="G20" s="54">
        <v>2</v>
      </c>
      <c r="H20" s="54">
        <v>4</v>
      </c>
      <c r="I20" s="54">
        <v>4.92</v>
      </c>
      <c r="J20" s="54">
        <f t="shared" si="0"/>
        <v>19.68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1:20" ht="12.75" customHeight="1" x14ac:dyDescent="0.3">
      <c r="B21" s="41">
        <v>11</v>
      </c>
      <c r="C21" s="26" t="s">
        <v>215</v>
      </c>
      <c r="D21" s="26" t="s">
        <v>180</v>
      </c>
      <c r="E21" s="26" t="s">
        <v>220</v>
      </c>
      <c r="F21" s="54">
        <v>1</v>
      </c>
      <c r="G21" s="54">
        <v>1</v>
      </c>
      <c r="H21" s="54">
        <v>1</v>
      </c>
      <c r="I21" s="54">
        <v>6.39</v>
      </c>
      <c r="J21" s="54">
        <f t="shared" si="0"/>
        <v>6.39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1:20" ht="12.75" customHeight="1" x14ac:dyDescent="0.3">
      <c r="B22" s="41">
        <v>12</v>
      </c>
      <c r="C22" s="26" t="s">
        <v>233</v>
      </c>
      <c r="D22" s="26" t="s">
        <v>189</v>
      </c>
      <c r="E22" s="26" t="s">
        <v>237</v>
      </c>
      <c r="F22" s="54">
        <v>1</v>
      </c>
      <c r="G22" s="54">
        <v>2</v>
      </c>
      <c r="H22" s="54">
        <v>2</v>
      </c>
      <c r="I22" s="54">
        <v>17.03</v>
      </c>
      <c r="J22" s="54">
        <f t="shared" si="0"/>
        <v>34.06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1:20" ht="12.75" customHeight="1" x14ac:dyDescent="0.3">
      <c r="B23" s="41">
        <v>13</v>
      </c>
      <c r="C23" s="26" t="s">
        <v>211</v>
      </c>
      <c r="D23" s="26" t="s">
        <v>181</v>
      </c>
      <c r="E23" s="26" t="s">
        <v>184</v>
      </c>
      <c r="F23" s="54">
        <v>1</v>
      </c>
      <c r="G23" s="54">
        <v>2</v>
      </c>
      <c r="H23" s="54">
        <v>2</v>
      </c>
      <c r="I23" s="54">
        <v>50.67</v>
      </c>
      <c r="J23" s="54">
        <f t="shared" si="0"/>
        <v>101.34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1:20" ht="12.75" customHeight="1" x14ac:dyDescent="0.3">
      <c r="B24" s="41">
        <v>14</v>
      </c>
      <c r="C24" s="26" t="s">
        <v>213</v>
      </c>
      <c r="D24" s="26" t="s">
        <v>180</v>
      </c>
      <c r="E24" s="26" t="s">
        <v>218</v>
      </c>
      <c r="F24" s="54">
        <v>1</v>
      </c>
      <c r="G24" s="54">
        <v>3</v>
      </c>
      <c r="H24" s="54">
        <v>3</v>
      </c>
      <c r="I24" s="54">
        <v>93.33</v>
      </c>
      <c r="J24" s="54">
        <f t="shared" si="0"/>
        <v>279.99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</row>
    <row r="25" spans="1:20" ht="12.75" customHeight="1" x14ac:dyDescent="0.3">
      <c r="B25" s="41">
        <v>15</v>
      </c>
      <c r="C25" s="26" t="s">
        <v>178</v>
      </c>
      <c r="D25" s="26" t="s">
        <v>182</v>
      </c>
      <c r="E25" s="26" t="s">
        <v>185</v>
      </c>
      <c r="F25" s="54">
        <v>3</v>
      </c>
      <c r="G25" s="54">
        <v>3</v>
      </c>
      <c r="H25" s="54">
        <v>9</v>
      </c>
      <c r="I25" s="54">
        <v>0.97</v>
      </c>
      <c r="J25" s="54">
        <f t="shared" si="0"/>
        <v>8.73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</row>
    <row r="26" spans="1:20" ht="12.75" customHeight="1" x14ac:dyDescent="0.3">
      <c r="B26" s="41">
        <v>16</v>
      </c>
      <c r="C26" s="26" t="s">
        <v>179</v>
      </c>
      <c r="D26" s="26" t="s">
        <v>182</v>
      </c>
      <c r="E26" s="26" t="s">
        <v>186</v>
      </c>
      <c r="F26" s="54">
        <v>1</v>
      </c>
      <c r="G26" s="54">
        <v>100</v>
      </c>
      <c r="H26" s="54">
        <v>100</v>
      </c>
      <c r="I26" s="54">
        <v>1.27</v>
      </c>
      <c r="J26" s="54">
        <f t="shared" si="0"/>
        <v>127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</row>
    <row r="27" spans="1:20" ht="12.75" customHeight="1" x14ac:dyDescent="0.3">
      <c r="B27" s="41">
        <v>17</v>
      </c>
      <c r="C27" s="26" t="s">
        <v>188</v>
      </c>
      <c r="D27" s="26" t="s">
        <v>182</v>
      </c>
      <c r="E27" s="26" t="s">
        <v>185</v>
      </c>
      <c r="F27" s="54">
        <v>3</v>
      </c>
      <c r="G27" s="54">
        <v>7</v>
      </c>
      <c r="H27" s="54">
        <v>21</v>
      </c>
      <c r="I27" s="54">
        <v>2.87</v>
      </c>
      <c r="J27" s="54">
        <f t="shared" si="0"/>
        <v>60.27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</row>
    <row r="28" spans="1:20" ht="12.75" customHeight="1" x14ac:dyDescent="0.3">
      <c r="B28" s="41">
        <v>18</v>
      </c>
      <c r="C28" s="26" t="s">
        <v>251</v>
      </c>
      <c r="D28" s="26" t="s">
        <v>182</v>
      </c>
      <c r="E28" s="26" t="s">
        <v>236</v>
      </c>
      <c r="F28" s="54">
        <v>1</v>
      </c>
      <c r="G28" s="54">
        <v>1</v>
      </c>
      <c r="H28" s="54">
        <v>1</v>
      </c>
      <c r="I28" s="54">
        <v>2.4700000000000002</v>
      </c>
      <c r="J28" s="54">
        <f t="shared" si="0"/>
        <v>2.4700000000000002</v>
      </c>
      <c r="K28" s="33"/>
      <c r="L28" s="33"/>
      <c r="M28" s="33"/>
      <c r="N28" s="33"/>
      <c r="O28" s="33"/>
      <c r="P28" s="33"/>
      <c r="Q28" s="33"/>
      <c r="R28" s="33"/>
      <c r="S28" s="33"/>
      <c r="T28" s="33"/>
    </row>
    <row r="29" spans="1:20" ht="12.75" customHeight="1" x14ac:dyDescent="0.25">
      <c r="A29" s="32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8"/>
  <sheetViews>
    <sheetView workbookViewId="0">
      <selection activeCell="B27" sqref="B27:G27"/>
    </sheetView>
  </sheetViews>
  <sheetFormatPr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9.1406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26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10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6" t="s">
        <v>23</v>
      </c>
      <c r="C7" s="137"/>
      <c r="D7" s="137"/>
      <c r="E7" s="137"/>
      <c r="F7" s="137"/>
      <c r="G7" s="138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42" t="s">
        <v>24</v>
      </c>
      <c r="C8" s="143"/>
      <c r="D8" s="143"/>
      <c r="E8" s="143"/>
      <c r="F8" s="143"/>
      <c r="G8" s="144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42" t="s">
        <v>68</v>
      </c>
      <c r="C9" s="143"/>
      <c r="D9" s="143"/>
      <c r="E9" s="143"/>
      <c r="F9" s="143"/>
      <c r="G9" s="144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42" t="s">
        <v>25</v>
      </c>
      <c r="C10" s="143"/>
      <c r="D10" s="143"/>
      <c r="E10" s="143"/>
      <c r="F10" s="143"/>
      <c r="G10" s="144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42" t="s">
        <v>26</v>
      </c>
      <c r="C11" s="143"/>
      <c r="D11" s="143"/>
      <c r="E11" s="143"/>
      <c r="F11" s="143"/>
      <c r="G11" s="144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5" t="s">
        <v>27</v>
      </c>
      <c r="C12" s="146"/>
      <c r="D12" s="146"/>
      <c r="E12" s="146"/>
      <c r="F12" s="146"/>
      <c r="G12" s="147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26" t="s">
        <v>227</v>
      </c>
      <c r="D16" s="69" t="s">
        <v>230</v>
      </c>
      <c r="E16" s="115">
        <v>1</v>
      </c>
      <c r="F16" s="115">
        <v>100</v>
      </c>
      <c r="G16" s="115">
        <f t="shared" ref="G16:G26" si="0">+E16*F16</f>
        <v>100</v>
      </c>
      <c r="H16" s="38"/>
      <c r="I16" s="38"/>
      <c r="J16" s="38"/>
      <c r="K16" s="38"/>
      <c r="L16" s="38"/>
      <c r="M16" s="38"/>
      <c r="N16" s="38"/>
      <c r="O16" s="38"/>
      <c r="P16" s="38"/>
    </row>
    <row r="17" spans="2:16" ht="14.25" customHeight="1" x14ac:dyDescent="0.3">
      <c r="B17" s="67">
        <v>2</v>
      </c>
      <c r="C17" s="26" t="s">
        <v>208</v>
      </c>
      <c r="D17" s="69" t="s">
        <v>163</v>
      </c>
      <c r="E17" s="115">
        <v>2</v>
      </c>
      <c r="F17" s="115">
        <v>22</v>
      </c>
      <c r="G17" s="115">
        <f t="shared" si="0"/>
        <v>44</v>
      </c>
      <c r="H17" s="38"/>
      <c r="I17" s="38"/>
      <c r="J17" s="38"/>
      <c r="K17" s="38"/>
      <c r="L17" s="38"/>
      <c r="M17" s="38"/>
      <c r="N17" s="38"/>
      <c r="O17" s="38"/>
      <c r="P17" s="38"/>
    </row>
    <row r="18" spans="2:16" ht="14.25" customHeight="1" x14ac:dyDescent="0.3">
      <c r="B18" s="67">
        <v>3</v>
      </c>
      <c r="C18" s="26" t="s">
        <v>209</v>
      </c>
      <c r="D18" s="69" t="s">
        <v>163</v>
      </c>
      <c r="E18" s="115">
        <v>1</v>
      </c>
      <c r="F18" s="115">
        <v>15.81</v>
      </c>
      <c r="G18" s="115">
        <f t="shared" si="0"/>
        <v>15.81</v>
      </c>
      <c r="H18" s="38"/>
      <c r="I18" s="38"/>
      <c r="J18" s="38"/>
      <c r="K18" s="38"/>
      <c r="L18" s="38"/>
      <c r="M18" s="38"/>
      <c r="N18" s="38"/>
      <c r="O18" s="38"/>
      <c r="P18" s="38"/>
    </row>
    <row r="19" spans="2:16" ht="14.25" customHeight="1" x14ac:dyDescent="0.3">
      <c r="B19" s="67">
        <v>4</v>
      </c>
      <c r="C19" s="26" t="s">
        <v>229</v>
      </c>
      <c r="D19" s="69" t="s">
        <v>163</v>
      </c>
      <c r="E19" s="115">
        <v>1</v>
      </c>
      <c r="F19" s="115">
        <v>25</v>
      </c>
      <c r="G19" s="115">
        <f t="shared" si="0"/>
        <v>25</v>
      </c>
      <c r="H19" s="38"/>
      <c r="I19" s="38"/>
      <c r="J19" s="38"/>
      <c r="K19" s="38"/>
      <c r="L19" s="38"/>
      <c r="M19" s="38"/>
      <c r="N19" s="38"/>
      <c r="O19" s="38"/>
      <c r="P19" s="38"/>
    </row>
    <row r="20" spans="2:16" ht="14.25" customHeight="1" x14ac:dyDescent="0.3">
      <c r="B20" s="67">
        <v>5</v>
      </c>
      <c r="C20" s="26" t="s">
        <v>170</v>
      </c>
      <c r="D20" s="69" t="s">
        <v>163</v>
      </c>
      <c r="E20" s="115">
        <v>12</v>
      </c>
      <c r="F20" s="115">
        <v>5</v>
      </c>
      <c r="G20" s="115">
        <f t="shared" si="0"/>
        <v>60</v>
      </c>
      <c r="H20" s="38"/>
      <c r="I20" s="38"/>
      <c r="J20" s="38"/>
      <c r="K20" s="38"/>
      <c r="L20" s="38"/>
      <c r="M20" s="38"/>
      <c r="N20" s="38"/>
      <c r="O20" s="38"/>
      <c r="P20" s="38"/>
    </row>
    <row r="21" spans="2:16" ht="14.25" customHeight="1" x14ac:dyDescent="0.3">
      <c r="B21" s="67">
        <v>6</v>
      </c>
      <c r="C21" s="26" t="s">
        <v>171</v>
      </c>
      <c r="D21" s="69" t="s">
        <v>163</v>
      </c>
      <c r="E21" s="115">
        <v>11</v>
      </c>
      <c r="F21" s="115">
        <v>2.77</v>
      </c>
      <c r="G21" s="115">
        <f t="shared" si="0"/>
        <v>30.47</v>
      </c>
      <c r="H21" s="38"/>
      <c r="I21" s="38"/>
      <c r="J21" s="38"/>
      <c r="K21" s="38"/>
      <c r="L21" s="38"/>
      <c r="M21" s="38"/>
      <c r="N21" s="38"/>
      <c r="O21" s="38"/>
      <c r="P21" s="38"/>
    </row>
    <row r="22" spans="2:16" ht="14.25" customHeight="1" x14ac:dyDescent="0.3">
      <c r="B22" s="67">
        <v>7</v>
      </c>
      <c r="C22" s="26" t="s">
        <v>247</v>
      </c>
      <c r="D22" s="69" t="s">
        <v>163</v>
      </c>
      <c r="E22" s="115">
        <v>5</v>
      </c>
      <c r="F22" s="115">
        <v>13.13</v>
      </c>
      <c r="G22" s="115">
        <f t="shared" si="0"/>
        <v>65.650000000000006</v>
      </c>
      <c r="H22" s="38"/>
      <c r="I22" s="38"/>
      <c r="J22" s="38"/>
      <c r="K22" s="38"/>
      <c r="L22" s="38"/>
      <c r="M22" s="38"/>
      <c r="N22" s="38"/>
      <c r="O22" s="38"/>
      <c r="P22" s="38"/>
    </row>
    <row r="23" spans="2:16" ht="14.25" customHeight="1" x14ac:dyDescent="0.3">
      <c r="B23" s="67">
        <v>8</v>
      </c>
      <c r="C23" s="26" t="s">
        <v>168</v>
      </c>
      <c r="D23" s="69" t="s">
        <v>163</v>
      </c>
      <c r="E23" s="115">
        <v>9</v>
      </c>
      <c r="F23" s="115">
        <v>1.6</v>
      </c>
      <c r="G23" s="115">
        <f t="shared" si="0"/>
        <v>14.4</v>
      </c>
      <c r="H23" s="38"/>
      <c r="I23" s="38"/>
      <c r="J23" s="38"/>
      <c r="K23" s="38"/>
      <c r="L23" s="38"/>
      <c r="M23" s="38"/>
      <c r="N23" s="38"/>
      <c r="O23" s="38"/>
      <c r="P23" s="38"/>
    </row>
    <row r="24" spans="2:16" ht="14.25" customHeight="1" x14ac:dyDescent="0.3">
      <c r="B24" s="67">
        <v>9</v>
      </c>
      <c r="C24" s="26" t="s">
        <v>169</v>
      </c>
      <c r="D24" s="69" t="s">
        <v>163</v>
      </c>
      <c r="E24" s="115">
        <v>9</v>
      </c>
      <c r="F24" s="115">
        <v>1.6</v>
      </c>
      <c r="G24" s="115">
        <f t="shared" si="0"/>
        <v>14.4</v>
      </c>
      <c r="H24" s="38"/>
      <c r="I24" s="38"/>
      <c r="J24" s="38"/>
      <c r="K24" s="38"/>
      <c r="L24" s="38"/>
      <c r="M24" s="38"/>
      <c r="N24" s="38"/>
      <c r="O24" s="38"/>
      <c r="P24" s="38"/>
    </row>
    <row r="25" spans="2:16" ht="14.25" customHeight="1" x14ac:dyDescent="0.3">
      <c r="B25" s="67">
        <v>10</v>
      </c>
      <c r="C25" s="26" t="s">
        <v>226</v>
      </c>
      <c r="D25" s="69" t="s">
        <v>175</v>
      </c>
      <c r="E25" s="115">
        <v>1</v>
      </c>
      <c r="F25" s="115">
        <v>20</v>
      </c>
      <c r="G25" s="115">
        <f t="shared" si="0"/>
        <v>20</v>
      </c>
      <c r="H25" s="38"/>
      <c r="I25" s="38"/>
      <c r="J25" s="38"/>
      <c r="K25" s="38"/>
      <c r="L25" s="38"/>
      <c r="M25" s="38"/>
      <c r="N25" s="38"/>
      <c r="O25" s="38"/>
      <c r="P25" s="38"/>
    </row>
    <row r="26" spans="2:16" ht="14.25" customHeight="1" x14ac:dyDescent="0.3">
      <c r="B26" s="67">
        <v>11</v>
      </c>
      <c r="C26" s="26" t="s">
        <v>232</v>
      </c>
      <c r="D26" s="69" t="s">
        <v>175</v>
      </c>
      <c r="E26" s="54">
        <v>1</v>
      </c>
      <c r="F26" s="54">
        <v>20</v>
      </c>
      <c r="G26" s="115">
        <f t="shared" si="0"/>
        <v>20</v>
      </c>
      <c r="H26" s="38"/>
      <c r="I26" s="38"/>
      <c r="J26" s="38"/>
      <c r="K26" s="38"/>
      <c r="L26" s="38"/>
      <c r="M26" s="38"/>
      <c r="N26" s="38"/>
      <c r="O26" s="38"/>
      <c r="P26" s="38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8"/>
      <c r="I27" s="38"/>
      <c r="J27" s="38"/>
      <c r="K27" s="38"/>
      <c r="L27" s="38"/>
      <c r="M27" s="38"/>
      <c r="N27" s="38"/>
      <c r="O27" s="38"/>
      <c r="P27" s="38"/>
    </row>
    <row r="28" spans="2:16" ht="14.25" customHeight="1" x14ac:dyDescent="0.3">
      <c r="B28" s="67">
        <v>1</v>
      </c>
      <c r="C28" s="26" t="s">
        <v>225</v>
      </c>
      <c r="D28" s="116" t="s">
        <v>163</v>
      </c>
      <c r="E28" s="115">
        <v>2</v>
      </c>
      <c r="F28" s="115">
        <v>95</v>
      </c>
      <c r="G28" s="115">
        <f>+E28*F28</f>
        <v>190</v>
      </c>
      <c r="H28" s="38"/>
      <c r="I28" s="38"/>
      <c r="J28" s="38"/>
      <c r="K28" s="38"/>
      <c r="L28" s="38"/>
      <c r="M28" s="38"/>
      <c r="N28" s="38"/>
      <c r="O28" s="38"/>
      <c r="P28" s="38"/>
    </row>
    <row r="29" spans="2:16" ht="14.25" customHeight="1" x14ac:dyDescent="0.3">
      <c r="B29" s="67">
        <v>2</v>
      </c>
      <c r="C29" s="26" t="s">
        <v>206</v>
      </c>
      <c r="D29" s="116" t="s">
        <v>163</v>
      </c>
      <c r="E29" s="115">
        <v>80</v>
      </c>
      <c r="F29" s="115">
        <v>1.51</v>
      </c>
      <c r="G29" s="115">
        <f t="shared" ref="G29:G53" si="1">+E29*F29</f>
        <v>120.8</v>
      </c>
      <c r="H29" s="38"/>
      <c r="I29" s="38"/>
      <c r="J29" s="38"/>
      <c r="K29" s="38"/>
      <c r="L29" s="38"/>
      <c r="M29" s="38"/>
      <c r="N29" s="38"/>
      <c r="O29" s="38"/>
      <c r="P29" s="38"/>
    </row>
    <row r="30" spans="2:16" ht="14.25" customHeight="1" x14ac:dyDescent="0.3">
      <c r="B30" s="67">
        <v>3</v>
      </c>
      <c r="C30" s="26" t="s">
        <v>191</v>
      </c>
      <c r="D30" s="116" t="s">
        <v>192</v>
      </c>
      <c r="E30" s="115">
        <v>5</v>
      </c>
      <c r="F30" s="115">
        <v>12</v>
      </c>
      <c r="G30" s="115">
        <f t="shared" si="1"/>
        <v>60</v>
      </c>
      <c r="H30" s="38"/>
      <c r="I30" s="38"/>
      <c r="J30" s="38"/>
      <c r="K30" s="38"/>
      <c r="L30" s="38"/>
      <c r="M30" s="38"/>
      <c r="N30" s="38"/>
      <c r="O30" s="38"/>
      <c r="P30" s="38"/>
    </row>
    <row r="31" spans="2:16" ht="14.25" customHeight="1" x14ac:dyDescent="0.3">
      <c r="B31" s="67">
        <v>4</v>
      </c>
      <c r="C31" s="26" t="s">
        <v>204</v>
      </c>
      <c r="D31" s="116" t="s">
        <v>192</v>
      </c>
      <c r="E31" s="115">
        <v>5</v>
      </c>
      <c r="F31" s="115">
        <v>15</v>
      </c>
      <c r="G31" s="115">
        <f t="shared" si="1"/>
        <v>75</v>
      </c>
      <c r="H31" s="38"/>
      <c r="I31" s="38"/>
      <c r="J31" s="38"/>
      <c r="K31" s="38"/>
      <c r="L31" s="38"/>
      <c r="M31" s="38"/>
      <c r="N31" s="38"/>
      <c r="O31" s="38"/>
      <c r="P31" s="38"/>
    </row>
    <row r="32" spans="2:16" ht="14.25" customHeight="1" x14ac:dyDescent="0.3">
      <c r="B32" s="67">
        <v>5</v>
      </c>
      <c r="C32" s="26" t="s">
        <v>205</v>
      </c>
      <c r="D32" s="116" t="s">
        <v>192</v>
      </c>
      <c r="E32" s="115">
        <v>5</v>
      </c>
      <c r="F32" s="115">
        <v>10.67</v>
      </c>
      <c r="G32" s="115">
        <f t="shared" si="1"/>
        <v>53.35</v>
      </c>
      <c r="H32" s="38"/>
      <c r="I32" s="38"/>
      <c r="J32" s="38"/>
      <c r="K32" s="38"/>
      <c r="L32" s="38"/>
      <c r="M32" s="38"/>
      <c r="N32" s="38"/>
      <c r="O32" s="38"/>
      <c r="P32" s="38"/>
    </row>
    <row r="33" spans="2:16" ht="14.25" customHeight="1" x14ac:dyDescent="0.3">
      <c r="B33" s="67">
        <v>6</v>
      </c>
      <c r="C33" s="26" t="s">
        <v>168</v>
      </c>
      <c r="D33" s="116" t="s">
        <v>163</v>
      </c>
      <c r="E33" s="115">
        <v>4</v>
      </c>
      <c r="F33" s="115">
        <v>1.6</v>
      </c>
      <c r="G33" s="115">
        <f t="shared" si="1"/>
        <v>6.4</v>
      </c>
      <c r="H33" s="38"/>
      <c r="I33" s="38"/>
      <c r="J33" s="38"/>
      <c r="K33" s="38"/>
      <c r="L33" s="38"/>
      <c r="M33" s="38"/>
      <c r="N33" s="38"/>
      <c r="O33" s="38"/>
      <c r="P33" s="38"/>
    </row>
    <row r="34" spans="2:16" ht="14.25" customHeight="1" x14ac:dyDescent="0.3">
      <c r="B34" s="67">
        <v>7</v>
      </c>
      <c r="C34" s="26" t="s">
        <v>169</v>
      </c>
      <c r="D34" s="116" t="s">
        <v>163</v>
      </c>
      <c r="E34" s="115">
        <v>4</v>
      </c>
      <c r="F34" s="115">
        <v>1.6</v>
      </c>
      <c r="G34" s="115">
        <f t="shared" si="1"/>
        <v>6.4</v>
      </c>
      <c r="H34" s="38"/>
      <c r="I34" s="38"/>
      <c r="J34" s="38"/>
      <c r="K34" s="38"/>
      <c r="L34" s="38"/>
      <c r="M34" s="38"/>
      <c r="N34" s="38"/>
      <c r="O34" s="38"/>
      <c r="P34" s="38"/>
    </row>
    <row r="35" spans="2:16" ht="14.25" customHeight="1" x14ac:dyDescent="0.3">
      <c r="B35" s="67">
        <v>8</v>
      </c>
      <c r="C35" s="26" t="s">
        <v>170</v>
      </c>
      <c r="D35" s="116" t="s">
        <v>163</v>
      </c>
      <c r="E35" s="115">
        <v>4</v>
      </c>
      <c r="F35" s="115">
        <v>5</v>
      </c>
      <c r="G35" s="115">
        <f t="shared" si="1"/>
        <v>20</v>
      </c>
      <c r="H35" s="38"/>
      <c r="I35" s="38"/>
      <c r="J35" s="38"/>
      <c r="K35" s="38"/>
      <c r="L35" s="38"/>
      <c r="M35" s="38"/>
      <c r="N35" s="38"/>
      <c r="O35" s="38"/>
      <c r="P35" s="38"/>
    </row>
    <row r="36" spans="2:16" ht="14.25" customHeight="1" x14ac:dyDescent="0.3">
      <c r="B36" s="67">
        <v>9</v>
      </c>
      <c r="C36" s="26" t="s">
        <v>171</v>
      </c>
      <c r="D36" s="116" t="s">
        <v>163</v>
      </c>
      <c r="E36" s="115">
        <v>4</v>
      </c>
      <c r="F36" s="115">
        <v>2.77</v>
      </c>
      <c r="G36" s="115">
        <f t="shared" si="1"/>
        <v>11.08</v>
      </c>
      <c r="H36" s="38"/>
      <c r="I36" s="38"/>
      <c r="J36" s="38"/>
      <c r="K36" s="38"/>
      <c r="L36" s="38"/>
      <c r="M36" s="38"/>
      <c r="N36" s="38"/>
      <c r="O36" s="38"/>
      <c r="P36" s="38"/>
    </row>
    <row r="37" spans="2:16" ht="14.25" customHeight="1" x14ac:dyDescent="0.3">
      <c r="B37" s="67">
        <v>10</v>
      </c>
      <c r="C37" s="26" t="s">
        <v>187</v>
      </c>
      <c r="D37" s="116" t="s">
        <v>163</v>
      </c>
      <c r="E37" s="115">
        <v>5</v>
      </c>
      <c r="F37" s="115">
        <v>1.27</v>
      </c>
      <c r="G37" s="115">
        <f t="shared" si="1"/>
        <v>6.35</v>
      </c>
      <c r="H37" s="38"/>
      <c r="I37" s="38"/>
      <c r="J37" s="38"/>
      <c r="K37" s="38"/>
      <c r="L37" s="38"/>
      <c r="M37" s="38"/>
      <c r="N37" s="38"/>
      <c r="O37" s="38"/>
      <c r="P37" s="38"/>
    </row>
    <row r="38" spans="2:16" ht="14.25" customHeight="1" x14ac:dyDescent="0.3">
      <c r="B38" s="67">
        <v>11</v>
      </c>
      <c r="C38" s="26" t="s">
        <v>190</v>
      </c>
      <c r="D38" s="116" t="s">
        <v>163</v>
      </c>
      <c r="E38" s="115">
        <v>5</v>
      </c>
      <c r="F38" s="115">
        <v>1.0900000000000001</v>
      </c>
      <c r="G38" s="115">
        <f t="shared" si="1"/>
        <v>5.45</v>
      </c>
      <c r="H38" s="38"/>
      <c r="I38" s="38"/>
      <c r="J38" s="38"/>
      <c r="K38" s="38"/>
      <c r="L38" s="38"/>
      <c r="M38" s="38"/>
      <c r="N38" s="38"/>
      <c r="O38" s="38"/>
      <c r="P38" s="38"/>
    </row>
    <row r="39" spans="2:16" ht="14.25" customHeight="1" x14ac:dyDescent="0.3">
      <c r="B39" s="67">
        <v>12</v>
      </c>
      <c r="C39" s="26" t="s">
        <v>201</v>
      </c>
      <c r="D39" s="116" t="s">
        <v>207</v>
      </c>
      <c r="E39" s="115">
        <v>0.5</v>
      </c>
      <c r="F39" s="115">
        <v>67.319999999999993</v>
      </c>
      <c r="G39" s="115">
        <f t="shared" si="1"/>
        <v>33.659999999999997</v>
      </c>
      <c r="H39" s="38"/>
      <c r="I39" s="38"/>
      <c r="J39" s="38"/>
      <c r="K39" s="38"/>
      <c r="L39" s="38"/>
      <c r="M39" s="38"/>
      <c r="N39" s="38"/>
      <c r="O39" s="38"/>
      <c r="P39" s="38"/>
    </row>
    <row r="40" spans="2:16" ht="14.25" customHeight="1" x14ac:dyDescent="0.3">
      <c r="B40" s="67">
        <v>13</v>
      </c>
      <c r="C40" s="26" t="s">
        <v>202</v>
      </c>
      <c r="D40" s="116" t="s">
        <v>207</v>
      </c>
      <c r="E40" s="115">
        <v>1</v>
      </c>
      <c r="F40" s="115">
        <v>84</v>
      </c>
      <c r="G40" s="115">
        <f t="shared" si="1"/>
        <v>84</v>
      </c>
      <c r="H40" s="38"/>
      <c r="I40" s="38"/>
      <c r="J40" s="38"/>
      <c r="K40" s="38"/>
      <c r="L40" s="38"/>
      <c r="M40" s="38"/>
      <c r="N40" s="38"/>
      <c r="O40" s="38"/>
      <c r="P40" s="38"/>
    </row>
    <row r="41" spans="2:16" ht="14.25" customHeight="1" x14ac:dyDescent="0.3">
      <c r="B41" s="67">
        <v>14</v>
      </c>
      <c r="C41" s="26" t="s">
        <v>203</v>
      </c>
      <c r="D41" s="116" t="s">
        <v>163</v>
      </c>
      <c r="E41" s="115">
        <v>1</v>
      </c>
      <c r="F41" s="115">
        <v>258</v>
      </c>
      <c r="G41" s="115">
        <f t="shared" si="1"/>
        <v>258</v>
      </c>
      <c r="H41" s="38"/>
      <c r="I41" s="38"/>
      <c r="J41" s="38"/>
      <c r="K41" s="38"/>
      <c r="L41" s="38"/>
      <c r="M41" s="38"/>
      <c r="N41" s="38"/>
      <c r="O41" s="38"/>
      <c r="P41" s="38"/>
    </row>
    <row r="42" spans="2:16" ht="14.25" customHeight="1" x14ac:dyDescent="0.3">
      <c r="B42" s="67">
        <v>15</v>
      </c>
      <c r="C42" s="26" t="s">
        <v>173</v>
      </c>
      <c r="D42" s="116" t="s">
        <v>163</v>
      </c>
      <c r="E42" s="115">
        <v>1</v>
      </c>
      <c r="F42" s="115">
        <v>5</v>
      </c>
      <c r="G42" s="115">
        <f t="shared" si="1"/>
        <v>5</v>
      </c>
      <c r="H42" s="38"/>
      <c r="I42" s="38"/>
      <c r="J42" s="38"/>
      <c r="K42" s="38"/>
      <c r="L42" s="38"/>
      <c r="M42" s="38"/>
      <c r="N42" s="38"/>
      <c r="O42" s="38"/>
      <c r="P42" s="38"/>
    </row>
    <row r="43" spans="2:16" ht="14.25" customHeight="1" x14ac:dyDescent="0.3">
      <c r="B43" s="67">
        <v>16</v>
      </c>
      <c r="C43" s="26" t="s">
        <v>172</v>
      </c>
      <c r="D43" s="116" t="s">
        <v>163</v>
      </c>
      <c r="E43" s="115">
        <v>1</v>
      </c>
      <c r="F43" s="115">
        <v>3.25</v>
      </c>
      <c r="G43" s="115">
        <f t="shared" si="1"/>
        <v>3.25</v>
      </c>
      <c r="H43" s="38"/>
      <c r="I43" s="38"/>
      <c r="J43" s="38"/>
      <c r="K43" s="38"/>
      <c r="L43" s="38"/>
      <c r="M43" s="38"/>
      <c r="N43" s="38"/>
      <c r="O43" s="38"/>
      <c r="P43" s="38"/>
    </row>
    <row r="44" spans="2:16" ht="14.25" customHeight="1" x14ac:dyDescent="0.3">
      <c r="B44" s="67">
        <v>17</v>
      </c>
      <c r="C44" s="26" t="s">
        <v>197</v>
      </c>
      <c r="D44" s="116" t="s">
        <v>163</v>
      </c>
      <c r="E44" s="115">
        <v>3</v>
      </c>
      <c r="F44" s="115">
        <v>118.67</v>
      </c>
      <c r="G44" s="115">
        <f t="shared" si="1"/>
        <v>356.01</v>
      </c>
      <c r="H44" s="38"/>
      <c r="I44" s="38"/>
      <c r="J44" s="38"/>
      <c r="K44" s="38"/>
      <c r="L44" s="38"/>
      <c r="M44" s="38"/>
      <c r="N44" s="38"/>
      <c r="O44" s="38"/>
      <c r="P44" s="38"/>
    </row>
    <row r="45" spans="2:16" ht="14.25" customHeight="1" x14ac:dyDescent="0.3">
      <c r="B45" s="67">
        <v>18</v>
      </c>
      <c r="C45" s="26" t="s">
        <v>245</v>
      </c>
      <c r="D45" s="116" t="s">
        <v>163</v>
      </c>
      <c r="E45" s="115">
        <v>3</v>
      </c>
      <c r="F45" s="115">
        <v>116.16</v>
      </c>
      <c r="G45" s="115">
        <f t="shared" si="1"/>
        <v>348.48</v>
      </c>
      <c r="H45" s="38"/>
      <c r="I45" s="38"/>
      <c r="J45" s="38"/>
      <c r="K45" s="38"/>
      <c r="L45" s="38"/>
      <c r="M45" s="38"/>
      <c r="N45" s="38"/>
      <c r="O45" s="38"/>
      <c r="P45" s="38"/>
    </row>
    <row r="46" spans="2:16" ht="14.25" customHeight="1" x14ac:dyDescent="0.3">
      <c r="B46" s="67">
        <v>19</v>
      </c>
      <c r="C46" s="26" t="s">
        <v>199</v>
      </c>
      <c r="D46" s="116" t="s">
        <v>163</v>
      </c>
      <c r="E46" s="115">
        <v>3</v>
      </c>
      <c r="F46" s="115">
        <v>330.94</v>
      </c>
      <c r="G46" s="115">
        <f t="shared" si="1"/>
        <v>992.81999999999994</v>
      </c>
      <c r="H46" s="38"/>
      <c r="I46" s="38"/>
      <c r="J46" s="38"/>
      <c r="K46" s="38"/>
      <c r="L46" s="38"/>
      <c r="M46" s="38"/>
      <c r="N46" s="38"/>
      <c r="O46" s="38"/>
      <c r="P46" s="38"/>
    </row>
    <row r="47" spans="2:16" ht="14.25" customHeight="1" x14ac:dyDescent="0.3">
      <c r="B47" s="67">
        <v>20</v>
      </c>
      <c r="C47" s="26" t="s">
        <v>200</v>
      </c>
      <c r="D47" s="116" t="s">
        <v>163</v>
      </c>
      <c r="E47" s="115">
        <v>2</v>
      </c>
      <c r="F47" s="115">
        <v>310.5</v>
      </c>
      <c r="G47" s="115">
        <f t="shared" si="1"/>
        <v>621</v>
      </c>
      <c r="H47" s="38"/>
      <c r="I47" s="38"/>
      <c r="J47" s="38"/>
      <c r="K47" s="38"/>
      <c r="L47" s="38"/>
      <c r="M47" s="38"/>
      <c r="N47" s="38"/>
      <c r="O47" s="38"/>
      <c r="P47" s="38"/>
    </row>
    <row r="48" spans="2:16" ht="14.25" customHeight="1" x14ac:dyDescent="0.3">
      <c r="B48" s="67">
        <v>21</v>
      </c>
      <c r="C48" s="26" t="s">
        <v>208</v>
      </c>
      <c r="D48" s="116" t="s">
        <v>163</v>
      </c>
      <c r="E48" s="115">
        <v>2</v>
      </c>
      <c r="F48" s="115">
        <v>22</v>
      </c>
      <c r="G48" s="115">
        <f t="shared" si="1"/>
        <v>44</v>
      </c>
      <c r="H48" s="38"/>
      <c r="I48" s="38"/>
      <c r="J48" s="38"/>
      <c r="K48" s="38"/>
      <c r="L48" s="38"/>
      <c r="M48" s="38"/>
      <c r="N48" s="38"/>
      <c r="O48" s="38"/>
      <c r="P48" s="38"/>
    </row>
    <row r="49" spans="2:16" ht="14.25" customHeight="1" x14ac:dyDescent="0.3">
      <c r="B49" s="67">
        <v>22</v>
      </c>
      <c r="C49" s="26" t="s">
        <v>209</v>
      </c>
      <c r="D49" s="116" t="s">
        <v>163</v>
      </c>
      <c r="E49" s="115">
        <v>2</v>
      </c>
      <c r="F49" s="115">
        <v>15.81</v>
      </c>
      <c r="G49" s="115">
        <f t="shared" si="1"/>
        <v>31.62</v>
      </c>
      <c r="H49" s="38"/>
      <c r="I49" s="38"/>
      <c r="J49" s="38"/>
      <c r="K49" s="38"/>
      <c r="L49" s="38"/>
      <c r="M49" s="38"/>
      <c r="N49" s="38"/>
      <c r="O49" s="38"/>
      <c r="P49" s="38"/>
    </row>
    <row r="50" spans="2:16" ht="14.25" customHeight="1" x14ac:dyDescent="0.3">
      <c r="B50" s="67">
        <v>23</v>
      </c>
      <c r="C50" s="26" t="s">
        <v>246</v>
      </c>
      <c r="D50" s="116" t="s">
        <v>163</v>
      </c>
      <c r="E50" s="115">
        <v>1</v>
      </c>
      <c r="F50" s="115">
        <v>3215</v>
      </c>
      <c r="G50" s="115">
        <f t="shared" si="1"/>
        <v>3215</v>
      </c>
      <c r="H50" s="38"/>
      <c r="I50" s="38"/>
      <c r="J50" s="38"/>
      <c r="K50" s="38"/>
      <c r="L50" s="38"/>
      <c r="M50" s="38"/>
      <c r="N50" s="38"/>
      <c r="O50" s="38"/>
      <c r="P50" s="38"/>
    </row>
    <row r="51" spans="2:16" ht="14.25" customHeight="1" x14ac:dyDescent="0.3">
      <c r="B51" s="67">
        <v>24</v>
      </c>
      <c r="C51" s="26" t="s">
        <v>247</v>
      </c>
      <c r="D51" s="116" t="s">
        <v>163</v>
      </c>
      <c r="E51" s="115">
        <v>3</v>
      </c>
      <c r="F51" s="115">
        <v>13.13</v>
      </c>
      <c r="G51" s="115">
        <f t="shared" si="1"/>
        <v>39.39</v>
      </c>
      <c r="H51" s="38"/>
      <c r="I51" s="38"/>
      <c r="J51" s="38"/>
      <c r="K51" s="38"/>
      <c r="L51" s="38"/>
      <c r="M51" s="38"/>
      <c r="N51" s="38"/>
      <c r="O51" s="38"/>
      <c r="P51" s="38"/>
    </row>
    <row r="52" spans="2:16" ht="14.25" customHeight="1" x14ac:dyDescent="0.3">
      <c r="B52" s="67">
        <v>25</v>
      </c>
      <c r="C52" s="26" t="s">
        <v>228</v>
      </c>
      <c r="D52" s="116" t="s">
        <v>175</v>
      </c>
      <c r="E52" s="115">
        <v>2</v>
      </c>
      <c r="F52" s="115">
        <v>14</v>
      </c>
      <c r="G52" s="115">
        <f t="shared" si="1"/>
        <v>28</v>
      </c>
      <c r="H52" s="38"/>
      <c r="I52" s="38"/>
      <c r="J52" s="38"/>
      <c r="K52" s="38"/>
      <c r="L52" s="38"/>
      <c r="M52" s="38"/>
      <c r="N52" s="38"/>
      <c r="O52" s="38"/>
      <c r="P52" s="38"/>
    </row>
    <row r="53" spans="2:16" ht="14.25" customHeight="1" x14ac:dyDescent="0.3">
      <c r="B53" s="67">
        <v>26</v>
      </c>
      <c r="C53" s="26" t="s">
        <v>198</v>
      </c>
      <c r="D53" s="116" t="s">
        <v>163</v>
      </c>
      <c r="E53" s="115">
        <v>2</v>
      </c>
      <c r="F53" s="115">
        <v>66.67</v>
      </c>
      <c r="G53" s="115">
        <f t="shared" si="1"/>
        <v>133.34</v>
      </c>
      <c r="H53" s="38"/>
      <c r="I53" s="38"/>
      <c r="J53" s="38"/>
      <c r="K53" s="38"/>
      <c r="L53" s="38"/>
      <c r="M53" s="38"/>
      <c r="N53" s="38"/>
      <c r="O53" s="38"/>
      <c r="P53" s="38"/>
    </row>
    <row r="54" spans="2:16" ht="14.25" customHeight="1" x14ac:dyDescent="0.3">
      <c r="B54" s="139" t="s">
        <v>29</v>
      </c>
      <c r="C54" s="140"/>
      <c r="D54" s="140"/>
      <c r="E54" s="140"/>
      <c r="F54" s="140"/>
      <c r="G54" s="141"/>
      <c r="H54" s="38"/>
      <c r="I54" s="38"/>
      <c r="J54" s="38"/>
      <c r="K54" s="38"/>
      <c r="L54" s="38"/>
      <c r="M54" s="38"/>
      <c r="N54" s="38"/>
      <c r="O54" s="38"/>
      <c r="P54" s="38"/>
    </row>
    <row r="55" spans="2:16" ht="14.25" customHeight="1" x14ac:dyDescent="0.3">
      <c r="B55" s="67">
        <v>1</v>
      </c>
      <c r="C55" s="68"/>
      <c r="D55" s="69"/>
      <c r="E55" s="54"/>
      <c r="F55" s="54"/>
      <c r="G55" s="54"/>
      <c r="H55" s="38"/>
      <c r="I55" s="38"/>
      <c r="J55" s="38"/>
      <c r="K55" s="38"/>
      <c r="L55" s="38"/>
      <c r="M55" s="38"/>
      <c r="N55" s="38"/>
      <c r="O55" s="38"/>
      <c r="P55" s="38"/>
    </row>
    <row r="56" spans="2:16" ht="14.25" customHeight="1" x14ac:dyDescent="0.3">
      <c r="B56" s="67">
        <v>2</v>
      </c>
      <c r="C56" s="68"/>
      <c r="D56" s="69"/>
      <c r="E56" s="54"/>
      <c r="F56" s="54"/>
      <c r="G56" s="54"/>
      <c r="H56" s="38"/>
      <c r="I56" s="38"/>
      <c r="J56" s="38"/>
      <c r="K56" s="38"/>
      <c r="L56" s="38"/>
      <c r="M56" s="38"/>
      <c r="N56" s="38"/>
      <c r="O56" s="38"/>
      <c r="P56" s="38"/>
    </row>
    <row r="57" spans="2:16" ht="14.25" customHeight="1" x14ac:dyDescent="0.3">
      <c r="B57" s="67">
        <v>3</v>
      </c>
      <c r="C57" s="68"/>
      <c r="D57" s="69"/>
      <c r="E57" s="54"/>
      <c r="F57" s="54"/>
      <c r="G57" s="54"/>
      <c r="H57" s="38"/>
      <c r="I57" s="38"/>
      <c r="J57" s="38"/>
      <c r="K57" s="38"/>
      <c r="L57" s="38"/>
      <c r="M57" s="38"/>
      <c r="N57" s="38"/>
      <c r="O57" s="38"/>
      <c r="P57" s="38"/>
    </row>
    <row r="58" spans="2:16" ht="14.25" customHeight="1" x14ac:dyDescent="0.3">
      <c r="B58" s="67">
        <v>4</v>
      </c>
      <c r="C58" s="68"/>
      <c r="D58" s="69"/>
      <c r="E58" s="54"/>
      <c r="F58" s="54"/>
      <c r="G58" s="54"/>
      <c r="H58" s="38"/>
      <c r="I58" s="38"/>
      <c r="J58" s="38"/>
      <c r="K58" s="38"/>
      <c r="L58" s="38"/>
      <c r="M58" s="38"/>
      <c r="N58" s="38"/>
      <c r="O58" s="38"/>
      <c r="P58" s="38"/>
    </row>
    <row r="59" spans="2:16" ht="14.25" customHeight="1" x14ac:dyDescent="0.3">
      <c r="B59" s="67">
        <v>5</v>
      </c>
      <c r="C59" s="68"/>
      <c r="D59" s="69"/>
      <c r="E59" s="54"/>
      <c r="F59" s="54"/>
      <c r="G59" s="54"/>
      <c r="H59" s="38"/>
      <c r="I59" s="38"/>
      <c r="J59" s="38"/>
      <c r="K59" s="38"/>
      <c r="L59" s="38"/>
      <c r="M59" s="38"/>
      <c r="N59" s="38"/>
      <c r="O59" s="38"/>
      <c r="P59" s="38"/>
    </row>
    <row r="60" spans="2:16" ht="14.25" customHeight="1" x14ac:dyDescent="0.3">
      <c r="B60" s="67">
        <v>6</v>
      </c>
      <c r="C60" s="68"/>
      <c r="D60" s="69"/>
      <c r="E60" s="54"/>
      <c r="F60" s="54"/>
      <c r="G60" s="54"/>
      <c r="H60" s="38"/>
      <c r="I60" s="38"/>
      <c r="J60" s="38"/>
      <c r="K60" s="38"/>
      <c r="L60" s="38"/>
      <c r="M60" s="38"/>
      <c r="N60" s="38"/>
      <c r="O60" s="38"/>
      <c r="P60" s="38"/>
    </row>
    <row r="61" spans="2:16" ht="14.25" customHeight="1" x14ac:dyDescent="0.3">
      <c r="B61" s="67">
        <v>7</v>
      </c>
      <c r="C61" s="68"/>
      <c r="D61" s="69"/>
      <c r="E61" s="54"/>
      <c r="F61" s="54"/>
      <c r="G61" s="54"/>
      <c r="H61" s="38"/>
      <c r="I61" s="38"/>
      <c r="J61" s="38"/>
      <c r="K61" s="38"/>
      <c r="L61" s="38"/>
      <c r="M61" s="38"/>
      <c r="N61" s="38"/>
      <c r="O61" s="38"/>
      <c r="P61" s="38"/>
    </row>
    <row r="62" spans="2:16" ht="14.25" customHeight="1" x14ac:dyDescent="0.3">
      <c r="B62" s="67">
        <v>8</v>
      </c>
      <c r="C62" s="68"/>
      <c r="D62" s="69"/>
      <c r="E62" s="54"/>
      <c r="F62" s="54"/>
      <c r="G62" s="54"/>
      <c r="H62" s="38"/>
      <c r="I62" s="38"/>
      <c r="J62" s="38"/>
      <c r="K62" s="38"/>
      <c r="L62" s="38"/>
      <c r="M62" s="38"/>
      <c r="N62" s="38"/>
      <c r="O62" s="38"/>
      <c r="P62" s="38"/>
    </row>
    <row r="63" spans="2:16" ht="14.25" customHeight="1" x14ac:dyDescent="0.3">
      <c r="B63" s="67">
        <v>9</v>
      </c>
      <c r="C63" s="68"/>
      <c r="D63" s="69"/>
      <c r="E63" s="54"/>
      <c r="F63" s="54"/>
      <c r="G63" s="54"/>
      <c r="H63" s="38"/>
      <c r="I63" s="38"/>
      <c r="J63" s="38"/>
      <c r="K63" s="38"/>
      <c r="L63" s="38"/>
      <c r="M63" s="38"/>
      <c r="N63" s="38"/>
      <c r="O63" s="38"/>
      <c r="P63" s="38"/>
    </row>
    <row r="64" spans="2:16" ht="14.25" customHeight="1" x14ac:dyDescent="0.3">
      <c r="B64" s="67">
        <v>10</v>
      </c>
      <c r="C64" s="68"/>
      <c r="D64" s="69"/>
      <c r="E64" s="54"/>
      <c r="F64" s="54"/>
      <c r="G64" s="54"/>
      <c r="H64" s="38"/>
      <c r="I64" s="38"/>
      <c r="J64" s="38"/>
      <c r="K64" s="38"/>
      <c r="L64" s="38"/>
      <c r="M64" s="38"/>
      <c r="N64" s="38"/>
      <c r="O64" s="38"/>
      <c r="P64" s="38"/>
    </row>
    <row r="65" spans="1:16" ht="14.25" customHeight="1" x14ac:dyDescent="0.3">
      <c r="A65" s="43"/>
      <c r="B65" s="38"/>
      <c r="C65" s="43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</row>
    <row r="66" spans="1:16" ht="14.25" customHeight="1" x14ac:dyDescent="0.3">
      <c r="A66" s="43"/>
      <c r="B66" s="38"/>
      <c r="C66" s="43"/>
      <c r="D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</row>
    <row r="67" spans="1:16" ht="15.75" customHeight="1" x14ac:dyDescent="0.25"/>
    <row r="68" spans="1:16" ht="15.75" customHeight="1" x14ac:dyDescent="0.25"/>
    <row r="69" spans="1:16" ht="15.75" customHeight="1" x14ac:dyDescent="0.25"/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4:G5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54</xdr:row>
                    <xdr:rowOff>28575</xdr:rowOff>
                  </from>
                  <to>
                    <xdr:col>1</xdr:col>
                    <xdr:colOff>771525</xdr:colOff>
                    <xdr:row>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54</xdr:row>
                    <xdr:rowOff>28575</xdr:rowOff>
                  </from>
                  <to>
                    <xdr:col>1</xdr:col>
                    <xdr:colOff>1543050</xdr:colOff>
                    <xdr:row>54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2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 t="s">
        <v>175</v>
      </c>
      <c r="E28" s="54"/>
      <c r="F28" s="54"/>
      <c r="G28" s="54" t="s">
        <v>174</v>
      </c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data_general'!$C$32</f>
        <v>Level II and III</v>
      </c>
      <c r="G1" s="111" t="str">
        <f>'1.1 Case data_general'!$C$33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2018-05-31T05:46:42Z</dcterms:modified>
</cp:coreProperties>
</file>