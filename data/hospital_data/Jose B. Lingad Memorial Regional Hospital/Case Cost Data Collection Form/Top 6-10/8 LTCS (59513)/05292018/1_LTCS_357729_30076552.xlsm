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Supplies_Medical'!$C$15:$C$70</definedName>
    <definedName name="Drugs">'1.2 Drugs&amp;Med'!$C$11:$C$16</definedName>
    <definedName name="_xlnm.Print_Area" localSheetId="0">'1.1 Case data_general'!$B$1:$F$87</definedName>
    <definedName name="_xlnm.Print_Area" localSheetId="1">'1.2 Drugs&amp;Med'!$B$2:$J$33</definedName>
  </definedNames>
  <calcPr calcId="144525"/>
</workbook>
</file>

<file path=xl/calcChain.xml><?xml version="1.0" encoding="utf-8"?>
<calcChain xmlns="http://schemas.openxmlformats.org/spreadsheetml/2006/main">
  <c r="G38" i="9" l="1"/>
  <c r="J32" i="2"/>
  <c r="J31" i="2"/>
  <c r="J30" i="2"/>
  <c r="J29" i="2"/>
  <c r="G37" i="9"/>
  <c r="G36" i="9"/>
  <c r="G35" i="9"/>
  <c r="G34" i="9"/>
  <c r="G33" i="9"/>
  <c r="G32" i="9"/>
  <c r="G31" i="9"/>
  <c r="G30" i="9"/>
  <c r="G29" i="9"/>
  <c r="G28" i="9"/>
  <c r="G27" i="9"/>
  <c r="G26" i="9"/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9" i="9"/>
  <c r="G58" i="9"/>
  <c r="G57" i="9"/>
  <c r="G56" i="9"/>
  <c r="G55" i="9"/>
  <c r="G54" i="9"/>
  <c r="G53" i="9"/>
  <c r="G52" i="9"/>
  <c r="G51" i="9"/>
  <c r="J19" i="2" l="1"/>
  <c r="J18" i="2"/>
  <c r="J17" i="2"/>
  <c r="G50" i="9"/>
  <c r="G49" i="9"/>
  <c r="G48" i="9"/>
  <c r="G47" i="9"/>
  <c r="G46" i="9"/>
  <c r="G45" i="9"/>
  <c r="G44" i="9"/>
  <c r="G43" i="9"/>
  <c r="G42" i="9"/>
  <c r="G41" i="9"/>
  <c r="G40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7" i="1"/>
  <c r="E87" i="1"/>
  <c r="D8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<sst xmlns="http://schemas.openxmlformats.org/spreadsheetml/2006/main" count="627" uniqueCount="276">
  <si>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</si>
  <si>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</si>
  <si>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</si>
  <si>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</si>
  <si>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</si>
  <si>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</si>
  <si>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</si>
  <si>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</si>
  <si>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</si>
  <si>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</si>
  <si>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</si>
  <si>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</si>
  <si>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</si>
  <si>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</si>
  <si>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</si>
  <si>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</si>
  <si>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</si>
  <si>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</si>
  <si>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</si>
  <si>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</si>
  <si>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</si>
  <si>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</si>
  <si>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</si>
  <si>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</si>
  <si>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</si>
  <si>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</si>
  <si>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</si>
  <si>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</si>
  <si>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</si>
  <si>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</si>
  <si>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</si>
  <si>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</si>
  <si>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</si>
  <si>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</si>
  <si>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</si>
  <si>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</si>
  <si>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</si>
  <si>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</si>
  <si>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</si>
  <si>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</si>
  <si>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</si>
  <si>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</si>
  <si>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</si>
  <si>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</si>
  <si>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</si>
  <si>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</si>
  <si>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</si>
  <si>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</si>
  <si>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</si>
  <si>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</si>
  <si>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</si>
  <si>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</si>
  <si>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</si>
  <si>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</si>
  <si>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</si>
  <si>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</si>
  <si>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</si>
  <si>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</si>
  <si>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</si>
  <si>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</si>
  <si>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</si>
  <si>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</si>
  <si>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</si>
  <si>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</si>
  <si>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</si>
  <si>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</si>
  <si>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</si>
  <si>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</si>
  <si>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</si>
  <si>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</si>
  <si>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</si>
  <si>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</si>
  <si>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</si>
  <si>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</si>
  <si>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</si>
  <si>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</si>
  <si>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</si>
  <si>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</si>
  <si>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</si>
  <si>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</si>
  <si>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</si>
  <si>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</si>
  <si>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</si>
  <si>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</si>
  <si>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</si>
  <si>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</si>
  <si>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</si>
  <si>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</si>
  <si>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</si>
  <si>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</si>
  <si>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</si>
  <si>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</si>
  <si>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</si>
  <si>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</si>
  <si>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</si>
  <si>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</si>
  <si>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</si>
  <si>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</si>
  <si>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</si>
  <si>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</si>
  <si>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</si>
  <si>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</si>
  <si>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</si>
  <si>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</si>
  <si>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</si>
  <si>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</si>
  <si>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</si>
  <si>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</si>
  <si>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</si>
  <si>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</si>
  <si>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</si>
  <si>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</si>
  <si>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</si>
  <si>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</si>
  <si>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</si>
  <si>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</si>
  <si>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</si>
  <si>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</si>
  <si>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</si>
  <si>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</si>
  <si>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</si>
  <si>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</si>
  <si>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</si>
  <si>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</si>
  <si>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</si>
  <si>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</si>
  <si>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</si>
  <si>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</si>
  <si>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</si>
  <si>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</si>
  <si>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</si>
  <si>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</si>
  <si>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</si>
  <si>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</si>
  <si>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</si>
  <si>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</si>
  <si>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</si>
  <si>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</si>
  <si>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</si>
  <si>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</si>
  <si>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</si>
  <si>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</si>
  <si>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</si>
  <si>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</si>
  <si>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</si>
  <si>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</si>
  <si>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</si>
  <si>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</si>
  <si>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</si>
  <si>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</si>
  <si>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</si>
  <si>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</si>
  <si>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</si>
  <si>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</si>
  <si>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</si>
  <si>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</si>
  <si>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</si>
  <si>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</si>
  <si>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</si>
  <si>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</si>
  <si>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</si>
  <si>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</si>
  <si>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</si>
  <si>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</si>
  <si>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</si>
  <si>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</si>
  <si>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</si>
  <si>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</si>
  <si>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</si>
  <si>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</si>
  <si>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</si>
  <si>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</si>
  <si>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</si>
  <si>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</si>
  <si>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</si>
  <si>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</si>
  <si>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</si>
  <si>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</si>
  <si>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</si>
  <si>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</si>
  <si>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</si>
  <si>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</si>
  <si>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</si>
  <si>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</si>
  <si>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10MCG</t>
  </si>
  <si>
    <t>1L</t>
  </si>
  <si>
    <t>500MG</t>
  </si>
  <si>
    <t>200MG</t>
  </si>
  <si>
    <t>AMPULE</t>
  </si>
  <si>
    <t>(PLAIN LRS 1L) LACTATED RINGER''''S SOLUTION 1000ML (PLAIN LRS 1L) X 12S</t>
  </si>
  <si>
    <t>MEDICAL GLOVES W/ CUFF, STERILE LATEX, NATURAL RUBBER: BOX OF 50'S  WARD USE SIZE 6 1/2</t>
  </si>
  <si>
    <t>PAIR</t>
  </si>
  <si>
    <t>MAJOR</t>
  </si>
  <si>
    <t>CROSSMATCHING FULLY AUTOMATED (1 UNIT)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</si>
  <si>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</si>
  <si>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</si>
  <si>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</si>
  <si>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</si>
  <si>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</si>
  <si>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SUCTION TUBING YANKAUER TIP F25 X 150CM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</si>
  <si>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</si>
  <si>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</si>
  <si>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</si>
  <si>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</si>
  <si>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</si>
  <si>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</si>
  <si>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FOLEY CATHETER FR 14, 2 WAY, BOX OF 20</t>
  </si>
  <si>
    <t>URINE BAG, ADULT W/ DRAINAGE TUBE 2,000 ML</t>
  </si>
  <si>
    <t>OXYGEN MASK ADULT W/ CONNECTING TUBE</t>
  </si>
  <si>
    <t>BUPIVACAINE HCL- SPINAL  0.5% - 4ML + 8% DEXTROSE</t>
  </si>
  <si>
    <t>RANITIDINE HCI 25MG/ML-2ML</t>
  </si>
  <si>
    <t>METOCLOPRAMIDE HCL 5MG/ML-2ML</t>
  </si>
  <si>
    <t>KETOROLAC TROMETHAMOL 30MG/ML-1ML</t>
  </si>
  <si>
    <t>TRAMADOL HCL 50MG/ML-2ML</t>
  </si>
  <si>
    <t>0.5%-4ML</t>
  </si>
  <si>
    <t>25MG</t>
  </si>
  <si>
    <t>30MG</t>
  </si>
  <si>
    <t>50MG</t>
  </si>
  <si>
    <t>357729/73248</t>
  </si>
  <si>
    <t>O32.4</t>
  </si>
  <si>
    <t>O33.9</t>
  </si>
  <si>
    <t>O72.1</t>
  </si>
  <si>
    <t>O71.7</t>
  </si>
  <si>
    <t>O99.0</t>
  </si>
  <si>
    <t>D62</t>
  </si>
  <si>
    <t>O82.2</t>
  </si>
  <si>
    <t>SGPT</t>
  </si>
  <si>
    <t>SGOT</t>
  </si>
  <si>
    <t>CREATININE (CREA)</t>
  </si>
  <si>
    <t>LDH</t>
  </si>
  <si>
    <t>BLOOD UREA NITROGEN (BUN)</t>
  </si>
  <si>
    <t>URINALYSIS (UA)</t>
  </si>
  <si>
    <t>K (POTASSIUM)</t>
  </si>
  <si>
    <t>FRESH WHOLE BLOOD - FWB (1 UNIT) (OPD/WALKIN)</t>
  </si>
  <si>
    <t>SCREENING/PROCESSING PRBC</t>
  </si>
  <si>
    <t>CBC, PC</t>
  </si>
  <si>
    <t>HISTOPATHOLOGY - LARGE</t>
  </si>
  <si>
    <t>CASE RATE</t>
  </si>
  <si>
    <t>PF CASE RATE</t>
  </si>
  <si>
    <t>NBB</t>
  </si>
  <si>
    <t>CAUTERY GROUND DISPOSABLE WITH UNIVERSAL CONNECTOR,</t>
  </si>
  <si>
    <t>ELECTROSURGICAL HAND CONTROL PENCIL W/ 3 MALE PLUG, STERILE;MUST BE COMPATIBLE WITH EXISTING CAUTERY MACHINE (UNIVERSAL)</t>
  </si>
  <si>
    <t>SURGICAL LAPAROTOMY SPONGE 8"X36", 24X28 MESH, 12 PLY SEWED EDGES STERILE W/ DETECTABLE X-RAY THREAD (LAP SPONGE 8"X36"X12 PLY, LOOP W/ X-RAY THREAD, STERILE, 1 PIECE/PCK) (CPR NEEDED)</t>
  </si>
  <si>
    <t>BLOOD ADMINISTRATION SET W/ FILTER, STRAIGHT-TYPE BLOOD TRANSFUSION WITH A 170 MICRON NYLON MESH FILTER AND NEEDLE/CATHETER ADAPTER; APPROXIMATE LENGTH 58". INCLUDES ONE 18G X 1.5" NEEDLE</t>
  </si>
  <si>
    <t>IV CATHETER GAUGE 20</t>
  </si>
  <si>
    <t>ULTRASOUND PRINTING PAPER 110MM X 20MM (HIGH DENSITY) (DURICO TYPE 1)</t>
  </si>
  <si>
    <t>DISPOSABLE INSULIN SYRINGE 1CC G 30 0.3 X 8MM BOX OF 100'S ( SHORT NEEDLE ULTRAFINE ) (CPR NEEDED)</t>
  </si>
  <si>
    <t>NGT 8 STRAIGHT, 40CM (CPR NEEDED)</t>
  </si>
  <si>
    <t>MATERNITY PAD  X 8</t>
  </si>
  <si>
    <t>Z-FOLD PAPER FOR FETAL CHART 30-240BPM X 40S (152MM X 90MM X 150 SHEETS)</t>
  </si>
  <si>
    <t>IV SET W/ AIRWAY FOR IV PUSH, VACOSET/MACRODRIP, ADULT</t>
  </si>
  <si>
    <t>STERILE WATER FOR INJECTION, 10ML (SWFI)</t>
  </si>
  <si>
    <t>ROLL</t>
  </si>
  <si>
    <t>METHYLERGOMETRINE MALEATE 200MCG AMP</t>
  </si>
  <si>
    <t>HYDROXYETHYLSTARCH 6% SOLUTION</t>
  </si>
  <si>
    <t>KETAMINE HCL 50MG/ML-10ML (IM,IV)</t>
  </si>
  <si>
    <t>(SAFETY FILTER)   BLOOD ADMINISTRATION SET W/ FILTER</t>
  </si>
  <si>
    <t>PHYTOMENADIONE ( VITAMIN K ) 10MG/1ML</t>
  </si>
  <si>
    <t>ERYTHROMYCIN  EYE OINTMENT 0.5%, 3.5G</t>
  </si>
  <si>
    <t>HYOSCINE N-BUTYLBROMIDE 20MG/ML-1ML</t>
  </si>
  <si>
    <t>CARBOPROST 250MCG/ML-1ML</t>
  </si>
  <si>
    <t>METRONIDAZOLE 5MG/ML-100ML (IV INFUSION)</t>
  </si>
  <si>
    <t>TRANEXAMIC ACID 100MG/ML-5ML</t>
  </si>
  <si>
    <t>PARACETAMOL (ACETAMINOPHEN) 300MG-2ML</t>
  </si>
  <si>
    <t>METRONIDAZOLE 500MG IN BLISTER FOIL PACK</t>
  </si>
  <si>
    <t>CEFUROXIME 500MG IN BLISTER FOIL PACK</t>
  </si>
  <si>
    <t>200MCG</t>
  </si>
  <si>
    <t>5MG</t>
  </si>
  <si>
    <t>6%</t>
  </si>
  <si>
    <t>10MG</t>
  </si>
  <si>
    <t>3.5G</t>
  </si>
  <si>
    <t>20MG</t>
  </si>
  <si>
    <t>250MCG</t>
  </si>
  <si>
    <t>100MG</t>
  </si>
  <si>
    <t>300MG</t>
  </si>
  <si>
    <t>TABLET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</si>
</sst>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75</xdr:row>
          <xdr:rowOff>19050</xdr:rowOff>
        </xdr:from>
        <xdr:to>
          <xdr:col>1</xdr:col>
          <xdr:colOff>733425</xdr:colOff>
          <xdr:row>75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75</xdr:row>
          <xdr:rowOff>19050</xdr:rowOff>
        </xdr:from>
        <xdr:to>
          <xdr:col>1</xdr:col>
          <xdr:colOff>1504950</xdr:colOff>
          <xdr:row>75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28575</xdr:rowOff>
        </xdr:from>
        <xdr:to>
          <xdr:col>1</xdr:col>
          <xdr:colOff>762000</xdr:colOff>
          <xdr:row>39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39</xdr:row>
          <xdr:rowOff>28575</xdr:rowOff>
        </xdr:from>
        <xdr:to>
          <xdr:col>1</xdr:col>
          <xdr:colOff>1533525</xdr:colOff>
          <xdr:row>39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</xdr:row>
          <xdr:rowOff>28575</xdr:rowOff>
        </xdr:from>
        <xdr:to>
          <xdr:col>1</xdr:col>
          <xdr:colOff>771525</xdr:colOff>
          <xdr:row>60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60</xdr:row>
          <xdr:rowOff>28575</xdr:rowOff>
        </xdr:from>
        <xdr:to>
          <xdr:col>1</xdr:col>
          <xdr:colOff>1543050</xdr:colOff>
          <xdr:row>60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4"/>
  <sheetViews>
    <sheetView tabSelected="1" zoomScaleNormal="100" workbookViewId="0">
      <selection activeCell="C53" sqref="C5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218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219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220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221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222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223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9">
        <v>6</v>
      </c>
      <c r="C24" s="30" t="s">
        <v>224</v>
      </c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9">
        <v>7</v>
      </c>
      <c r="C25" s="30" t="s">
        <v>225</v>
      </c>
      <c r="D25" s="20"/>
      <c r="E25" s="20"/>
      <c r="F25" s="2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9">
        <v>8</v>
      </c>
      <c r="C26" s="30" t="s">
        <v>164</v>
      </c>
      <c r="D26" s="20"/>
      <c r="E26" s="20"/>
      <c r="F26" s="2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51</v>
      </c>
      <c r="C27" s="119"/>
      <c r="D27" s="119"/>
      <c r="E27" s="119"/>
      <c r="F27" s="12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1</v>
      </c>
      <c r="C28" s="26">
        <v>59513</v>
      </c>
      <c r="D28" s="28" t="s">
        <v>192</v>
      </c>
      <c r="E28" s="54">
        <v>1</v>
      </c>
      <c r="F28" s="54">
        <v>2.5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/>
      <c r="D30" s="28"/>
      <c r="E30" s="54"/>
      <c r="F30" s="5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/>
      <c r="D31" s="28"/>
      <c r="E31" s="54"/>
      <c r="F31" s="5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/>
      <c r="D32" s="28"/>
      <c r="E32" s="54"/>
      <c r="F32" s="5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1" t="s">
        <v>42</v>
      </c>
      <c r="C33" s="122"/>
      <c r="D33" s="122"/>
      <c r="E33" s="122"/>
      <c r="F33" s="13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09" t="s">
        <v>158</v>
      </c>
      <c r="C34" s="112" t="s">
        <v>162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09" t="s">
        <v>159</v>
      </c>
      <c r="C35" s="113" t="s">
        <v>123</v>
      </c>
      <c r="D35" s="13"/>
      <c r="E35" s="13"/>
      <c r="F35" s="1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14" t="s">
        <v>160</v>
      </c>
      <c r="C36" s="113" t="s">
        <v>140</v>
      </c>
      <c r="D36" s="13"/>
      <c r="E36" s="13"/>
      <c r="F36" s="1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15" t="s">
        <v>17</v>
      </c>
      <c r="C37" s="7"/>
      <c r="D37" s="7"/>
      <c r="E37" s="55">
        <v>10</v>
      </c>
      <c r="F37" s="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18</v>
      </c>
      <c r="C38" s="119"/>
      <c r="D38" s="119"/>
      <c r="E38" s="119"/>
      <c r="F38" s="12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9">
        <v>1</v>
      </c>
      <c r="C39" s="26" t="s">
        <v>165</v>
      </c>
      <c r="D39" s="22"/>
      <c r="E39" s="56">
        <v>2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2</v>
      </c>
      <c r="C40" s="26" t="s">
        <v>226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3</v>
      </c>
      <c r="C41" s="26" t="s">
        <v>227</v>
      </c>
      <c r="D41" s="22"/>
      <c r="E41" s="54">
        <v>1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4</v>
      </c>
      <c r="C42" s="26" t="s">
        <v>228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5</v>
      </c>
      <c r="C43" s="26" t="s">
        <v>229</v>
      </c>
      <c r="D43" s="22"/>
      <c r="E43" s="54">
        <v>1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6</v>
      </c>
      <c r="C44" s="26" t="s">
        <v>230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7</v>
      </c>
      <c r="C45" s="26" t="s">
        <v>166</v>
      </c>
      <c r="D45" s="22"/>
      <c r="E45" s="54">
        <v>1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8</v>
      </c>
      <c r="C46" s="26" t="s">
        <v>231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9</v>
      </c>
      <c r="C47" s="26" t="s">
        <v>232</v>
      </c>
      <c r="D47" s="22"/>
      <c r="E47" s="54">
        <v>1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10</v>
      </c>
      <c r="C48" s="26" t="s">
        <v>193</v>
      </c>
      <c r="D48" s="22"/>
      <c r="E48" s="54">
        <v>4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11</v>
      </c>
      <c r="C49" s="26" t="s">
        <v>233</v>
      </c>
      <c r="D49" s="22"/>
      <c r="E49" s="54">
        <v>1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12</v>
      </c>
      <c r="C50" s="26" t="s">
        <v>234</v>
      </c>
      <c r="D50" s="22"/>
      <c r="E50" s="54">
        <v>1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13</v>
      </c>
      <c r="C51" s="26" t="s">
        <v>235</v>
      </c>
      <c r="D51" s="22"/>
      <c r="E51" s="54">
        <v>1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>
        <v>14</v>
      </c>
      <c r="C52" s="26" t="s">
        <v>167</v>
      </c>
      <c r="D52" s="22"/>
      <c r="E52" s="54">
        <v>2</v>
      </c>
      <c r="F52" s="2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>
        <v>15</v>
      </c>
      <c r="C53" s="26" t="s">
        <v>236</v>
      </c>
      <c r="D53" s="22"/>
      <c r="E53" s="54">
        <v>1</v>
      </c>
      <c r="F53" s="2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21" t="s">
        <v>19</v>
      </c>
      <c r="C54" s="122"/>
      <c r="D54" s="119"/>
      <c r="E54" s="122"/>
      <c r="F54" s="12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1</v>
      </c>
      <c r="C55" s="26"/>
      <c r="D55" s="22"/>
      <c r="E55" s="54"/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2</v>
      </c>
      <c r="C56" s="26"/>
      <c r="D56" s="22"/>
      <c r="E56" s="54"/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3</v>
      </c>
      <c r="C57" s="26"/>
      <c r="D57" s="22"/>
      <c r="E57" s="54"/>
      <c r="F57" s="2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>
        <v>4</v>
      </c>
      <c r="C58" s="26"/>
      <c r="D58" s="22"/>
      <c r="E58" s="54"/>
      <c r="F58" s="23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21" t="s">
        <v>43</v>
      </c>
      <c r="C59" s="122"/>
      <c r="D59" s="119"/>
      <c r="E59" s="122"/>
      <c r="F59" s="12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4" t="s">
        <v>44</v>
      </c>
      <c r="C60" s="13"/>
      <c r="D60" s="13"/>
      <c r="E60" s="54">
        <v>4</v>
      </c>
      <c r="F60" s="13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Bot="1" x14ac:dyDescent="0.35">
      <c r="A61" s="1"/>
      <c r="B61" s="118" t="s">
        <v>52</v>
      </c>
      <c r="C61" s="119"/>
      <c r="D61" s="119"/>
      <c r="E61" s="119"/>
      <c r="F61" s="120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9"/>
      <c r="B62" s="29">
        <v>1</v>
      </c>
      <c r="C62" s="30"/>
      <c r="D62" s="31"/>
      <c r="E62" s="56"/>
      <c r="F62" s="56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9"/>
      <c r="B63" s="29">
        <v>2</v>
      </c>
      <c r="C63" s="30"/>
      <c r="D63" s="31"/>
      <c r="E63" s="56"/>
      <c r="F63" s="56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9"/>
      <c r="B64" s="25">
        <v>3</v>
      </c>
      <c r="C64" s="26"/>
      <c r="D64" s="27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9"/>
      <c r="B65" s="25">
        <v>4</v>
      </c>
      <c r="C65" s="26"/>
      <c r="D65" s="27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Bot="1" x14ac:dyDescent="0.35">
      <c r="A66" s="1"/>
      <c r="B66" s="118" t="s">
        <v>20</v>
      </c>
      <c r="C66" s="119"/>
      <c r="D66" s="119"/>
      <c r="E66" s="119"/>
      <c r="F66" s="120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>
        <v>1</v>
      </c>
      <c r="C67" s="26"/>
      <c r="D67" s="27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>
        <v>2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>
        <v>3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>
        <v>4</v>
      </c>
      <c r="C70" s="26"/>
      <c r="D70" s="27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5">
        <v>5</v>
      </c>
      <c r="C71" s="26"/>
      <c r="D71" s="27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5">
        <v>6</v>
      </c>
      <c r="C72" s="26"/>
      <c r="D72" s="27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24"/>
      <c r="C73" s="24"/>
      <c r="D73" s="24"/>
      <c r="E73" s="24"/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57.75" customHeight="1" thickBot="1" x14ac:dyDescent="0.35">
      <c r="A75" s="1"/>
      <c r="B75" s="16" t="s">
        <v>54</v>
      </c>
      <c r="C75" s="16" t="s">
        <v>50</v>
      </c>
      <c r="D75" s="16" t="s">
        <v>55</v>
      </c>
      <c r="E75" s="17" t="s">
        <v>56</v>
      </c>
      <c r="F75" s="18" t="s">
        <v>21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2">
        <v>1</v>
      </c>
      <c r="C76" s="26" t="s">
        <v>237</v>
      </c>
      <c r="D76" s="54">
        <v>11400</v>
      </c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2</v>
      </c>
      <c r="C77" s="26" t="s">
        <v>238</v>
      </c>
      <c r="D77" s="54">
        <v>7600</v>
      </c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3</v>
      </c>
      <c r="C78" s="26" t="s">
        <v>239</v>
      </c>
      <c r="D78" s="54"/>
      <c r="E78" s="54">
        <v>11643.87</v>
      </c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4</v>
      </c>
      <c r="C79" s="26"/>
      <c r="D79" s="54"/>
      <c r="E79" s="54"/>
      <c r="F79" s="5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5</v>
      </c>
      <c r="C80" s="26"/>
      <c r="D80" s="54"/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6</v>
      </c>
      <c r="C81" s="26"/>
      <c r="D81" s="54"/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7</v>
      </c>
      <c r="C82" s="26"/>
      <c r="D82" s="54"/>
      <c r="E82" s="54"/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8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9</v>
      </c>
      <c r="C84" s="26"/>
      <c r="D84" s="54"/>
      <c r="E84" s="54"/>
      <c r="F84" s="5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10</v>
      </c>
      <c r="C85" s="26"/>
      <c r="D85" s="54"/>
      <c r="E85" s="54"/>
      <c r="F85" s="54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4.9000000000000004" customHeight="1" thickBot="1" x14ac:dyDescent="0.35">
      <c r="A86" s="1"/>
      <c r="B86" s="1"/>
      <c r="C86" s="1"/>
      <c r="D86" s="57"/>
      <c r="E86" s="57"/>
      <c r="F86" s="57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thickTop="1" x14ac:dyDescent="0.3">
      <c r="A87" s="1"/>
      <c r="B87" s="11"/>
      <c r="C87" s="4" t="s">
        <v>22</v>
      </c>
      <c r="D87" s="58">
        <f>SUM(D76:D86)</f>
        <v>19000</v>
      </c>
      <c r="E87" s="58">
        <f>SUM(E76:E86)</f>
        <v>11643.87</v>
      </c>
      <c r="F87" s="58">
        <f>SUM(F76:F86)</f>
        <v>0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</sheetData>
  <sheetProtection password="C2E9" sheet="1" objects="1" scenarios="1" formatColumns="0" formatRows="0" sort="0" autoFilter="0"/>
  <mergeCells count="12">
    <mergeCell ref="B66:F66"/>
    <mergeCell ref="B59:F59"/>
    <mergeCell ref="B12:F12"/>
    <mergeCell ref="B13:F13"/>
    <mergeCell ref="B14:F14"/>
    <mergeCell ref="B15:F15"/>
    <mergeCell ref="B18:F18"/>
    <mergeCell ref="B27:F27"/>
    <mergeCell ref="B38:F38"/>
    <mergeCell ref="B33:F33"/>
    <mergeCell ref="B54:F54"/>
    <mergeCell ref="B61:F61"/>
  </mergeCells>
  <dataValidations count="1">
    <dataValidation type="decimal" operator="greaterThanOrEqual" allowBlank="1" showInputMessage="1" showErrorMessage="1" sqref="E37 E55:E58 E60 E28:F32 E62:F65 E67:F72 E39:E53 D76:F8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75</xdr:row>
                    <xdr:rowOff>19050</xdr:rowOff>
                  </from>
                  <to>
                    <xdr:col>1</xdr:col>
                    <xdr:colOff>733425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75</xdr:row>
                    <xdr:rowOff>19050</xdr:rowOff>
                  </from>
                  <to>
                    <xdr:col>1</xdr:col>
                    <xdr:colOff>1504950</xdr:colOff>
                    <xdr:row>75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B1" workbookViewId="0">
      <selection activeCell="C11" sqref="C11:C32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22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176</v>
      </c>
      <c r="D11" s="26" t="s">
        <v>188</v>
      </c>
      <c r="E11" s="26" t="s">
        <v>184</v>
      </c>
      <c r="F11" s="54">
        <v>2</v>
      </c>
      <c r="G11" s="54">
        <v>5</v>
      </c>
      <c r="H11" s="54">
        <v>10</v>
      </c>
      <c r="I11" s="54">
        <v>8.52</v>
      </c>
      <c r="J11" s="54">
        <f>H11*I11</f>
        <v>85.199999999999989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209</v>
      </c>
      <c r="D12" s="26" t="s">
        <v>205</v>
      </c>
      <c r="E12" s="26" t="s">
        <v>214</v>
      </c>
      <c r="F12" s="54">
        <v>1</v>
      </c>
      <c r="G12" s="54">
        <v>1</v>
      </c>
      <c r="H12" s="54">
        <v>1</v>
      </c>
      <c r="I12" s="54">
        <v>81.63</v>
      </c>
      <c r="J12" s="54">
        <f t="shared" ref="J12:J32" si="0">H12*I12</f>
        <v>81.63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253</v>
      </c>
      <c r="D13" s="26" t="s">
        <v>188</v>
      </c>
      <c r="E13" s="26" t="s">
        <v>266</v>
      </c>
      <c r="F13" s="54">
        <v>1</v>
      </c>
      <c r="G13" s="54">
        <v>2</v>
      </c>
      <c r="H13" s="54">
        <v>2</v>
      </c>
      <c r="I13" s="54">
        <v>20</v>
      </c>
      <c r="J13" s="54">
        <f t="shared" si="0"/>
        <v>40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211</v>
      </c>
      <c r="D14" s="26" t="s">
        <v>188</v>
      </c>
      <c r="E14" s="26" t="s">
        <v>267</v>
      </c>
      <c r="F14" s="54">
        <v>1</v>
      </c>
      <c r="G14" s="54">
        <v>1</v>
      </c>
      <c r="H14" s="54">
        <v>1</v>
      </c>
      <c r="I14" s="54">
        <v>3.24</v>
      </c>
      <c r="J14" s="54">
        <f t="shared" si="0"/>
        <v>3.24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254</v>
      </c>
      <c r="D15" s="26" t="s">
        <v>205</v>
      </c>
      <c r="E15" s="117" t="s">
        <v>268</v>
      </c>
      <c r="F15" s="54">
        <v>1</v>
      </c>
      <c r="G15" s="54">
        <v>1</v>
      </c>
      <c r="H15" s="54">
        <v>1</v>
      </c>
      <c r="I15" s="54">
        <v>853.33</v>
      </c>
      <c r="J15" s="54">
        <f t="shared" si="0"/>
        <v>853.33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255</v>
      </c>
      <c r="D16" s="26" t="s">
        <v>188</v>
      </c>
      <c r="E16" s="26" t="s">
        <v>217</v>
      </c>
      <c r="F16" s="54">
        <v>1</v>
      </c>
      <c r="G16" s="54">
        <v>2</v>
      </c>
      <c r="H16" s="54">
        <v>2</v>
      </c>
      <c r="I16" s="54">
        <v>422</v>
      </c>
      <c r="J16" s="54">
        <f t="shared" si="0"/>
        <v>844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2:20" ht="12.75" customHeight="1" x14ac:dyDescent="0.3">
      <c r="B17" s="41">
        <v>7</v>
      </c>
      <c r="C17" s="26" t="s">
        <v>257</v>
      </c>
      <c r="D17" s="26" t="s">
        <v>180</v>
      </c>
      <c r="E17" s="26" t="s">
        <v>269</v>
      </c>
      <c r="F17" s="54">
        <v>1</v>
      </c>
      <c r="G17" s="54">
        <v>1</v>
      </c>
      <c r="H17" s="54">
        <v>1</v>
      </c>
      <c r="I17" s="54">
        <v>21.31</v>
      </c>
      <c r="J17" s="54">
        <f t="shared" si="0"/>
        <v>21.31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2:20" ht="12.75" customHeight="1" x14ac:dyDescent="0.3">
      <c r="B18" s="41">
        <v>8</v>
      </c>
      <c r="C18" s="26" t="s">
        <v>258</v>
      </c>
      <c r="D18" s="26" t="s">
        <v>182</v>
      </c>
      <c r="E18" s="26" t="s">
        <v>270</v>
      </c>
      <c r="F18" s="54">
        <v>1</v>
      </c>
      <c r="G18" s="54">
        <v>1</v>
      </c>
      <c r="H18" s="54">
        <v>1</v>
      </c>
      <c r="I18" s="54">
        <v>21</v>
      </c>
      <c r="J18" s="54">
        <f t="shared" si="0"/>
        <v>21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2:20" ht="12.75" customHeight="1" x14ac:dyDescent="0.3">
      <c r="B19" s="41">
        <v>9</v>
      </c>
      <c r="C19" s="26" t="s">
        <v>177</v>
      </c>
      <c r="D19" s="26" t="s">
        <v>181</v>
      </c>
      <c r="E19" s="26" t="s">
        <v>185</v>
      </c>
      <c r="F19" s="54">
        <v>2</v>
      </c>
      <c r="G19" s="54">
        <v>3</v>
      </c>
      <c r="H19" s="54">
        <v>6</v>
      </c>
      <c r="I19" s="54">
        <v>49.33</v>
      </c>
      <c r="J19" s="54">
        <f t="shared" si="0"/>
        <v>295.98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2:20" ht="12.75" customHeight="1" x14ac:dyDescent="0.3">
      <c r="B20" s="41">
        <v>10</v>
      </c>
      <c r="C20" s="26" t="s">
        <v>259</v>
      </c>
      <c r="D20" s="26" t="s">
        <v>180</v>
      </c>
      <c r="E20" s="26" t="s">
        <v>271</v>
      </c>
      <c r="F20" s="54">
        <v>2</v>
      </c>
      <c r="G20" s="54">
        <v>7</v>
      </c>
      <c r="H20" s="54">
        <v>13</v>
      </c>
      <c r="I20" s="54">
        <v>25.79</v>
      </c>
      <c r="J20" s="54">
        <f t="shared" si="0"/>
        <v>335.27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2:20" ht="12.75" customHeight="1" x14ac:dyDescent="0.3">
      <c r="B21" s="41">
        <v>11</v>
      </c>
      <c r="C21" s="26" t="s">
        <v>260</v>
      </c>
      <c r="D21" s="26" t="s">
        <v>188</v>
      </c>
      <c r="E21" s="26" t="s">
        <v>272</v>
      </c>
      <c r="F21" s="54">
        <v>1</v>
      </c>
      <c r="G21" s="54">
        <v>1</v>
      </c>
      <c r="H21" s="54">
        <v>1</v>
      </c>
      <c r="I21" s="54">
        <v>365.07</v>
      </c>
      <c r="J21" s="54">
        <f t="shared" si="0"/>
        <v>365.07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2:20" ht="12.75" customHeight="1" x14ac:dyDescent="0.3">
      <c r="B22" s="41">
        <v>12</v>
      </c>
      <c r="C22" s="26" t="s">
        <v>189</v>
      </c>
      <c r="D22" s="26" t="s">
        <v>181</v>
      </c>
      <c r="E22" s="26" t="s">
        <v>185</v>
      </c>
      <c r="F22" s="54">
        <v>1</v>
      </c>
      <c r="G22" s="54">
        <v>2</v>
      </c>
      <c r="H22" s="54">
        <v>2</v>
      </c>
      <c r="I22" s="54">
        <v>49.33</v>
      </c>
      <c r="J22" s="54">
        <f t="shared" si="0"/>
        <v>98.66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2:20" ht="12.75" customHeight="1" x14ac:dyDescent="0.3">
      <c r="B23" s="41">
        <v>13</v>
      </c>
      <c r="C23" s="26" t="s">
        <v>261</v>
      </c>
      <c r="D23" s="26" t="s">
        <v>188</v>
      </c>
      <c r="E23" s="26" t="s">
        <v>267</v>
      </c>
      <c r="F23" s="54">
        <v>2</v>
      </c>
      <c r="G23" s="54">
        <v>3</v>
      </c>
      <c r="H23" s="54">
        <v>6</v>
      </c>
      <c r="I23" s="54">
        <v>17.04</v>
      </c>
      <c r="J23" s="54">
        <f t="shared" si="0"/>
        <v>102.24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2:20" ht="12.75" customHeight="1" x14ac:dyDescent="0.3">
      <c r="B24" s="41">
        <v>14</v>
      </c>
      <c r="C24" s="26" t="s">
        <v>210</v>
      </c>
      <c r="D24" s="26" t="s">
        <v>188</v>
      </c>
      <c r="E24" s="26" t="s">
        <v>215</v>
      </c>
      <c r="F24" s="54">
        <v>1</v>
      </c>
      <c r="G24" s="54">
        <v>1</v>
      </c>
      <c r="H24" s="54">
        <v>1</v>
      </c>
      <c r="I24" s="54">
        <v>4.92</v>
      </c>
      <c r="J24" s="54">
        <f t="shared" si="0"/>
        <v>4.92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2:20" ht="12.75" customHeight="1" x14ac:dyDescent="0.3">
      <c r="B25" s="41">
        <v>15</v>
      </c>
      <c r="C25" s="26" t="s">
        <v>212</v>
      </c>
      <c r="D25" s="26" t="s">
        <v>180</v>
      </c>
      <c r="E25" s="26" t="s">
        <v>216</v>
      </c>
      <c r="F25" s="54">
        <v>1</v>
      </c>
      <c r="G25" s="54">
        <v>1</v>
      </c>
      <c r="H25" s="54">
        <v>1</v>
      </c>
      <c r="I25" s="54">
        <v>20.43</v>
      </c>
      <c r="J25" s="54">
        <f t="shared" si="0"/>
        <v>20.43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2:20" ht="12.75" customHeight="1" x14ac:dyDescent="0.3">
      <c r="B26" s="41">
        <v>16</v>
      </c>
      <c r="C26" s="26" t="s">
        <v>262</v>
      </c>
      <c r="D26" s="26" t="s">
        <v>188</v>
      </c>
      <c r="E26" s="26" t="s">
        <v>273</v>
      </c>
      <c r="F26" s="54">
        <v>1</v>
      </c>
      <c r="G26" s="54">
        <v>2</v>
      </c>
      <c r="H26" s="54">
        <v>2</v>
      </c>
      <c r="I26" s="54">
        <v>17.03</v>
      </c>
      <c r="J26" s="54">
        <f t="shared" si="0"/>
        <v>34.06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2:20" ht="12.75" customHeight="1" x14ac:dyDescent="0.3">
      <c r="B27" s="41">
        <v>17</v>
      </c>
      <c r="C27" s="26" t="s">
        <v>263</v>
      </c>
      <c r="D27" s="26" t="s">
        <v>275</v>
      </c>
      <c r="E27" s="26" t="s">
        <v>274</v>
      </c>
      <c r="F27" s="54">
        <v>3</v>
      </c>
      <c r="G27" s="54">
        <v>1</v>
      </c>
      <c r="H27" s="54">
        <v>3</v>
      </c>
      <c r="I27" s="54">
        <v>4.57</v>
      </c>
      <c r="J27" s="54">
        <f t="shared" si="0"/>
        <v>13.71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2:20" ht="12.75" customHeight="1" x14ac:dyDescent="0.3">
      <c r="B28" s="41">
        <v>18</v>
      </c>
      <c r="C28" s="26" t="s">
        <v>213</v>
      </c>
      <c r="D28" s="26" t="s">
        <v>188</v>
      </c>
      <c r="E28" s="26" t="s">
        <v>217</v>
      </c>
      <c r="F28" s="54">
        <v>1</v>
      </c>
      <c r="G28" s="54">
        <v>1</v>
      </c>
      <c r="H28" s="54">
        <v>1</v>
      </c>
      <c r="I28" s="54">
        <v>6.39</v>
      </c>
      <c r="J28" s="54">
        <f t="shared" si="0"/>
        <v>6.39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2:20" ht="12.75" customHeight="1" x14ac:dyDescent="0.3">
      <c r="B29" s="41">
        <v>19</v>
      </c>
      <c r="C29" s="26" t="s">
        <v>178</v>
      </c>
      <c r="D29" s="26" t="s">
        <v>183</v>
      </c>
      <c r="E29" s="26" t="s">
        <v>186</v>
      </c>
      <c r="F29" s="54">
        <v>3</v>
      </c>
      <c r="G29" s="54">
        <v>3</v>
      </c>
      <c r="H29" s="54">
        <v>9</v>
      </c>
      <c r="I29" s="54">
        <v>0.97</v>
      </c>
      <c r="J29" s="54">
        <f t="shared" si="0"/>
        <v>8.73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2:20" ht="12.75" customHeight="1" x14ac:dyDescent="0.3">
      <c r="B30" s="41">
        <v>20</v>
      </c>
      <c r="C30" s="26" t="s">
        <v>179</v>
      </c>
      <c r="D30" s="26" t="s">
        <v>183</v>
      </c>
      <c r="E30" s="26" t="s">
        <v>187</v>
      </c>
      <c r="F30" s="54">
        <v>1</v>
      </c>
      <c r="G30" s="54">
        <v>100</v>
      </c>
      <c r="H30" s="54">
        <v>100</v>
      </c>
      <c r="I30" s="54">
        <v>1.27</v>
      </c>
      <c r="J30" s="54">
        <f t="shared" si="0"/>
        <v>127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2:20" ht="12.75" customHeight="1" x14ac:dyDescent="0.3">
      <c r="B31" s="41">
        <v>21</v>
      </c>
      <c r="C31" s="26" t="s">
        <v>264</v>
      </c>
      <c r="D31" s="26" t="s">
        <v>183</v>
      </c>
      <c r="E31" s="26" t="s">
        <v>186</v>
      </c>
      <c r="F31" s="54">
        <v>3</v>
      </c>
      <c r="G31" s="54">
        <v>7</v>
      </c>
      <c r="H31" s="54">
        <v>21</v>
      </c>
      <c r="I31" s="54">
        <v>1.93</v>
      </c>
      <c r="J31" s="54">
        <f t="shared" si="0"/>
        <v>40.53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2:20" ht="12.75" customHeight="1" x14ac:dyDescent="0.3">
      <c r="B32" s="41">
        <v>22</v>
      </c>
      <c r="C32" s="26" t="s">
        <v>265</v>
      </c>
      <c r="D32" s="26" t="s">
        <v>183</v>
      </c>
      <c r="E32" s="26" t="s">
        <v>186</v>
      </c>
      <c r="F32" s="54">
        <v>2</v>
      </c>
      <c r="G32" s="54">
        <v>7</v>
      </c>
      <c r="H32" s="54">
        <v>14</v>
      </c>
      <c r="I32" s="54">
        <v>11.72</v>
      </c>
      <c r="J32" s="54">
        <f t="shared" si="0"/>
        <v>164.08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19" ht="12.75" customHeight="1" x14ac:dyDescent="0.25">
      <c r="A33" s="32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8">
    <cfRule type="duplicateValues" dxfId="93" priority="19"/>
  </conditionalFormatting>
  <conditionalFormatting sqref="C28">
    <cfRule type="duplicateValues" dxfId="88" priority="13"/>
  </conditionalFormatting>
  <conditionalFormatting sqref="C29">
    <cfRule type="duplicateValues" dxfId="51" priority="8"/>
  </conditionalFormatting>
  <conditionalFormatting sqref="C29">
    <cfRule type="duplicateValues" dxfId="49" priority="7"/>
  </conditionalFormatting>
  <conditionalFormatting sqref="C30">
    <cfRule type="duplicateValues" dxfId="47" priority="6"/>
  </conditionalFormatting>
  <conditionalFormatting sqref="C30">
    <cfRule type="duplicateValues" dxfId="45" priority="5"/>
  </conditionalFormatting>
  <conditionalFormatting sqref="C31">
    <cfRule type="duplicateValues" dxfId="43" priority="4"/>
  </conditionalFormatting>
  <conditionalFormatting sqref="C31">
    <cfRule type="duplicateValues" dxfId="41" priority="3"/>
  </conditionalFormatting>
  <conditionalFormatting sqref="C32">
    <cfRule type="duplicateValues" dxfId="39" priority="2"/>
  </conditionalFormatting>
  <conditionalFormatting sqref="C32">
    <cfRule type="duplicateValues" dxfId="37" priority="1"/>
  </conditionalFormatting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4"/>
  <sheetViews>
    <sheetView topLeftCell="A28" workbookViewId="0">
      <selection activeCell="D52" sqref="D52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23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20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26" t="s">
        <v>244</v>
      </c>
      <c r="D16" s="69" t="s">
        <v>163</v>
      </c>
      <c r="E16" s="115">
        <v>2</v>
      </c>
      <c r="F16" s="115">
        <v>13.6</v>
      </c>
      <c r="G16" s="115">
        <f t="shared" ref="G16:G38" si="0">+E16*F16</f>
        <v>27.2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245</v>
      </c>
      <c r="D17" s="69" t="s">
        <v>252</v>
      </c>
      <c r="E17" s="115">
        <v>1</v>
      </c>
      <c r="F17" s="115">
        <v>100</v>
      </c>
      <c r="G17" s="115">
        <f t="shared" si="0"/>
        <v>100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246</v>
      </c>
      <c r="D18" s="69" t="s">
        <v>163</v>
      </c>
      <c r="E18" s="115">
        <v>3</v>
      </c>
      <c r="F18" s="115">
        <v>11.73</v>
      </c>
      <c r="G18" s="115">
        <f t="shared" si="0"/>
        <v>35.19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171</v>
      </c>
      <c r="D19" s="69" t="s">
        <v>163</v>
      </c>
      <c r="E19" s="115">
        <v>13</v>
      </c>
      <c r="F19" s="115">
        <v>2.77</v>
      </c>
      <c r="G19" s="115">
        <f t="shared" si="0"/>
        <v>36.01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247</v>
      </c>
      <c r="D20" s="69" t="s">
        <v>163</v>
      </c>
      <c r="E20" s="115">
        <v>2</v>
      </c>
      <c r="F20" s="115">
        <v>7.8</v>
      </c>
      <c r="G20" s="115">
        <f t="shared" si="0"/>
        <v>15.6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248</v>
      </c>
      <c r="D21" s="69" t="s">
        <v>163</v>
      </c>
      <c r="E21" s="115">
        <v>1</v>
      </c>
      <c r="F21" s="115">
        <v>250</v>
      </c>
      <c r="G21" s="115">
        <f t="shared" si="0"/>
        <v>250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172</v>
      </c>
      <c r="D22" s="69" t="s">
        <v>163</v>
      </c>
      <c r="E22" s="115">
        <v>1</v>
      </c>
      <c r="F22" s="115">
        <v>3.25</v>
      </c>
      <c r="G22" s="115">
        <f t="shared" si="0"/>
        <v>3.25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173</v>
      </c>
      <c r="D23" s="69" t="s">
        <v>163</v>
      </c>
      <c r="E23" s="115">
        <v>1</v>
      </c>
      <c r="F23" s="115">
        <v>5</v>
      </c>
      <c r="G23" s="115">
        <f t="shared" si="0"/>
        <v>5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168</v>
      </c>
      <c r="D24" s="69" t="s">
        <v>163</v>
      </c>
      <c r="E24" s="115">
        <v>4</v>
      </c>
      <c r="F24" s="115">
        <v>1.6</v>
      </c>
      <c r="G24" s="115">
        <f t="shared" si="0"/>
        <v>6.4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169</v>
      </c>
      <c r="D25" s="69" t="s">
        <v>163</v>
      </c>
      <c r="E25" s="115">
        <v>5</v>
      </c>
      <c r="F25" s="115">
        <v>1.6</v>
      </c>
      <c r="G25" s="115">
        <f t="shared" si="0"/>
        <v>8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170</v>
      </c>
      <c r="D26" s="69" t="s">
        <v>163</v>
      </c>
      <c r="E26" s="115">
        <v>5</v>
      </c>
      <c r="F26" s="115">
        <v>5</v>
      </c>
      <c r="G26" s="115">
        <f t="shared" si="0"/>
        <v>25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190</v>
      </c>
      <c r="D27" s="69" t="s">
        <v>191</v>
      </c>
      <c r="E27" s="115">
        <v>3</v>
      </c>
      <c r="F27" s="115">
        <v>12</v>
      </c>
      <c r="G27" s="115">
        <f t="shared" si="0"/>
        <v>36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200</v>
      </c>
      <c r="D28" s="69" t="s">
        <v>191</v>
      </c>
      <c r="E28" s="115">
        <v>3</v>
      </c>
      <c r="F28" s="115">
        <v>15</v>
      </c>
      <c r="G28" s="115">
        <f t="shared" si="0"/>
        <v>45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249</v>
      </c>
      <c r="D29" s="69" t="s">
        <v>163</v>
      </c>
      <c r="E29" s="115">
        <v>1</v>
      </c>
      <c r="F29" s="115">
        <v>100</v>
      </c>
      <c r="G29" s="115">
        <f t="shared" si="0"/>
        <v>100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15</v>
      </c>
      <c r="C30" s="26" t="s">
        <v>250</v>
      </c>
      <c r="D30" s="69" t="s">
        <v>175</v>
      </c>
      <c r="E30" s="115">
        <v>3</v>
      </c>
      <c r="F30" s="115">
        <v>15</v>
      </c>
      <c r="G30" s="115">
        <f t="shared" si="0"/>
        <v>45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16</v>
      </c>
      <c r="C31" s="26" t="s">
        <v>206</v>
      </c>
      <c r="D31" s="69" t="s">
        <v>163</v>
      </c>
      <c r="E31" s="115">
        <v>2</v>
      </c>
      <c r="F31" s="115">
        <v>22</v>
      </c>
      <c r="G31" s="115">
        <f t="shared" si="0"/>
        <v>44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17</v>
      </c>
      <c r="C32" s="26" t="s">
        <v>207</v>
      </c>
      <c r="D32" s="69" t="s">
        <v>163</v>
      </c>
      <c r="E32" s="115">
        <v>1</v>
      </c>
      <c r="F32" s="115">
        <v>15.81</v>
      </c>
      <c r="G32" s="115">
        <f t="shared" si="0"/>
        <v>15.81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18</v>
      </c>
      <c r="C33" s="26" t="s">
        <v>251</v>
      </c>
      <c r="D33" s="69" t="s">
        <v>205</v>
      </c>
      <c r="E33" s="115">
        <v>1</v>
      </c>
      <c r="F33" s="115">
        <v>25</v>
      </c>
      <c r="G33" s="115">
        <f t="shared" si="0"/>
        <v>25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19</v>
      </c>
      <c r="C34" s="26" t="s">
        <v>204</v>
      </c>
      <c r="D34" s="69" t="s">
        <v>163</v>
      </c>
      <c r="E34" s="115">
        <v>1</v>
      </c>
      <c r="F34" s="115">
        <v>100</v>
      </c>
      <c r="G34" s="115">
        <f t="shared" si="0"/>
        <v>100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20</v>
      </c>
      <c r="C35" s="26" t="s">
        <v>208</v>
      </c>
      <c r="D35" s="69" t="s">
        <v>163</v>
      </c>
      <c r="E35" s="115">
        <v>1</v>
      </c>
      <c r="F35" s="115">
        <v>37.130000000000003</v>
      </c>
      <c r="G35" s="115">
        <f t="shared" si="0"/>
        <v>37.130000000000003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21</v>
      </c>
      <c r="C36" s="26" t="s">
        <v>243</v>
      </c>
      <c r="D36" s="69" t="s">
        <v>163</v>
      </c>
      <c r="E36" s="115">
        <v>1</v>
      </c>
      <c r="F36" s="115">
        <v>20</v>
      </c>
      <c r="G36" s="115">
        <f t="shared" si="0"/>
        <v>20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22</v>
      </c>
      <c r="C37" s="26" t="s">
        <v>202</v>
      </c>
      <c r="D37" s="69" t="s">
        <v>163</v>
      </c>
      <c r="E37" s="115">
        <v>9</v>
      </c>
      <c r="F37" s="115">
        <v>1.51</v>
      </c>
      <c r="G37" s="115">
        <f t="shared" si="0"/>
        <v>13.59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23</v>
      </c>
      <c r="C38" s="26" t="s">
        <v>256</v>
      </c>
      <c r="D38" s="69" t="s">
        <v>175</v>
      </c>
      <c r="E38" s="115">
        <v>1</v>
      </c>
      <c r="F38" s="115">
        <v>20</v>
      </c>
      <c r="G38" s="115">
        <f t="shared" si="0"/>
        <v>20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139" t="s">
        <v>75</v>
      </c>
      <c r="C39" s="140"/>
      <c r="D39" s="140"/>
      <c r="E39" s="140"/>
      <c r="F39" s="140"/>
      <c r="G39" s="141"/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1</v>
      </c>
      <c r="C40" s="26" t="s">
        <v>190</v>
      </c>
      <c r="D40" s="116" t="s">
        <v>191</v>
      </c>
      <c r="E40" s="115">
        <v>5</v>
      </c>
      <c r="F40" s="115">
        <v>12</v>
      </c>
      <c r="G40" s="115">
        <f>+E40*F40</f>
        <v>60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2</v>
      </c>
      <c r="C41" s="26" t="s">
        <v>200</v>
      </c>
      <c r="D41" s="116" t="s">
        <v>191</v>
      </c>
      <c r="E41" s="115">
        <v>5</v>
      </c>
      <c r="F41" s="115">
        <v>15</v>
      </c>
      <c r="G41" s="115">
        <f t="shared" ref="G41:G59" si="1">+E41*F41</f>
        <v>75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3</v>
      </c>
      <c r="C42" s="26" t="s">
        <v>201</v>
      </c>
      <c r="D42" s="116" t="s">
        <v>191</v>
      </c>
      <c r="E42" s="115">
        <v>5</v>
      </c>
      <c r="F42" s="115">
        <v>10.67</v>
      </c>
      <c r="G42" s="115">
        <f t="shared" si="1"/>
        <v>53.35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4</v>
      </c>
      <c r="C43" s="26" t="s">
        <v>168</v>
      </c>
      <c r="D43" s="116" t="s">
        <v>163</v>
      </c>
      <c r="E43" s="115">
        <v>5</v>
      </c>
      <c r="F43" s="115">
        <v>1.6</v>
      </c>
      <c r="G43" s="115">
        <f t="shared" si="1"/>
        <v>8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5</v>
      </c>
      <c r="C44" s="26" t="s">
        <v>169</v>
      </c>
      <c r="D44" s="116" t="s">
        <v>163</v>
      </c>
      <c r="E44" s="115">
        <v>5</v>
      </c>
      <c r="F44" s="115">
        <v>1.6</v>
      </c>
      <c r="G44" s="115">
        <f t="shared" si="1"/>
        <v>8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6</v>
      </c>
      <c r="C45" s="26" t="s">
        <v>170</v>
      </c>
      <c r="D45" s="116" t="s">
        <v>163</v>
      </c>
      <c r="E45" s="115">
        <v>5</v>
      </c>
      <c r="F45" s="115">
        <v>5</v>
      </c>
      <c r="G45" s="115">
        <f t="shared" si="1"/>
        <v>25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7</v>
      </c>
      <c r="C46" s="26" t="s">
        <v>171</v>
      </c>
      <c r="D46" s="116" t="s">
        <v>163</v>
      </c>
      <c r="E46" s="115">
        <v>5</v>
      </c>
      <c r="F46" s="115">
        <v>2.77</v>
      </c>
      <c r="G46" s="115">
        <f t="shared" si="1"/>
        <v>13.85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8</v>
      </c>
      <c r="C47" s="26" t="s">
        <v>202</v>
      </c>
      <c r="D47" s="116" t="s">
        <v>163</v>
      </c>
      <c r="E47" s="115">
        <v>4</v>
      </c>
      <c r="F47" s="115">
        <v>1.51</v>
      </c>
      <c r="G47" s="115">
        <f t="shared" si="1"/>
        <v>6.04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9</v>
      </c>
      <c r="C48" s="26" t="s">
        <v>203</v>
      </c>
      <c r="D48" s="116" t="s">
        <v>163</v>
      </c>
      <c r="E48" s="115">
        <v>1</v>
      </c>
      <c r="F48" s="115">
        <v>23.87</v>
      </c>
      <c r="G48" s="115">
        <f t="shared" si="1"/>
        <v>23.87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10</v>
      </c>
      <c r="C49" s="26" t="s">
        <v>198</v>
      </c>
      <c r="D49" s="116" t="s">
        <v>205</v>
      </c>
      <c r="E49" s="115">
        <v>0.5</v>
      </c>
      <c r="F49" s="115">
        <v>67.319999999999993</v>
      </c>
      <c r="G49" s="115">
        <f t="shared" si="1"/>
        <v>33.659999999999997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11</v>
      </c>
      <c r="C50" s="26" t="s">
        <v>195</v>
      </c>
      <c r="D50" s="116" t="s">
        <v>163</v>
      </c>
      <c r="E50" s="115">
        <v>2</v>
      </c>
      <c r="F50" s="115">
        <v>66.67</v>
      </c>
      <c r="G50" s="115">
        <f t="shared" si="1"/>
        <v>133.34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12</v>
      </c>
      <c r="C51" s="26" t="s">
        <v>194</v>
      </c>
      <c r="D51" s="116" t="s">
        <v>163</v>
      </c>
      <c r="E51" s="115">
        <v>7</v>
      </c>
      <c r="F51" s="115">
        <v>118.67</v>
      </c>
      <c r="G51" s="115">
        <f t="shared" si="1"/>
        <v>830.69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13</v>
      </c>
      <c r="C52" s="26" t="s">
        <v>174</v>
      </c>
      <c r="D52" s="116" t="s">
        <v>163</v>
      </c>
      <c r="E52" s="115">
        <v>1</v>
      </c>
      <c r="F52" s="115">
        <v>118.67</v>
      </c>
      <c r="G52" s="115">
        <f t="shared" si="1"/>
        <v>118.67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14</v>
      </c>
      <c r="C53" s="26" t="s">
        <v>240</v>
      </c>
      <c r="D53" s="116" t="s">
        <v>163</v>
      </c>
      <c r="E53" s="115">
        <v>1</v>
      </c>
      <c r="F53" s="115">
        <v>398.67</v>
      </c>
      <c r="G53" s="115">
        <f t="shared" si="1"/>
        <v>398.67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15</v>
      </c>
      <c r="C54" s="26" t="s">
        <v>241</v>
      </c>
      <c r="D54" s="116" t="s">
        <v>163</v>
      </c>
      <c r="E54" s="115">
        <v>1</v>
      </c>
      <c r="F54" s="115">
        <v>253.33</v>
      </c>
      <c r="G54" s="115">
        <f t="shared" si="1"/>
        <v>253.33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16</v>
      </c>
      <c r="C55" s="26" t="s">
        <v>242</v>
      </c>
      <c r="D55" s="116" t="s">
        <v>163</v>
      </c>
      <c r="E55" s="115">
        <v>6</v>
      </c>
      <c r="F55" s="115">
        <v>95</v>
      </c>
      <c r="G55" s="115">
        <f t="shared" si="1"/>
        <v>570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17</v>
      </c>
      <c r="C56" s="26" t="s">
        <v>243</v>
      </c>
      <c r="D56" s="116" t="s">
        <v>163</v>
      </c>
      <c r="E56" s="115">
        <v>2</v>
      </c>
      <c r="F56" s="115">
        <v>20</v>
      </c>
      <c r="G56" s="115">
        <f t="shared" si="1"/>
        <v>40</v>
      </c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18</v>
      </c>
      <c r="C57" s="26" t="s">
        <v>196</v>
      </c>
      <c r="D57" s="116" t="s">
        <v>163</v>
      </c>
      <c r="E57" s="115">
        <v>1</v>
      </c>
      <c r="F57" s="115">
        <v>330.94</v>
      </c>
      <c r="G57" s="115">
        <f t="shared" si="1"/>
        <v>330.94</v>
      </c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19</v>
      </c>
      <c r="C58" s="26" t="s">
        <v>197</v>
      </c>
      <c r="D58" s="116" t="s">
        <v>163</v>
      </c>
      <c r="E58" s="115">
        <v>1</v>
      </c>
      <c r="F58" s="115">
        <v>310.5</v>
      </c>
      <c r="G58" s="115">
        <f t="shared" si="1"/>
        <v>310.5</v>
      </c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20</v>
      </c>
      <c r="C59" s="26" t="s">
        <v>199</v>
      </c>
      <c r="D59" s="116" t="s">
        <v>163</v>
      </c>
      <c r="E59" s="115">
        <v>2</v>
      </c>
      <c r="F59" s="115">
        <v>258</v>
      </c>
      <c r="G59" s="115">
        <f t="shared" si="1"/>
        <v>516</v>
      </c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139" t="s">
        <v>29</v>
      </c>
      <c r="C60" s="140"/>
      <c r="D60" s="140"/>
      <c r="E60" s="140"/>
      <c r="F60" s="140"/>
      <c r="G60" s="141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1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2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3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4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5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67">
        <v>6</v>
      </c>
      <c r="C66" s="68"/>
      <c r="D66" s="69"/>
      <c r="E66" s="54"/>
      <c r="F66" s="54"/>
      <c r="G66" s="54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B67" s="67">
        <v>7</v>
      </c>
      <c r="C67" s="68"/>
      <c r="D67" s="69"/>
      <c r="E67" s="54"/>
      <c r="F67" s="54"/>
      <c r="G67" s="54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B68" s="67">
        <v>8</v>
      </c>
      <c r="C68" s="68"/>
      <c r="D68" s="69"/>
      <c r="E68" s="54"/>
      <c r="F68" s="54"/>
      <c r="G68" s="54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4.25" customHeight="1" x14ac:dyDescent="0.3">
      <c r="B69" s="67">
        <v>9</v>
      </c>
      <c r="C69" s="68"/>
      <c r="D69" s="69"/>
      <c r="E69" s="54"/>
      <c r="F69" s="54"/>
      <c r="G69" s="54"/>
      <c r="H69" s="38"/>
      <c r="I69" s="38"/>
      <c r="J69" s="38"/>
      <c r="K69" s="38"/>
      <c r="L69" s="38"/>
      <c r="M69" s="38"/>
      <c r="N69" s="38"/>
      <c r="O69" s="38"/>
      <c r="P69" s="38"/>
    </row>
    <row r="70" spans="1:16" ht="14.25" customHeight="1" x14ac:dyDescent="0.3">
      <c r="B70" s="67">
        <v>10</v>
      </c>
      <c r="C70" s="68"/>
      <c r="D70" s="69"/>
      <c r="E70" s="54"/>
      <c r="F70" s="54"/>
      <c r="G70" s="54"/>
      <c r="H70" s="38"/>
      <c r="I70" s="38"/>
      <c r="J70" s="38"/>
      <c r="K70" s="38"/>
      <c r="L70" s="38"/>
      <c r="M70" s="38"/>
      <c r="N70" s="38"/>
      <c r="O70" s="38"/>
      <c r="P70" s="38"/>
    </row>
    <row r="71" spans="1:16" ht="14.25" customHeight="1" x14ac:dyDescent="0.3">
      <c r="A71" s="43"/>
      <c r="B71" s="38"/>
      <c r="C71" s="43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</row>
    <row r="72" spans="1:16" ht="14.25" customHeight="1" x14ac:dyDescent="0.3">
      <c r="A72" s="43"/>
      <c r="B72" s="38"/>
      <c r="C72" s="43"/>
      <c r="D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</row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sheetProtection password="C2E9" sheet="1" objects="1" scenarios="1" formatColumns="0" formatRows="0" sort="0" autoFilter="0"/>
  <mergeCells count="9">
    <mergeCell ref="B7:G7"/>
    <mergeCell ref="B39:G39"/>
    <mergeCell ref="B60:G60"/>
    <mergeCell ref="B8:G8"/>
    <mergeCell ref="B9:G9"/>
    <mergeCell ref="B10:G10"/>
    <mergeCell ref="B11:G11"/>
    <mergeCell ref="B12:G12"/>
    <mergeCell ref="B15:G15"/>
  </mergeCells>
  <conditionalFormatting sqref="C16:C33">
    <cfRule type="duplicateValues" dxfId="35" priority="18"/>
  </conditionalFormatting>
  <conditionalFormatting sqref="C33">
    <cfRule type="duplicateValues" dxfId="33" priority="17"/>
  </conditionalFormatting>
  <conditionalFormatting sqref="C34">
    <cfRule type="duplicateValues" dxfId="31" priority="16"/>
  </conditionalFormatting>
  <conditionalFormatting sqref="C34">
    <cfRule type="duplicateValues" dxfId="29" priority="15"/>
  </conditionalFormatting>
  <conditionalFormatting sqref="C35">
    <cfRule type="duplicateValues" dxfId="27" priority="14"/>
  </conditionalFormatting>
  <conditionalFormatting sqref="C35">
    <cfRule type="duplicateValues" dxfId="25" priority="13"/>
  </conditionalFormatting>
  <conditionalFormatting sqref="C36">
    <cfRule type="duplicateValues" dxfId="23" priority="12"/>
  </conditionalFormatting>
  <conditionalFormatting sqref="C36">
    <cfRule type="duplicateValues" dxfId="21" priority="11"/>
  </conditionalFormatting>
  <conditionalFormatting sqref="C37">
    <cfRule type="duplicateValues" dxfId="19" priority="10"/>
  </conditionalFormatting>
  <conditionalFormatting sqref="C37">
    <cfRule type="duplicateValues" dxfId="17" priority="9"/>
  </conditionalFormatting>
  <conditionalFormatting sqref="C38">
    <cfRule type="duplicateValues" dxfId="15" priority="8"/>
  </conditionalFormatting>
  <conditionalFormatting sqref="C38">
    <cfRule type="duplicateValues" dxfId="13" priority="7"/>
  </conditionalFormatting>
  <conditionalFormatting sqref="C40:C57">
    <cfRule type="duplicateValues" dxfId="11" priority="6"/>
  </conditionalFormatting>
  <conditionalFormatting sqref="C57">
    <cfRule type="duplicateValues" dxfId="9" priority="5"/>
  </conditionalFormatting>
  <conditionalFormatting sqref="C58">
    <cfRule type="duplicateValues" dxfId="7" priority="4"/>
  </conditionalFormatting>
  <conditionalFormatting sqref="C58">
    <cfRule type="duplicateValues" dxfId="5" priority="3"/>
  </conditionalFormatting>
  <conditionalFormatting sqref="C59">
    <cfRule type="duplicateValues" dxfId="3" priority="2"/>
  </conditionalFormatting>
  <conditionalFormatting sqref="C59">
    <cfRule type="duplicateValues" dxfId="1" priority="1"/>
  </conditionalFormatting>
  <dataValidations count="1">
    <dataValidation type="decimal" operator="greaterThanOrEqual" allowBlank="1" showInputMessage="1" showErrorMessage="1" sqref="E16:G7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39</xdr:row>
                    <xdr:rowOff>28575</xdr:rowOff>
                  </from>
                  <to>
                    <xdr:col>1</xdr:col>
                    <xdr:colOff>762000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39</xdr:row>
                    <xdr:rowOff>28575</xdr:rowOff>
                  </from>
                  <to>
                    <xdr:col>1</xdr:col>
                    <xdr:colOff>1533525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60</xdr:row>
                    <xdr:rowOff>28575</xdr:rowOff>
                  </from>
                  <to>
                    <xdr:col>1</xdr:col>
                    <xdr:colOff>771525</xdr:colOff>
                    <xdr:row>60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60</xdr:row>
                    <xdr:rowOff>28575</xdr:rowOff>
                  </from>
                  <to>
                    <xdr:col>1</xdr:col>
                    <xdr:colOff>1543050</xdr:colOff>
                    <xdr:row>60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data_general'!$C$34</f>
        <v>Level II and III</v>
      </c>
      <c r="G1" s="111" t="str">
        <f>'1.1 Case data_general'!$C$35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2018-05-31T11:07:41Z</dcterms:modified>
</cp:coreProperties>
</file>