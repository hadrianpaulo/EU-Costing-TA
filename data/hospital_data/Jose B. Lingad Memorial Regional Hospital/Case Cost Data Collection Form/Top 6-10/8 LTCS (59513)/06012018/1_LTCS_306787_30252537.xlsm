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Supplies_Medical'!$C$15:$C$61</definedName>
    <definedName name="Drugs">'1.2 Drugs&amp;Med'!$C$11:$C$16</definedName>
    <definedName name="_xlnm.Print_Area" localSheetId="0">'1.1 Case data_general'!$B$1:$F$85</definedName>
    <definedName name="_xlnm.Print_Area" localSheetId="1">'1.2 Drugs&amp;Med'!$B$2:$J$39</definedName>
  </definedNames>
  <calcPr calcId="144525"/>
</workbook>
</file>

<file path=xl/calcChain.xml><?xml version="1.0" encoding="utf-8"?>
<calcChain xmlns="http://schemas.openxmlformats.org/spreadsheetml/2006/main">
  <c r="J38" i="2" l="1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G29" i="9"/>
  <c r="G28" i="9" l="1"/>
  <c r="G27" i="9"/>
  <c r="G26" i="9" l="1"/>
  <c r="J23" i="2" l="1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0" i="9"/>
  <c r="G49" i="9"/>
  <c r="G48" i="9"/>
  <c r="G47" i="9"/>
  <c r="G46" i="9"/>
  <c r="G45" i="9"/>
  <c r="G44" i="9"/>
  <c r="G43" i="9"/>
  <c r="G42" i="9"/>
  <c r="J19" i="2" l="1"/>
  <c r="J18" i="2"/>
  <c r="J17" i="2"/>
  <c r="G41" i="9"/>
  <c r="G40" i="9"/>
  <c r="G39" i="9"/>
  <c r="G38" i="9"/>
  <c r="G37" i="9"/>
  <c r="G36" i="9"/>
  <c r="G35" i="9"/>
  <c r="G34" i="9"/>
  <c r="G33" i="9"/>
  <c r="G32" i="9"/>
  <c r="G31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5" i="1"/>
  <c r="E85" i="1"/>
  <c r="D8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<sst xmlns="http://schemas.openxmlformats.org/spreadsheetml/2006/main" count="625" uniqueCount="277">
  <si>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</si>
  <si>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</si>
  <si>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</si>
  <si>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</si>
  <si>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</si>
  <si>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</si>
  <si>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</si>
  <si>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</si>
  <si>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</si>
  <si>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</si>
  <si>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</si>
  <si>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</si>
  <si>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</si>
  <si>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</si>
  <si>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</si>
  <si>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</si>
  <si>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</si>
  <si>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</si>
  <si>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</si>
  <si>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</si>
  <si>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</si>
  <si>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</si>
  <si>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</si>
  <si>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</si>
  <si>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</si>
  <si>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</si>
  <si>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</si>
  <si>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</si>
  <si>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</si>
  <si>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</si>
  <si>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</si>
  <si>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</si>
  <si>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</si>
  <si>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</si>
  <si>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</si>
  <si>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</si>
  <si>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</si>
  <si>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</si>
  <si>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</si>
  <si>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</si>
  <si>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</si>
  <si>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</si>
  <si>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</si>
  <si>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</si>
  <si>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</si>
  <si>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</si>
  <si>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</si>
  <si>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</si>
  <si>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</si>
  <si>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</si>
  <si>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</si>
  <si>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</si>
  <si>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</si>
  <si>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</si>
  <si>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</si>
  <si>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</si>
  <si>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</si>
  <si>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</si>
  <si>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</si>
  <si>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</si>
  <si>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</si>
  <si>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</si>
  <si>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</si>
  <si>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</si>
  <si>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</si>
  <si>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</si>
  <si>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</si>
  <si>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</si>
  <si>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</si>
  <si>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</si>
  <si>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</si>
  <si>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</si>
  <si>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</si>
  <si>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</si>
  <si>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</si>
  <si>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</si>
  <si>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</si>
  <si>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</si>
  <si>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</si>
  <si>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</si>
  <si>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</si>
  <si>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</si>
  <si>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</si>
  <si>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</si>
  <si>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</si>
  <si>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</si>
  <si>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</si>
  <si>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</si>
  <si>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</si>
  <si>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</si>
  <si>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</si>
  <si>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</si>
  <si>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</si>
  <si>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</si>
  <si>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</si>
  <si>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</si>
  <si>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</si>
  <si>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</si>
  <si>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</si>
  <si>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</si>
  <si>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</si>
  <si>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</si>
  <si>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</si>
  <si>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</si>
  <si>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</si>
  <si>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</si>
  <si>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</si>
  <si>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</si>
  <si>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</si>
  <si>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</si>
  <si>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</si>
  <si>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</si>
  <si>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</si>
  <si>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</si>
  <si>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</si>
  <si>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</si>
  <si>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</si>
  <si>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</si>
  <si>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</si>
  <si>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</si>
  <si>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</si>
  <si>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</si>
  <si>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</si>
  <si>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</si>
  <si>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</si>
  <si>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</si>
  <si>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</si>
  <si>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</si>
  <si>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</si>
  <si>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</si>
  <si>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</si>
  <si>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</si>
  <si>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</si>
  <si>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</si>
  <si>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</si>
  <si>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</si>
  <si>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</si>
  <si>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</si>
  <si>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</si>
  <si>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</si>
  <si>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</si>
  <si>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</si>
  <si>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</si>
  <si>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</si>
  <si>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</si>
  <si>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</si>
  <si>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</si>
  <si>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</si>
  <si>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</si>
  <si>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</si>
  <si>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</si>
  <si>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</si>
  <si>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</si>
  <si>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</si>
  <si>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</si>
  <si>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</si>
  <si>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</si>
  <si>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</si>
  <si>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</si>
  <si>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</si>
  <si>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</si>
  <si>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</si>
  <si>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</si>
  <si>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</si>
  <si>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</si>
  <si>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</si>
  <si>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</si>
  <si>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</si>
  <si>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</si>
  <si>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</si>
  <si>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</si>
  <si>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SET</t>
  </si>
  <si>
    <t>OXYTOCIN MALEATE 10MCG INJECTION 10 UNITS/ML-1ML</t>
  </si>
  <si>
    <t>(D5LRS 1L) 5% DEXTROSE IN LACTATED RINGERS SOLUTION 1000ML (D5 LRS) X 12S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</si>
  <si>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</si>
  <si>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</si>
  <si>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</si>
  <si>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</si>
  <si>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</si>
  <si>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</si>
  <si>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</si>
  <si>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</si>
  <si>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AMPULE</t>
  </si>
  <si>
    <t>(PLAIN LRS 1L) LACTATED RINGER''''S SOLUTION 1000ML (PLAIN LRS 1L) X 12S</t>
  </si>
  <si>
    <t>O82.1</t>
  </si>
  <si>
    <t>MAJOR</t>
  </si>
  <si>
    <t>CATGUT 1 ABSORBABLE SURGICAL SUTURE AT LEAST 75CM, WITH AT LEAST 37-40MM X 1/2 CIRCLE ROUND TAPER NEEDLE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</si>
  <si>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</si>
  <si>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</si>
  <si>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</si>
  <si>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</si>
  <si>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SURGICAL BLADE 20, BOX OF 100''S UNIMEX/CHINA</t>
  </si>
  <si>
    <t>DISPOSABLE SURGICAL BRUSH W/ SPONGE AND NAIL CLEANER</t>
  </si>
  <si>
    <t>OXYGEN FLOW METER (PIPELINE) PER HOUR</t>
  </si>
  <si>
    <t>BOTTLE</t>
  </si>
  <si>
    <t>BUPIVACAINE HCL- SPINAL  0.5% - 4ML + 8% DEXTROSE</t>
  </si>
  <si>
    <t>PLAIN NSS 1L  (X 12S)</t>
  </si>
  <si>
    <t>RANITIDINE HCI 25MG/ML-2ML</t>
  </si>
  <si>
    <t>25MG</t>
  </si>
  <si>
    <t>SGPT</t>
  </si>
  <si>
    <t>SGOT</t>
  </si>
  <si>
    <t>CREATININE (CREA)</t>
  </si>
  <si>
    <t>LDH</t>
  </si>
  <si>
    <t>BLOOD UREA NITROGEN (BUN)</t>
  </si>
  <si>
    <t>K (POTASSIUM)</t>
  </si>
  <si>
    <t>CASE RATE</t>
  </si>
  <si>
    <t>PF CASE RATE</t>
  </si>
  <si>
    <t>NBB</t>
  </si>
  <si>
    <t>ULTRASOUND PRINTING PAPER 110MM X 20MM (HIGH DENSITY) (DURICO TYPE 1)</t>
  </si>
  <si>
    <t>IV SET W/ AIRWAY FOR IV PUSH, VACOSET/MACRODRIP, ADULT</t>
  </si>
  <si>
    <t>ROLL</t>
  </si>
  <si>
    <t>TRANEXAMIC ACID 100MG/ML-5ML</t>
  </si>
  <si>
    <t>10MG</t>
  </si>
  <si>
    <t>20MG</t>
  </si>
  <si>
    <t>100MG</t>
  </si>
  <si>
    <t>CATGUT PLAIN ABSORBABLE 2/0 W/ 75CM WITH 37MM ROUND NEEDLE ,PLAIN 2-0 HR37S(CATGUT PLAIN W/ ROUND NEEDLE TAPER NEEDLE 24''''''''''''''''''''''''''''''''S/BOX</t>
  </si>
  <si>
    <t>IV CATHETER GAUGE 18</t>
  </si>
  <si>
    <t>LIDOCAINE HCI 2%-5ML PRESERVATIVE-FREE REGARDLESS OF CONTAINER</t>
  </si>
  <si>
    <t>2%-5ML</t>
  </si>
  <si>
    <t>POLYAMP</t>
  </si>
  <si>
    <t>NA (SODIUM)</t>
  </si>
  <si>
    <t>CL (CHLORIDE)</t>
  </si>
  <si>
    <t>PT (PROTIME)</t>
  </si>
  <si>
    <t>APTT</t>
  </si>
  <si>
    <t>HYDROGEN PEROXIDE 3% SOLUTION (10 VOLUMES), 120ML</t>
  </si>
  <si>
    <t>HYDRALAZINE HCI 20MG/ML-1ML</t>
  </si>
  <si>
    <t>MAGNESIUM SULFATE 500MG/ML-2ML AMP</t>
  </si>
  <si>
    <t>(IRRIGATING SOLN) 0.9% SODIUM CHLORIDE (PLAIN NSS) 1000ML (IRRIGATION) X 12S</t>
  </si>
  <si>
    <t>OXYGEN NASAL CANNULA WITH THREAD CONNECTOR FOR ADULT (CURVED FLAIRED TIP)</t>
  </si>
  <si>
    <t>ADULT DIAPER WITH HIGH LIQUID ABSORBENCY</t>
  </si>
  <si>
    <t>IV SET W/ AIRWAY FOR IV PUSH, MICRODRIP, PEDIA</t>
  </si>
  <si>
    <t>Z30.2</t>
  </si>
  <si>
    <t>ANTI BODY SCREENING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</si>
  <si>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</si>
  <si>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</si>
  <si>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</si>
  <si>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PAIR</t>
  </si>
  <si>
    <t>FOLEY CATHETER FR 14, 2 WAY, BOX OF 20</t>
  </si>
  <si>
    <t>OXYGEN MASK PEDIA W/ CONNECTING TUBE</t>
  </si>
  <si>
    <t>ECG PAPER, UNWAXED,  50MM X 30M GREEN NON-GLOSSY</t>
  </si>
  <si>
    <t>IV CATHETER GAUGE 20</t>
  </si>
  <si>
    <t>(D5 WATER 1L) 5% DEXTROSE IN WATER  1000ML (D5 W 1L)</t>
  </si>
  <si>
    <t>BUTORPHANOL TARTRATE 2MG/ML-1ML</t>
  </si>
  <si>
    <t>5MG</t>
  </si>
  <si>
    <t>0.5%-4ML</t>
  </si>
  <si>
    <t>2MG</t>
  </si>
  <si>
    <t>306787/74167</t>
  </si>
  <si>
    <t>O14.1</t>
  </si>
  <si>
    <t>IONIZED CALCIUM (ICA)</t>
  </si>
  <si>
    <t>MG (MAGNESIUM)</t>
  </si>
  <si>
    <t>CROSSMATCHING FULLY AUTOMATED (1 UNIT)</t>
  </si>
  <si>
    <t>HISTOPATHOLOGY - LARGE</t>
  </si>
  <si>
    <t>ENDOTRACHEAL TUBES, SIZE 7 W/ CUFF  ( STERILE)</t>
  </si>
  <si>
    <t>ENDOTRACHEAL TUBES, SIZE 7.5 W/ CUFF  (STERILE) (CPR NEEDED)</t>
  </si>
  <si>
    <t>SUCTION CATHETER 10 (/ W/ FTC 53CM) (CPR NEEDED)</t>
  </si>
  <si>
    <t>HEMOGLUCOTEST TEST STRIP BOX OF 50S W/ FREE GLUCOMETER MACHINE FOR EVERY PURCHASE OF 25 BOXES WITH 2 EXTRA BATTERIES FOR EVERY GLUCOMETER MACHINE (CURACHECK/KOREA)</t>
  </si>
  <si>
    <t>DIAZEPAM 5MG/ML-2ML (IM,IV)</t>
  </si>
  <si>
    <t>PROPOFOL 10MG/ML-20ML</t>
  </si>
  <si>
    <t>MIDAZOLAM 5MG-1ML 5MG/ML-1ML</t>
  </si>
  <si>
    <t>EPHEDRINE SULFATE 50MG/ML-1ML (IM, IV)</t>
  </si>
  <si>
    <t>ATRACURIUM BESILATE  10MG/ML - 2.5ML</t>
  </si>
  <si>
    <t>FENTANYL CITRATE 50MCG/2ML</t>
  </si>
  <si>
    <t>+ATROPINE SULPHATE 1MG/1ML (IV)</t>
  </si>
  <si>
    <t>SEVOFLURANE, PER CC, INHALATION</t>
  </si>
  <si>
    <t>TRAMADOL HCL 50MG/ML-2ML</t>
  </si>
  <si>
    <t>METRONIDAZOLE 5MG/ML-100ML (IV INFUSION)</t>
  </si>
  <si>
    <t>CEFUROXIME SODIUM 750MG</t>
  </si>
  <si>
    <t>CEFALEXIN MONOHYDRATE 500MG IN BLISTER FOIL PACK</t>
  </si>
  <si>
    <t>LOSARTAN (AS POTASSIUM SALT) 50MG</t>
  </si>
  <si>
    <t>AMLODIPINE BESYLATE 5MG BLISTER/FOIL PACK</t>
  </si>
  <si>
    <t>50MG</t>
  </si>
  <si>
    <t>50MCG</t>
  </si>
  <si>
    <t>1MG</t>
  </si>
  <si>
    <t>NEBULE</t>
  </si>
  <si>
    <t>750MG</t>
  </si>
  <si>
    <t>TABLET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</si>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</sst>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73</xdr:row>
          <xdr:rowOff>19050</xdr:rowOff>
        </xdr:from>
        <xdr:to>
          <xdr:col>1</xdr:col>
          <xdr:colOff>733425</xdr:colOff>
          <xdr:row>73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73</xdr:row>
          <xdr:rowOff>19050</xdr:rowOff>
        </xdr:from>
        <xdr:to>
          <xdr:col>1</xdr:col>
          <xdr:colOff>1504950</xdr:colOff>
          <xdr:row>73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</xdr:row>
          <xdr:rowOff>28575</xdr:rowOff>
        </xdr:from>
        <xdr:to>
          <xdr:col>1</xdr:col>
          <xdr:colOff>771525</xdr:colOff>
          <xdr:row>51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51</xdr:row>
          <xdr:rowOff>28575</xdr:rowOff>
        </xdr:from>
        <xdr:to>
          <xdr:col>1</xdr:col>
          <xdr:colOff>1543050</xdr:colOff>
          <xdr:row>51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2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246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247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184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164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231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8" t="s">
        <v>51</v>
      </c>
      <c r="C23" s="119"/>
      <c r="D23" s="119"/>
      <c r="E23" s="119"/>
      <c r="F23" s="12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5">
        <v>1</v>
      </c>
      <c r="C24" s="26">
        <v>59513</v>
      </c>
      <c r="D24" s="28" t="s">
        <v>185</v>
      </c>
      <c r="E24" s="54">
        <v>1</v>
      </c>
      <c r="F24" s="54">
        <v>0.58333333333333337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5">
        <v>2</v>
      </c>
      <c r="C25" s="26"/>
      <c r="D25" s="28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3</v>
      </c>
      <c r="C26" s="26"/>
      <c r="D26" s="28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4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5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21" t="s">
        <v>42</v>
      </c>
      <c r="C29" s="122"/>
      <c r="D29" s="122"/>
      <c r="E29" s="122"/>
      <c r="F29" s="13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158</v>
      </c>
      <c r="C30" s="112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09" t="s">
        <v>159</v>
      </c>
      <c r="C31" s="113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3" t="s">
        <v>140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5">
        <v>4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8" t="s">
        <v>18</v>
      </c>
      <c r="C34" s="119"/>
      <c r="D34" s="119"/>
      <c r="E34" s="119"/>
      <c r="F34" s="12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9">
        <v>1</v>
      </c>
      <c r="C35" s="26" t="s">
        <v>165</v>
      </c>
      <c r="D35" s="22"/>
      <c r="E35" s="56">
        <v>1</v>
      </c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5">
        <v>2</v>
      </c>
      <c r="C36" s="26" t="s">
        <v>199</v>
      </c>
      <c r="D36" s="22"/>
      <c r="E36" s="54">
        <v>1</v>
      </c>
      <c r="F36" s="2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3</v>
      </c>
      <c r="C37" s="26" t="s">
        <v>220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4</v>
      </c>
      <c r="C38" s="26" t="s">
        <v>200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5</v>
      </c>
      <c r="C39" s="26" t="s">
        <v>201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6</v>
      </c>
      <c r="C40" s="26" t="s">
        <v>204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7</v>
      </c>
      <c r="C41" s="26" t="s">
        <v>202</v>
      </c>
      <c r="D41" s="22"/>
      <c r="E41" s="54">
        <v>1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8</v>
      </c>
      <c r="C42" s="26" t="s">
        <v>221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9</v>
      </c>
      <c r="C43" s="26" t="s">
        <v>203</v>
      </c>
      <c r="D43" s="22"/>
      <c r="E43" s="54">
        <v>1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10</v>
      </c>
      <c r="C44" s="26" t="s">
        <v>166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11</v>
      </c>
      <c r="C45" s="26" t="s">
        <v>248</v>
      </c>
      <c r="D45" s="22"/>
      <c r="E45" s="54">
        <v>1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12</v>
      </c>
      <c r="C46" s="26" t="s">
        <v>222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13</v>
      </c>
      <c r="C47" s="26" t="s">
        <v>249</v>
      </c>
      <c r="D47" s="22"/>
      <c r="E47" s="54">
        <v>1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14</v>
      </c>
      <c r="C48" s="26" t="s">
        <v>223</v>
      </c>
      <c r="D48" s="22"/>
      <c r="E48" s="54">
        <v>1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15</v>
      </c>
      <c r="C49" s="26" t="s">
        <v>232</v>
      </c>
      <c r="D49" s="22"/>
      <c r="E49" s="54">
        <v>1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16</v>
      </c>
      <c r="C50" s="26" t="s">
        <v>250</v>
      </c>
      <c r="D50" s="22"/>
      <c r="E50" s="54">
        <v>1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17</v>
      </c>
      <c r="C51" s="26" t="s">
        <v>251</v>
      </c>
      <c r="D51" s="22"/>
      <c r="E51" s="54">
        <v>1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1" t="s">
        <v>19</v>
      </c>
      <c r="C52" s="122"/>
      <c r="D52" s="119"/>
      <c r="E52" s="122"/>
      <c r="F52" s="12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>
        <v>1</v>
      </c>
      <c r="C53" s="26"/>
      <c r="D53" s="22"/>
      <c r="E53" s="54"/>
      <c r="F53" s="2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2</v>
      </c>
      <c r="C54" s="26"/>
      <c r="D54" s="22"/>
      <c r="E54" s="54"/>
      <c r="F54" s="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3</v>
      </c>
      <c r="C55" s="26"/>
      <c r="D55" s="22"/>
      <c r="E55" s="54"/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4</v>
      </c>
      <c r="C56" s="26"/>
      <c r="D56" s="22"/>
      <c r="E56" s="54"/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21" t="s">
        <v>43</v>
      </c>
      <c r="C57" s="122"/>
      <c r="D57" s="119"/>
      <c r="E57" s="122"/>
      <c r="F57" s="120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4" t="s">
        <v>44</v>
      </c>
      <c r="C58" s="13"/>
      <c r="D58" s="13"/>
      <c r="E58" s="54"/>
      <c r="F58" s="13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8" t="s">
        <v>52</v>
      </c>
      <c r="C59" s="119"/>
      <c r="D59" s="119"/>
      <c r="E59" s="119"/>
      <c r="F59" s="12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9"/>
      <c r="B60" s="29">
        <v>1</v>
      </c>
      <c r="C60" s="30"/>
      <c r="D60" s="31"/>
      <c r="E60" s="56"/>
      <c r="F60" s="56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9"/>
      <c r="B61" s="29">
        <v>2</v>
      </c>
      <c r="C61" s="30"/>
      <c r="D61" s="31"/>
      <c r="E61" s="56"/>
      <c r="F61" s="5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9"/>
      <c r="B62" s="25">
        <v>3</v>
      </c>
      <c r="C62" s="26"/>
      <c r="D62" s="27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9"/>
      <c r="B63" s="25">
        <v>4</v>
      </c>
      <c r="C63" s="26"/>
      <c r="D63" s="27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Bot="1" x14ac:dyDescent="0.35">
      <c r="A64" s="1"/>
      <c r="B64" s="118" t="s">
        <v>20</v>
      </c>
      <c r="C64" s="119"/>
      <c r="D64" s="119"/>
      <c r="E64" s="119"/>
      <c r="F64" s="120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>
        <v>1</v>
      </c>
      <c r="C65" s="26">
        <v>58600</v>
      </c>
      <c r="D65" s="27"/>
      <c r="E65" s="54">
        <v>1</v>
      </c>
      <c r="F65" s="54">
        <v>0.18333333333333332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>
        <v>2</v>
      </c>
      <c r="C66" s="26"/>
      <c r="D66" s="27"/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>
        <v>3</v>
      </c>
      <c r="C67" s="26"/>
      <c r="D67" s="27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>
        <v>4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>
        <v>5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>
        <v>6</v>
      </c>
      <c r="C70" s="26"/>
      <c r="D70" s="27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4"/>
      <c r="C71" s="24"/>
      <c r="D71" s="24"/>
      <c r="E71" s="24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57.75" customHeight="1" thickBot="1" x14ac:dyDescent="0.35">
      <c r="A73" s="1"/>
      <c r="B73" s="16" t="s">
        <v>54</v>
      </c>
      <c r="C73" s="16" t="s">
        <v>50</v>
      </c>
      <c r="D73" s="16" t="s">
        <v>55</v>
      </c>
      <c r="E73" s="17" t="s">
        <v>56</v>
      </c>
      <c r="F73" s="18" t="s">
        <v>21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2">
        <v>1</v>
      </c>
      <c r="C74" s="26" t="s">
        <v>205</v>
      </c>
      <c r="D74" s="54">
        <v>14400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2</v>
      </c>
      <c r="C75" s="26" t="s">
        <v>206</v>
      </c>
      <c r="D75" s="54">
        <v>8600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3</v>
      </c>
      <c r="C76" s="26" t="s">
        <v>207</v>
      </c>
      <c r="D76" s="54"/>
      <c r="E76" s="54">
        <v>5712.91</v>
      </c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4</v>
      </c>
      <c r="C77" s="26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5</v>
      </c>
      <c r="C78" s="26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6</v>
      </c>
      <c r="C79" s="26"/>
      <c r="D79" s="54"/>
      <c r="E79" s="54"/>
      <c r="F79" s="5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7</v>
      </c>
      <c r="C80" s="26"/>
      <c r="D80" s="54"/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8</v>
      </c>
      <c r="C81" s="26"/>
      <c r="D81" s="54"/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9</v>
      </c>
      <c r="C82" s="26"/>
      <c r="D82" s="54"/>
      <c r="E82" s="54"/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10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4.9000000000000004" customHeight="1" thickBot="1" x14ac:dyDescent="0.35">
      <c r="A84" s="1"/>
      <c r="B84" s="1"/>
      <c r="C84" s="1"/>
      <c r="D84" s="57"/>
      <c r="E84" s="57"/>
      <c r="F84" s="57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thickTop="1" x14ac:dyDescent="0.3">
      <c r="A85" s="1"/>
      <c r="B85" s="11"/>
      <c r="C85" s="4" t="s">
        <v>22</v>
      </c>
      <c r="D85" s="58">
        <f>SUM(D74:D84)</f>
        <v>23000</v>
      </c>
      <c r="E85" s="58">
        <f>SUM(E74:E84)</f>
        <v>5712.91</v>
      </c>
      <c r="F85" s="58">
        <f>SUM(F74:F84)</f>
        <v>0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</sheetData>
  <sheetProtection password="C2E9" sheet="1" objects="1" scenarios="1" formatColumns="0" formatRows="0" sort="0" autoFilter="0"/>
  <mergeCells count="12">
    <mergeCell ref="B64:F64"/>
    <mergeCell ref="B57:F57"/>
    <mergeCell ref="B12:F12"/>
    <mergeCell ref="B13:F13"/>
    <mergeCell ref="B14:F14"/>
    <mergeCell ref="B15:F15"/>
    <mergeCell ref="B18:F18"/>
    <mergeCell ref="B23:F23"/>
    <mergeCell ref="B34:F34"/>
    <mergeCell ref="B29:F29"/>
    <mergeCell ref="B52:F52"/>
    <mergeCell ref="B59:F59"/>
  </mergeCells>
  <dataValidations count="1">
    <dataValidation type="decimal" operator="greaterThanOrEqual" allowBlank="1" showInputMessage="1" showErrorMessage="1" sqref="E33 E53:E56 E58 E24:F28 E60:F63 E65:F70 E35:E51 D74:F8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73</xdr:row>
                    <xdr:rowOff>19050</xdr:rowOff>
                  </from>
                  <to>
                    <xdr:col>1</xdr:col>
                    <xdr:colOff>733425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73</xdr:row>
                    <xdr:rowOff>19050</xdr:rowOff>
                  </from>
                  <to>
                    <xdr:col>1</xdr:col>
                    <xdr:colOff>1504950</xdr:colOff>
                    <xdr:row>73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9"/>
  <sheetViews>
    <sheetView topLeftCell="B5" workbookViewId="0">
      <selection activeCell="F39" sqref="F3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28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173</v>
      </c>
      <c r="D11" s="26" t="s">
        <v>176</v>
      </c>
      <c r="E11" s="26" t="s">
        <v>179</v>
      </c>
      <c r="F11" s="54">
        <v>1</v>
      </c>
      <c r="G11" s="54">
        <v>5</v>
      </c>
      <c r="H11" s="54">
        <v>5</v>
      </c>
      <c r="I11" s="54">
        <v>49.33</v>
      </c>
      <c r="J11" s="54">
        <f>H11*I11</f>
        <v>246.64999999999998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226</v>
      </c>
      <c r="D12" s="26" t="s">
        <v>182</v>
      </c>
      <c r="E12" s="26" t="s">
        <v>180</v>
      </c>
      <c r="F12" s="54">
        <v>7</v>
      </c>
      <c r="G12" s="54">
        <v>4</v>
      </c>
      <c r="H12" s="54">
        <v>29</v>
      </c>
      <c r="I12" s="54">
        <v>72</v>
      </c>
      <c r="J12" s="54">
        <f t="shared" ref="J12:J38" si="0">H12*I12</f>
        <v>2088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256</v>
      </c>
      <c r="D13" s="26" t="s">
        <v>175</v>
      </c>
      <c r="E13" s="26" t="s">
        <v>243</v>
      </c>
      <c r="F13" s="54">
        <v>1</v>
      </c>
      <c r="G13" s="54">
        <v>1</v>
      </c>
      <c r="H13" s="54">
        <v>1</v>
      </c>
      <c r="I13" s="54">
        <v>90.96</v>
      </c>
      <c r="J13" s="54">
        <f t="shared" si="0"/>
        <v>90.96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225</v>
      </c>
      <c r="D14" s="26" t="s">
        <v>175</v>
      </c>
      <c r="E14" s="26" t="s">
        <v>213</v>
      </c>
      <c r="F14" s="54">
        <v>1</v>
      </c>
      <c r="G14" s="54">
        <v>1</v>
      </c>
      <c r="H14" s="54">
        <v>1</v>
      </c>
      <c r="I14" s="54">
        <v>24.44</v>
      </c>
      <c r="J14" s="54">
        <f t="shared" si="0"/>
        <v>24.44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257</v>
      </c>
      <c r="D15" s="26" t="s">
        <v>175</v>
      </c>
      <c r="E15" s="26" t="s">
        <v>212</v>
      </c>
      <c r="F15" s="54">
        <v>1</v>
      </c>
      <c r="G15" s="54">
        <v>1</v>
      </c>
      <c r="H15" s="54">
        <v>1</v>
      </c>
      <c r="I15" s="54">
        <v>64.290000000000006</v>
      </c>
      <c r="J15" s="54">
        <f t="shared" si="0"/>
        <v>64.290000000000006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258</v>
      </c>
      <c r="D16" s="26" t="s">
        <v>182</v>
      </c>
      <c r="E16" s="26" t="s">
        <v>243</v>
      </c>
      <c r="F16" s="54">
        <v>1</v>
      </c>
      <c r="G16" s="54">
        <v>1</v>
      </c>
      <c r="H16" s="54">
        <v>1</v>
      </c>
      <c r="I16" s="54">
        <v>89.79</v>
      </c>
      <c r="J16" s="54">
        <f t="shared" si="0"/>
        <v>89.79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2:20" ht="12.75" customHeight="1" x14ac:dyDescent="0.3">
      <c r="B17" s="41">
        <v>7</v>
      </c>
      <c r="C17" s="26" t="s">
        <v>259</v>
      </c>
      <c r="D17" s="26" t="s">
        <v>175</v>
      </c>
      <c r="E17" s="26" t="s">
        <v>270</v>
      </c>
      <c r="F17" s="54">
        <v>1</v>
      </c>
      <c r="G17" s="54">
        <v>1</v>
      </c>
      <c r="H17" s="54">
        <v>1</v>
      </c>
      <c r="I17" s="54">
        <v>123.84</v>
      </c>
      <c r="J17" s="54">
        <f t="shared" si="0"/>
        <v>123.84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2:20" ht="12.75" customHeight="1" x14ac:dyDescent="0.3">
      <c r="B18" s="41">
        <v>8</v>
      </c>
      <c r="C18" s="26" t="s">
        <v>260</v>
      </c>
      <c r="D18" s="26" t="s">
        <v>175</v>
      </c>
      <c r="E18" s="26" t="s">
        <v>212</v>
      </c>
      <c r="F18" s="54">
        <v>1</v>
      </c>
      <c r="G18" s="54">
        <v>1</v>
      </c>
      <c r="H18" s="54">
        <v>1</v>
      </c>
      <c r="I18" s="54">
        <v>116.29</v>
      </c>
      <c r="J18" s="54">
        <f t="shared" si="0"/>
        <v>116.29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2:20" ht="12.75" customHeight="1" x14ac:dyDescent="0.3">
      <c r="B19" s="41">
        <v>9</v>
      </c>
      <c r="C19" s="26" t="s">
        <v>261</v>
      </c>
      <c r="D19" s="26" t="s">
        <v>182</v>
      </c>
      <c r="E19" s="26" t="s">
        <v>271</v>
      </c>
      <c r="F19" s="54">
        <v>1</v>
      </c>
      <c r="G19" s="54">
        <v>1</v>
      </c>
      <c r="H19" s="54">
        <v>1</v>
      </c>
      <c r="I19" s="54">
        <v>76.31</v>
      </c>
      <c r="J19" s="54">
        <f t="shared" si="0"/>
        <v>76.31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2:20" ht="12.75" customHeight="1" x14ac:dyDescent="0.3">
      <c r="B20" s="41">
        <v>10</v>
      </c>
      <c r="C20" s="26" t="s">
        <v>195</v>
      </c>
      <c r="D20" s="26" t="s">
        <v>176</v>
      </c>
      <c r="E20" s="26" t="s">
        <v>244</v>
      </c>
      <c r="F20" s="54">
        <v>1</v>
      </c>
      <c r="G20" s="54">
        <v>1</v>
      </c>
      <c r="H20" s="54">
        <v>1</v>
      </c>
      <c r="I20" s="54">
        <v>81.63</v>
      </c>
      <c r="J20" s="54">
        <f t="shared" si="0"/>
        <v>81.63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2:20" ht="12.75" customHeight="1" x14ac:dyDescent="0.3">
      <c r="B21" s="41">
        <v>11</v>
      </c>
      <c r="C21" s="26" t="s">
        <v>217</v>
      </c>
      <c r="D21" s="26" t="s">
        <v>219</v>
      </c>
      <c r="E21" s="26" t="s">
        <v>218</v>
      </c>
      <c r="F21" s="54">
        <v>1</v>
      </c>
      <c r="G21" s="54">
        <v>1</v>
      </c>
      <c r="H21" s="54">
        <v>1</v>
      </c>
      <c r="I21" s="54">
        <v>30.4</v>
      </c>
      <c r="J21" s="54">
        <f t="shared" si="0"/>
        <v>30.4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2:20" ht="12.75" customHeight="1" x14ac:dyDescent="0.3">
      <c r="B22" s="41">
        <v>12</v>
      </c>
      <c r="C22" s="26" t="s">
        <v>172</v>
      </c>
      <c r="D22" s="26" t="s">
        <v>182</v>
      </c>
      <c r="E22" s="26" t="s">
        <v>178</v>
      </c>
      <c r="F22" s="54">
        <v>1</v>
      </c>
      <c r="G22" s="54">
        <v>3</v>
      </c>
      <c r="H22" s="54">
        <v>3</v>
      </c>
      <c r="I22" s="54">
        <v>8.52</v>
      </c>
      <c r="J22" s="54">
        <f t="shared" si="0"/>
        <v>25.56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2:20" ht="12.75" customHeight="1" x14ac:dyDescent="0.3">
      <c r="B23" s="41">
        <v>13</v>
      </c>
      <c r="C23" s="26" t="s">
        <v>262</v>
      </c>
      <c r="D23" s="26" t="s">
        <v>175</v>
      </c>
      <c r="E23" s="26" t="s">
        <v>272</v>
      </c>
      <c r="F23" s="54">
        <v>1</v>
      </c>
      <c r="G23" s="54">
        <v>1</v>
      </c>
      <c r="H23" s="54">
        <v>1</v>
      </c>
      <c r="I23" s="54">
        <v>13.04</v>
      </c>
      <c r="J23" s="54">
        <f t="shared" si="0"/>
        <v>13.04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2:20" ht="12.75" customHeight="1" x14ac:dyDescent="0.3">
      <c r="B24" s="41">
        <v>14</v>
      </c>
      <c r="C24" s="26" t="s">
        <v>211</v>
      </c>
      <c r="D24" s="26" t="s">
        <v>182</v>
      </c>
      <c r="E24" s="26" t="s">
        <v>214</v>
      </c>
      <c r="F24" s="54">
        <v>3</v>
      </c>
      <c r="G24" s="54">
        <v>3</v>
      </c>
      <c r="H24" s="54">
        <v>9</v>
      </c>
      <c r="I24" s="54">
        <v>17.03</v>
      </c>
      <c r="J24" s="54">
        <f t="shared" si="0"/>
        <v>153.27000000000001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2:20" ht="12.75" customHeight="1" x14ac:dyDescent="0.3">
      <c r="B25" s="41">
        <v>15</v>
      </c>
      <c r="C25" s="26" t="s">
        <v>263</v>
      </c>
      <c r="D25" s="26" t="s">
        <v>273</v>
      </c>
      <c r="E25" s="26" t="s">
        <v>276</v>
      </c>
      <c r="F25" s="54">
        <v>6</v>
      </c>
      <c r="G25" s="54">
        <v>5</v>
      </c>
      <c r="H25" s="54">
        <v>30</v>
      </c>
      <c r="I25" s="54">
        <v>40</v>
      </c>
      <c r="J25" s="54">
        <f t="shared" si="0"/>
        <v>1200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2:20" ht="12.75" customHeight="1" x14ac:dyDescent="0.3">
      <c r="B26" s="41">
        <v>16</v>
      </c>
      <c r="C26" s="26" t="s">
        <v>241</v>
      </c>
      <c r="D26" s="26" t="s">
        <v>176</v>
      </c>
      <c r="E26" s="26" t="s">
        <v>179</v>
      </c>
      <c r="F26" s="54">
        <v>1</v>
      </c>
      <c r="G26" s="54">
        <v>1</v>
      </c>
      <c r="H26" s="54">
        <v>1</v>
      </c>
      <c r="I26" s="54">
        <v>56</v>
      </c>
      <c r="J26" s="54">
        <f t="shared" si="0"/>
        <v>56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2:20" ht="12.75" customHeight="1" x14ac:dyDescent="0.3">
      <c r="B27" s="41">
        <v>17</v>
      </c>
      <c r="C27" s="26" t="s">
        <v>227</v>
      </c>
      <c r="D27" s="26" t="s">
        <v>176</v>
      </c>
      <c r="E27" s="26" t="s">
        <v>179</v>
      </c>
      <c r="F27" s="54">
        <v>1</v>
      </c>
      <c r="G27" s="54">
        <v>1</v>
      </c>
      <c r="H27" s="54">
        <v>1</v>
      </c>
      <c r="I27" s="54">
        <v>53.33</v>
      </c>
      <c r="J27" s="54">
        <f t="shared" si="0"/>
        <v>53.33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2:20" ht="12.75" customHeight="1" x14ac:dyDescent="0.3">
      <c r="B28" s="41">
        <v>18</v>
      </c>
      <c r="C28" s="26" t="s">
        <v>183</v>
      </c>
      <c r="D28" s="26" t="s">
        <v>176</v>
      </c>
      <c r="E28" s="26" t="s">
        <v>179</v>
      </c>
      <c r="F28" s="54">
        <v>1</v>
      </c>
      <c r="G28" s="54">
        <v>1</v>
      </c>
      <c r="H28" s="54">
        <v>1</v>
      </c>
      <c r="I28" s="54">
        <v>49.33</v>
      </c>
      <c r="J28" s="54">
        <f t="shared" si="0"/>
        <v>49.33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2:20" ht="12.75" customHeight="1" x14ac:dyDescent="0.3">
      <c r="B29" s="41">
        <v>19</v>
      </c>
      <c r="C29" s="26" t="s">
        <v>197</v>
      </c>
      <c r="D29" s="26" t="s">
        <v>182</v>
      </c>
      <c r="E29" s="26" t="s">
        <v>198</v>
      </c>
      <c r="F29" s="54">
        <v>1</v>
      </c>
      <c r="G29" s="54">
        <v>4</v>
      </c>
      <c r="H29" s="54">
        <v>4</v>
      </c>
      <c r="I29" s="54">
        <v>4.92</v>
      </c>
      <c r="J29" s="54">
        <f t="shared" si="0"/>
        <v>19.68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2:20" ht="12.75" customHeight="1" x14ac:dyDescent="0.3">
      <c r="B30" s="41">
        <v>20</v>
      </c>
      <c r="C30" s="26" t="s">
        <v>264</v>
      </c>
      <c r="D30" s="26" t="s">
        <v>175</v>
      </c>
      <c r="E30" s="26" t="s">
        <v>270</v>
      </c>
      <c r="F30" s="54">
        <v>1</v>
      </c>
      <c r="G30" s="54">
        <v>1</v>
      </c>
      <c r="H30" s="54">
        <v>1</v>
      </c>
      <c r="I30" s="54">
        <v>6.39</v>
      </c>
      <c r="J30" s="54">
        <f t="shared" si="0"/>
        <v>6.39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2:20" ht="12.75" customHeight="1" x14ac:dyDescent="0.3">
      <c r="B31" s="41">
        <v>21</v>
      </c>
      <c r="C31" s="26" t="s">
        <v>265</v>
      </c>
      <c r="D31" s="26" t="s">
        <v>175</v>
      </c>
      <c r="E31" s="26" t="s">
        <v>243</v>
      </c>
      <c r="F31" s="54">
        <v>2</v>
      </c>
      <c r="G31" s="54">
        <v>3</v>
      </c>
      <c r="H31" s="54">
        <v>5</v>
      </c>
      <c r="I31" s="54">
        <v>17.04</v>
      </c>
      <c r="J31" s="54">
        <f t="shared" si="0"/>
        <v>85.199999999999989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2:20" ht="12.75" customHeight="1" x14ac:dyDescent="0.3">
      <c r="B32" s="41">
        <v>22</v>
      </c>
      <c r="C32" s="26" t="s">
        <v>266</v>
      </c>
      <c r="D32" s="26" t="s">
        <v>182</v>
      </c>
      <c r="E32" s="26" t="s">
        <v>274</v>
      </c>
      <c r="F32" s="54">
        <v>2</v>
      </c>
      <c r="G32" s="54">
        <v>3</v>
      </c>
      <c r="H32" s="54">
        <v>6</v>
      </c>
      <c r="I32" s="54">
        <v>20.52</v>
      </c>
      <c r="J32" s="54">
        <f t="shared" si="0"/>
        <v>123.12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20" ht="12.75" customHeight="1" x14ac:dyDescent="0.3">
      <c r="B33" s="41">
        <v>23</v>
      </c>
      <c r="C33" s="26" t="s">
        <v>242</v>
      </c>
      <c r="D33" s="26" t="s">
        <v>175</v>
      </c>
      <c r="E33" s="26" t="s">
        <v>245</v>
      </c>
      <c r="F33" s="54">
        <v>1</v>
      </c>
      <c r="G33" s="54">
        <v>4</v>
      </c>
      <c r="H33" s="54">
        <v>4</v>
      </c>
      <c r="I33" s="54">
        <v>566.66999999999996</v>
      </c>
      <c r="J33" s="54">
        <f t="shared" si="0"/>
        <v>2266.6799999999998</v>
      </c>
      <c r="K33" s="33"/>
      <c r="L33" s="33"/>
      <c r="M33" s="33"/>
      <c r="N33" s="33"/>
      <c r="O33" s="33"/>
      <c r="P33" s="33"/>
      <c r="Q33" s="33"/>
      <c r="R33" s="33"/>
      <c r="S33" s="33"/>
      <c r="T33" s="33"/>
    </row>
    <row r="34" spans="1:20" ht="12.75" customHeight="1" x14ac:dyDescent="0.3">
      <c r="B34" s="41">
        <v>24</v>
      </c>
      <c r="C34" s="26" t="s">
        <v>196</v>
      </c>
      <c r="D34" s="26" t="s">
        <v>176</v>
      </c>
      <c r="E34" s="26" t="s">
        <v>179</v>
      </c>
      <c r="F34" s="54">
        <v>1</v>
      </c>
      <c r="G34" s="54">
        <v>1</v>
      </c>
      <c r="H34" s="54">
        <v>1</v>
      </c>
      <c r="I34" s="54">
        <v>50.67</v>
      </c>
      <c r="J34" s="54">
        <f t="shared" si="0"/>
        <v>50.67</v>
      </c>
      <c r="K34" s="33"/>
      <c r="L34" s="33"/>
      <c r="M34" s="33"/>
      <c r="N34" s="33"/>
      <c r="O34" s="33"/>
      <c r="P34" s="33"/>
      <c r="Q34" s="33"/>
      <c r="R34" s="33"/>
      <c r="S34" s="33"/>
      <c r="T34" s="33"/>
    </row>
    <row r="35" spans="1:20" ht="12.75" customHeight="1" x14ac:dyDescent="0.3">
      <c r="B35" s="41">
        <v>25</v>
      </c>
      <c r="C35" s="26" t="s">
        <v>174</v>
      </c>
      <c r="D35" s="26" t="s">
        <v>177</v>
      </c>
      <c r="E35" s="26" t="s">
        <v>181</v>
      </c>
      <c r="F35" s="54">
        <v>1</v>
      </c>
      <c r="G35" s="54">
        <v>100</v>
      </c>
      <c r="H35" s="54">
        <v>100</v>
      </c>
      <c r="I35" s="54">
        <v>1.27</v>
      </c>
      <c r="J35" s="54">
        <f t="shared" si="0"/>
        <v>127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</row>
    <row r="36" spans="1:20" ht="12.75" customHeight="1" x14ac:dyDescent="0.3">
      <c r="B36" s="41">
        <v>26</v>
      </c>
      <c r="C36" s="26" t="s">
        <v>267</v>
      </c>
      <c r="D36" s="26" t="s">
        <v>177</v>
      </c>
      <c r="E36" s="26" t="s">
        <v>180</v>
      </c>
      <c r="F36" s="54">
        <v>3</v>
      </c>
      <c r="G36" s="54">
        <v>7</v>
      </c>
      <c r="H36" s="54">
        <v>21</v>
      </c>
      <c r="I36" s="54">
        <v>2.87</v>
      </c>
      <c r="J36" s="54">
        <f t="shared" si="0"/>
        <v>60.27</v>
      </c>
      <c r="K36" s="33"/>
      <c r="L36" s="33"/>
      <c r="M36" s="33"/>
      <c r="N36" s="33"/>
      <c r="O36" s="33"/>
      <c r="P36" s="33"/>
      <c r="Q36" s="33"/>
      <c r="R36" s="33"/>
      <c r="S36" s="33"/>
      <c r="T36" s="33"/>
    </row>
    <row r="37" spans="1:20" ht="12.75" customHeight="1" x14ac:dyDescent="0.3">
      <c r="B37" s="41">
        <v>27</v>
      </c>
      <c r="C37" s="26" t="s">
        <v>268</v>
      </c>
      <c r="D37" s="26" t="s">
        <v>275</v>
      </c>
      <c r="E37" s="26" t="s">
        <v>270</v>
      </c>
      <c r="F37" s="54">
        <v>2</v>
      </c>
      <c r="G37" s="54">
        <v>7</v>
      </c>
      <c r="H37" s="54">
        <v>14</v>
      </c>
      <c r="I37" s="54">
        <v>0.75</v>
      </c>
      <c r="J37" s="54">
        <f t="shared" si="0"/>
        <v>10.5</v>
      </c>
      <c r="K37" s="33"/>
      <c r="L37" s="33"/>
      <c r="M37" s="33"/>
      <c r="N37" s="33"/>
      <c r="O37" s="33"/>
      <c r="P37" s="33"/>
      <c r="Q37" s="33"/>
      <c r="R37" s="33"/>
      <c r="S37" s="33"/>
      <c r="T37" s="33"/>
    </row>
    <row r="38" spans="1:20" ht="12.75" customHeight="1" x14ac:dyDescent="0.3">
      <c r="B38" s="41">
        <v>28</v>
      </c>
      <c r="C38" s="26" t="s">
        <v>269</v>
      </c>
      <c r="D38" s="26" t="s">
        <v>177</v>
      </c>
      <c r="E38" s="26" t="s">
        <v>243</v>
      </c>
      <c r="F38" s="54">
        <v>2</v>
      </c>
      <c r="G38" s="54">
        <v>5</v>
      </c>
      <c r="H38" s="54">
        <v>10</v>
      </c>
      <c r="I38" s="54">
        <v>2.67</v>
      </c>
      <c r="J38" s="54">
        <f t="shared" si="0"/>
        <v>26.7</v>
      </c>
      <c r="K38" s="33"/>
      <c r="L38" s="33"/>
      <c r="M38" s="33"/>
      <c r="N38" s="33"/>
      <c r="O38" s="33"/>
      <c r="P38" s="33"/>
      <c r="Q38" s="33"/>
      <c r="R38" s="33"/>
      <c r="S38" s="33"/>
      <c r="T38" s="33"/>
    </row>
    <row r="39" spans="1:20" ht="12.75" customHeight="1" x14ac:dyDescent="0.25">
      <c r="A39" s="32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</row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5"/>
  <sheetViews>
    <sheetView topLeftCell="A13" workbookViewId="0">
      <selection activeCell="D38" sqref="D38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14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20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117" t="s">
        <v>216</v>
      </c>
      <c r="D16" s="69" t="s">
        <v>163</v>
      </c>
      <c r="E16" s="115">
        <v>2</v>
      </c>
      <c r="F16" s="115">
        <v>13.13</v>
      </c>
      <c r="G16" s="115">
        <f t="shared" ref="G16:G29" si="0">+E16*F16</f>
        <v>26.26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237</v>
      </c>
      <c r="D17" s="69" t="s">
        <v>163</v>
      </c>
      <c r="E17" s="115">
        <v>1</v>
      </c>
      <c r="F17" s="115">
        <v>22</v>
      </c>
      <c r="G17" s="115">
        <f t="shared" si="0"/>
        <v>22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167</v>
      </c>
      <c r="D18" s="69" t="s">
        <v>163</v>
      </c>
      <c r="E18" s="115">
        <v>3</v>
      </c>
      <c r="F18" s="115">
        <v>1.6</v>
      </c>
      <c r="G18" s="115">
        <f t="shared" si="0"/>
        <v>4.8000000000000007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229</v>
      </c>
      <c r="D19" s="69" t="s">
        <v>163</v>
      </c>
      <c r="E19" s="115">
        <v>1</v>
      </c>
      <c r="F19" s="115">
        <v>20.97</v>
      </c>
      <c r="G19" s="115">
        <f t="shared" si="0"/>
        <v>20.97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208</v>
      </c>
      <c r="D20" s="69" t="s">
        <v>210</v>
      </c>
      <c r="E20" s="115">
        <v>1</v>
      </c>
      <c r="F20" s="115">
        <v>100</v>
      </c>
      <c r="G20" s="115">
        <f t="shared" si="0"/>
        <v>100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228</v>
      </c>
      <c r="D21" s="69" t="s">
        <v>163</v>
      </c>
      <c r="E21" s="115">
        <v>1</v>
      </c>
      <c r="F21" s="115">
        <v>15.44</v>
      </c>
      <c r="G21" s="115">
        <f t="shared" si="0"/>
        <v>15.44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193</v>
      </c>
      <c r="D22" s="69" t="s">
        <v>163</v>
      </c>
      <c r="E22" s="115">
        <v>2</v>
      </c>
      <c r="F22" s="115">
        <v>100</v>
      </c>
      <c r="G22" s="115">
        <f t="shared" si="0"/>
        <v>200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238</v>
      </c>
      <c r="D23" s="69" t="s">
        <v>163</v>
      </c>
      <c r="E23" s="115">
        <v>1</v>
      </c>
      <c r="F23" s="115">
        <v>37.130000000000003</v>
      </c>
      <c r="G23" s="115">
        <f t="shared" si="0"/>
        <v>37.130000000000003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239</v>
      </c>
      <c r="D24" s="69" t="s">
        <v>210</v>
      </c>
      <c r="E24" s="115">
        <v>1</v>
      </c>
      <c r="F24" s="115">
        <v>100</v>
      </c>
      <c r="G24" s="115">
        <f t="shared" si="0"/>
        <v>100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168</v>
      </c>
      <c r="D25" s="69" t="s">
        <v>163</v>
      </c>
      <c r="E25" s="115">
        <v>1</v>
      </c>
      <c r="F25" s="115">
        <v>1.6</v>
      </c>
      <c r="G25" s="115">
        <f t="shared" si="0"/>
        <v>1.6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170</v>
      </c>
      <c r="D26" s="69" t="s">
        <v>163</v>
      </c>
      <c r="E26" s="54">
        <v>3</v>
      </c>
      <c r="F26" s="54">
        <v>2.77</v>
      </c>
      <c r="G26" s="115">
        <f t="shared" si="0"/>
        <v>8.31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230</v>
      </c>
      <c r="D27" s="69" t="s">
        <v>171</v>
      </c>
      <c r="E27" s="54">
        <v>2</v>
      </c>
      <c r="F27" s="54">
        <v>20.440000000000001</v>
      </c>
      <c r="G27" s="115">
        <f t="shared" si="0"/>
        <v>40.880000000000003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255</v>
      </c>
      <c r="D28" s="69" t="s">
        <v>163</v>
      </c>
      <c r="E28" s="54">
        <v>2</v>
      </c>
      <c r="F28" s="54">
        <v>20</v>
      </c>
      <c r="G28" s="115">
        <f t="shared" si="0"/>
        <v>40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169</v>
      </c>
      <c r="D29" s="69" t="s">
        <v>163</v>
      </c>
      <c r="E29" s="54">
        <v>2</v>
      </c>
      <c r="F29" s="54">
        <v>5</v>
      </c>
      <c r="G29" s="115">
        <f t="shared" si="0"/>
        <v>10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139" t="s">
        <v>75</v>
      </c>
      <c r="C30" s="140"/>
      <c r="D30" s="140"/>
      <c r="E30" s="140"/>
      <c r="F30" s="140"/>
      <c r="G30" s="141"/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</v>
      </c>
      <c r="C31" s="26" t="s">
        <v>189</v>
      </c>
      <c r="D31" s="116" t="s">
        <v>194</v>
      </c>
      <c r="E31" s="115">
        <v>1</v>
      </c>
      <c r="F31" s="115">
        <v>67.319999999999993</v>
      </c>
      <c r="G31" s="115">
        <f>+E31*F31</f>
        <v>67.319999999999993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2</v>
      </c>
      <c r="C32" s="26" t="s">
        <v>190</v>
      </c>
      <c r="D32" s="116" t="s">
        <v>194</v>
      </c>
      <c r="E32" s="115">
        <v>1</v>
      </c>
      <c r="F32" s="115">
        <v>84</v>
      </c>
      <c r="G32" s="115">
        <f t="shared" ref="G32:G50" si="1">+E32*F32</f>
        <v>84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3</v>
      </c>
      <c r="C33" s="26" t="s">
        <v>224</v>
      </c>
      <c r="D33" s="116" t="s">
        <v>194</v>
      </c>
      <c r="E33" s="115">
        <v>1</v>
      </c>
      <c r="F33" s="115">
        <v>22.67</v>
      </c>
      <c r="G33" s="115">
        <f t="shared" si="1"/>
        <v>22.67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4</v>
      </c>
      <c r="C34" s="26" t="s">
        <v>191</v>
      </c>
      <c r="D34" s="116" t="s">
        <v>163</v>
      </c>
      <c r="E34" s="115">
        <v>1</v>
      </c>
      <c r="F34" s="115">
        <v>3</v>
      </c>
      <c r="G34" s="115">
        <f t="shared" si="1"/>
        <v>3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5</v>
      </c>
      <c r="C35" s="26" t="s">
        <v>167</v>
      </c>
      <c r="D35" s="116" t="s">
        <v>163</v>
      </c>
      <c r="E35" s="115">
        <v>5</v>
      </c>
      <c r="F35" s="115">
        <v>1.6</v>
      </c>
      <c r="G35" s="115">
        <f t="shared" si="1"/>
        <v>8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6</v>
      </c>
      <c r="C36" s="26" t="s">
        <v>168</v>
      </c>
      <c r="D36" s="116" t="s">
        <v>163</v>
      </c>
      <c r="E36" s="115">
        <v>5</v>
      </c>
      <c r="F36" s="115">
        <v>1.6</v>
      </c>
      <c r="G36" s="115">
        <f t="shared" si="1"/>
        <v>8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7</v>
      </c>
      <c r="C37" s="26" t="s">
        <v>169</v>
      </c>
      <c r="D37" s="116" t="s">
        <v>163</v>
      </c>
      <c r="E37" s="115">
        <v>5</v>
      </c>
      <c r="F37" s="115">
        <v>5</v>
      </c>
      <c r="G37" s="115">
        <f t="shared" si="1"/>
        <v>25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8</v>
      </c>
      <c r="C38" s="26" t="s">
        <v>233</v>
      </c>
      <c r="D38" s="116" t="s">
        <v>236</v>
      </c>
      <c r="E38" s="115">
        <v>5</v>
      </c>
      <c r="F38" s="115">
        <v>12</v>
      </c>
      <c r="G38" s="115">
        <f t="shared" si="1"/>
        <v>60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9</v>
      </c>
      <c r="C39" s="26" t="s">
        <v>234</v>
      </c>
      <c r="D39" s="116" t="s">
        <v>236</v>
      </c>
      <c r="E39" s="115">
        <v>5</v>
      </c>
      <c r="F39" s="115">
        <v>15</v>
      </c>
      <c r="G39" s="115">
        <f t="shared" si="1"/>
        <v>75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10</v>
      </c>
      <c r="C40" s="26" t="s">
        <v>235</v>
      </c>
      <c r="D40" s="116" t="s">
        <v>236</v>
      </c>
      <c r="E40" s="115">
        <v>5</v>
      </c>
      <c r="F40" s="115">
        <v>10.67</v>
      </c>
      <c r="G40" s="115">
        <f t="shared" si="1"/>
        <v>53.35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11</v>
      </c>
      <c r="C41" s="26" t="s">
        <v>192</v>
      </c>
      <c r="D41" s="116" t="s">
        <v>163</v>
      </c>
      <c r="E41" s="115">
        <v>1</v>
      </c>
      <c r="F41" s="115">
        <v>23.87</v>
      </c>
      <c r="G41" s="115">
        <f t="shared" si="1"/>
        <v>23.87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12</v>
      </c>
      <c r="C42" s="26" t="s">
        <v>252</v>
      </c>
      <c r="D42" s="116" t="s">
        <v>163</v>
      </c>
      <c r="E42" s="115">
        <v>1</v>
      </c>
      <c r="F42" s="115">
        <v>55</v>
      </c>
      <c r="G42" s="115">
        <f t="shared" si="1"/>
        <v>55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13</v>
      </c>
      <c r="C43" s="26" t="s">
        <v>253</v>
      </c>
      <c r="D43" s="116" t="s">
        <v>163</v>
      </c>
      <c r="E43" s="115">
        <v>1</v>
      </c>
      <c r="F43" s="115">
        <v>33.17</v>
      </c>
      <c r="G43" s="115">
        <f t="shared" si="1"/>
        <v>33.17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14</v>
      </c>
      <c r="C44" s="26" t="s">
        <v>254</v>
      </c>
      <c r="D44" s="116" t="s">
        <v>163</v>
      </c>
      <c r="E44" s="115">
        <v>1</v>
      </c>
      <c r="F44" s="115">
        <v>5.73</v>
      </c>
      <c r="G44" s="115">
        <f t="shared" si="1"/>
        <v>5.73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15</v>
      </c>
      <c r="C45" s="26" t="s">
        <v>187</v>
      </c>
      <c r="D45" s="116" t="s">
        <v>163</v>
      </c>
      <c r="E45" s="115">
        <v>1</v>
      </c>
      <c r="F45" s="115">
        <v>330.94</v>
      </c>
      <c r="G45" s="115">
        <f t="shared" si="1"/>
        <v>330.94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16</v>
      </c>
      <c r="C46" s="26" t="s">
        <v>186</v>
      </c>
      <c r="D46" s="116" t="s">
        <v>163</v>
      </c>
      <c r="E46" s="115">
        <v>2</v>
      </c>
      <c r="F46" s="115">
        <v>118.67</v>
      </c>
      <c r="G46" s="115">
        <f t="shared" si="1"/>
        <v>237.34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17</v>
      </c>
      <c r="C47" s="26" t="s">
        <v>215</v>
      </c>
      <c r="D47" s="116" t="s">
        <v>163</v>
      </c>
      <c r="E47" s="115">
        <v>1</v>
      </c>
      <c r="F47" s="115">
        <v>116.16</v>
      </c>
      <c r="G47" s="115">
        <f t="shared" si="1"/>
        <v>116.16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18</v>
      </c>
      <c r="C48" s="26" t="s">
        <v>188</v>
      </c>
      <c r="D48" s="116" t="s">
        <v>163</v>
      </c>
      <c r="E48" s="115">
        <v>1</v>
      </c>
      <c r="F48" s="115">
        <v>310.5</v>
      </c>
      <c r="G48" s="115">
        <f t="shared" si="1"/>
        <v>310.5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1:16" ht="14.25" customHeight="1" x14ac:dyDescent="0.3">
      <c r="B49" s="67">
        <v>19</v>
      </c>
      <c r="C49" s="26" t="s">
        <v>240</v>
      </c>
      <c r="D49" s="116" t="s">
        <v>163</v>
      </c>
      <c r="E49" s="115">
        <v>1</v>
      </c>
      <c r="F49" s="115">
        <v>13.13</v>
      </c>
      <c r="G49" s="115">
        <f t="shared" si="1"/>
        <v>13.13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1:16" ht="14.25" customHeight="1" x14ac:dyDescent="0.3">
      <c r="B50" s="67">
        <v>20</v>
      </c>
      <c r="C50" s="26" t="s">
        <v>209</v>
      </c>
      <c r="D50" s="116" t="s">
        <v>171</v>
      </c>
      <c r="E50" s="115">
        <v>1</v>
      </c>
      <c r="F50" s="115">
        <v>14</v>
      </c>
      <c r="G50" s="115">
        <f t="shared" si="1"/>
        <v>14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1:16" ht="14.25" customHeight="1" x14ac:dyDescent="0.3">
      <c r="B51" s="139" t="s">
        <v>29</v>
      </c>
      <c r="C51" s="140"/>
      <c r="D51" s="140"/>
      <c r="E51" s="140"/>
      <c r="F51" s="140"/>
      <c r="G51" s="141"/>
      <c r="H51" s="38"/>
      <c r="I51" s="38"/>
      <c r="J51" s="38"/>
      <c r="K51" s="38"/>
      <c r="L51" s="38"/>
      <c r="M51" s="38"/>
      <c r="N51" s="38"/>
      <c r="O51" s="38"/>
      <c r="P51" s="38"/>
    </row>
    <row r="52" spans="1:16" ht="14.25" customHeight="1" x14ac:dyDescent="0.3">
      <c r="B52" s="67">
        <v>1</v>
      </c>
      <c r="C52" s="68"/>
      <c r="D52" s="69"/>
      <c r="E52" s="54"/>
      <c r="F52" s="54"/>
      <c r="G52" s="54"/>
      <c r="H52" s="38"/>
      <c r="I52" s="38"/>
      <c r="J52" s="38"/>
      <c r="K52" s="38"/>
      <c r="L52" s="38"/>
      <c r="M52" s="38"/>
      <c r="N52" s="38"/>
      <c r="O52" s="38"/>
      <c r="P52" s="38"/>
    </row>
    <row r="53" spans="1:16" ht="14.25" customHeight="1" x14ac:dyDescent="0.3">
      <c r="B53" s="67">
        <v>2</v>
      </c>
      <c r="C53" s="68"/>
      <c r="D53" s="69"/>
      <c r="E53" s="54"/>
      <c r="F53" s="54"/>
      <c r="G53" s="54"/>
      <c r="H53" s="38"/>
      <c r="I53" s="38"/>
      <c r="J53" s="38"/>
      <c r="K53" s="38"/>
      <c r="L53" s="38"/>
      <c r="M53" s="38"/>
      <c r="N53" s="38"/>
      <c r="O53" s="38"/>
      <c r="P53" s="38"/>
    </row>
    <row r="54" spans="1:16" ht="14.25" customHeight="1" x14ac:dyDescent="0.3">
      <c r="B54" s="67">
        <v>3</v>
      </c>
      <c r="C54" s="68"/>
      <c r="D54" s="69"/>
      <c r="E54" s="54"/>
      <c r="F54" s="54"/>
      <c r="G54" s="54"/>
      <c r="H54" s="38"/>
      <c r="I54" s="38"/>
      <c r="J54" s="38"/>
      <c r="K54" s="38"/>
      <c r="L54" s="38"/>
      <c r="M54" s="38"/>
      <c r="N54" s="38"/>
      <c r="O54" s="38"/>
      <c r="P54" s="38"/>
    </row>
    <row r="55" spans="1:16" ht="14.25" customHeight="1" x14ac:dyDescent="0.3">
      <c r="B55" s="67">
        <v>4</v>
      </c>
      <c r="C55" s="68"/>
      <c r="D55" s="69"/>
      <c r="E55" s="54"/>
      <c r="F55" s="54"/>
      <c r="G55" s="54"/>
      <c r="H55" s="38"/>
      <c r="I55" s="38"/>
      <c r="J55" s="38"/>
      <c r="K55" s="38"/>
      <c r="L55" s="38"/>
      <c r="M55" s="38"/>
      <c r="N55" s="38"/>
      <c r="O55" s="38"/>
      <c r="P55" s="38"/>
    </row>
    <row r="56" spans="1:16" ht="14.25" customHeight="1" x14ac:dyDescent="0.3">
      <c r="B56" s="67">
        <v>5</v>
      </c>
      <c r="C56" s="68"/>
      <c r="D56" s="69"/>
      <c r="E56" s="54"/>
      <c r="F56" s="54"/>
      <c r="G56" s="54"/>
      <c r="H56" s="38"/>
      <c r="I56" s="38"/>
      <c r="J56" s="38"/>
      <c r="K56" s="38"/>
      <c r="L56" s="38"/>
      <c r="M56" s="38"/>
      <c r="N56" s="38"/>
      <c r="O56" s="38"/>
      <c r="P56" s="38"/>
    </row>
    <row r="57" spans="1:16" ht="14.25" customHeight="1" x14ac:dyDescent="0.3">
      <c r="B57" s="67">
        <v>6</v>
      </c>
      <c r="C57" s="68"/>
      <c r="D57" s="69"/>
      <c r="E57" s="54"/>
      <c r="F57" s="54"/>
      <c r="G57" s="54"/>
      <c r="H57" s="38"/>
      <c r="I57" s="38"/>
      <c r="J57" s="38"/>
      <c r="K57" s="38"/>
      <c r="L57" s="38"/>
      <c r="M57" s="38"/>
      <c r="N57" s="38"/>
      <c r="O57" s="38"/>
      <c r="P57" s="38"/>
    </row>
    <row r="58" spans="1:16" ht="14.25" customHeight="1" x14ac:dyDescent="0.3">
      <c r="B58" s="67">
        <v>7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1:16" ht="14.25" customHeight="1" x14ac:dyDescent="0.3">
      <c r="B59" s="67">
        <v>8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1:16" ht="14.25" customHeight="1" x14ac:dyDescent="0.3">
      <c r="B60" s="67">
        <v>9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1:16" ht="14.25" customHeight="1" x14ac:dyDescent="0.3">
      <c r="B61" s="67">
        <v>10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1:16" ht="14.25" customHeight="1" x14ac:dyDescent="0.3">
      <c r="A62" s="43"/>
      <c r="B62" s="38"/>
      <c r="C62" s="43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</row>
    <row r="63" spans="1:16" ht="14.25" customHeight="1" x14ac:dyDescent="0.3">
      <c r="A63" s="43"/>
      <c r="B63" s="38"/>
      <c r="C63" s="43"/>
      <c r="D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</row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password="C2E9" sheet="1" objects="1" scenarios="1" formatColumns="0" formatRows="0" sort="0" autoFilter="0"/>
  <mergeCells count="9">
    <mergeCell ref="B7:G7"/>
    <mergeCell ref="B30:G30"/>
    <mergeCell ref="B51:G5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51</xdr:row>
                    <xdr:rowOff>28575</xdr:rowOff>
                  </from>
                  <to>
                    <xdr:col>1</xdr:col>
                    <xdr:colOff>771525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51</xdr:row>
                    <xdr:rowOff>28575</xdr:rowOff>
                  </from>
                  <to>
                    <xdr:col>1</xdr:col>
                    <xdr:colOff>1543050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data_general'!$C$30</f>
        <v>Level II and III</v>
      </c>
      <c r="G1" s="111" t="str">
        <f>'1.1 Case data_general'!$C$31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2018-06-04T03:51:54Z</dcterms:modified>
</cp:coreProperties>
</file>