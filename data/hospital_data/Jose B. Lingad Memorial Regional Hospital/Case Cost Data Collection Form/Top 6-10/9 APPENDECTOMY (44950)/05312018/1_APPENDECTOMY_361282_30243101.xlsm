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5-31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Drugs&amp;Med'!$C$11:$C$22</definedName>
    <definedName name="_xlnm.Print_Area" localSheetId="0">'1.1 Case data_general'!$B$1:$F$80</definedName>
    <definedName name="_xlnm.Print_Area" localSheetId="1">'1.2 Drugs&amp;Med'!$B$2:$J$41</definedName>
  </definedNames>
  <calcPr calcId="152511"/>
</workbook>
</file>

<file path=xl/calcChain.xml><?xml version="1.0" encoding="utf-8"?>
<calcChain xmlns="http://schemas.openxmlformats.org/spreadsheetml/2006/main">
  <c r="J29" i="2" l="1"/>
  <c r="J28" i="2"/>
  <c r="J27" i="2"/>
  <c r="J26" i="2"/>
  <c r="J25" i="2"/>
  <c r="J24" i="2"/>
  <c r="J23" i="2"/>
  <c r="F23" i="1"/>
  <c r="G64" i="9" l="1"/>
  <c r="G63" i="9"/>
  <c r="G62" i="9"/>
  <c r="G61" i="9"/>
  <c r="G60" i="9"/>
  <c r="G59" i="9"/>
  <c r="J11" i="2"/>
  <c r="G58" i="9" l="1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2" i="2" l="1"/>
  <c r="J13" i="2"/>
  <c r="J14" i="2"/>
  <c r="J15" i="2"/>
  <c r="J16" i="2"/>
  <c r="J17" i="2"/>
  <c r="J18" i="2"/>
  <c r="J19" i="2"/>
  <c r="J20" i="2"/>
  <c r="J21" i="2"/>
  <c r="J22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<sst xmlns="http://schemas.openxmlformats.org/spreadsheetml/2006/main" count="554" uniqueCount="236">
  <si>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</si>
  <si>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</si>
  <si>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</si>
  <si>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</si>
  <si>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</si>
  <si>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</si>
  <si>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</si>
  <si>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</si>
  <si>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</si>
  <si>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</si>
  <si>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</si>
  <si>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</si>
  <si>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</si>
  <si>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</si>
  <si>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</si>
  <si>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</si>
  <si>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</si>
  <si>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</si>
  <si>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</si>
  <si>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</si>
  <si>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</si>
  <si>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</si>
  <si>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</si>
  <si>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</si>
  <si>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</si>
  <si>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</si>
  <si>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</si>
  <si>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</si>
  <si>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</si>
  <si>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</si>
  <si>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</si>
  <si>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</si>
  <si>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</si>
  <si>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</si>
  <si>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</si>
  <si>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</si>
  <si>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</si>
  <si>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</si>
  <si>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</si>
  <si>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</si>
  <si>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</si>
  <si>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</si>
  <si>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</si>
  <si>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</si>
  <si>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</si>
  <si>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</si>
  <si>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</si>
  <si>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</si>
  <si>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</si>
  <si>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</si>
  <si>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</si>
  <si>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</si>
  <si>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</si>
  <si>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</si>
  <si>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</si>
  <si>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</si>
  <si>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</si>
  <si>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</si>
  <si>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</si>
  <si>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</si>
  <si>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</si>
  <si>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</si>
  <si>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</si>
  <si>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</si>
  <si>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</si>
  <si>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</si>
  <si>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</si>
  <si>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</si>
  <si>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</si>
  <si>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</si>
  <si>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</si>
  <si>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</si>
  <si>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</si>
  <si>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</si>
  <si>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</si>
  <si>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</si>
  <si>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</si>
  <si>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</si>
  <si>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</si>
  <si>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</si>
  <si>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</si>
  <si>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</si>
  <si>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</si>
  <si>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</si>
  <si>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</si>
  <si>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</si>
  <si>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</si>
  <si>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</si>
  <si>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</si>
  <si>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</si>
  <si>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</si>
  <si>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</si>
  <si>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</si>
  <si>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</si>
  <si>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</si>
  <si>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</si>
  <si>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</si>
  <si>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</si>
  <si>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</si>
  <si>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</si>
  <si>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</si>
  <si>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</si>
  <si>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</si>
  <si>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</si>
  <si>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</si>
  <si>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</si>
  <si>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</si>
  <si>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</si>
  <si>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</si>
  <si>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</si>
  <si>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</si>
  <si>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</si>
  <si>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</si>
  <si>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</si>
  <si>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</si>
  <si>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</si>
  <si>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</si>
  <si>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</si>
  <si>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</si>
  <si>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</si>
  <si>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</si>
  <si>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</si>
  <si>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</si>
  <si>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</si>
  <si>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</si>
  <si>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</si>
  <si>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</si>
  <si>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</si>
  <si>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</si>
  <si>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</si>
  <si>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</si>
  <si>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</si>
  <si>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</si>
  <si>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</si>
  <si>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</si>
  <si>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</si>
  <si>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</si>
  <si>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</si>
  <si>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</si>
  <si>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</si>
  <si>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</si>
  <si>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</si>
  <si>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</si>
  <si>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</si>
  <si>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</si>
  <si>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</si>
  <si>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</si>
  <si>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</si>
  <si>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</si>
  <si>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</si>
  <si>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</si>
  <si>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</si>
  <si>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</si>
  <si>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</si>
  <si>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</si>
  <si>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</si>
  <si>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</si>
  <si>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</si>
  <si>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</si>
  <si>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</si>
  <si>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</si>
  <si>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</si>
  <si>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</si>
  <si>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</si>
  <si>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</si>
  <si>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LABORATORY</t>
  </si>
  <si>
    <t>ROOM AND ACCOMMODATION</t>
  </si>
  <si>
    <t>PROFESSIONAL FEE</t>
  </si>
  <si>
    <t>APPENDECTOMY</t>
  </si>
  <si>
    <t>K35.8</t>
  </si>
  <si>
    <t>MAJOR</t>
  </si>
  <si>
    <t>OTHERS (OPERATING ROOM)</t>
  </si>
  <si>
    <t>MIDAZOLAM 5MG-1ML 5MG/ML-1ML</t>
  </si>
  <si>
    <t>PARACETAMOL (ACETAMINOPHEN) 300MG-2ML</t>
  </si>
  <si>
    <t>RANITIDINE HCI 25MG/ML-2ML</t>
  </si>
  <si>
    <t>CEFOXITIN SODIUM 1G</t>
  </si>
  <si>
    <t>PLAIN NSS 1L  (X 12S)</t>
  </si>
  <si>
    <t>(D5LRS 1L) 5% DEXTROSE IN LACTATED RINGERS SOLUTION 1000ML (D5 LRS) X 12S</t>
  </si>
  <si>
    <t>LIDOCAINE HCI 2%-5ML PRESERVATIVE-FREE REGARDLESS OF CONTAINER</t>
  </si>
  <si>
    <t>BUPIVACAINE HCL- SPINAL  0.5% - 4ML + 8% DEXTROSE</t>
  </si>
  <si>
    <t>(PLAIN LRS 1L) LACTATED RINGER''''S SOLUTION 1000ML (PLAIN LRS 1L) X 12S</t>
  </si>
  <si>
    <t>EPINEPHRINE (AS ADRENALINE) 1MG/ML- 1 ML</t>
  </si>
  <si>
    <t>TRAMADOL HCL 50MG/ML-2ML</t>
  </si>
  <si>
    <t>IV SET W/ AIRWAY FOR IV PUSH, VACOSET/MACRODRIP, ADULT</t>
  </si>
  <si>
    <t>DISPOSABLE SURGICAL BRUSH W/ SPONGE AND NAIL CLEANER</t>
  </si>
  <si>
    <t>SPINAL NEEDLE, G23 X 3 1/2" DISPOSABLE STERILE, SINGLE PACK (CPR NEEDED)</t>
  </si>
  <si>
    <t>SILK 2-0 BRAIDED, COATED, NON-ABSORBABLE SURGICAL SUTURE 75CM, WITH AT LEAST 26M X ½ CIRCLE TAPER NEEDLE</t>
  </si>
  <si>
    <t>SURGICAL COTTON THREAD 2/0, 18" X 10 STRANDS</t>
  </si>
  <si>
    <t>ISOPROPHYL ALCOHOL 70%, 500ML</t>
  </si>
  <si>
    <t>PC</t>
  </si>
  <si>
    <t>25MG/ML-2ML</t>
  </si>
  <si>
    <t>1G</t>
  </si>
  <si>
    <t>1L</t>
  </si>
  <si>
    <t>1MG/ML- 1 ML</t>
  </si>
  <si>
    <t>CBC, PC</t>
  </si>
  <si>
    <t>URINALYSIS (UA)</t>
  </si>
  <si>
    <t>OPERATION ROOM</t>
  </si>
  <si>
    <t>TRANEXAMIC ACID 100MG/ML-5ML</t>
  </si>
  <si>
    <t>100MG/ML-5ML</t>
  </si>
  <si>
    <t>5MG-1ML 5MG/ML-1ML</t>
  </si>
  <si>
    <t>50MG/ML-2ML</t>
  </si>
  <si>
    <t>SUCTION TUBING YANKAUER TIP F25 X 150CM</t>
  </si>
  <si>
    <t>SURGICAL LAPAROTOMY SPONGE 8"X36", 24X28 MESH, 12 PLY SEWED EDGES STERILE W/ DETECTABLE X-RAY THREAD (LAP SPONGE 8"X36"X12 PLY, LOOP W/ X-RAY THREAD, STERILE, 1 PIECE/PCK) (CPR NEEDED)</t>
  </si>
  <si>
    <t>POVIDONE IODINE 10 % SOLUTION (ANTISEPTIC) 120ML</t>
  </si>
  <si>
    <t>ADHESIVE PLASTER 2 X 10 (SILK) BOX OF 12S</t>
  </si>
  <si>
    <t>GAUZE SPONGE 4"X4", 8 PLY, 28X24 MESH, UNSTERILE,  W/O BLUE DETECTOR, PACK OF 100S (OS 4X4) (CPR NEEDED)</t>
  </si>
  <si>
    <t>DISPOSABLE HEAD CAP X 100S GARTERIZED</t>
  </si>
  <si>
    <t>DISPOSABLE FACE MASK, EAR LOOP 3 FOLDS X 50S</t>
  </si>
  <si>
    <t>SURGICAL SKIN STAPLER W/ FREE SKIN STAPLER REMOVER 12 PCS FOR EVERY PURCHASE OF 50 PCS (BBRAUN/SPAIN)</t>
  </si>
  <si>
    <t>POLYDIOXONE 1  MONOFILAMENT, SYNTHETIC ABSORBABLE SUTURE 90CM, WITH 40MM X 1/2 CIRCLE ROUND BODIED NEEDLE</t>
  </si>
  <si>
    <t>361282/74488</t>
  </si>
  <si>
    <t>BLOOD EXTRACTION FEE</t>
  </si>
  <si>
    <t>ABO/RH TYPING FULLY AUTOMATED (ADULT)</t>
  </si>
  <si>
    <t>HISTOPATHOLOGY - MEDIUM OR (2) SMALL</t>
  </si>
  <si>
    <t>ATROPINE SULPHATE 1MG/1ML (IV)</t>
  </si>
  <si>
    <t>(IRRIGATING SOLN) 0.9% SODIUM CHLORIDE (PLAIN NSS) 1000ML (IRRIGATION) X 12S</t>
  </si>
  <si>
    <t>EPHEDRINE SULFATE 50MG/ML-1ML (IM, IV)</t>
  </si>
  <si>
    <t>NALBUPHINE HCL 10MG/ML-1ML</t>
  </si>
  <si>
    <t>BUTORPHANOL TARTRATE 2MG/ML-1ML</t>
  </si>
  <si>
    <t>(PNSS 50ML) 0.9% SODIUM CHLORIDE 50ML</t>
  </si>
  <si>
    <t>KETOROLAC TROMETHAMOL 30MG/ML-1ML</t>
  </si>
  <si>
    <t>bottle</t>
  </si>
  <si>
    <t>tablet</t>
  </si>
  <si>
    <t>vial</t>
  </si>
  <si>
    <t>1MG/1ML</t>
  </si>
  <si>
    <t xml:space="preserve"> 300MG-2ML</t>
  </si>
  <si>
    <t>50MG/ML-1ML</t>
  </si>
  <si>
    <t>10MG/ML-1ML</t>
  </si>
  <si>
    <t>2MG/ML-1ML</t>
  </si>
  <si>
    <t>30MG/ML-1ML</t>
  </si>
  <si>
    <t xml:space="preserve">1000ML </t>
  </si>
  <si>
    <t>0.5% - 4ML + 8%</t>
  </si>
  <si>
    <t>2%-5ML</t>
  </si>
  <si>
    <t>50ML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</si>
  <si>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</si>
  <si>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OXYGEN FLOW METER (PIPELINE) PER 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</si>
</sst>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-* #,##0.00_-;\-* #,##0.00_-;_-* &quot;-&quot;??_-;_-@_-"/>
  </numFmts>
  <fonts count="23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10"/>
      <color indexed="8"/>
      <name val="Arial"/>
      <family val="2"/>
    </font>
    <font>
      <sz val="10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14" fillId="0" borderId="0" applyFont="0" applyFill="0" applyBorder="0" applyAlignment="0" applyProtection="0"/>
    <xf numFmtId="0" fontId="14" fillId="0" borderId="3"/>
    <xf numFmtId="0" fontId="19" fillId="0" borderId="30" applyNumberFormat="0" applyFill="0" applyAlignment="0" applyProtection="0"/>
    <xf numFmtId="0" fontId="1" fillId="0" borderId="3"/>
    <xf numFmtId="43" fontId="1" fillId="0" borderId="3" applyFont="0" applyFill="0" applyBorder="0" applyAlignment="0" applyProtection="0"/>
    <xf numFmtId="0" fontId="21" fillId="0" borderId="3">
      <alignment vertical="top"/>
    </xf>
  </cellStyleXfs>
  <cellXfs count="159">
    <xf numFmtId="0" fontId="0" fillId="0" borderId="0" xfId="0" applyFont="1" applyAlignme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0" fontId="6" fillId="3" borderId="1" xfId="0" applyFont="1" applyFill="1" applyBorder="1" applyAlignment="1">
      <alignment horizontal="center"/>
    </xf>
    <xf numFmtId="0" fontId="7" fillId="4" borderId="1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2" fillId="6" borderId="1" xfId="0" applyFont="1" applyFill="1" applyBorder="1"/>
    <xf numFmtId="0" fontId="6" fillId="7" borderId="0" xfId="0" applyFont="1" applyFill="1"/>
    <xf numFmtId="0" fontId="2" fillId="7" borderId="0" xfId="0" applyFont="1" applyFill="1"/>
    <xf numFmtId="0" fontId="2" fillId="5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5" borderId="7" xfId="0" applyFont="1" applyFill="1" applyBorder="1" applyAlignment="1">
      <alignment horizontal="right" vertical="center"/>
    </xf>
    <xf numFmtId="0" fontId="2" fillId="6" borderId="7" xfId="0" applyFont="1" applyFill="1" applyBorder="1"/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2" fillId="0" borderId="7" xfId="0" applyFont="1" applyBorder="1" applyProtection="1">
      <protection locked="0"/>
    </xf>
    <xf numFmtId="0" fontId="6" fillId="3" borderId="16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2" fillId="0" borderId="0" xfId="0" applyFont="1" applyFill="1"/>
    <xf numFmtId="0" fontId="8" fillId="6" borderId="3" xfId="0" applyFont="1" applyFill="1" applyBorder="1"/>
    <xf numFmtId="0" fontId="8" fillId="6" borderId="20" xfId="0" applyFont="1" applyFill="1" applyBorder="1"/>
    <xf numFmtId="0" fontId="2" fillId="6" borderId="3" xfId="0" applyFont="1" applyFill="1" applyBorder="1"/>
    <xf numFmtId="0" fontId="2" fillId="6" borderId="20" xfId="0" applyFont="1" applyFill="1" applyBorder="1"/>
    <xf numFmtId="0" fontId="2" fillId="0" borderId="9" xfId="0" applyFont="1" applyBorder="1"/>
    <xf numFmtId="0" fontId="2" fillId="5" borderId="21" xfId="0" applyFont="1" applyFill="1" applyBorder="1" applyAlignment="1">
      <alignment horizontal="right" vertical="center"/>
    </xf>
    <xf numFmtId="0" fontId="11" fillId="5" borderId="21" xfId="0" applyFont="1" applyFill="1" applyBorder="1" applyAlignment="1" applyProtection="1">
      <alignment wrapText="1"/>
      <protection locked="0"/>
    </xf>
    <xf numFmtId="0" fontId="2" fillId="6" borderId="21" xfId="0" applyFont="1" applyFill="1" applyBorder="1"/>
    <xf numFmtId="0" fontId="11" fillId="5" borderId="21" xfId="0" applyFont="1" applyFill="1" applyBorder="1" applyProtection="1">
      <protection locked="0"/>
    </xf>
    <xf numFmtId="0" fontId="2" fillId="5" borderId="22" xfId="0" applyFont="1" applyFill="1" applyBorder="1" applyAlignment="1">
      <alignment horizontal="right" vertical="center"/>
    </xf>
    <xf numFmtId="0" fontId="11" fillId="5" borderId="22" xfId="0" applyFont="1" applyFill="1" applyBorder="1" applyAlignment="1" applyProtection="1">
      <alignment wrapText="1"/>
      <protection locked="0"/>
    </xf>
    <xf numFmtId="0" fontId="2" fillId="6" borderId="22" xfId="0" applyFont="1" applyFill="1" applyBorder="1"/>
    <xf numFmtId="0" fontId="0" fillId="0" borderId="0" xfId="0" applyFont="1" applyAlignment="1" applyProtection="1"/>
    <xf numFmtId="0" fontId="6" fillId="7" borderId="0" xfId="0" applyFont="1" applyFill="1" applyProtection="1"/>
    <xf numFmtId="0" fontId="2" fillId="0" borderId="0" xfId="0" applyFont="1" applyProtection="1"/>
    <xf numFmtId="0" fontId="2" fillId="0" borderId="0" xfId="0" applyFont="1" applyAlignment="1" applyProtection="1"/>
    <xf numFmtId="0" fontId="4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2" fillId="0" borderId="0" xfId="0" applyFont="1" applyAlignment="1" applyProtection="1">
      <alignment horizontal="center"/>
    </xf>
    <xf numFmtId="0" fontId="2" fillId="3" borderId="11" xfId="0" applyFont="1" applyFill="1" applyBorder="1" applyProtection="1"/>
    <xf numFmtId="0" fontId="4" fillId="3" borderId="1" xfId="0" applyFont="1" applyFill="1" applyBorder="1" applyAlignment="1" applyProtection="1">
      <alignment horizontal="center" vertical="center" wrapText="1"/>
    </xf>
    <xf numFmtId="164" fontId="11" fillId="5" borderId="21" xfId="1" applyFont="1" applyFill="1" applyBorder="1" applyProtection="1">
      <protection locked="0"/>
    </xf>
    <xf numFmtId="164" fontId="11" fillId="5" borderId="1" xfId="1" applyFont="1" applyFill="1" applyBorder="1" applyProtection="1">
      <protection locked="0"/>
    </xf>
    <xf numFmtId="164" fontId="11" fillId="5" borderId="22" xfId="1" applyFont="1" applyFill="1" applyBorder="1" applyProtection="1">
      <protection locked="0"/>
    </xf>
    <xf numFmtId="164" fontId="2" fillId="0" borderId="26" xfId="1" applyFont="1" applyBorder="1"/>
    <xf numFmtId="164" fontId="6" fillId="3" borderId="7" xfId="1" applyFont="1" applyFill="1" applyBorder="1" applyAlignment="1">
      <alignment horizontal="center"/>
    </xf>
    <xf numFmtId="0" fontId="16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</xf>
    <xf numFmtId="0" fontId="9" fillId="0" borderId="0" xfId="0" applyFont="1" applyProtection="1"/>
    <xf numFmtId="0" fontId="4" fillId="7" borderId="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left" vertical="center"/>
    </xf>
    <xf numFmtId="0" fontId="4" fillId="7" borderId="1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Protection="1"/>
    <xf numFmtId="0" fontId="2" fillId="0" borderId="1" xfId="0" applyFont="1" applyBorder="1" applyAlignment="1" applyProtection="1">
      <alignment horizontal="right"/>
    </xf>
    <xf numFmtId="0" fontId="11" fillId="0" borderId="1" xfId="0" applyFont="1" applyBorder="1" applyAlignment="1" applyProtection="1">
      <alignment wrapText="1"/>
      <protection locked="0"/>
    </xf>
    <xf numFmtId="0" fontId="11" fillId="0" borderId="1" xfId="0" applyFont="1" applyBorder="1" applyAlignment="1" applyProtection="1">
      <alignment horizontal="center" wrapText="1"/>
      <protection locked="0"/>
    </xf>
    <xf numFmtId="0" fontId="2" fillId="3" borderId="8" xfId="0" applyFont="1" applyFill="1" applyBorder="1" applyAlignment="1" applyProtection="1"/>
    <xf numFmtId="0" fontId="2" fillId="3" borderId="3" xfId="0" applyFont="1" applyFill="1" applyBorder="1" applyAlignment="1" applyProtection="1">
      <alignment horizontal="center"/>
    </xf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2" fillId="3" borderId="13" xfId="0" applyFont="1" applyFill="1" applyBorder="1" applyAlignment="1" applyProtection="1"/>
    <xf numFmtId="0" fontId="2" fillId="3" borderId="9" xfId="0" applyFont="1" applyFill="1" applyBorder="1" applyAlignment="1" applyProtection="1"/>
    <xf numFmtId="0" fontId="2" fillId="3" borderId="3" xfId="0" applyFont="1" applyFill="1" applyBorder="1" applyAlignment="1" applyProtection="1"/>
    <xf numFmtId="0" fontId="2" fillId="3" borderId="14" xfId="0" applyFont="1" applyFill="1" applyBorder="1" applyAlignment="1" applyProtection="1"/>
    <xf numFmtId="0" fontId="4" fillId="7" borderId="0" xfId="0" applyFont="1" applyFill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2" fillId="3" borderId="14" xfId="0" applyFont="1" applyFill="1" applyBorder="1" applyProtection="1"/>
    <xf numFmtId="0" fontId="2" fillId="3" borderId="15" xfId="0" applyFont="1" applyFill="1" applyBorder="1" applyProtection="1"/>
    <xf numFmtId="0" fontId="2" fillId="0" borderId="0" xfId="0" applyFont="1" applyAlignment="1" applyProtection="1">
      <alignment vertical="center" wrapText="1"/>
    </xf>
    <xf numFmtId="0" fontId="15" fillId="8" borderId="1" xfId="0" applyFont="1" applyFill="1" applyBorder="1" applyAlignment="1" applyProtection="1">
      <alignment horizontal="center" vertical="center" wrapText="1"/>
    </xf>
    <xf numFmtId="0" fontId="15" fillId="8" borderId="1" xfId="0" applyFont="1" applyFill="1" applyBorder="1" applyAlignment="1" applyProtection="1">
      <alignment horizontal="center" vertical="center"/>
    </xf>
    <xf numFmtId="0" fontId="4" fillId="4" borderId="1" xfId="0" applyFont="1" applyFill="1" applyBorder="1" applyProtection="1"/>
    <xf numFmtId="164" fontId="2" fillId="0" borderId="1" xfId="1" applyFont="1" applyBorder="1" applyProtection="1"/>
    <xf numFmtId="164" fontId="4" fillId="0" borderId="1" xfId="1" applyFont="1" applyBorder="1" applyProtection="1"/>
    <xf numFmtId="0" fontId="16" fillId="3" borderId="1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Alignment="1"/>
    <xf numFmtId="0" fontId="2" fillId="0" borderId="3" xfId="2" applyFont="1" applyBorder="1" applyAlignment="1"/>
    <xf numFmtId="0" fontId="14" fillId="0" borderId="3" xfId="0" applyFont="1" applyBorder="1" applyAlignment="1"/>
    <xf numFmtId="0" fontId="2" fillId="0" borderId="3" xfId="2" applyFont="1" applyBorder="1" applyAlignment="1">
      <alignment vertical="center"/>
    </xf>
    <xf numFmtId="0" fontId="0" fillId="0" borderId="3" xfId="0" applyFont="1" applyBorder="1" applyAlignment="1"/>
    <xf numFmtId="0" fontId="17" fillId="0" borderId="3" xfId="2" applyFont="1" applyBorder="1" applyAlignment="1"/>
    <xf numFmtId="0" fontId="2" fillId="0" borderId="3" xfId="2" applyFont="1" applyBorder="1"/>
    <xf numFmtId="0" fontId="2" fillId="0" borderId="3" xfId="2" applyFont="1" applyBorder="1" applyAlignment="1">
      <alignment vertical="center" wrapText="1"/>
    </xf>
    <xf numFmtId="0" fontId="18" fillId="0" borderId="3" xfId="2" applyFont="1" applyBorder="1" applyAlignment="1"/>
    <xf numFmtId="0" fontId="14" fillId="9" borderId="31" xfId="0" applyFont="1" applyFill="1" applyBorder="1" applyAlignment="1"/>
    <xf numFmtId="0" fontId="14" fillId="9" borderId="32" xfId="0" applyFont="1" applyFill="1" applyBorder="1" applyAlignment="1"/>
    <xf numFmtId="0" fontId="14" fillId="9" borderId="33" xfId="0" applyFont="1" applyFill="1" applyBorder="1" applyAlignment="1"/>
    <xf numFmtId="0" fontId="14" fillId="9" borderId="34" xfId="0" applyFont="1" applyFill="1" applyBorder="1" applyAlignment="1"/>
    <xf numFmtId="0" fontId="14" fillId="9" borderId="3" xfId="0" applyFont="1" applyFill="1" applyBorder="1" applyAlignment="1"/>
    <xf numFmtId="0" fontId="14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4" fillId="9" borderId="24" xfId="0" applyFont="1" applyFill="1" applyBorder="1" applyAlignment="1"/>
    <xf numFmtId="0" fontId="14" fillId="9" borderId="37" xfId="0" applyFont="1" applyFill="1" applyBorder="1" applyAlignment="1"/>
    <xf numFmtId="0" fontId="2" fillId="3" borderId="7" xfId="0" applyFont="1" applyFill="1" applyBorder="1" applyAlignment="1">
      <alignment horizontal="left" vertical="center"/>
    </xf>
    <xf numFmtId="0" fontId="19" fillId="0" borderId="30" xfId="3" applyAlignment="1"/>
    <xf numFmtId="0" fontId="19" fillId="0" borderId="30" xfId="3" applyAlignment="1">
      <alignment vertical="center"/>
    </xf>
    <xf numFmtId="0" fontId="11" fillId="9" borderId="21" xfId="0" applyFont="1" applyFill="1" applyBorder="1" applyProtection="1">
      <protection locked="0"/>
    </xf>
    <xf numFmtId="0" fontId="11" fillId="9" borderId="3" xfId="0" applyFont="1" applyFill="1" applyBorder="1" applyProtection="1">
      <protection locked="0"/>
    </xf>
    <xf numFmtId="0" fontId="11" fillId="0" borderId="0" xfId="0" quotePrefix="1" applyFont="1" applyAlignment="1">
      <alignment horizontal="center" vertical="center"/>
    </xf>
    <xf numFmtId="0" fontId="4" fillId="3" borderId="17" xfId="0" applyFont="1" applyFill="1" applyBorder="1" applyAlignment="1">
      <alignment horizontal="left" vertical="center"/>
    </xf>
    <xf numFmtId="0" fontId="4" fillId="3" borderId="18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horizontal="left" vertical="center"/>
    </xf>
    <xf numFmtId="0" fontId="4" fillId="3" borderId="23" xfId="0" applyFont="1" applyFill="1" applyBorder="1" applyAlignment="1">
      <alignment horizontal="left" vertical="center"/>
    </xf>
    <xf numFmtId="0" fontId="4" fillId="3" borderId="24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wrapText="1"/>
    </xf>
    <xf numFmtId="0" fontId="2" fillId="3" borderId="9" xfId="0" applyFont="1" applyFill="1" applyBorder="1" applyAlignment="1">
      <alignment horizontal="left" wrapText="1"/>
    </xf>
    <xf numFmtId="0" fontId="2" fillId="3" borderId="10" xfId="0" applyFont="1" applyFill="1" applyBorder="1" applyAlignment="1">
      <alignment horizontal="left" wrapText="1"/>
    </xf>
    <xf numFmtId="0" fontId="2" fillId="3" borderId="11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2" fillId="3" borderId="12" xfId="0" applyFont="1" applyFill="1" applyBorder="1" applyAlignment="1">
      <alignment horizontal="left" wrapText="1"/>
    </xf>
    <xf numFmtId="0" fontId="2" fillId="3" borderId="13" xfId="0" applyFont="1" applyFill="1" applyBorder="1" applyAlignment="1">
      <alignment horizontal="left" wrapText="1"/>
    </xf>
    <xf numFmtId="0" fontId="2" fillId="3" borderId="14" xfId="0" applyFont="1" applyFill="1" applyBorder="1" applyAlignment="1">
      <alignment horizontal="left" wrapText="1"/>
    </xf>
    <xf numFmtId="0" fontId="2" fillId="3" borderId="15" xfId="0" applyFont="1" applyFill="1" applyBorder="1" applyAlignment="1">
      <alignment horizontal="left" wrapText="1"/>
    </xf>
    <xf numFmtId="0" fontId="4" fillId="3" borderId="25" xfId="0" applyFont="1" applyFill="1" applyBorder="1" applyAlignment="1">
      <alignment horizontal="left" vertical="center"/>
    </xf>
    <xf numFmtId="0" fontId="2" fillId="3" borderId="8" xfId="0" applyFont="1" applyFill="1" applyBorder="1" applyAlignment="1" applyProtection="1">
      <alignment horizontal="left"/>
    </xf>
    <xf numFmtId="0" fontId="2" fillId="3" borderId="9" xfId="0" applyFont="1" applyFill="1" applyBorder="1" applyAlignment="1" applyProtection="1">
      <alignment horizontal="left"/>
    </xf>
    <xf numFmtId="0" fontId="2" fillId="3" borderId="10" xfId="0" applyFont="1" applyFill="1" applyBorder="1" applyAlignment="1" applyProtection="1">
      <alignment horizontal="left"/>
    </xf>
    <xf numFmtId="0" fontId="4" fillId="3" borderId="27" xfId="0" applyFont="1" applyFill="1" applyBorder="1" applyAlignment="1" applyProtection="1">
      <alignment horizontal="left"/>
    </xf>
    <xf numFmtId="0" fontId="4" fillId="3" borderId="28" xfId="0" applyFont="1" applyFill="1" applyBorder="1" applyAlignment="1" applyProtection="1">
      <alignment horizontal="left"/>
    </xf>
    <xf numFmtId="0" fontId="4" fillId="3" borderId="29" xfId="0" applyFont="1" applyFill="1" applyBorder="1" applyAlignment="1" applyProtection="1">
      <alignment horizontal="left"/>
    </xf>
    <xf numFmtId="0" fontId="2" fillId="3" borderId="11" xfId="0" applyFont="1" applyFill="1" applyBorder="1" applyAlignment="1" applyProtection="1">
      <alignment horizontal="left"/>
    </xf>
    <xf numFmtId="0" fontId="2" fillId="3" borderId="3" xfId="0" applyFont="1" applyFill="1" applyBorder="1" applyAlignment="1" applyProtection="1">
      <alignment horizontal="left"/>
    </xf>
    <xf numFmtId="0" fontId="2" fillId="3" borderId="12" xfId="0" applyFont="1" applyFill="1" applyBorder="1" applyAlignment="1" applyProtection="1">
      <alignment horizontal="left"/>
    </xf>
    <xf numFmtId="0" fontId="2" fillId="3" borderId="13" xfId="0" applyFont="1" applyFill="1" applyBorder="1" applyAlignment="1" applyProtection="1">
      <alignment horizontal="left"/>
    </xf>
    <xf numFmtId="0" fontId="2" fillId="3" borderId="14" xfId="0" applyFont="1" applyFill="1" applyBorder="1" applyAlignment="1" applyProtection="1">
      <alignment horizontal="left"/>
    </xf>
    <xf numFmtId="0" fontId="2" fillId="3" borderId="15" xfId="0" applyFont="1" applyFill="1" applyBorder="1" applyAlignment="1" applyProtection="1">
      <alignment horizontal="left"/>
    </xf>
    <xf numFmtId="0" fontId="4" fillId="4" borderId="4" xfId="0" applyFont="1" applyFill="1" applyBorder="1" applyAlignment="1" applyProtection="1">
      <alignment horizontal="center" vertical="center"/>
    </xf>
    <xf numFmtId="0" fontId="17" fillId="4" borderId="5" xfId="0" applyFont="1" applyFill="1" applyBorder="1" applyProtection="1"/>
    <xf numFmtId="0" fontId="17" fillId="4" borderId="2" xfId="0" applyFont="1" applyFill="1" applyBorder="1" applyProtection="1"/>
    <xf numFmtId="0" fontId="4" fillId="4" borderId="6" xfId="0" applyFont="1" applyFill="1" applyBorder="1" applyAlignment="1" applyProtection="1">
      <alignment horizontal="center" vertical="center" wrapText="1"/>
    </xf>
    <xf numFmtId="0" fontId="17" fillId="4" borderId="7" xfId="0" applyFont="1" applyFill="1" applyBorder="1" applyProtection="1"/>
    <xf numFmtId="0" fontId="22" fillId="5" borderId="21" xfId="0" applyFont="1" applyFill="1" applyBorder="1" applyAlignment="1" applyProtection="1">
      <alignment wrapText="1"/>
      <protection locked="0"/>
    </xf>
    <xf numFmtId="164" fontId="22" fillId="5" borderId="21" xfId="1" applyFont="1" applyFill="1" applyBorder="1" applyProtection="1">
      <protection locked="0"/>
    </xf>
    <xf numFmtId="0" fontId="3" fillId="5" borderId="0" xfId="0" applyFont="1" applyFill="1" applyAlignment="1" applyProtection="1">
      <alignment horizontal="center"/>
    </xf>
    <xf numFmtId="0" fontId="3" fillId="5" borderId="0" xfId="0" applyFont="1" applyFill="1" applyProtection="1"/>
    <xf numFmtId="0" fontId="0" fillId="5" borderId="0" xfId="0" applyFont="1" applyFill="1" applyAlignment="1" applyProtection="1"/>
    <xf numFmtId="0" fontId="6" fillId="5" borderId="0" xfId="0" applyFont="1" applyFill="1" applyProtection="1"/>
    <xf numFmtId="0" fontId="2" fillId="5" borderId="0" xfId="0" applyFont="1" applyFill="1" applyProtection="1"/>
    <xf numFmtId="0" fontId="4" fillId="5" borderId="0" xfId="0" applyFont="1" applyFill="1" applyAlignment="1" applyProtection="1">
      <alignment horizontal="center"/>
      <protection locked="0"/>
    </xf>
    <xf numFmtId="0" fontId="5" fillId="5" borderId="0" xfId="0" applyFont="1" applyFill="1" applyProtection="1"/>
    <xf numFmtId="0" fontId="2" fillId="5" borderId="8" xfId="0" applyFont="1" applyFill="1" applyBorder="1" applyProtection="1"/>
    <xf numFmtId="0" fontId="3" fillId="5" borderId="9" xfId="0" applyFont="1" applyFill="1" applyBorder="1" applyProtection="1"/>
    <xf numFmtId="0" fontId="3" fillId="5" borderId="10" xfId="0" applyFont="1" applyFill="1" applyBorder="1" applyProtection="1"/>
    <xf numFmtId="0" fontId="2" fillId="5" borderId="11" xfId="0" applyFont="1" applyFill="1" applyBorder="1" applyProtection="1"/>
    <xf numFmtId="0" fontId="3" fillId="5" borderId="3" xfId="0" applyFont="1" applyFill="1" applyBorder="1" applyProtection="1"/>
    <xf numFmtId="0" fontId="3" fillId="5" borderId="12" xfId="0" applyFont="1" applyFill="1" applyBorder="1" applyProtection="1"/>
    <xf numFmtId="0" fontId="2" fillId="5" borderId="11" xfId="0" applyFont="1" applyFill="1" applyBorder="1" applyAlignment="1" applyProtection="1"/>
    <xf numFmtId="0" fontId="2" fillId="5" borderId="13" xfId="0" applyFont="1" applyFill="1" applyBorder="1" applyAlignment="1" applyProtection="1">
      <alignment horizontal="left" wrapText="1"/>
    </xf>
    <xf numFmtId="0" fontId="2" fillId="5" borderId="14" xfId="0" applyFont="1" applyFill="1" applyBorder="1" applyAlignment="1" applyProtection="1">
      <alignment horizontal="left" wrapText="1"/>
    </xf>
    <xf numFmtId="0" fontId="2" fillId="5" borderId="15" xfId="0" applyFont="1" applyFill="1" applyBorder="1" applyAlignment="1" applyProtection="1">
      <alignment horizontal="left" wrapText="1"/>
    </xf>
    <xf numFmtId="0" fontId="5" fillId="5" borderId="1" xfId="0" applyFont="1" applyFill="1" applyBorder="1" applyAlignment="1" applyProtection="1">
      <alignment horizontal="center" vertical="center"/>
    </xf>
    <xf numFmtId="0" fontId="4" fillId="5" borderId="6" xfId="0" applyFont="1" applyFill="1" applyBorder="1" applyAlignment="1" applyProtection="1">
      <alignment horizontal="left" vertical="center" wrapText="1"/>
    </xf>
    <xf numFmtId="0" fontId="4" fillId="5" borderId="1" xfId="0" applyFont="1" applyFill="1" applyBorder="1" applyAlignment="1" applyProtection="1">
      <alignment horizontal="left" vertical="center" wrapText="1"/>
    </xf>
    <xf numFmtId="0" fontId="3" fillId="5" borderId="4" xfId="0" applyFont="1" applyFill="1" applyBorder="1" applyProtection="1"/>
    <xf numFmtId="0" fontId="22" fillId="5" borderId="21" xfId="0" applyFont="1" applyFill="1" applyBorder="1" applyAlignment="1">
      <alignment vertical="top" wrapText="1"/>
    </xf>
    <xf numFmtId="0" fontId="22" fillId="5" borderId="21" xfId="0" applyFont="1" applyFill="1" applyBorder="1" applyAlignment="1">
      <alignment vertical="top" wrapText="1" readingOrder="1"/>
    </xf>
  </cellXfs>
  <cellStyles count="7">
    <cellStyle name="Comma" xfId="1" builtinId="3"/>
    <cellStyle name="Comma 2" xfId="5"/>
    <cellStyle name="Linked Cell" xfId="3" builtinId="24"/>
    <cellStyle name="Normal" xfId="0" builtinId="0"/>
    <cellStyle name="Normal 2" xfId="2"/>
    <cellStyle name="Normal 2 2" xfId="6"/>
    <cellStyle name="Normal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opLeftCell="A36" zoomScaleNormal="100" workbookViewId="0">
      <selection activeCell="E80" sqref="E8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47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07" t="s">
        <v>59</v>
      </c>
      <c r="C12" s="108"/>
      <c r="D12" s="108"/>
      <c r="E12" s="108"/>
      <c r="F12" s="109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10" t="s">
        <v>2</v>
      </c>
      <c r="C13" s="111"/>
      <c r="D13" s="111"/>
      <c r="E13" s="111"/>
      <c r="F13" s="11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10" t="s">
        <v>4</v>
      </c>
      <c r="C14" s="111"/>
      <c r="D14" s="111"/>
      <c r="E14" s="111"/>
      <c r="F14" s="112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13" t="s">
        <v>60</v>
      </c>
      <c r="C15" s="114"/>
      <c r="D15" s="114"/>
      <c r="E15" s="114"/>
      <c r="F15" s="11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01" t="s">
        <v>210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02" t="s">
        <v>15</v>
      </c>
      <c r="C18" s="103"/>
      <c r="D18" s="103"/>
      <c r="E18" s="103"/>
      <c r="F18" s="104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02" t="s">
        <v>51</v>
      </c>
      <c r="C22" s="103"/>
      <c r="D22" s="103"/>
      <c r="E22" s="103"/>
      <c r="F22" s="104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44960</v>
      </c>
      <c r="D23" s="29" t="s">
        <v>170</v>
      </c>
      <c r="E23" s="42">
        <v>1</v>
      </c>
      <c r="F23" s="42">
        <f>35/60</f>
        <v>0.58333333333333337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42"/>
      <c r="F24" s="4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42"/>
      <c r="F25" s="4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42"/>
      <c r="F26" s="4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42"/>
      <c r="F27" s="4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05" t="s">
        <v>42</v>
      </c>
      <c r="C28" s="106"/>
      <c r="D28" s="106"/>
      <c r="E28" s="106"/>
      <c r="F28" s="116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96" t="s">
        <v>158</v>
      </c>
      <c r="C29" s="99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96" t="s">
        <v>159</v>
      </c>
      <c r="C30" s="100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00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43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02" t="s">
        <v>18</v>
      </c>
      <c r="C33" s="103"/>
      <c r="D33" s="103"/>
      <c r="E33" s="103"/>
      <c r="F33" s="10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194</v>
      </c>
      <c r="D34" s="23"/>
      <c r="E34" s="44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195</v>
      </c>
      <c r="D35" s="23"/>
      <c r="E35" s="42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211</v>
      </c>
      <c r="D36" s="23"/>
      <c r="E36" s="42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212</v>
      </c>
      <c r="D37" s="23"/>
      <c r="E37" s="42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213</v>
      </c>
      <c r="D38" s="23"/>
      <c r="E38" s="42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42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42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42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42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42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42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42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42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05" t="s">
        <v>19</v>
      </c>
      <c r="C47" s="106"/>
      <c r="D47" s="103"/>
      <c r="E47" s="106"/>
      <c r="F47" s="10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3"/>
      <c r="E48" s="42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42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42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42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05" t="s">
        <v>43</v>
      </c>
      <c r="C52" s="106"/>
      <c r="D52" s="103"/>
      <c r="E52" s="106"/>
      <c r="F52" s="10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44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02" t="s">
        <v>52</v>
      </c>
      <c r="C54" s="103"/>
      <c r="D54" s="103"/>
      <c r="E54" s="103"/>
      <c r="F54" s="104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44"/>
      <c r="F55" s="44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44"/>
      <c r="F56" s="44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42"/>
      <c r="F57" s="42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42"/>
      <c r="F58" s="42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02" t="s">
        <v>20</v>
      </c>
      <c r="C59" s="103"/>
      <c r="D59" s="103"/>
      <c r="E59" s="103"/>
      <c r="F59" s="104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/>
      <c r="D60" s="28"/>
      <c r="E60" s="42"/>
      <c r="F60" s="42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42"/>
      <c r="F61" s="42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42"/>
      <c r="F62" s="42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42"/>
      <c r="F63" s="42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42"/>
      <c r="F64" s="42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42"/>
      <c r="F65" s="42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54</v>
      </c>
      <c r="C68" s="17" t="s">
        <v>50</v>
      </c>
      <c r="D68" s="17" t="s">
        <v>55</v>
      </c>
      <c r="E68" s="18" t="s">
        <v>56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163</v>
      </c>
      <c r="D69" s="42">
        <v>2839.82</v>
      </c>
      <c r="E69" s="42"/>
      <c r="F69" s="42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164</v>
      </c>
      <c r="D70" s="42">
        <v>2809.08</v>
      </c>
      <c r="E70" s="42"/>
      <c r="F70" s="42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196</v>
      </c>
      <c r="D71" s="42">
        <v>3500</v>
      </c>
      <c r="E71" s="42"/>
      <c r="F71" s="42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165</v>
      </c>
      <c r="D72" s="42">
        <v>1515</v>
      </c>
      <c r="E72" s="42"/>
      <c r="F72" s="42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 t="s">
        <v>171</v>
      </c>
      <c r="D73" s="42">
        <v>50</v>
      </c>
      <c r="E73" s="42"/>
      <c r="F73" s="42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 t="s">
        <v>166</v>
      </c>
      <c r="D74" s="42">
        <v>1000</v>
      </c>
      <c r="E74" s="42"/>
      <c r="F74" s="42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 t="s">
        <v>167</v>
      </c>
      <c r="D75" s="42">
        <v>9600</v>
      </c>
      <c r="E75" s="42"/>
      <c r="F75" s="42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42"/>
      <c r="E76" s="42"/>
      <c r="F76" s="42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42"/>
      <c r="E77" s="42"/>
      <c r="F77" s="42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42"/>
      <c r="E78" s="42"/>
      <c r="F78" s="42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45"/>
      <c r="E79" s="45"/>
      <c r="F79" s="4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46">
        <f>SUM(D69:D79)</f>
        <v>21313.9</v>
      </c>
      <c r="E80" s="46">
        <f>SUM(E69:E79)</f>
        <v>0</v>
      </c>
      <c r="F80" s="46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91"/>
  <sheetViews>
    <sheetView topLeftCell="F1" workbookViewId="0">
      <selection activeCell="J11" sqref="J11:J29"/>
    </sheetView>
  </sheetViews>
  <sheetFormatPr defaultRowHeight="15" customHeight="1" outlineLevelRow="1" x14ac:dyDescent="0.25"/>
  <cols>
    <col min="1" max="1" width="4.140625" style="138" customWidth="1"/>
    <col min="2" max="2" width="23.5703125" style="138" customWidth="1"/>
    <col min="3" max="3" width="33.42578125" style="138" customWidth="1"/>
    <col min="4" max="7" width="18.140625" style="138" customWidth="1"/>
    <col min="8" max="8" width="14.140625" style="138" customWidth="1"/>
    <col min="9" max="9" width="13.5703125" style="138" customWidth="1"/>
    <col min="10" max="10" width="9.85546875" style="138" bestFit="1" customWidth="1"/>
    <col min="11" max="19" width="8.7109375" style="138" customWidth="1"/>
    <col min="20" max="16384" width="9.140625" style="138"/>
  </cols>
  <sheetData>
    <row r="1" spans="1:20" ht="12.75" customHeight="1" x14ac:dyDescent="0.25">
      <c r="A1" s="136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</row>
    <row r="2" spans="1:20" ht="12.75" customHeight="1" x14ac:dyDescent="0.3">
      <c r="A2" s="136"/>
      <c r="B2" s="139" t="s">
        <v>61</v>
      </c>
      <c r="C2" s="140"/>
      <c r="D2" s="141" t="str">
        <f>'1.1 Case data_general'!D2</f>
        <v>APPENDECTOMY</v>
      </c>
      <c r="E2" s="142"/>
      <c r="F2" s="142"/>
      <c r="G2" s="142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</row>
    <row r="3" spans="1:20" ht="12.75" customHeight="1" collapsed="1" x14ac:dyDescent="0.3">
      <c r="A3" s="136"/>
      <c r="B3" s="140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</row>
    <row r="4" spans="1:20" ht="12.75" hidden="1" customHeight="1" outlineLevel="1" x14ac:dyDescent="0.3">
      <c r="A4" s="136"/>
      <c r="B4" s="140" t="s">
        <v>66</v>
      </c>
      <c r="C4" s="137">
        <v>30</v>
      </c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</row>
    <row r="5" spans="1:20" ht="12.75" customHeight="1" x14ac:dyDescent="0.3">
      <c r="A5" s="136"/>
      <c r="B5" s="143" t="s">
        <v>0</v>
      </c>
      <c r="C5" s="144"/>
      <c r="D5" s="144"/>
      <c r="E5" s="144"/>
      <c r="F5" s="144"/>
      <c r="G5" s="144"/>
      <c r="H5" s="144"/>
      <c r="I5" s="144"/>
      <c r="J5" s="145"/>
      <c r="K5" s="137"/>
      <c r="L5" s="137"/>
      <c r="M5" s="137"/>
      <c r="N5" s="137"/>
      <c r="O5" s="137"/>
      <c r="P5" s="137"/>
      <c r="Q5" s="137"/>
      <c r="R5" s="137"/>
      <c r="S5" s="137"/>
    </row>
    <row r="6" spans="1:20" ht="12.75" customHeight="1" x14ac:dyDescent="0.3">
      <c r="A6" s="136"/>
      <c r="B6" s="146" t="s">
        <v>1</v>
      </c>
      <c r="C6" s="147"/>
      <c r="D6" s="147"/>
      <c r="E6" s="147"/>
      <c r="F6" s="147"/>
      <c r="G6" s="147"/>
      <c r="H6" s="147"/>
      <c r="I6" s="147"/>
      <c r="J6" s="148"/>
      <c r="K6" s="137"/>
      <c r="L6" s="137"/>
      <c r="M6" s="137"/>
      <c r="N6" s="137"/>
      <c r="O6" s="137"/>
      <c r="P6" s="137"/>
      <c r="Q6" s="137"/>
      <c r="R6" s="137"/>
      <c r="S6" s="137"/>
    </row>
    <row r="7" spans="1:20" ht="12.75" customHeight="1" x14ac:dyDescent="0.3">
      <c r="A7" s="136"/>
      <c r="B7" s="149" t="s">
        <v>62</v>
      </c>
      <c r="C7" s="147"/>
      <c r="D7" s="147"/>
      <c r="E7" s="147"/>
      <c r="F7" s="147"/>
      <c r="G7" s="147"/>
      <c r="H7" s="147"/>
      <c r="I7" s="147"/>
      <c r="J7" s="148"/>
      <c r="K7" s="137"/>
      <c r="L7" s="137"/>
      <c r="M7" s="137"/>
      <c r="N7" s="137"/>
      <c r="O7" s="137"/>
      <c r="P7" s="137"/>
      <c r="Q7" s="137"/>
      <c r="R7" s="137"/>
      <c r="S7" s="137"/>
    </row>
    <row r="8" spans="1:20" ht="30.4" customHeight="1" x14ac:dyDescent="0.3">
      <c r="A8" s="136"/>
      <c r="B8" s="150" t="s">
        <v>63</v>
      </c>
      <c r="C8" s="151"/>
      <c r="D8" s="151"/>
      <c r="E8" s="151"/>
      <c r="F8" s="151"/>
      <c r="G8" s="151"/>
      <c r="H8" s="151"/>
      <c r="I8" s="151"/>
      <c r="J8" s="152"/>
      <c r="K8" s="137"/>
      <c r="L8" s="137"/>
      <c r="M8" s="137"/>
      <c r="N8" s="137"/>
      <c r="O8" s="137"/>
      <c r="P8" s="137"/>
      <c r="Q8" s="137"/>
      <c r="R8" s="137"/>
      <c r="S8" s="137"/>
    </row>
    <row r="9" spans="1:20" ht="12.75" customHeight="1" x14ac:dyDescent="0.25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</row>
    <row r="10" spans="1:20" ht="42.75" customHeight="1" x14ac:dyDescent="0.25">
      <c r="B10" s="153" t="s">
        <v>5</v>
      </c>
      <c r="C10" s="154" t="s">
        <v>7</v>
      </c>
      <c r="D10" s="155" t="s">
        <v>64</v>
      </c>
      <c r="E10" s="155" t="s">
        <v>9</v>
      </c>
      <c r="F10" s="155" t="s">
        <v>3</v>
      </c>
      <c r="G10" s="155" t="s">
        <v>10</v>
      </c>
      <c r="H10" s="155" t="s">
        <v>65</v>
      </c>
      <c r="I10" s="155" t="s">
        <v>11</v>
      </c>
      <c r="J10" s="155" t="s">
        <v>16</v>
      </c>
      <c r="K10" s="137"/>
      <c r="L10" s="137"/>
      <c r="M10" s="137"/>
      <c r="N10" s="137"/>
      <c r="O10" s="137"/>
      <c r="P10" s="137"/>
      <c r="Q10" s="137"/>
      <c r="R10" s="137"/>
      <c r="S10" s="137"/>
      <c r="T10" s="137"/>
    </row>
    <row r="11" spans="1:20" ht="12.75" customHeight="1" x14ac:dyDescent="0.25">
      <c r="B11" s="156">
        <v>1</v>
      </c>
      <c r="C11" s="157" t="s">
        <v>177</v>
      </c>
      <c r="D11" s="134" t="s">
        <v>221</v>
      </c>
      <c r="E11" s="134" t="s">
        <v>192</v>
      </c>
      <c r="F11" s="135">
        <v>1</v>
      </c>
      <c r="G11" s="135">
        <v>1</v>
      </c>
      <c r="H11" s="135">
        <v>1</v>
      </c>
      <c r="I11" s="135">
        <v>49.33</v>
      </c>
      <c r="J11" s="135">
        <f>H11*I11</f>
        <v>49.33</v>
      </c>
      <c r="K11" s="137"/>
      <c r="L11" s="137"/>
      <c r="M11" s="137"/>
      <c r="N11" s="137"/>
      <c r="O11" s="137"/>
      <c r="P11" s="137"/>
      <c r="Q11" s="137"/>
      <c r="R11" s="137"/>
      <c r="S11" s="137"/>
      <c r="T11" s="137"/>
    </row>
    <row r="12" spans="1:20" ht="12.75" customHeight="1" x14ac:dyDescent="0.25">
      <c r="B12" s="156">
        <v>2</v>
      </c>
      <c r="C12" s="158" t="s">
        <v>180</v>
      </c>
      <c r="D12" s="134" t="s">
        <v>221</v>
      </c>
      <c r="E12" s="134" t="s">
        <v>192</v>
      </c>
      <c r="F12" s="135">
        <v>1</v>
      </c>
      <c r="G12" s="135">
        <v>1</v>
      </c>
      <c r="H12" s="135">
        <v>3</v>
      </c>
      <c r="I12" s="135">
        <v>49.33</v>
      </c>
      <c r="J12" s="135">
        <f t="shared" ref="J12:J29" si="0">H12*I12</f>
        <v>147.99</v>
      </c>
      <c r="K12" s="137"/>
      <c r="L12" s="137"/>
      <c r="M12" s="137"/>
      <c r="N12" s="137"/>
      <c r="O12" s="137"/>
      <c r="P12" s="137"/>
      <c r="Q12" s="137"/>
      <c r="R12" s="137"/>
      <c r="S12" s="137"/>
      <c r="T12" s="137"/>
    </row>
    <row r="13" spans="1:20" ht="12.75" customHeight="1" x14ac:dyDescent="0.25">
      <c r="B13" s="156">
        <v>3</v>
      </c>
      <c r="C13" s="157" t="s">
        <v>175</v>
      </c>
      <c r="D13" s="134" t="s">
        <v>222</v>
      </c>
      <c r="E13" s="134" t="s">
        <v>191</v>
      </c>
      <c r="F13" s="135">
        <v>1</v>
      </c>
      <c r="G13" s="135">
        <v>1</v>
      </c>
      <c r="H13" s="135">
        <v>7</v>
      </c>
      <c r="I13" s="135">
        <v>93.33</v>
      </c>
      <c r="J13" s="135">
        <f t="shared" si="0"/>
        <v>653.30999999999995</v>
      </c>
      <c r="K13" s="137"/>
      <c r="L13" s="137"/>
      <c r="M13" s="137"/>
      <c r="N13" s="137"/>
      <c r="O13" s="137"/>
      <c r="P13" s="137"/>
      <c r="Q13" s="137"/>
      <c r="R13" s="137"/>
      <c r="S13" s="137"/>
      <c r="T13" s="137"/>
    </row>
    <row r="14" spans="1:20" ht="12.75" customHeight="1" x14ac:dyDescent="0.25">
      <c r="B14" s="156">
        <v>4</v>
      </c>
      <c r="C14" s="157" t="s">
        <v>179</v>
      </c>
      <c r="D14" s="134" t="s">
        <v>223</v>
      </c>
      <c r="E14" s="134" t="s">
        <v>231</v>
      </c>
      <c r="F14" s="135">
        <v>1</v>
      </c>
      <c r="G14" s="135">
        <v>1</v>
      </c>
      <c r="H14" s="135">
        <v>1</v>
      </c>
      <c r="I14" s="135">
        <v>81.63</v>
      </c>
      <c r="J14" s="135">
        <f t="shared" si="0"/>
        <v>81.63</v>
      </c>
      <c r="K14" s="137"/>
      <c r="L14" s="137"/>
      <c r="M14" s="137"/>
      <c r="N14" s="137"/>
      <c r="O14" s="137"/>
      <c r="P14" s="137"/>
      <c r="Q14" s="137"/>
      <c r="R14" s="137"/>
      <c r="S14" s="137"/>
      <c r="T14" s="137"/>
    </row>
    <row r="15" spans="1:20" ht="12.75" customHeight="1" x14ac:dyDescent="0.25">
      <c r="B15" s="156">
        <v>5</v>
      </c>
      <c r="C15" s="157" t="s">
        <v>178</v>
      </c>
      <c r="D15" s="134" t="s">
        <v>223</v>
      </c>
      <c r="E15" s="134" t="s">
        <v>232</v>
      </c>
      <c r="F15" s="135">
        <v>1</v>
      </c>
      <c r="G15" s="135">
        <v>1</v>
      </c>
      <c r="H15" s="135">
        <v>1</v>
      </c>
      <c r="I15" s="135">
        <v>30.4</v>
      </c>
      <c r="J15" s="135">
        <f t="shared" si="0"/>
        <v>30.4</v>
      </c>
      <c r="K15" s="137"/>
      <c r="L15" s="137"/>
      <c r="M15" s="137"/>
      <c r="N15" s="137"/>
      <c r="O15" s="137"/>
      <c r="P15" s="137"/>
      <c r="Q15" s="137"/>
      <c r="R15" s="137"/>
      <c r="S15" s="137"/>
      <c r="T15" s="137"/>
    </row>
    <row r="16" spans="1:20" ht="12.75" customHeight="1" x14ac:dyDescent="0.25">
      <c r="B16" s="156">
        <v>6</v>
      </c>
      <c r="C16" s="157" t="s">
        <v>181</v>
      </c>
      <c r="D16" s="134" t="s">
        <v>223</v>
      </c>
      <c r="E16" s="134" t="s">
        <v>193</v>
      </c>
      <c r="F16" s="135">
        <v>1</v>
      </c>
      <c r="G16" s="135">
        <v>1</v>
      </c>
      <c r="H16" s="135">
        <v>1</v>
      </c>
      <c r="I16" s="135">
        <v>38.51</v>
      </c>
      <c r="J16" s="135">
        <f t="shared" si="0"/>
        <v>38.51</v>
      </c>
      <c r="K16" s="137"/>
      <c r="L16" s="137"/>
      <c r="M16" s="137"/>
      <c r="N16" s="137"/>
      <c r="O16" s="137"/>
      <c r="P16" s="137"/>
      <c r="Q16" s="137"/>
      <c r="R16" s="137"/>
      <c r="S16" s="137"/>
      <c r="T16" s="137"/>
    </row>
    <row r="17" spans="2:20" ht="12.75" customHeight="1" x14ac:dyDescent="0.25">
      <c r="B17" s="156">
        <v>7</v>
      </c>
      <c r="C17" s="158" t="s">
        <v>214</v>
      </c>
      <c r="D17" s="134" t="s">
        <v>223</v>
      </c>
      <c r="E17" s="134" t="s">
        <v>224</v>
      </c>
      <c r="F17" s="135">
        <v>1</v>
      </c>
      <c r="G17" s="135">
        <v>1</v>
      </c>
      <c r="H17" s="135">
        <v>1</v>
      </c>
      <c r="I17" s="135">
        <v>13.04</v>
      </c>
      <c r="J17" s="135">
        <f t="shared" si="0"/>
        <v>13.04</v>
      </c>
      <c r="K17" s="137"/>
      <c r="L17" s="137"/>
      <c r="M17" s="137"/>
      <c r="N17" s="137"/>
      <c r="O17" s="137"/>
      <c r="P17" s="137"/>
      <c r="Q17" s="137"/>
      <c r="R17" s="137"/>
      <c r="S17" s="137"/>
      <c r="T17" s="137"/>
    </row>
    <row r="18" spans="2:20" ht="12.75" customHeight="1" x14ac:dyDescent="0.25">
      <c r="B18" s="156">
        <v>8</v>
      </c>
      <c r="C18" s="158" t="s">
        <v>197</v>
      </c>
      <c r="D18" s="134" t="s">
        <v>223</v>
      </c>
      <c r="E18" s="134" t="s">
        <v>198</v>
      </c>
      <c r="F18" s="135">
        <v>1</v>
      </c>
      <c r="G18" s="135">
        <v>1</v>
      </c>
      <c r="H18" s="135">
        <v>2</v>
      </c>
      <c r="I18" s="135">
        <v>17.03</v>
      </c>
      <c r="J18" s="135">
        <f t="shared" si="0"/>
        <v>34.06</v>
      </c>
      <c r="K18" s="137"/>
      <c r="L18" s="137"/>
      <c r="M18" s="137"/>
      <c r="N18" s="137"/>
      <c r="O18" s="137"/>
      <c r="P18" s="137"/>
      <c r="Q18" s="137"/>
      <c r="R18" s="137"/>
      <c r="S18" s="137"/>
      <c r="T18" s="137"/>
    </row>
    <row r="19" spans="2:20" ht="12.75" customHeight="1" x14ac:dyDescent="0.25">
      <c r="B19" s="156">
        <v>9</v>
      </c>
      <c r="C19" s="157" t="s">
        <v>173</v>
      </c>
      <c r="D19" s="134" t="s">
        <v>223</v>
      </c>
      <c r="E19" s="134" t="s">
        <v>225</v>
      </c>
      <c r="F19" s="135">
        <v>1</v>
      </c>
      <c r="G19" s="135">
        <v>1</v>
      </c>
      <c r="H19" s="135">
        <v>4</v>
      </c>
      <c r="I19" s="135">
        <v>4.57</v>
      </c>
      <c r="J19" s="135">
        <f t="shared" si="0"/>
        <v>18.28</v>
      </c>
      <c r="K19" s="137"/>
      <c r="L19" s="137"/>
      <c r="M19" s="137"/>
      <c r="N19" s="137"/>
      <c r="O19" s="137"/>
      <c r="P19" s="137"/>
      <c r="Q19" s="137"/>
      <c r="R19" s="137"/>
      <c r="S19" s="137"/>
      <c r="T19" s="137"/>
    </row>
    <row r="20" spans="2:20" ht="12.75" customHeight="1" x14ac:dyDescent="0.25">
      <c r="B20" s="156">
        <v>10</v>
      </c>
      <c r="C20" s="157" t="s">
        <v>176</v>
      </c>
      <c r="D20" s="134" t="s">
        <v>221</v>
      </c>
      <c r="E20" s="134" t="s">
        <v>192</v>
      </c>
      <c r="F20" s="135">
        <v>1</v>
      </c>
      <c r="G20" s="135">
        <v>1</v>
      </c>
      <c r="H20" s="135">
        <v>2</v>
      </c>
      <c r="I20" s="135">
        <v>50.67</v>
      </c>
      <c r="J20" s="135">
        <f t="shared" si="0"/>
        <v>101.34</v>
      </c>
      <c r="K20" s="137"/>
      <c r="L20" s="137"/>
      <c r="M20" s="137"/>
      <c r="N20" s="137"/>
      <c r="O20" s="137"/>
      <c r="P20" s="137"/>
      <c r="Q20" s="137"/>
      <c r="R20" s="137"/>
      <c r="S20" s="137"/>
      <c r="T20" s="137"/>
    </row>
    <row r="21" spans="2:20" ht="12.75" customHeight="1" x14ac:dyDescent="0.25">
      <c r="B21" s="156">
        <v>11</v>
      </c>
      <c r="C21" s="157" t="s">
        <v>215</v>
      </c>
      <c r="D21" s="134" t="s">
        <v>223</v>
      </c>
      <c r="E21" s="134" t="s">
        <v>230</v>
      </c>
      <c r="F21" s="135">
        <v>1</v>
      </c>
      <c r="G21" s="135">
        <v>1</v>
      </c>
      <c r="H21" s="135">
        <v>2</v>
      </c>
      <c r="I21" s="135">
        <v>53.33</v>
      </c>
      <c r="J21" s="135">
        <f t="shared" si="0"/>
        <v>106.66</v>
      </c>
      <c r="K21" s="137"/>
      <c r="L21" s="137"/>
      <c r="M21" s="137"/>
      <c r="N21" s="137"/>
      <c r="O21" s="137"/>
      <c r="P21" s="137"/>
      <c r="Q21" s="137"/>
      <c r="R21" s="137"/>
      <c r="S21" s="137"/>
      <c r="T21" s="137"/>
    </row>
    <row r="22" spans="2:20" ht="12.75" customHeight="1" x14ac:dyDescent="0.25">
      <c r="B22" s="156">
        <v>12</v>
      </c>
      <c r="C22" s="157" t="s">
        <v>216</v>
      </c>
      <c r="D22" s="134" t="s">
        <v>223</v>
      </c>
      <c r="E22" s="134" t="s">
        <v>226</v>
      </c>
      <c r="F22" s="135">
        <v>1</v>
      </c>
      <c r="G22" s="135">
        <v>1</v>
      </c>
      <c r="H22" s="135">
        <v>1</v>
      </c>
      <c r="I22" s="135">
        <v>123.84</v>
      </c>
      <c r="J22" s="135">
        <f t="shared" si="0"/>
        <v>123.84</v>
      </c>
      <c r="K22" s="137"/>
      <c r="L22" s="137"/>
      <c r="M22" s="137"/>
      <c r="N22" s="137"/>
      <c r="O22" s="137"/>
      <c r="P22" s="137"/>
      <c r="Q22" s="137"/>
      <c r="R22" s="137"/>
      <c r="S22" s="137"/>
      <c r="T22" s="137"/>
    </row>
    <row r="23" spans="2:20" ht="12.75" customHeight="1" x14ac:dyDescent="0.25">
      <c r="B23" s="156">
        <v>13</v>
      </c>
      <c r="C23" s="157" t="s">
        <v>172</v>
      </c>
      <c r="D23" s="134" t="s">
        <v>223</v>
      </c>
      <c r="E23" s="134" t="s">
        <v>199</v>
      </c>
      <c r="F23" s="135">
        <v>1</v>
      </c>
      <c r="G23" s="135">
        <v>1</v>
      </c>
      <c r="H23" s="135">
        <v>2</v>
      </c>
      <c r="I23" s="135">
        <v>89.79</v>
      </c>
      <c r="J23" s="135">
        <f t="shared" si="0"/>
        <v>179.58</v>
      </c>
      <c r="K23" s="137"/>
      <c r="L23" s="137"/>
      <c r="M23" s="137"/>
      <c r="N23" s="137"/>
      <c r="O23" s="137"/>
      <c r="P23" s="137"/>
      <c r="Q23" s="137"/>
      <c r="R23" s="137"/>
      <c r="S23" s="137"/>
      <c r="T23" s="137"/>
    </row>
    <row r="24" spans="2:20" ht="12.75" customHeight="1" x14ac:dyDescent="0.25">
      <c r="B24" s="156">
        <v>14</v>
      </c>
      <c r="C24" s="157" t="s">
        <v>217</v>
      </c>
      <c r="D24" s="134" t="s">
        <v>223</v>
      </c>
      <c r="E24" s="134" t="s">
        <v>227</v>
      </c>
      <c r="F24" s="135">
        <v>1</v>
      </c>
      <c r="G24" s="135">
        <v>1</v>
      </c>
      <c r="H24" s="135">
        <v>1</v>
      </c>
      <c r="I24" s="135">
        <v>61.77</v>
      </c>
      <c r="J24" s="135">
        <f t="shared" si="0"/>
        <v>61.77</v>
      </c>
      <c r="K24" s="137"/>
      <c r="L24" s="137"/>
      <c r="M24" s="137"/>
      <c r="N24" s="137"/>
      <c r="O24" s="137"/>
      <c r="P24" s="137"/>
      <c r="Q24" s="137"/>
      <c r="R24" s="137"/>
      <c r="S24" s="137"/>
      <c r="T24" s="137"/>
    </row>
    <row r="25" spans="2:20" ht="12.75" customHeight="1" x14ac:dyDescent="0.25">
      <c r="B25" s="156">
        <v>15</v>
      </c>
      <c r="C25" s="157" t="s">
        <v>218</v>
      </c>
      <c r="D25" s="134" t="s">
        <v>223</v>
      </c>
      <c r="E25" s="134" t="s">
        <v>228</v>
      </c>
      <c r="F25" s="135">
        <v>1</v>
      </c>
      <c r="G25" s="135">
        <v>1</v>
      </c>
      <c r="H25" s="135">
        <v>2</v>
      </c>
      <c r="I25" s="135">
        <v>566.66999999999996</v>
      </c>
      <c r="J25" s="135">
        <f t="shared" si="0"/>
        <v>1133.3399999999999</v>
      </c>
      <c r="K25" s="137"/>
      <c r="L25" s="137"/>
      <c r="M25" s="137"/>
      <c r="N25" s="137"/>
      <c r="O25" s="137"/>
      <c r="P25" s="137"/>
      <c r="Q25" s="137"/>
      <c r="R25" s="137"/>
      <c r="S25" s="137"/>
      <c r="T25" s="137"/>
    </row>
    <row r="26" spans="2:20" ht="12.75" customHeight="1" x14ac:dyDescent="0.25">
      <c r="B26" s="156">
        <v>16</v>
      </c>
      <c r="C26" s="157" t="s">
        <v>219</v>
      </c>
      <c r="D26" s="134" t="s">
        <v>223</v>
      </c>
      <c r="E26" s="134" t="s">
        <v>233</v>
      </c>
      <c r="F26" s="135">
        <v>1</v>
      </c>
      <c r="G26" s="135">
        <v>1</v>
      </c>
      <c r="H26" s="135">
        <v>1</v>
      </c>
      <c r="I26" s="135">
        <v>35</v>
      </c>
      <c r="J26" s="135">
        <f t="shared" si="0"/>
        <v>35</v>
      </c>
      <c r="K26" s="137"/>
      <c r="L26" s="137"/>
      <c r="M26" s="137"/>
      <c r="N26" s="137"/>
      <c r="O26" s="137"/>
      <c r="P26" s="137"/>
      <c r="Q26" s="137"/>
      <c r="R26" s="137"/>
      <c r="S26" s="137"/>
      <c r="T26" s="137"/>
    </row>
    <row r="27" spans="2:20" ht="12.75" customHeight="1" x14ac:dyDescent="0.25">
      <c r="B27" s="156">
        <v>17</v>
      </c>
      <c r="C27" s="157" t="s">
        <v>220</v>
      </c>
      <c r="D27" s="134" t="s">
        <v>223</v>
      </c>
      <c r="E27" s="134" t="s">
        <v>229</v>
      </c>
      <c r="F27" s="135">
        <v>1</v>
      </c>
      <c r="G27" s="135">
        <v>1</v>
      </c>
      <c r="H27" s="135">
        <v>1</v>
      </c>
      <c r="I27" s="135">
        <v>20.43</v>
      </c>
      <c r="J27" s="135">
        <f t="shared" si="0"/>
        <v>20.43</v>
      </c>
      <c r="K27" s="137"/>
      <c r="L27" s="137"/>
      <c r="M27" s="137"/>
      <c r="N27" s="137"/>
      <c r="O27" s="137"/>
      <c r="P27" s="137"/>
      <c r="Q27" s="137"/>
      <c r="R27" s="137"/>
      <c r="S27" s="137"/>
      <c r="T27" s="137"/>
    </row>
    <row r="28" spans="2:20" ht="12.75" customHeight="1" x14ac:dyDescent="0.25">
      <c r="B28" s="156">
        <v>18</v>
      </c>
      <c r="C28" s="157" t="s">
        <v>174</v>
      </c>
      <c r="D28" s="134" t="s">
        <v>223</v>
      </c>
      <c r="E28" s="134" t="s">
        <v>190</v>
      </c>
      <c r="F28" s="135">
        <v>1</v>
      </c>
      <c r="G28" s="135">
        <v>1</v>
      </c>
      <c r="H28" s="135">
        <v>1</v>
      </c>
      <c r="I28" s="135">
        <v>4.92</v>
      </c>
      <c r="J28" s="135">
        <f t="shared" si="0"/>
        <v>4.92</v>
      </c>
      <c r="K28" s="137"/>
      <c r="L28" s="137"/>
      <c r="M28" s="137"/>
      <c r="N28" s="137"/>
      <c r="O28" s="137"/>
      <c r="P28" s="137"/>
      <c r="Q28" s="137"/>
      <c r="R28" s="137"/>
      <c r="S28" s="137"/>
      <c r="T28" s="137"/>
    </row>
    <row r="29" spans="2:20" ht="12.75" customHeight="1" x14ac:dyDescent="0.25">
      <c r="B29" s="156">
        <v>19</v>
      </c>
      <c r="C29" s="157" t="s">
        <v>182</v>
      </c>
      <c r="D29" s="134" t="s">
        <v>223</v>
      </c>
      <c r="E29" s="134" t="s">
        <v>200</v>
      </c>
      <c r="F29" s="135">
        <v>1</v>
      </c>
      <c r="G29" s="135">
        <v>1</v>
      </c>
      <c r="H29" s="135">
        <v>1</v>
      </c>
      <c r="I29" s="135">
        <v>6.39</v>
      </c>
      <c r="J29" s="135">
        <f t="shared" si="0"/>
        <v>6.39</v>
      </c>
      <c r="K29" s="137"/>
      <c r="L29" s="137"/>
      <c r="M29" s="137"/>
      <c r="N29" s="137"/>
      <c r="O29" s="137"/>
      <c r="P29" s="137"/>
      <c r="Q29" s="137"/>
      <c r="R29" s="137"/>
      <c r="S29" s="137"/>
      <c r="T29" s="137"/>
    </row>
    <row r="30" spans="2:20" ht="12.75" customHeight="1" x14ac:dyDescent="0.25">
      <c r="B30" s="156">
        <v>20</v>
      </c>
      <c r="C30" s="157"/>
      <c r="D30" s="134"/>
      <c r="E30" s="134"/>
      <c r="F30" s="135"/>
      <c r="G30" s="135"/>
      <c r="H30" s="135"/>
      <c r="I30" s="135"/>
      <c r="J30" s="135"/>
      <c r="K30" s="137"/>
      <c r="L30" s="137"/>
      <c r="M30" s="137"/>
      <c r="N30" s="137"/>
      <c r="O30" s="137"/>
      <c r="P30" s="137"/>
      <c r="Q30" s="137"/>
      <c r="R30" s="137"/>
      <c r="S30" s="137"/>
      <c r="T30" s="137"/>
    </row>
    <row r="31" spans="2:20" ht="12.75" customHeight="1" x14ac:dyDescent="0.25">
      <c r="B31" s="156">
        <v>21</v>
      </c>
      <c r="C31" s="157"/>
      <c r="D31" s="134"/>
      <c r="E31" s="134"/>
      <c r="F31" s="135"/>
      <c r="G31" s="135"/>
      <c r="H31" s="135"/>
      <c r="I31" s="135"/>
      <c r="J31" s="135"/>
      <c r="K31" s="137"/>
      <c r="L31" s="137"/>
      <c r="M31" s="137"/>
      <c r="N31" s="137"/>
      <c r="O31" s="137"/>
      <c r="P31" s="137"/>
      <c r="Q31" s="137"/>
      <c r="R31" s="137"/>
      <c r="S31" s="137"/>
      <c r="T31" s="137"/>
    </row>
    <row r="32" spans="2:20" ht="12.75" customHeight="1" x14ac:dyDescent="0.25">
      <c r="B32" s="156">
        <v>22</v>
      </c>
      <c r="C32" s="157"/>
      <c r="D32" s="134"/>
      <c r="E32" s="134"/>
      <c r="F32" s="135"/>
      <c r="G32" s="135"/>
      <c r="H32" s="135"/>
      <c r="I32" s="135"/>
      <c r="J32" s="135"/>
      <c r="K32" s="137"/>
      <c r="L32" s="137"/>
      <c r="M32" s="137"/>
      <c r="N32" s="137"/>
      <c r="O32" s="137"/>
      <c r="P32" s="137"/>
      <c r="Q32" s="137"/>
      <c r="R32" s="137"/>
      <c r="S32" s="137"/>
      <c r="T32" s="137"/>
    </row>
    <row r="33" spans="1:20" ht="12.75" customHeight="1" x14ac:dyDescent="0.25">
      <c r="B33" s="156">
        <v>23</v>
      </c>
      <c r="C33" s="157"/>
      <c r="D33" s="134"/>
      <c r="E33" s="134"/>
      <c r="F33" s="135"/>
      <c r="G33" s="135"/>
      <c r="H33" s="135"/>
      <c r="I33" s="135"/>
      <c r="J33" s="135"/>
      <c r="K33" s="137"/>
      <c r="L33" s="137"/>
      <c r="M33" s="137"/>
      <c r="N33" s="137"/>
      <c r="O33" s="137"/>
      <c r="P33" s="137"/>
      <c r="Q33" s="137"/>
      <c r="R33" s="137"/>
      <c r="S33" s="137"/>
      <c r="T33" s="137"/>
    </row>
    <row r="34" spans="1:20" ht="12.75" customHeight="1" x14ac:dyDescent="0.25">
      <c r="B34" s="156">
        <v>24</v>
      </c>
      <c r="C34" s="157"/>
      <c r="D34" s="134"/>
      <c r="E34" s="134"/>
      <c r="F34" s="135"/>
      <c r="G34" s="135"/>
      <c r="H34" s="135"/>
      <c r="I34" s="135"/>
      <c r="J34" s="135"/>
      <c r="K34" s="137"/>
      <c r="L34" s="137"/>
      <c r="M34" s="137"/>
      <c r="N34" s="137"/>
      <c r="O34" s="137"/>
      <c r="P34" s="137"/>
      <c r="Q34" s="137"/>
      <c r="R34" s="137"/>
      <c r="S34" s="137"/>
      <c r="T34" s="137"/>
    </row>
    <row r="35" spans="1:20" ht="12.75" customHeight="1" x14ac:dyDescent="0.25">
      <c r="B35" s="156">
        <v>25</v>
      </c>
      <c r="C35" s="157"/>
      <c r="D35" s="134"/>
      <c r="E35" s="134"/>
      <c r="F35" s="135"/>
      <c r="G35" s="135"/>
      <c r="H35" s="135"/>
      <c r="I35" s="135"/>
      <c r="J35" s="135"/>
      <c r="K35" s="137"/>
      <c r="L35" s="137"/>
      <c r="M35" s="137"/>
      <c r="N35" s="137"/>
      <c r="O35" s="137"/>
      <c r="P35" s="137"/>
      <c r="Q35" s="137"/>
      <c r="R35" s="137"/>
      <c r="S35" s="137"/>
      <c r="T35" s="137"/>
    </row>
    <row r="36" spans="1:20" ht="12.75" customHeight="1" x14ac:dyDescent="0.25">
      <c r="B36" s="156">
        <v>26</v>
      </c>
      <c r="C36" s="157"/>
      <c r="D36" s="134"/>
      <c r="E36" s="134"/>
      <c r="F36" s="135"/>
      <c r="G36" s="135"/>
      <c r="H36" s="135"/>
      <c r="I36" s="135"/>
      <c r="J36" s="135"/>
      <c r="K36" s="137"/>
      <c r="L36" s="137"/>
      <c r="M36" s="137"/>
      <c r="N36" s="137"/>
      <c r="O36" s="137"/>
      <c r="P36" s="137"/>
      <c r="Q36" s="137"/>
      <c r="R36" s="137"/>
      <c r="S36" s="137"/>
      <c r="T36" s="137"/>
    </row>
    <row r="37" spans="1:20" ht="12.75" customHeight="1" x14ac:dyDescent="0.25">
      <c r="B37" s="156">
        <v>27</v>
      </c>
      <c r="C37" s="157"/>
      <c r="D37" s="134"/>
      <c r="E37" s="134"/>
      <c r="F37" s="135"/>
      <c r="G37" s="135"/>
      <c r="H37" s="135"/>
      <c r="I37" s="135"/>
      <c r="J37" s="135"/>
      <c r="K37" s="137"/>
      <c r="L37" s="137"/>
      <c r="M37" s="137"/>
      <c r="N37" s="137"/>
      <c r="O37" s="137"/>
      <c r="P37" s="137"/>
      <c r="Q37" s="137"/>
      <c r="R37" s="137"/>
      <c r="S37" s="137"/>
      <c r="T37" s="137"/>
    </row>
    <row r="38" spans="1:20" ht="12.75" customHeight="1" x14ac:dyDescent="0.25">
      <c r="B38" s="156">
        <v>28</v>
      </c>
      <c r="C38" s="157"/>
      <c r="D38" s="134"/>
      <c r="E38" s="134"/>
      <c r="F38" s="135"/>
      <c r="G38" s="135"/>
      <c r="H38" s="135"/>
      <c r="I38" s="135"/>
      <c r="J38" s="135"/>
      <c r="K38" s="137"/>
      <c r="L38" s="137"/>
      <c r="M38" s="137"/>
      <c r="N38" s="137"/>
      <c r="O38" s="137"/>
      <c r="P38" s="137"/>
      <c r="Q38" s="137"/>
      <c r="R38" s="137"/>
      <c r="S38" s="137"/>
      <c r="T38" s="137"/>
    </row>
    <row r="39" spans="1:20" ht="12.75" customHeight="1" x14ac:dyDescent="0.25">
      <c r="B39" s="156">
        <v>29</v>
      </c>
      <c r="C39" s="157"/>
      <c r="D39" s="134"/>
      <c r="E39" s="134"/>
      <c r="F39" s="135"/>
      <c r="G39" s="135"/>
      <c r="H39" s="135"/>
      <c r="I39" s="135"/>
      <c r="J39" s="135"/>
      <c r="K39" s="137"/>
      <c r="L39" s="137"/>
      <c r="M39" s="137"/>
      <c r="N39" s="137"/>
      <c r="O39" s="137"/>
      <c r="P39" s="137"/>
      <c r="Q39" s="137"/>
      <c r="R39" s="137"/>
      <c r="S39" s="137"/>
      <c r="T39" s="137"/>
    </row>
    <row r="40" spans="1:20" ht="12.75" customHeight="1" x14ac:dyDescent="0.25">
      <c r="B40" s="156">
        <v>30</v>
      </c>
      <c r="C40" s="157"/>
      <c r="D40" s="134"/>
      <c r="E40" s="134"/>
      <c r="F40" s="135"/>
      <c r="G40" s="135"/>
      <c r="H40" s="135"/>
      <c r="I40" s="135"/>
      <c r="J40" s="135"/>
      <c r="K40" s="137"/>
      <c r="L40" s="137"/>
      <c r="M40" s="137"/>
      <c r="N40" s="137"/>
      <c r="O40" s="137"/>
      <c r="P40" s="137"/>
      <c r="Q40" s="137"/>
      <c r="R40" s="137"/>
      <c r="S40" s="137"/>
      <c r="T40" s="137"/>
    </row>
    <row r="41" spans="1:20" ht="12.75" customHeight="1" x14ac:dyDescent="0.25">
      <c r="A41" s="136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</row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</sheetData>
  <sheetProtection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4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workbookViewId="0">
      <selection activeCell="C54" sqref="C54"/>
    </sheetView>
  </sheetViews>
  <sheetFormatPr defaultRowHeight="15" customHeight="1" outlineLevelRow="1" x14ac:dyDescent="0.25"/>
  <cols>
    <col min="1" max="1" width="2.42578125" style="33" customWidth="1"/>
    <col min="2" max="2" width="27" style="33" customWidth="1"/>
    <col min="3" max="3" width="40.5703125" style="33" bestFit="1" customWidth="1"/>
    <col min="4" max="4" width="22.42578125" style="33" bestFit="1" customWidth="1"/>
    <col min="5" max="5" width="10.42578125" style="33" customWidth="1"/>
    <col min="6" max="6" width="18.28515625" style="33" customWidth="1"/>
    <col min="7" max="7" width="26.85546875" style="33" bestFit="1" customWidth="1"/>
    <col min="8" max="16" width="8.7109375" style="33" customWidth="1"/>
    <col min="17" max="16384" width="9.140625" style="33"/>
  </cols>
  <sheetData>
    <row r="1" spans="1:16" ht="14.25" customHeight="1" x14ac:dyDescent="0.3">
      <c r="A1" s="39"/>
      <c r="B1" s="35"/>
      <c r="C1" s="39"/>
      <c r="D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</row>
    <row r="2" spans="1:16" ht="14.25" customHeight="1" x14ac:dyDescent="0.3">
      <c r="A2" s="39"/>
      <c r="B2" s="34" t="s">
        <v>67</v>
      </c>
      <c r="C2" s="34"/>
      <c r="D2" s="48" t="str">
        <f>'1.1 Case data_general'!D2</f>
        <v>APPENDECTOMY</v>
      </c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</row>
    <row r="3" spans="1:16" ht="14.25" customHeight="1" collapsed="1" x14ac:dyDescent="0.3">
      <c r="A3" s="39"/>
      <c r="B3" s="35"/>
      <c r="C3" s="39"/>
      <c r="D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</row>
    <row r="4" spans="1:16" ht="14.25" hidden="1" customHeight="1" outlineLevel="1" x14ac:dyDescent="0.3">
      <c r="A4" s="39"/>
      <c r="B4" s="35" t="s">
        <v>72</v>
      </c>
      <c r="C4" s="39">
        <v>17</v>
      </c>
      <c r="D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</row>
    <row r="5" spans="1:16" ht="14.25" hidden="1" customHeight="1" outlineLevel="1" x14ac:dyDescent="0.3">
      <c r="A5" s="39"/>
      <c r="B5" s="35" t="s">
        <v>74</v>
      </c>
      <c r="C5" s="39">
        <v>31</v>
      </c>
      <c r="D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</row>
    <row r="6" spans="1:16" ht="14.25" hidden="1" customHeight="1" outlineLevel="1" x14ac:dyDescent="0.3">
      <c r="A6" s="39"/>
      <c r="B6" s="35" t="s">
        <v>73</v>
      </c>
      <c r="C6" s="39">
        <v>10</v>
      </c>
      <c r="D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</row>
    <row r="7" spans="1:16" ht="14.25" customHeight="1" x14ac:dyDescent="0.3">
      <c r="A7" s="39"/>
      <c r="B7" s="117" t="s">
        <v>23</v>
      </c>
      <c r="C7" s="118"/>
      <c r="D7" s="118"/>
      <c r="E7" s="118"/>
      <c r="F7" s="118"/>
      <c r="G7" s="119"/>
      <c r="H7" s="35"/>
      <c r="I7" s="35"/>
      <c r="J7" s="35"/>
      <c r="K7" s="35"/>
      <c r="L7" s="35"/>
      <c r="M7" s="35"/>
      <c r="N7" s="35"/>
      <c r="O7" s="35"/>
      <c r="P7" s="35"/>
    </row>
    <row r="8" spans="1:16" ht="14.25" customHeight="1" x14ac:dyDescent="0.3">
      <c r="A8" s="39"/>
      <c r="B8" s="123" t="s">
        <v>24</v>
      </c>
      <c r="C8" s="124"/>
      <c r="D8" s="124"/>
      <c r="E8" s="124"/>
      <c r="F8" s="124"/>
      <c r="G8" s="125"/>
      <c r="H8" s="35"/>
      <c r="I8" s="35"/>
      <c r="J8" s="35"/>
      <c r="K8" s="35"/>
      <c r="L8" s="35"/>
      <c r="M8" s="35"/>
      <c r="N8" s="35"/>
      <c r="O8" s="35"/>
      <c r="P8" s="35"/>
    </row>
    <row r="9" spans="1:16" ht="14.25" customHeight="1" x14ac:dyDescent="0.3">
      <c r="A9" s="39"/>
      <c r="B9" s="123" t="s">
        <v>68</v>
      </c>
      <c r="C9" s="124"/>
      <c r="D9" s="124"/>
      <c r="E9" s="124"/>
      <c r="F9" s="124"/>
      <c r="G9" s="125"/>
      <c r="H9" s="35"/>
      <c r="I9" s="35"/>
      <c r="J9" s="35"/>
      <c r="K9" s="35"/>
      <c r="L9" s="35"/>
      <c r="M9" s="35"/>
      <c r="N9" s="35"/>
      <c r="O9" s="35"/>
      <c r="P9" s="35"/>
    </row>
    <row r="10" spans="1:16" ht="14.25" customHeight="1" x14ac:dyDescent="0.3">
      <c r="A10" s="39"/>
      <c r="B10" s="123" t="s">
        <v>25</v>
      </c>
      <c r="C10" s="124"/>
      <c r="D10" s="124"/>
      <c r="E10" s="124"/>
      <c r="F10" s="124"/>
      <c r="G10" s="125"/>
      <c r="H10" s="35"/>
      <c r="I10" s="35"/>
      <c r="J10" s="35"/>
      <c r="K10" s="35"/>
      <c r="L10" s="35"/>
      <c r="M10" s="35"/>
      <c r="N10" s="35"/>
      <c r="O10" s="35"/>
      <c r="P10" s="35"/>
    </row>
    <row r="11" spans="1:16" ht="13.5" customHeight="1" x14ac:dyDescent="0.3">
      <c r="A11" s="49"/>
      <c r="B11" s="123" t="s">
        <v>26</v>
      </c>
      <c r="C11" s="124"/>
      <c r="D11" s="124"/>
      <c r="E11" s="124"/>
      <c r="F11" s="124"/>
      <c r="G11" s="125"/>
      <c r="H11" s="35"/>
      <c r="I11" s="35"/>
      <c r="J11" s="35"/>
      <c r="K11" s="35"/>
      <c r="L11" s="35"/>
      <c r="M11" s="35"/>
      <c r="N11" s="35"/>
      <c r="O11" s="35"/>
      <c r="P11" s="35"/>
    </row>
    <row r="12" spans="1:16" ht="14.25" customHeight="1" x14ac:dyDescent="0.3">
      <c r="A12" s="39"/>
      <c r="B12" s="126" t="s">
        <v>27</v>
      </c>
      <c r="C12" s="127"/>
      <c r="D12" s="127"/>
      <c r="E12" s="127"/>
      <c r="F12" s="127"/>
      <c r="G12" s="128"/>
      <c r="H12" s="35"/>
      <c r="I12" s="35"/>
      <c r="J12" s="35"/>
      <c r="K12" s="35"/>
      <c r="L12" s="35"/>
      <c r="M12" s="35"/>
      <c r="N12" s="35"/>
      <c r="O12" s="35"/>
      <c r="P12" s="35"/>
    </row>
    <row r="13" spans="1:16" ht="14.25" customHeight="1" x14ac:dyDescent="0.3">
      <c r="A13" s="39"/>
      <c r="B13" s="35"/>
      <c r="C13" s="39"/>
      <c r="D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</row>
    <row r="14" spans="1:16" ht="14.25" customHeight="1" x14ac:dyDescent="0.3">
      <c r="B14" s="50" t="s">
        <v>5</v>
      </c>
      <c r="C14" s="51" t="s">
        <v>70</v>
      </c>
      <c r="D14" s="52" t="s">
        <v>69</v>
      </c>
      <c r="E14" s="52" t="s">
        <v>28</v>
      </c>
      <c r="F14" s="52" t="s">
        <v>11</v>
      </c>
      <c r="G14" s="52" t="s">
        <v>16</v>
      </c>
      <c r="H14" s="53"/>
      <c r="I14" s="35"/>
      <c r="J14" s="35"/>
      <c r="K14" s="35"/>
      <c r="L14" s="35"/>
      <c r="M14" s="35"/>
      <c r="N14" s="35"/>
      <c r="O14" s="35"/>
      <c r="P14" s="35"/>
    </row>
    <row r="15" spans="1:16" ht="14.25" customHeight="1" x14ac:dyDescent="0.3">
      <c r="B15" s="120" t="s">
        <v>71</v>
      </c>
      <c r="C15" s="121"/>
      <c r="D15" s="121"/>
      <c r="E15" s="121"/>
      <c r="F15" s="121"/>
      <c r="G15" s="122"/>
      <c r="H15" s="35"/>
      <c r="I15" s="35"/>
      <c r="J15" s="35"/>
      <c r="K15" s="35"/>
      <c r="L15" s="35"/>
      <c r="M15" s="35"/>
      <c r="N15" s="35"/>
      <c r="O15" s="35"/>
      <c r="P15" s="35"/>
    </row>
    <row r="16" spans="1:16" ht="14.25" customHeight="1" x14ac:dyDescent="0.3">
      <c r="B16" s="54">
        <v>1</v>
      </c>
      <c r="C16" s="55"/>
      <c r="D16" s="56"/>
      <c r="E16" s="42"/>
      <c r="F16" s="42"/>
      <c r="G16" s="42">
        <f>E16*F16</f>
        <v>0</v>
      </c>
      <c r="H16" s="35"/>
      <c r="I16" s="35"/>
      <c r="J16" s="35"/>
      <c r="K16" s="35"/>
      <c r="L16" s="35"/>
      <c r="M16" s="35"/>
      <c r="N16" s="35"/>
      <c r="O16" s="35"/>
      <c r="P16" s="35"/>
    </row>
    <row r="17" spans="2:16" ht="14.25" customHeight="1" x14ac:dyDescent="0.3">
      <c r="B17" s="54">
        <v>2</v>
      </c>
      <c r="C17" s="55"/>
      <c r="D17" s="56"/>
      <c r="E17" s="42"/>
      <c r="F17" s="42"/>
      <c r="G17" s="42">
        <f t="shared" ref="G17:G32" si="0">E17*F17</f>
        <v>0</v>
      </c>
      <c r="H17" s="35"/>
      <c r="I17" s="35"/>
      <c r="J17" s="35"/>
      <c r="K17" s="35"/>
      <c r="L17" s="35"/>
      <c r="M17" s="35"/>
      <c r="N17" s="35"/>
      <c r="O17" s="35"/>
      <c r="P17" s="35"/>
    </row>
    <row r="18" spans="2:16" ht="14.25" customHeight="1" x14ac:dyDescent="0.3">
      <c r="B18" s="54">
        <v>3</v>
      </c>
      <c r="C18" s="55"/>
      <c r="D18" s="56"/>
      <c r="E18" s="42"/>
      <c r="F18" s="42"/>
      <c r="G18" s="42">
        <f t="shared" si="0"/>
        <v>0</v>
      </c>
      <c r="H18" s="35"/>
      <c r="I18" s="35"/>
      <c r="J18" s="35"/>
      <c r="K18" s="35"/>
      <c r="L18" s="35"/>
      <c r="M18" s="35"/>
      <c r="N18" s="35"/>
      <c r="O18" s="35"/>
      <c r="P18" s="35"/>
    </row>
    <row r="19" spans="2:16" ht="14.25" customHeight="1" x14ac:dyDescent="0.3">
      <c r="B19" s="54">
        <v>4</v>
      </c>
      <c r="C19" s="55"/>
      <c r="D19" s="56"/>
      <c r="E19" s="42"/>
      <c r="F19" s="42"/>
      <c r="G19" s="42">
        <f t="shared" si="0"/>
        <v>0</v>
      </c>
      <c r="H19" s="35"/>
      <c r="I19" s="35"/>
      <c r="J19" s="35"/>
      <c r="K19" s="35"/>
      <c r="L19" s="35"/>
      <c r="M19" s="35"/>
      <c r="N19" s="35"/>
      <c r="O19" s="35"/>
      <c r="P19" s="35"/>
    </row>
    <row r="20" spans="2:16" ht="14.25" customHeight="1" x14ac:dyDescent="0.3">
      <c r="B20" s="54">
        <v>5</v>
      </c>
      <c r="C20" s="55"/>
      <c r="D20" s="56"/>
      <c r="E20" s="42"/>
      <c r="F20" s="42"/>
      <c r="G20" s="42">
        <f t="shared" si="0"/>
        <v>0</v>
      </c>
      <c r="H20" s="35"/>
      <c r="I20" s="35"/>
      <c r="J20" s="35"/>
      <c r="K20" s="35"/>
      <c r="L20" s="35"/>
      <c r="M20" s="35"/>
      <c r="N20" s="35"/>
      <c r="O20" s="35"/>
      <c r="P20" s="35"/>
    </row>
    <row r="21" spans="2:16" ht="14.25" customHeight="1" x14ac:dyDescent="0.3">
      <c r="B21" s="54">
        <v>6</v>
      </c>
      <c r="C21" s="55"/>
      <c r="D21" s="56"/>
      <c r="E21" s="42"/>
      <c r="F21" s="42"/>
      <c r="G21" s="42">
        <f t="shared" si="0"/>
        <v>0</v>
      </c>
      <c r="H21" s="35"/>
      <c r="I21" s="35"/>
      <c r="J21" s="35"/>
      <c r="K21" s="35"/>
      <c r="L21" s="35"/>
      <c r="M21" s="35"/>
      <c r="N21" s="35"/>
      <c r="O21" s="35"/>
      <c r="P21" s="35"/>
    </row>
    <row r="22" spans="2:16" ht="14.25" customHeight="1" x14ac:dyDescent="0.3">
      <c r="B22" s="54">
        <v>7</v>
      </c>
      <c r="C22" s="55"/>
      <c r="D22" s="56"/>
      <c r="E22" s="42"/>
      <c r="F22" s="42"/>
      <c r="G22" s="42">
        <f t="shared" si="0"/>
        <v>0</v>
      </c>
      <c r="H22" s="35"/>
      <c r="I22" s="35"/>
      <c r="J22" s="35"/>
      <c r="K22" s="35"/>
      <c r="L22" s="35"/>
      <c r="M22" s="35"/>
      <c r="N22" s="35"/>
      <c r="O22" s="35"/>
      <c r="P22" s="35"/>
    </row>
    <row r="23" spans="2:16" ht="14.25" customHeight="1" x14ac:dyDescent="0.3">
      <c r="B23" s="54">
        <v>8</v>
      </c>
      <c r="C23" s="55"/>
      <c r="D23" s="56"/>
      <c r="E23" s="42"/>
      <c r="F23" s="42"/>
      <c r="G23" s="42">
        <f t="shared" si="0"/>
        <v>0</v>
      </c>
      <c r="H23" s="35"/>
      <c r="I23" s="35"/>
      <c r="J23" s="35"/>
      <c r="K23" s="35"/>
      <c r="L23" s="35"/>
      <c r="M23" s="35"/>
      <c r="N23" s="35"/>
      <c r="O23" s="35"/>
      <c r="P23" s="35"/>
    </row>
    <row r="24" spans="2:16" ht="14.25" customHeight="1" x14ac:dyDescent="0.3">
      <c r="B24" s="54">
        <v>9</v>
      </c>
      <c r="C24" s="55"/>
      <c r="D24" s="56"/>
      <c r="E24" s="42"/>
      <c r="F24" s="42"/>
      <c r="G24" s="42">
        <f t="shared" si="0"/>
        <v>0</v>
      </c>
      <c r="H24" s="35"/>
      <c r="I24" s="35"/>
      <c r="J24" s="35"/>
      <c r="K24" s="35"/>
      <c r="L24" s="35"/>
      <c r="M24" s="35"/>
      <c r="N24" s="35"/>
      <c r="O24" s="35"/>
      <c r="P24" s="35"/>
    </row>
    <row r="25" spans="2:16" ht="14.25" customHeight="1" x14ac:dyDescent="0.3">
      <c r="B25" s="54">
        <v>10</v>
      </c>
      <c r="C25" s="55"/>
      <c r="D25" s="56"/>
      <c r="E25" s="42"/>
      <c r="F25" s="42"/>
      <c r="G25" s="42">
        <f t="shared" si="0"/>
        <v>0</v>
      </c>
      <c r="H25" s="35"/>
      <c r="I25" s="35"/>
      <c r="J25" s="35"/>
      <c r="K25" s="35"/>
      <c r="L25" s="35"/>
      <c r="M25" s="35"/>
      <c r="N25" s="35"/>
      <c r="O25" s="35"/>
      <c r="P25" s="35"/>
    </row>
    <row r="26" spans="2:16" ht="14.25" customHeight="1" x14ac:dyDescent="0.3">
      <c r="B26" s="54">
        <v>11</v>
      </c>
      <c r="C26" s="55"/>
      <c r="D26" s="56"/>
      <c r="E26" s="42"/>
      <c r="F26" s="42"/>
      <c r="G26" s="42">
        <f t="shared" si="0"/>
        <v>0</v>
      </c>
      <c r="H26" s="35"/>
      <c r="I26" s="35"/>
      <c r="J26" s="35"/>
      <c r="K26" s="35"/>
      <c r="L26" s="35"/>
      <c r="M26" s="35"/>
      <c r="N26" s="35"/>
      <c r="O26" s="35"/>
      <c r="P26" s="35"/>
    </row>
    <row r="27" spans="2:16" ht="14.25" customHeight="1" x14ac:dyDescent="0.3">
      <c r="B27" s="54">
        <v>12</v>
      </c>
      <c r="C27" s="55"/>
      <c r="D27" s="56"/>
      <c r="E27" s="42"/>
      <c r="F27" s="42"/>
      <c r="G27" s="42">
        <f t="shared" si="0"/>
        <v>0</v>
      </c>
      <c r="H27" s="35"/>
      <c r="I27" s="35"/>
      <c r="J27" s="35"/>
      <c r="K27" s="35"/>
      <c r="L27" s="35"/>
      <c r="M27" s="35"/>
      <c r="N27" s="35"/>
      <c r="O27" s="35"/>
      <c r="P27" s="35"/>
    </row>
    <row r="28" spans="2:16" ht="14.25" customHeight="1" x14ac:dyDescent="0.3">
      <c r="B28" s="54">
        <v>13</v>
      </c>
      <c r="C28" s="55"/>
      <c r="D28" s="56"/>
      <c r="E28" s="42"/>
      <c r="F28" s="42"/>
      <c r="G28" s="42">
        <f t="shared" si="0"/>
        <v>0</v>
      </c>
      <c r="H28" s="35"/>
      <c r="I28" s="35"/>
      <c r="J28" s="35"/>
      <c r="K28" s="35"/>
      <c r="L28" s="35"/>
      <c r="M28" s="35"/>
      <c r="N28" s="35"/>
      <c r="O28" s="35"/>
      <c r="P28" s="35"/>
    </row>
    <row r="29" spans="2:16" ht="14.25" customHeight="1" x14ac:dyDescent="0.3">
      <c r="B29" s="54">
        <v>14</v>
      </c>
      <c r="C29" s="55"/>
      <c r="D29" s="56"/>
      <c r="E29" s="42"/>
      <c r="F29" s="42"/>
      <c r="G29" s="42">
        <f t="shared" si="0"/>
        <v>0</v>
      </c>
      <c r="H29" s="35"/>
      <c r="I29" s="35"/>
      <c r="J29" s="35"/>
      <c r="K29" s="35"/>
      <c r="L29" s="35"/>
      <c r="M29" s="35"/>
      <c r="N29" s="35"/>
      <c r="O29" s="35"/>
      <c r="P29" s="35"/>
    </row>
    <row r="30" spans="2:16" ht="14.25" customHeight="1" x14ac:dyDescent="0.3">
      <c r="B30" s="54">
        <v>15</v>
      </c>
      <c r="C30" s="55"/>
      <c r="D30" s="56"/>
      <c r="E30" s="42"/>
      <c r="F30" s="42"/>
      <c r="G30" s="42">
        <f t="shared" si="0"/>
        <v>0</v>
      </c>
      <c r="H30" s="35"/>
      <c r="I30" s="35"/>
      <c r="J30" s="35"/>
      <c r="K30" s="35"/>
      <c r="L30" s="35"/>
      <c r="M30" s="35"/>
      <c r="N30" s="35"/>
      <c r="O30" s="35"/>
      <c r="P30" s="35"/>
    </row>
    <row r="31" spans="2:16" ht="14.25" customHeight="1" x14ac:dyDescent="0.3">
      <c r="B31" s="54">
        <v>16</v>
      </c>
      <c r="C31" s="55"/>
      <c r="D31" s="56"/>
      <c r="E31" s="42"/>
      <c r="F31" s="42"/>
      <c r="G31" s="42">
        <f t="shared" si="0"/>
        <v>0</v>
      </c>
      <c r="H31" s="35"/>
      <c r="I31" s="35"/>
      <c r="J31" s="35"/>
      <c r="K31" s="35"/>
      <c r="L31" s="35"/>
      <c r="M31" s="35"/>
      <c r="N31" s="35"/>
      <c r="O31" s="35"/>
      <c r="P31" s="35"/>
    </row>
    <row r="32" spans="2:16" ht="14.25" customHeight="1" x14ac:dyDescent="0.3">
      <c r="B32" s="54">
        <v>17</v>
      </c>
      <c r="C32" s="55"/>
      <c r="D32" s="56"/>
      <c r="E32" s="42"/>
      <c r="F32" s="42"/>
      <c r="G32" s="42">
        <f t="shared" si="0"/>
        <v>0</v>
      </c>
      <c r="H32" s="35"/>
      <c r="I32" s="35"/>
      <c r="J32" s="35"/>
      <c r="K32" s="35"/>
      <c r="L32" s="35"/>
      <c r="M32" s="35"/>
      <c r="N32" s="35"/>
      <c r="O32" s="35"/>
      <c r="P32" s="35"/>
    </row>
    <row r="33" spans="2:16" ht="14.25" customHeight="1" x14ac:dyDescent="0.3">
      <c r="B33" s="120" t="s">
        <v>75</v>
      </c>
      <c r="C33" s="121"/>
      <c r="D33" s="121"/>
      <c r="E33" s="121"/>
      <c r="F33" s="121"/>
      <c r="G33" s="122"/>
      <c r="H33" s="35"/>
      <c r="I33" s="35"/>
      <c r="J33" s="35"/>
      <c r="K33" s="35"/>
      <c r="L33" s="35"/>
      <c r="M33" s="35"/>
      <c r="N33" s="35"/>
      <c r="O33" s="35"/>
      <c r="P33" s="35"/>
    </row>
    <row r="34" spans="2:16" ht="14.25" customHeight="1" x14ac:dyDescent="0.3">
      <c r="B34" s="54">
        <v>1</v>
      </c>
      <c r="C34" s="55" t="s">
        <v>183</v>
      </c>
      <c r="D34" s="56" t="s">
        <v>189</v>
      </c>
      <c r="E34" s="42">
        <v>2</v>
      </c>
      <c r="F34" s="42">
        <v>14</v>
      </c>
      <c r="G34" s="42">
        <f>E34*F34</f>
        <v>28</v>
      </c>
      <c r="H34" s="35"/>
      <c r="I34" s="35"/>
      <c r="J34" s="35"/>
      <c r="K34" s="35"/>
      <c r="L34" s="35"/>
      <c r="M34" s="35"/>
      <c r="N34" s="35"/>
      <c r="O34" s="35"/>
      <c r="P34" s="35"/>
    </row>
    <row r="35" spans="2:16" ht="14.25" customHeight="1" x14ac:dyDescent="0.3">
      <c r="B35" s="54">
        <v>2</v>
      </c>
      <c r="C35" s="55" t="s">
        <v>234</v>
      </c>
      <c r="D35" s="56" t="s">
        <v>189</v>
      </c>
      <c r="E35" s="42">
        <v>1</v>
      </c>
      <c r="F35" s="42">
        <v>105.33</v>
      </c>
      <c r="G35" s="42">
        <f t="shared" ref="G35:G64" si="1">E35*F35</f>
        <v>105.33</v>
      </c>
      <c r="H35" s="35"/>
      <c r="I35" s="35"/>
      <c r="J35" s="35"/>
      <c r="K35" s="35"/>
      <c r="L35" s="35"/>
      <c r="M35" s="35"/>
      <c r="N35" s="35"/>
      <c r="O35" s="35"/>
      <c r="P35" s="35"/>
    </row>
    <row r="36" spans="2:16" ht="14.25" customHeight="1" x14ac:dyDescent="0.3">
      <c r="B36" s="54">
        <v>3</v>
      </c>
      <c r="C36" s="55" t="s">
        <v>202</v>
      </c>
      <c r="D36" s="56" t="s">
        <v>189</v>
      </c>
      <c r="E36" s="42">
        <v>3</v>
      </c>
      <c r="F36" s="42">
        <v>95</v>
      </c>
      <c r="G36" s="42">
        <f t="shared" si="1"/>
        <v>285</v>
      </c>
      <c r="H36" s="35"/>
      <c r="I36" s="35"/>
      <c r="J36" s="35"/>
      <c r="K36" s="35"/>
      <c r="L36" s="35"/>
      <c r="M36" s="35"/>
      <c r="N36" s="35"/>
      <c r="O36" s="35"/>
      <c r="P36" s="35"/>
    </row>
    <row r="37" spans="2:16" ht="14.25" customHeight="1" x14ac:dyDescent="0.3">
      <c r="B37" s="54">
        <v>4</v>
      </c>
      <c r="C37" s="55" t="s">
        <v>205</v>
      </c>
      <c r="D37" s="56" t="s">
        <v>189</v>
      </c>
      <c r="E37" s="42">
        <v>70</v>
      </c>
      <c r="F37" s="42">
        <v>1.51</v>
      </c>
      <c r="G37" s="42">
        <f t="shared" si="1"/>
        <v>105.7</v>
      </c>
      <c r="H37" s="35"/>
      <c r="I37" s="35"/>
      <c r="J37" s="35"/>
      <c r="K37" s="35"/>
      <c r="L37" s="35"/>
      <c r="M37" s="35"/>
      <c r="N37" s="35"/>
      <c r="O37" s="35"/>
      <c r="P37" s="35"/>
    </row>
    <row r="38" spans="2:16" ht="14.25" customHeight="1" x14ac:dyDescent="0.3">
      <c r="B38" s="54">
        <v>5</v>
      </c>
      <c r="C38" s="55" t="s">
        <v>206</v>
      </c>
      <c r="D38" s="56" t="s">
        <v>189</v>
      </c>
      <c r="E38" s="42">
        <v>6</v>
      </c>
      <c r="F38" s="42">
        <v>1.27</v>
      </c>
      <c r="G38" s="42">
        <f t="shared" si="1"/>
        <v>7.62</v>
      </c>
      <c r="H38" s="35"/>
      <c r="I38" s="35"/>
      <c r="J38" s="35"/>
      <c r="K38" s="35"/>
      <c r="L38" s="35"/>
      <c r="M38" s="35"/>
      <c r="N38" s="35"/>
      <c r="O38" s="35"/>
      <c r="P38" s="35"/>
    </row>
    <row r="39" spans="2:16" ht="14.25" customHeight="1" x14ac:dyDescent="0.3">
      <c r="B39" s="54">
        <v>6</v>
      </c>
      <c r="C39" s="55" t="s">
        <v>207</v>
      </c>
      <c r="D39" s="56" t="s">
        <v>189</v>
      </c>
      <c r="E39" s="42">
        <v>6</v>
      </c>
      <c r="F39" s="42">
        <v>1.0900000000000001</v>
      </c>
      <c r="G39" s="42">
        <f t="shared" si="1"/>
        <v>6.5400000000000009</v>
      </c>
      <c r="H39" s="35"/>
      <c r="I39" s="35"/>
      <c r="J39" s="35"/>
      <c r="K39" s="35"/>
      <c r="L39" s="35"/>
      <c r="M39" s="35"/>
      <c r="N39" s="35"/>
      <c r="O39" s="35"/>
      <c r="P39" s="35"/>
    </row>
    <row r="40" spans="2:16" ht="14.25" customHeight="1" x14ac:dyDescent="0.3">
      <c r="B40" s="54">
        <v>7</v>
      </c>
      <c r="C40" s="55" t="s">
        <v>201</v>
      </c>
      <c r="D40" s="56" t="s">
        <v>189</v>
      </c>
      <c r="E40" s="42">
        <v>1</v>
      </c>
      <c r="F40" s="42">
        <v>258</v>
      </c>
      <c r="G40" s="42">
        <f t="shared" si="1"/>
        <v>258</v>
      </c>
      <c r="H40" s="35"/>
      <c r="I40" s="35"/>
      <c r="J40" s="35"/>
      <c r="K40" s="35"/>
      <c r="L40" s="35"/>
      <c r="M40" s="35"/>
      <c r="N40" s="35"/>
      <c r="O40" s="35"/>
      <c r="P40" s="35"/>
    </row>
    <row r="41" spans="2:16" ht="14.25" customHeight="1" x14ac:dyDescent="0.3">
      <c r="B41" s="54">
        <v>8</v>
      </c>
      <c r="C41" s="55" t="s">
        <v>184</v>
      </c>
      <c r="D41" s="56" t="s">
        <v>189</v>
      </c>
      <c r="E41" s="42">
        <v>1</v>
      </c>
      <c r="F41" s="42">
        <v>23</v>
      </c>
      <c r="G41" s="42">
        <f t="shared" si="1"/>
        <v>23</v>
      </c>
      <c r="H41" s="35"/>
      <c r="I41" s="35"/>
      <c r="J41" s="35"/>
      <c r="K41" s="35"/>
      <c r="L41" s="35"/>
      <c r="M41" s="35"/>
      <c r="N41" s="35"/>
      <c r="O41" s="35"/>
      <c r="P41" s="35"/>
    </row>
    <row r="42" spans="2:16" ht="14.25" customHeight="1" x14ac:dyDescent="0.3">
      <c r="B42" s="54">
        <v>9</v>
      </c>
      <c r="C42" s="55" t="s">
        <v>185</v>
      </c>
      <c r="D42" s="56" t="s">
        <v>189</v>
      </c>
      <c r="E42" s="42">
        <v>2</v>
      </c>
      <c r="F42" s="42">
        <v>66.67</v>
      </c>
      <c r="G42" s="42">
        <f t="shared" si="1"/>
        <v>133.34</v>
      </c>
      <c r="H42" s="35"/>
      <c r="I42" s="35"/>
      <c r="J42" s="35"/>
      <c r="K42" s="35"/>
      <c r="L42" s="35"/>
      <c r="M42" s="35"/>
      <c r="N42" s="35"/>
      <c r="O42" s="35"/>
      <c r="P42" s="35"/>
    </row>
    <row r="43" spans="2:16" ht="14.25" customHeight="1" x14ac:dyDescent="0.3">
      <c r="B43" s="54">
        <v>10</v>
      </c>
      <c r="C43" s="55" t="s">
        <v>204</v>
      </c>
      <c r="D43" s="56" t="s">
        <v>189</v>
      </c>
      <c r="E43" s="42">
        <v>0.5</v>
      </c>
      <c r="F43" s="42">
        <v>168.44</v>
      </c>
      <c r="G43" s="42">
        <f t="shared" si="1"/>
        <v>84.22</v>
      </c>
      <c r="H43" s="35"/>
      <c r="I43" s="35"/>
      <c r="J43" s="35"/>
      <c r="K43" s="35"/>
      <c r="L43" s="35"/>
      <c r="M43" s="35"/>
      <c r="N43" s="35"/>
      <c r="O43" s="35"/>
      <c r="P43" s="35"/>
    </row>
    <row r="44" spans="2:16" ht="14.25" customHeight="1" x14ac:dyDescent="0.3">
      <c r="B44" s="54">
        <v>11</v>
      </c>
      <c r="C44" s="55" t="s">
        <v>203</v>
      </c>
      <c r="D44" s="56" t="s">
        <v>189</v>
      </c>
      <c r="E44" s="42">
        <v>1</v>
      </c>
      <c r="F44" s="42">
        <v>84</v>
      </c>
      <c r="G44" s="42">
        <f t="shared" si="1"/>
        <v>84</v>
      </c>
      <c r="H44" s="35"/>
      <c r="I44" s="35"/>
      <c r="J44" s="35"/>
      <c r="K44" s="35"/>
      <c r="L44" s="35"/>
      <c r="M44" s="35"/>
      <c r="N44" s="35"/>
      <c r="O44" s="35"/>
      <c r="P44" s="35"/>
    </row>
    <row r="45" spans="2:16" ht="14.25" customHeight="1" x14ac:dyDescent="0.3">
      <c r="B45" s="54">
        <v>12</v>
      </c>
      <c r="C45" s="55" t="s">
        <v>188</v>
      </c>
      <c r="D45" s="56" t="s">
        <v>189</v>
      </c>
      <c r="E45" s="42">
        <v>0.5</v>
      </c>
      <c r="F45" s="42">
        <v>67.319999999999993</v>
      </c>
      <c r="G45" s="42">
        <f t="shared" si="1"/>
        <v>33.659999999999997</v>
      </c>
      <c r="H45" s="35"/>
      <c r="I45" s="35"/>
      <c r="J45" s="35"/>
      <c r="K45" s="35"/>
      <c r="L45" s="35"/>
      <c r="M45" s="35"/>
      <c r="N45" s="35"/>
      <c r="O45" s="35"/>
      <c r="P45" s="35"/>
    </row>
    <row r="46" spans="2:16" ht="14.25" customHeight="1" x14ac:dyDescent="0.3">
      <c r="B46" s="54">
        <v>13</v>
      </c>
      <c r="C46" s="55" t="s">
        <v>235</v>
      </c>
      <c r="D46" s="56" t="s">
        <v>189</v>
      </c>
      <c r="E46" s="42">
        <v>1</v>
      </c>
      <c r="F46" s="42">
        <v>100</v>
      </c>
      <c r="G46" s="42">
        <f t="shared" si="1"/>
        <v>100</v>
      </c>
      <c r="H46" s="35"/>
      <c r="I46" s="35"/>
      <c r="J46" s="35"/>
      <c r="K46" s="35"/>
      <c r="L46" s="35"/>
      <c r="M46" s="35"/>
      <c r="N46" s="35"/>
      <c r="O46" s="35"/>
      <c r="P46" s="35"/>
    </row>
    <row r="47" spans="2:16" ht="14.25" customHeight="1" x14ac:dyDescent="0.3">
      <c r="B47" s="54">
        <v>14</v>
      </c>
      <c r="C47" s="55" t="s">
        <v>209</v>
      </c>
      <c r="D47" s="56" t="s">
        <v>189</v>
      </c>
      <c r="E47" s="42">
        <v>2</v>
      </c>
      <c r="F47" s="42">
        <v>394.67</v>
      </c>
      <c r="G47" s="42">
        <f t="shared" si="1"/>
        <v>789.34</v>
      </c>
      <c r="H47" s="35"/>
      <c r="I47" s="35"/>
      <c r="J47" s="35"/>
      <c r="K47" s="35"/>
      <c r="L47" s="35"/>
      <c r="M47" s="35"/>
      <c r="N47" s="35"/>
      <c r="O47" s="35"/>
      <c r="P47" s="35"/>
    </row>
    <row r="48" spans="2:16" ht="14.25" customHeight="1" x14ac:dyDescent="0.3">
      <c r="B48" s="54">
        <v>15</v>
      </c>
      <c r="C48" s="55" t="s">
        <v>186</v>
      </c>
      <c r="D48" s="56" t="s">
        <v>189</v>
      </c>
      <c r="E48" s="42">
        <v>2</v>
      </c>
      <c r="F48" s="42">
        <v>95.33</v>
      </c>
      <c r="G48" s="42">
        <f t="shared" si="1"/>
        <v>190.66</v>
      </c>
      <c r="H48" s="35"/>
      <c r="I48" s="35"/>
      <c r="J48" s="35"/>
      <c r="K48" s="35"/>
      <c r="L48" s="35"/>
      <c r="M48" s="35"/>
      <c r="N48" s="35"/>
      <c r="O48" s="35"/>
      <c r="P48" s="35"/>
    </row>
    <row r="49" spans="2:16" ht="14.25" customHeight="1" x14ac:dyDescent="0.3">
      <c r="B49" s="54">
        <v>16</v>
      </c>
      <c r="C49" s="55" t="s">
        <v>187</v>
      </c>
      <c r="D49" s="56" t="s">
        <v>189</v>
      </c>
      <c r="E49" s="42">
        <v>1</v>
      </c>
      <c r="F49" s="42">
        <v>70.67</v>
      </c>
      <c r="G49" s="42">
        <f t="shared" si="1"/>
        <v>70.67</v>
      </c>
      <c r="H49" s="35"/>
      <c r="I49" s="35"/>
      <c r="J49" s="35"/>
      <c r="K49" s="35"/>
      <c r="L49" s="35"/>
      <c r="M49" s="35"/>
      <c r="N49" s="35"/>
      <c r="O49" s="35"/>
      <c r="P49" s="35"/>
    </row>
    <row r="50" spans="2:16" ht="14.25" customHeight="1" x14ac:dyDescent="0.3">
      <c r="B50" s="54">
        <v>17</v>
      </c>
      <c r="C50" s="55" t="s">
        <v>208</v>
      </c>
      <c r="D50" s="56" t="s">
        <v>189</v>
      </c>
      <c r="E50" s="42">
        <v>1</v>
      </c>
      <c r="F50" s="42">
        <v>504</v>
      </c>
      <c r="G50" s="42">
        <f t="shared" si="1"/>
        <v>504</v>
      </c>
      <c r="H50" s="35"/>
      <c r="I50" s="35"/>
      <c r="J50" s="35"/>
      <c r="K50" s="35"/>
      <c r="L50" s="35"/>
      <c r="M50" s="35"/>
      <c r="N50" s="35"/>
      <c r="O50" s="35"/>
      <c r="P50" s="35"/>
    </row>
    <row r="51" spans="2:16" ht="14.25" customHeight="1" x14ac:dyDescent="0.3">
      <c r="B51" s="54">
        <v>18</v>
      </c>
      <c r="C51" s="55"/>
      <c r="D51" s="56"/>
      <c r="E51" s="42"/>
      <c r="F51" s="42"/>
      <c r="G51" s="42">
        <f t="shared" si="1"/>
        <v>0</v>
      </c>
      <c r="H51" s="35"/>
      <c r="I51" s="35"/>
      <c r="J51" s="35"/>
      <c r="K51" s="35"/>
      <c r="L51" s="35"/>
      <c r="M51" s="35"/>
      <c r="N51" s="35"/>
      <c r="O51" s="35"/>
      <c r="P51" s="35"/>
    </row>
    <row r="52" spans="2:16" ht="14.25" customHeight="1" x14ac:dyDescent="0.3">
      <c r="B52" s="54">
        <v>19</v>
      </c>
      <c r="C52" s="55"/>
      <c r="D52" s="56"/>
      <c r="E52" s="42"/>
      <c r="F52" s="42"/>
      <c r="G52" s="42">
        <f t="shared" si="1"/>
        <v>0</v>
      </c>
      <c r="H52" s="35"/>
      <c r="I52" s="35"/>
      <c r="J52" s="35"/>
      <c r="K52" s="35"/>
      <c r="L52" s="35"/>
      <c r="M52" s="35"/>
      <c r="N52" s="35"/>
      <c r="O52" s="35"/>
      <c r="P52" s="35"/>
    </row>
    <row r="53" spans="2:16" ht="14.25" customHeight="1" x14ac:dyDescent="0.3">
      <c r="B53" s="54">
        <v>20</v>
      </c>
      <c r="C53" s="55"/>
      <c r="D53" s="56"/>
      <c r="E53" s="42"/>
      <c r="F53" s="42"/>
      <c r="G53" s="42">
        <f t="shared" si="1"/>
        <v>0</v>
      </c>
      <c r="H53" s="35"/>
      <c r="I53" s="35"/>
      <c r="J53" s="35"/>
      <c r="K53" s="35"/>
      <c r="L53" s="35"/>
      <c r="M53" s="35"/>
      <c r="N53" s="35"/>
      <c r="O53" s="35"/>
      <c r="P53" s="35"/>
    </row>
    <row r="54" spans="2:16" ht="14.25" customHeight="1" x14ac:dyDescent="0.3">
      <c r="B54" s="54">
        <v>21</v>
      </c>
      <c r="C54" s="55"/>
      <c r="D54" s="56"/>
      <c r="E54" s="42"/>
      <c r="F54" s="42"/>
      <c r="G54" s="42">
        <f t="shared" si="1"/>
        <v>0</v>
      </c>
      <c r="H54" s="35"/>
      <c r="I54" s="35"/>
      <c r="J54" s="35"/>
      <c r="K54" s="35"/>
      <c r="L54" s="35"/>
      <c r="M54" s="35"/>
      <c r="N54" s="35"/>
      <c r="O54" s="35"/>
      <c r="P54" s="35"/>
    </row>
    <row r="55" spans="2:16" ht="14.25" customHeight="1" x14ac:dyDescent="0.3">
      <c r="B55" s="54">
        <v>22</v>
      </c>
      <c r="C55" s="55"/>
      <c r="D55" s="56"/>
      <c r="E55" s="42"/>
      <c r="F55" s="42"/>
      <c r="G55" s="42">
        <f t="shared" si="1"/>
        <v>0</v>
      </c>
      <c r="H55" s="35"/>
      <c r="I55" s="35"/>
      <c r="J55" s="35"/>
      <c r="K55" s="35"/>
      <c r="L55" s="35"/>
      <c r="M55" s="35"/>
      <c r="N55" s="35"/>
      <c r="O55" s="35"/>
      <c r="P55" s="35"/>
    </row>
    <row r="56" spans="2:16" ht="14.25" customHeight="1" x14ac:dyDescent="0.3">
      <c r="B56" s="54">
        <v>23</v>
      </c>
      <c r="C56" s="55"/>
      <c r="D56" s="56"/>
      <c r="E56" s="42"/>
      <c r="F56" s="42"/>
      <c r="G56" s="42">
        <f t="shared" si="1"/>
        <v>0</v>
      </c>
      <c r="H56" s="35"/>
      <c r="I56" s="35"/>
      <c r="J56" s="35"/>
      <c r="K56" s="35"/>
      <c r="L56" s="35"/>
      <c r="M56" s="35"/>
      <c r="N56" s="35"/>
      <c r="O56" s="35"/>
      <c r="P56" s="35"/>
    </row>
    <row r="57" spans="2:16" ht="14.25" customHeight="1" x14ac:dyDescent="0.3">
      <c r="B57" s="54">
        <v>24</v>
      </c>
      <c r="C57" s="55"/>
      <c r="D57" s="56"/>
      <c r="E57" s="42"/>
      <c r="F57" s="42"/>
      <c r="G57" s="42">
        <f t="shared" si="1"/>
        <v>0</v>
      </c>
      <c r="H57" s="35"/>
      <c r="I57" s="35"/>
      <c r="J57" s="35"/>
      <c r="K57" s="35"/>
      <c r="L57" s="35"/>
      <c r="M57" s="35"/>
      <c r="N57" s="35"/>
      <c r="O57" s="35"/>
      <c r="P57" s="35"/>
    </row>
    <row r="58" spans="2:16" ht="14.25" customHeight="1" x14ac:dyDescent="0.3">
      <c r="B58" s="54">
        <v>25</v>
      </c>
      <c r="C58" s="55"/>
      <c r="D58" s="56"/>
      <c r="E58" s="42"/>
      <c r="F58" s="42"/>
      <c r="G58" s="42">
        <f t="shared" si="1"/>
        <v>0</v>
      </c>
      <c r="H58" s="35"/>
      <c r="I58" s="35"/>
      <c r="J58" s="35"/>
      <c r="K58" s="35"/>
      <c r="L58" s="35"/>
      <c r="M58" s="35"/>
      <c r="N58" s="35"/>
      <c r="O58" s="35"/>
      <c r="P58" s="35"/>
    </row>
    <row r="59" spans="2:16" ht="14.25" customHeight="1" x14ac:dyDescent="0.3">
      <c r="B59" s="54">
        <v>26</v>
      </c>
      <c r="C59" s="55"/>
      <c r="D59" s="56"/>
      <c r="E59" s="42"/>
      <c r="F59" s="42"/>
      <c r="G59" s="42">
        <f t="shared" si="1"/>
        <v>0</v>
      </c>
      <c r="H59" s="35"/>
      <c r="I59" s="35"/>
      <c r="J59" s="35"/>
      <c r="K59" s="35"/>
      <c r="L59" s="35"/>
      <c r="M59" s="35"/>
      <c r="N59" s="35"/>
      <c r="O59" s="35"/>
      <c r="P59" s="35"/>
    </row>
    <row r="60" spans="2:16" ht="14.25" customHeight="1" x14ac:dyDescent="0.3">
      <c r="B60" s="54">
        <v>27</v>
      </c>
      <c r="C60" s="55"/>
      <c r="D60" s="56"/>
      <c r="E60" s="42"/>
      <c r="F60" s="42"/>
      <c r="G60" s="42">
        <f t="shared" si="1"/>
        <v>0</v>
      </c>
      <c r="H60" s="35"/>
      <c r="I60" s="35"/>
      <c r="J60" s="35"/>
      <c r="K60" s="35"/>
      <c r="L60" s="35"/>
      <c r="M60" s="35"/>
      <c r="N60" s="35"/>
      <c r="O60" s="35"/>
      <c r="P60" s="35"/>
    </row>
    <row r="61" spans="2:16" ht="14.25" customHeight="1" x14ac:dyDescent="0.3">
      <c r="B61" s="54">
        <v>28</v>
      </c>
      <c r="C61" s="55"/>
      <c r="D61" s="56"/>
      <c r="E61" s="42"/>
      <c r="F61" s="42"/>
      <c r="G61" s="42">
        <f t="shared" si="1"/>
        <v>0</v>
      </c>
      <c r="H61" s="35"/>
      <c r="I61" s="35"/>
      <c r="J61" s="35"/>
      <c r="K61" s="35"/>
      <c r="L61" s="35"/>
      <c r="M61" s="35"/>
      <c r="N61" s="35"/>
      <c r="O61" s="35"/>
      <c r="P61" s="35"/>
    </row>
    <row r="62" spans="2:16" ht="14.25" customHeight="1" x14ac:dyDescent="0.3">
      <c r="B62" s="54">
        <v>29</v>
      </c>
      <c r="C62" s="55"/>
      <c r="D62" s="56"/>
      <c r="E62" s="42"/>
      <c r="F62" s="42"/>
      <c r="G62" s="42">
        <f t="shared" si="1"/>
        <v>0</v>
      </c>
      <c r="H62" s="35"/>
      <c r="I62" s="35"/>
      <c r="J62" s="35"/>
      <c r="K62" s="35"/>
      <c r="L62" s="35"/>
      <c r="M62" s="35"/>
      <c r="N62" s="35"/>
      <c r="O62" s="35"/>
      <c r="P62" s="35"/>
    </row>
    <row r="63" spans="2:16" ht="14.25" customHeight="1" x14ac:dyDescent="0.3">
      <c r="B63" s="54">
        <v>30</v>
      </c>
      <c r="C63" s="55"/>
      <c r="D63" s="56"/>
      <c r="E63" s="42"/>
      <c r="F63" s="42"/>
      <c r="G63" s="42">
        <f t="shared" si="1"/>
        <v>0</v>
      </c>
      <c r="H63" s="35"/>
      <c r="I63" s="35"/>
      <c r="J63" s="35"/>
      <c r="K63" s="35"/>
      <c r="L63" s="35"/>
      <c r="M63" s="35"/>
      <c r="N63" s="35"/>
      <c r="O63" s="35"/>
      <c r="P63" s="35"/>
    </row>
    <row r="64" spans="2:16" ht="14.25" customHeight="1" x14ac:dyDescent="0.3">
      <c r="B64" s="54">
        <v>31</v>
      </c>
      <c r="C64" s="55"/>
      <c r="D64" s="56"/>
      <c r="E64" s="42"/>
      <c r="F64" s="42"/>
      <c r="G64" s="42">
        <f t="shared" si="1"/>
        <v>0</v>
      </c>
      <c r="H64" s="35"/>
      <c r="I64" s="35"/>
      <c r="J64" s="35"/>
      <c r="K64" s="35"/>
      <c r="L64" s="35"/>
      <c r="M64" s="35"/>
      <c r="N64" s="35"/>
      <c r="O64" s="35"/>
      <c r="P64" s="35"/>
    </row>
    <row r="65" spans="1:16" ht="14.25" customHeight="1" x14ac:dyDescent="0.3">
      <c r="B65" s="120" t="s">
        <v>29</v>
      </c>
      <c r="C65" s="121"/>
      <c r="D65" s="121"/>
      <c r="E65" s="121"/>
      <c r="F65" s="121"/>
      <c r="G65" s="122"/>
      <c r="H65" s="35"/>
      <c r="I65" s="35"/>
      <c r="J65" s="35"/>
      <c r="K65" s="35"/>
      <c r="L65" s="35"/>
      <c r="M65" s="35"/>
      <c r="N65" s="35"/>
      <c r="O65" s="35"/>
      <c r="P65" s="35"/>
    </row>
    <row r="66" spans="1:16" ht="14.25" customHeight="1" x14ac:dyDescent="0.3">
      <c r="B66" s="54">
        <v>1</v>
      </c>
      <c r="C66" s="55"/>
      <c r="D66" s="56"/>
      <c r="E66" s="42"/>
      <c r="F66" s="42"/>
      <c r="G66" s="42"/>
      <c r="H66" s="35"/>
      <c r="I66" s="35"/>
      <c r="J66" s="35"/>
      <c r="K66" s="35"/>
      <c r="L66" s="35"/>
      <c r="M66" s="35"/>
      <c r="N66" s="35"/>
      <c r="O66" s="35"/>
      <c r="P66" s="35"/>
    </row>
    <row r="67" spans="1:16" ht="14.25" customHeight="1" x14ac:dyDescent="0.3">
      <c r="B67" s="54">
        <v>2</v>
      </c>
      <c r="C67" s="55"/>
      <c r="D67" s="56"/>
      <c r="E67" s="42"/>
      <c r="F67" s="42"/>
      <c r="G67" s="42"/>
      <c r="H67" s="35"/>
      <c r="I67" s="35"/>
      <c r="J67" s="35"/>
      <c r="K67" s="35"/>
      <c r="L67" s="35"/>
      <c r="M67" s="35"/>
      <c r="N67" s="35"/>
      <c r="O67" s="35"/>
      <c r="P67" s="35"/>
    </row>
    <row r="68" spans="1:16" ht="14.25" customHeight="1" x14ac:dyDescent="0.3">
      <c r="B68" s="54">
        <v>3</v>
      </c>
      <c r="C68" s="55"/>
      <c r="D68" s="56"/>
      <c r="E68" s="42"/>
      <c r="F68" s="42"/>
      <c r="G68" s="42"/>
      <c r="H68" s="35"/>
      <c r="I68" s="35"/>
      <c r="J68" s="35"/>
      <c r="K68" s="35"/>
      <c r="L68" s="35"/>
      <c r="M68" s="35"/>
      <c r="N68" s="35"/>
      <c r="O68" s="35"/>
      <c r="P68" s="35"/>
    </row>
    <row r="69" spans="1:16" ht="14.25" customHeight="1" x14ac:dyDescent="0.3">
      <c r="B69" s="54">
        <v>4</v>
      </c>
      <c r="C69" s="55"/>
      <c r="D69" s="56"/>
      <c r="E69" s="42"/>
      <c r="F69" s="42"/>
      <c r="G69" s="42"/>
      <c r="H69" s="35"/>
      <c r="I69" s="35"/>
      <c r="J69" s="35"/>
      <c r="K69" s="35"/>
      <c r="L69" s="35"/>
      <c r="M69" s="35"/>
      <c r="N69" s="35"/>
      <c r="O69" s="35"/>
      <c r="P69" s="35"/>
    </row>
    <row r="70" spans="1:16" ht="14.25" customHeight="1" x14ac:dyDescent="0.3">
      <c r="B70" s="54">
        <v>5</v>
      </c>
      <c r="C70" s="55"/>
      <c r="D70" s="56"/>
      <c r="E70" s="42"/>
      <c r="F70" s="42"/>
      <c r="G70" s="42"/>
      <c r="H70" s="35"/>
      <c r="I70" s="35"/>
      <c r="J70" s="35"/>
      <c r="K70" s="35"/>
      <c r="L70" s="35"/>
      <c r="M70" s="35"/>
      <c r="N70" s="35"/>
      <c r="O70" s="35"/>
      <c r="P70" s="35"/>
    </row>
    <row r="71" spans="1:16" ht="14.25" customHeight="1" x14ac:dyDescent="0.3">
      <c r="B71" s="54">
        <v>6</v>
      </c>
      <c r="C71" s="55"/>
      <c r="D71" s="56"/>
      <c r="E71" s="42"/>
      <c r="F71" s="42"/>
      <c r="G71" s="42"/>
      <c r="H71" s="35"/>
      <c r="I71" s="35"/>
      <c r="J71" s="35"/>
      <c r="K71" s="35"/>
      <c r="L71" s="35"/>
      <c r="M71" s="35"/>
      <c r="N71" s="35"/>
      <c r="O71" s="35"/>
      <c r="P71" s="35"/>
    </row>
    <row r="72" spans="1:16" ht="14.25" customHeight="1" x14ac:dyDescent="0.3">
      <c r="B72" s="54">
        <v>7</v>
      </c>
      <c r="C72" s="55"/>
      <c r="D72" s="56"/>
      <c r="E72" s="42"/>
      <c r="F72" s="42"/>
      <c r="G72" s="42"/>
      <c r="H72" s="35"/>
      <c r="I72" s="35"/>
      <c r="J72" s="35"/>
      <c r="K72" s="35"/>
      <c r="L72" s="35"/>
      <c r="M72" s="35"/>
      <c r="N72" s="35"/>
      <c r="O72" s="35"/>
      <c r="P72" s="35"/>
    </row>
    <row r="73" spans="1:16" ht="14.25" customHeight="1" x14ac:dyDescent="0.3">
      <c r="B73" s="54">
        <v>8</v>
      </c>
      <c r="C73" s="55"/>
      <c r="D73" s="56"/>
      <c r="E73" s="42"/>
      <c r="F73" s="42"/>
      <c r="G73" s="42"/>
      <c r="H73" s="35"/>
      <c r="I73" s="35"/>
      <c r="J73" s="35"/>
      <c r="K73" s="35"/>
      <c r="L73" s="35"/>
      <c r="M73" s="35"/>
      <c r="N73" s="35"/>
      <c r="O73" s="35"/>
      <c r="P73" s="35"/>
    </row>
    <row r="74" spans="1:16" ht="14.25" customHeight="1" x14ac:dyDescent="0.3">
      <c r="B74" s="54">
        <v>9</v>
      </c>
      <c r="C74" s="55"/>
      <c r="D74" s="56"/>
      <c r="E74" s="42"/>
      <c r="F74" s="42"/>
      <c r="G74" s="42"/>
      <c r="H74" s="35"/>
      <c r="I74" s="35"/>
      <c r="J74" s="35"/>
      <c r="K74" s="35"/>
      <c r="L74" s="35"/>
      <c r="M74" s="35"/>
      <c r="N74" s="35"/>
      <c r="O74" s="35"/>
      <c r="P74" s="35"/>
    </row>
    <row r="75" spans="1:16" ht="14.25" customHeight="1" x14ac:dyDescent="0.3">
      <c r="B75" s="54">
        <v>10</v>
      </c>
      <c r="C75" s="55"/>
      <c r="D75" s="56"/>
      <c r="E75" s="42"/>
      <c r="F75" s="42"/>
      <c r="G75" s="42"/>
      <c r="H75" s="35"/>
      <c r="I75" s="35"/>
      <c r="J75" s="35"/>
      <c r="K75" s="35"/>
      <c r="L75" s="35"/>
      <c r="M75" s="35"/>
      <c r="N75" s="35"/>
      <c r="O75" s="35"/>
      <c r="P75" s="35"/>
    </row>
    <row r="76" spans="1:16" ht="14.25" customHeight="1" x14ac:dyDescent="0.3">
      <c r="A76" s="39"/>
      <c r="B76" s="35"/>
      <c r="C76" s="39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</row>
    <row r="77" spans="1:16" ht="14.25" customHeight="1" x14ac:dyDescent="0.3">
      <c r="A77" s="39"/>
      <c r="B77" s="35"/>
      <c r="C77" s="39"/>
      <c r="D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</row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sheetProtection algorithmName="SHA-512" hashValue="bxG0zGbQOyqtr7pk73xrDlvNx4Vvnr1osbikGvxIwdeOfK8fmpkzOrZa60QdqcnJ2BnpLz7ljVm0auHNV13UQw==" saltValue="QcQ6VoZsZ/HiCmK43NegQw==" spinCount="100000" sheet="1" objects="1" scenarios="1" formatColumns="0" formatRows="0" sort="0" autoFilter="0"/>
  <mergeCells count="9">
    <mergeCell ref="B7:G7"/>
    <mergeCell ref="B33:G33"/>
    <mergeCell ref="B65:G6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23" sqref="H23"/>
    </sheetView>
  </sheetViews>
  <sheetFormatPr defaultColWidth="14.42578125" defaultRowHeight="15" customHeight="1" outlineLevelRow="1" x14ac:dyDescent="0.3"/>
  <cols>
    <col min="1" max="1" width="2.85546875" style="36" customWidth="1"/>
    <col min="2" max="2" width="26" style="36" customWidth="1"/>
    <col min="3" max="3" width="26.42578125" style="36" customWidth="1"/>
    <col min="4" max="7" width="12.140625" style="36" customWidth="1"/>
    <col min="8" max="8" width="13.42578125" style="36" customWidth="1"/>
    <col min="9" max="14" width="12.140625" style="36" customWidth="1"/>
    <col min="15" max="15" width="1.140625" style="36" customWidth="1"/>
    <col min="16" max="16" width="12.140625" style="36" customWidth="1"/>
    <col min="17" max="26" width="8.7109375" style="36" customWidth="1"/>
    <col min="27" max="16384" width="14.42578125" style="36"/>
  </cols>
  <sheetData>
    <row r="1" spans="2:26" ht="12.75" customHeight="1" x14ac:dyDescent="0.3"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2:26" ht="12.75" customHeight="1" x14ac:dyDescent="0.3">
      <c r="B2" s="65" t="s">
        <v>76</v>
      </c>
      <c r="C2" s="65"/>
      <c r="D2" s="48" t="str">
        <f>'1.1 Case data_general'!D2</f>
        <v>APPENDECTOMY</v>
      </c>
      <c r="E2" s="35"/>
      <c r="F2" s="35"/>
      <c r="G2" s="35"/>
      <c r="H2" s="35"/>
      <c r="I2" s="35"/>
      <c r="J2" s="35"/>
      <c r="K2" s="35"/>
      <c r="L2" s="35"/>
      <c r="M2" s="35"/>
      <c r="N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spans="2:26" ht="12.75" customHeight="1" collapsed="1" x14ac:dyDescent="0.3">
      <c r="B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</row>
    <row r="4" spans="2:26" ht="12.75" hidden="1" customHeight="1" outlineLevel="1" x14ac:dyDescent="0.3">
      <c r="B4" s="35" t="s">
        <v>80</v>
      </c>
      <c r="C4" s="35">
        <v>16</v>
      </c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 spans="2:26" ht="12.75" customHeight="1" x14ac:dyDescent="0.3">
      <c r="B5" s="57" t="s">
        <v>78</v>
      </c>
      <c r="C5" s="62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7"/>
      <c r="Q5" s="35"/>
      <c r="R5" s="35"/>
      <c r="S5" s="35"/>
      <c r="T5" s="35"/>
      <c r="U5" s="35"/>
      <c r="V5" s="35"/>
      <c r="W5" s="35"/>
      <c r="X5" s="35"/>
      <c r="Y5" s="35"/>
      <c r="Z5" s="35"/>
    </row>
    <row r="6" spans="2:26" ht="12.75" customHeight="1" x14ac:dyDescent="0.3">
      <c r="B6" s="40" t="s">
        <v>79</v>
      </c>
      <c r="C6" s="63"/>
      <c r="D6" s="58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60"/>
      <c r="Q6" s="35"/>
      <c r="R6" s="35"/>
      <c r="S6" s="35"/>
      <c r="T6" s="35"/>
      <c r="U6" s="35"/>
      <c r="V6" s="35"/>
      <c r="W6" s="35"/>
      <c r="X6" s="35"/>
      <c r="Y6" s="35"/>
      <c r="Z6" s="35"/>
    </row>
    <row r="7" spans="2:26" ht="12.75" customHeight="1" x14ac:dyDescent="0.3">
      <c r="B7" s="40" t="s">
        <v>30</v>
      </c>
      <c r="C7" s="63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60"/>
      <c r="Q7" s="35"/>
      <c r="R7" s="35"/>
      <c r="S7" s="35"/>
      <c r="T7" s="35"/>
      <c r="U7" s="35"/>
      <c r="V7" s="35"/>
      <c r="W7" s="35"/>
      <c r="X7" s="35"/>
      <c r="Y7" s="35"/>
      <c r="Z7" s="35"/>
    </row>
    <row r="8" spans="2:26" ht="12.75" customHeight="1" x14ac:dyDescent="0.3">
      <c r="B8" s="40" t="s">
        <v>31</v>
      </c>
      <c r="C8" s="63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60"/>
      <c r="Q8" s="35"/>
      <c r="R8" s="35"/>
      <c r="S8" s="35"/>
      <c r="T8" s="35"/>
      <c r="U8" s="35"/>
      <c r="V8" s="35"/>
      <c r="W8" s="35"/>
      <c r="X8" s="35"/>
      <c r="Y8" s="35"/>
      <c r="Z8" s="35"/>
    </row>
    <row r="9" spans="2:26" ht="12.75" customHeight="1" x14ac:dyDescent="0.3">
      <c r="B9" s="61" t="s">
        <v>77</v>
      </c>
      <c r="C9" s="64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9"/>
      <c r="Q9" s="35"/>
      <c r="R9" s="35"/>
      <c r="S9" s="35"/>
      <c r="T9" s="35"/>
      <c r="U9" s="35"/>
      <c r="V9" s="35"/>
      <c r="W9" s="35"/>
      <c r="X9" s="35"/>
      <c r="Y9" s="35"/>
      <c r="Z9" s="35"/>
    </row>
    <row r="10" spans="2:26" ht="12.75" customHeight="1" x14ac:dyDescent="0.3">
      <c r="B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</row>
    <row r="11" spans="2:26" ht="23.25" customHeight="1" x14ac:dyDescent="0.3">
      <c r="B11" s="73"/>
      <c r="C11" s="73"/>
      <c r="D11" s="129" t="s">
        <v>32</v>
      </c>
      <c r="E11" s="130"/>
      <c r="F11" s="130"/>
      <c r="G11" s="130"/>
      <c r="H11" s="130"/>
      <c r="I11" s="130"/>
      <c r="J11" s="130"/>
      <c r="K11" s="130"/>
      <c r="L11" s="130"/>
      <c r="M11" s="130"/>
      <c r="N11" s="131"/>
      <c r="P11" s="132" t="s">
        <v>33</v>
      </c>
      <c r="Q11" s="35"/>
      <c r="R11" s="35"/>
      <c r="S11" s="35"/>
      <c r="T11" s="35"/>
      <c r="U11" s="35"/>
      <c r="V11" s="35"/>
      <c r="W11" s="35"/>
      <c r="X11" s="35"/>
      <c r="Y11" s="35"/>
      <c r="Z11" s="35"/>
    </row>
    <row r="12" spans="2:26" ht="53.25" customHeight="1" x14ac:dyDescent="0.3">
      <c r="B12" s="41" t="s">
        <v>5</v>
      </c>
      <c r="C12" s="41" t="s">
        <v>34</v>
      </c>
      <c r="D12" s="41" t="s">
        <v>35</v>
      </c>
      <c r="E12" s="41" t="s">
        <v>36</v>
      </c>
      <c r="F12" s="41" t="s">
        <v>37</v>
      </c>
      <c r="G12" s="41" t="s">
        <v>38</v>
      </c>
      <c r="H12" s="71" t="s">
        <v>39</v>
      </c>
      <c r="I12" s="72" t="s">
        <v>83</v>
      </c>
      <c r="J12" s="72" t="s">
        <v>81</v>
      </c>
      <c r="K12" s="71" t="s">
        <v>40</v>
      </c>
      <c r="L12" s="71" t="s">
        <v>82</v>
      </c>
      <c r="M12" s="76" t="s">
        <v>84</v>
      </c>
      <c r="N12" s="76" t="s">
        <v>85</v>
      </c>
      <c r="P12" s="133"/>
      <c r="Q12" s="70"/>
      <c r="R12" s="70"/>
      <c r="S12" s="70"/>
      <c r="T12" s="70"/>
      <c r="U12" s="70"/>
      <c r="V12" s="70"/>
      <c r="W12" s="70"/>
      <c r="X12" s="70"/>
      <c r="Y12" s="70"/>
      <c r="Z12" s="70"/>
    </row>
    <row r="13" spans="2:26" ht="12.75" customHeight="1" x14ac:dyDescent="0.3">
      <c r="B13" s="38">
        <v>1</v>
      </c>
      <c r="C13" s="55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P13" s="74">
        <f>SUM(D13:N13)</f>
        <v>0</v>
      </c>
      <c r="Q13" s="35"/>
      <c r="R13" s="35"/>
      <c r="S13" s="35"/>
      <c r="T13" s="35"/>
      <c r="U13" s="35"/>
      <c r="V13" s="35"/>
      <c r="W13" s="35"/>
      <c r="X13" s="35"/>
      <c r="Y13" s="35"/>
      <c r="Z13" s="35"/>
    </row>
    <row r="14" spans="2:26" ht="12.75" customHeight="1" x14ac:dyDescent="0.3">
      <c r="B14" s="38">
        <v>2</v>
      </c>
      <c r="C14" s="55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P14" s="74">
        <f t="shared" ref="P14:P22" si="0">SUM(D14:N14)</f>
        <v>0</v>
      </c>
      <c r="Q14" s="35"/>
      <c r="R14" s="35"/>
      <c r="S14" s="35"/>
      <c r="T14" s="35"/>
      <c r="U14" s="35"/>
      <c r="V14" s="35"/>
      <c r="W14" s="35"/>
      <c r="X14" s="35"/>
      <c r="Y14" s="35"/>
      <c r="Z14" s="35"/>
    </row>
    <row r="15" spans="2:26" ht="12.75" customHeight="1" x14ac:dyDescent="0.3">
      <c r="B15" s="38">
        <v>3</v>
      </c>
      <c r="C15" s="55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P15" s="74">
        <f t="shared" si="0"/>
        <v>0</v>
      </c>
      <c r="Q15" s="35"/>
      <c r="R15" s="35"/>
      <c r="S15" s="35"/>
      <c r="T15" s="35"/>
      <c r="U15" s="35"/>
      <c r="V15" s="35"/>
      <c r="W15" s="35"/>
      <c r="X15" s="35"/>
      <c r="Y15" s="35"/>
      <c r="Z15" s="35"/>
    </row>
    <row r="16" spans="2:26" ht="12.75" customHeight="1" x14ac:dyDescent="0.3">
      <c r="B16" s="38">
        <v>4</v>
      </c>
      <c r="C16" s="55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P16" s="74">
        <f t="shared" si="0"/>
        <v>0</v>
      </c>
      <c r="Q16" s="35"/>
      <c r="R16" s="35"/>
      <c r="S16" s="35"/>
      <c r="T16" s="35"/>
      <c r="U16" s="35"/>
      <c r="V16" s="35"/>
      <c r="W16" s="35"/>
      <c r="X16" s="35"/>
      <c r="Y16" s="35"/>
      <c r="Z16" s="35"/>
    </row>
    <row r="17" spans="2:26" ht="12.75" customHeight="1" x14ac:dyDescent="0.3">
      <c r="B17" s="38">
        <v>5</v>
      </c>
      <c r="C17" s="55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P17" s="74">
        <f t="shared" si="0"/>
        <v>0</v>
      </c>
      <c r="Q17" s="35"/>
      <c r="R17" s="35"/>
      <c r="S17" s="35"/>
      <c r="T17" s="35"/>
      <c r="U17" s="35"/>
      <c r="V17" s="35"/>
      <c r="W17" s="35"/>
      <c r="X17" s="35"/>
      <c r="Y17" s="35"/>
      <c r="Z17" s="35"/>
    </row>
    <row r="18" spans="2:26" ht="12.75" customHeight="1" x14ac:dyDescent="0.3">
      <c r="B18" s="38">
        <v>6</v>
      </c>
      <c r="C18" s="55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P18" s="74">
        <f t="shared" si="0"/>
        <v>0</v>
      </c>
      <c r="Q18" s="35"/>
      <c r="R18" s="35"/>
      <c r="S18" s="35"/>
      <c r="T18" s="35"/>
      <c r="U18" s="35"/>
      <c r="V18" s="35"/>
      <c r="W18" s="35"/>
      <c r="X18" s="35"/>
      <c r="Y18" s="35"/>
      <c r="Z18" s="35"/>
    </row>
    <row r="19" spans="2:26" ht="12.75" customHeight="1" x14ac:dyDescent="0.3">
      <c r="B19" s="38">
        <v>7</v>
      </c>
      <c r="C19" s="55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P19" s="74">
        <f t="shared" si="0"/>
        <v>0</v>
      </c>
      <c r="Q19" s="35"/>
      <c r="R19" s="35"/>
      <c r="S19" s="35"/>
      <c r="T19" s="35"/>
      <c r="U19" s="35"/>
      <c r="V19" s="35"/>
      <c r="W19" s="35"/>
      <c r="X19" s="35"/>
      <c r="Y19" s="35"/>
      <c r="Z19" s="35"/>
    </row>
    <row r="20" spans="2:26" ht="12.75" customHeight="1" x14ac:dyDescent="0.3">
      <c r="B20" s="38">
        <v>8</v>
      </c>
      <c r="C20" s="55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P20" s="74">
        <f t="shared" si="0"/>
        <v>0</v>
      </c>
      <c r="Q20" s="35"/>
      <c r="R20" s="35"/>
      <c r="S20" s="35"/>
      <c r="T20" s="35"/>
      <c r="U20" s="35"/>
      <c r="V20" s="35"/>
      <c r="W20" s="35"/>
      <c r="X20" s="35"/>
      <c r="Y20" s="35"/>
      <c r="Z20" s="35"/>
    </row>
    <row r="21" spans="2:26" ht="12.75" customHeight="1" x14ac:dyDescent="0.3">
      <c r="B21" s="38">
        <v>9</v>
      </c>
      <c r="C21" s="55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P21" s="74">
        <f t="shared" si="0"/>
        <v>0</v>
      </c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spans="2:26" ht="12.75" customHeight="1" x14ac:dyDescent="0.3">
      <c r="B22" s="38">
        <v>10</v>
      </c>
      <c r="C22" s="55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P22" s="74">
        <f t="shared" si="0"/>
        <v>0</v>
      </c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spans="2:26" ht="12.75" customHeight="1" x14ac:dyDescent="0.3">
      <c r="B23" s="38">
        <v>11</v>
      </c>
      <c r="C23" s="55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P23" s="74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2:26" ht="12.75" customHeight="1" x14ac:dyDescent="0.3">
      <c r="B24" s="38">
        <v>12</v>
      </c>
      <c r="C24" s="55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P24" s="74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spans="2:26" ht="12.75" customHeight="1" x14ac:dyDescent="0.3">
      <c r="B25" s="38">
        <v>13</v>
      </c>
      <c r="C25" s="55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P25" s="74"/>
      <c r="Q25" s="35"/>
      <c r="R25" s="35"/>
      <c r="S25" s="35"/>
      <c r="T25" s="35"/>
      <c r="U25" s="35"/>
      <c r="V25" s="35"/>
      <c r="W25" s="35"/>
      <c r="X25" s="35"/>
      <c r="Y25" s="35"/>
      <c r="Z25" s="35"/>
    </row>
    <row r="26" spans="2:26" ht="12.75" customHeight="1" x14ac:dyDescent="0.3">
      <c r="B26" s="38">
        <v>14</v>
      </c>
      <c r="C26" s="55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P26" s="74"/>
      <c r="Q26" s="35"/>
      <c r="R26" s="35"/>
      <c r="S26" s="35"/>
      <c r="T26" s="35"/>
      <c r="U26" s="35"/>
      <c r="V26" s="35"/>
      <c r="W26" s="35"/>
      <c r="X26" s="35"/>
      <c r="Y26" s="35"/>
      <c r="Z26" s="35"/>
    </row>
    <row r="27" spans="2:26" ht="12.75" customHeight="1" x14ac:dyDescent="0.3">
      <c r="B27" s="38">
        <v>15</v>
      </c>
      <c r="C27" s="55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P27" s="74"/>
      <c r="Q27" s="35"/>
      <c r="R27" s="35"/>
      <c r="S27" s="35"/>
      <c r="T27" s="35"/>
      <c r="U27" s="35"/>
      <c r="V27" s="35"/>
      <c r="W27" s="35"/>
      <c r="X27" s="35"/>
      <c r="Y27" s="35"/>
      <c r="Z27" s="35"/>
    </row>
    <row r="28" spans="2:26" ht="12.75" customHeight="1" x14ac:dyDescent="0.3">
      <c r="B28" s="38">
        <v>16</v>
      </c>
      <c r="C28" s="55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P28" s="74"/>
      <c r="Q28" s="35"/>
      <c r="R28" s="35"/>
      <c r="S28" s="35"/>
      <c r="T28" s="35"/>
      <c r="U28" s="35"/>
      <c r="V28" s="35"/>
      <c r="W28" s="35"/>
      <c r="X28" s="35"/>
      <c r="Y28" s="35"/>
      <c r="Z28" s="35"/>
    </row>
    <row r="29" spans="2:26" ht="4.3499999999999996" customHeight="1" x14ac:dyDescent="0.3"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</row>
    <row r="30" spans="2:26" ht="12.75" customHeight="1" x14ac:dyDescent="0.3">
      <c r="B30" s="38"/>
      <c r="C30" s="37" t="s">
        <v>41</v>
      </c>
      <c r="D30" s="74">
        <f t="shared" ref="D30:N30" si="1">SUM(D13:D22)</f>
        <v>0</v>
      </c>
      <c r="E30" s="74">
        <f t="shared" si="1"/>
        <v>0</v>
      </c>
      <c r="F30" s="74">
        <f t="shared" si="1"/>
        <v>0</v>
      </c>
      <c r="G30" s="74">
        <f t="shared" si="1"/>
        <v>0</v>
      </c>
      <c r="H30" s="74">
        <f t="shared" si="1"/>
        <v>0</v>
      </c>
      <c r="I30" s="74">
        <f t="shared" si="1"/>
        <v>0</v>
      </c>
      <c r="J30" s="74">
        <f t="shared" si="1"/>
        <v>0</v>
      </c>
      <c r="K30" s="74">
        <f t="shared" si="1"/>
        <v>0</v>
      </c>
      <c r="L30" s="74">
        <f t="shared" si="1"/>
        <v>0</v>
      </c>
      <c r="M30" s="74">
        <f t="shared" si="1"/>
        <v>0</v>
      </c>
      <c r="N30" s="74">
        <f t="shared" si="1"/>
        <v>0</v>
      </c>
      <c r="P30" s="75">
        <f>SUM(P13:P22)</f>
        <v>0</v>
      </c>
      <c r="Q30" s="35"/>
      <c r="R30" s="35"/>
      <c r="S30" s="35"/>
      <c r="T30" s="35"/>
      <c r="U30" s="35"/>
      <c r="V30" s="35"/>
      <c r="W30" s="35"/>
      <c r="X30" s="35"/>
      <c r="Y30" s="35"/>
      <c r="Z30" s="35"/>
    </row>
    <row r="31" spans="2:26" ht="12.75" customHeight="1" x14ac:dyDescent="0.3"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81" customWidth="1"/>
    <col min="2" max="2" width="36.140625" style="81" customWidth="1"/>
    <col min="3" max="3" width="59.5703125" style="81" bestFit="1" customWidth="1"/>
    <col min="4" max="4" width="13.5703125" style="81" customWidth="1"/>
    <col min="5" max="5" width="14.7109375" style="81" bestFit="1" customWidth="1"/>
    <col min="6" max="6" width="27.85546875" style="81" bestFit="1" customWidth="1"/>
    <col min="7" max="7" width="38.42578125" style="81" bestFit="1" customWidth="1"/>
    <col min="8" max="9" width="14.7109375" style="81" customWidth="1"/>
    <col min="10" max="16384" width="9.140625" style="81"/>
  </cols>
  <sheetData>
    <row r="1" spans="1:9" ht="15.75" thickBot="1" x14ac:dyDescent="0.3">
      <c r="E1" s="79"/>
      <c r="F1" s="97" t="str">
        <f>'1.1 Case data_general'!$C$29</f>
        <v>Level II and III</v>
      </c>
      <c r="G1" s="98" t="str">
        <f>'1.1 Case data_general'!$C$30</f>
        <v>Clinical/Medical services</v>
      </c>
      <c r="H1" s="79"/>
      <c r="I1" s="79"/>
    </row>
    <row r="2" spans="1:9" ht="16.5" thickTop="1" thickBot="1" x14ac:dyDescent="0.3">
      <c r="A2" s="79" t="s">
        <v>155</v>
      </c>
      <c r="B2" s="79" t="s">
        <v>156</v>
      </c>
      <c r="C2" s="79" t="s">
        <v>157</v>
      </c>
      <c r="E2" s="79" t="s">
        <v>155</v>
      </c>
      <c r="F2" s="79" t="s">
        <v>156</v>
      </c>
      <c r="G2" s="79" t="s">
        <v>157</v>
      </c>
      <c r="H2"/>
      <c r="I2"/>
    </row>
    <row r="3" spans="1:9" ht="16.5" x14ac:dyDescent="0.3">
      <c r="A3" s="79" t="s">
        <v>161</v>
      </c>
      <c r="B3" s="80" t="s">
        <v>86</v>
      </c>
      <c r="C3" s="78" t="s">
        <v>87</v>
      </c>
      <c r="E3" s="86" t="str">
        <f t="array" ref="E3">IFERROR(INDEX($A$3:$A$117,MATCH(0,COUNTIF(E$2:$E2,$A$3:$A$117), 0)),"")</f>
        <v>Level I</v>
      </c>
      <c r="F3" s="87" t="str">
        <f t="array" ref="F3">IFERROR(INDEX($B$3:$B$117,MATCH(0,IF(($A$3:$A$117=$F$1),COUNTIF($F$2:F2,$B$3:$B$117), 1), 0)),"")</f>
        <v>Administrative/Overhead services</v>
      </c>
      <c r="G3" s="88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79" t="s">
        <v>161</v>
      </c>
      <c r="B4" s="80" t="s">
        <v>86</v>
      </c>
      <c r="C4" s="78" t="s">
        <v>88</v>
      </c>
      <c r="E4" s="89" t="str">
        <f t="array" ref="E4">IFERROR(INDEX($A$3:$A$117,MATCH(0,COUNTIF(E$2:$E3,$A$3:$A$117), 0)),"")</f>
        <v>Level II and III</v>
      </c>
      <c r="F4" s="90" t="str">
        <f t="array" ref="F4">IFERROR(INDEX($B$3:$B$117,MATCH(0,IF(($A$3:$A$117=$F$1),COUNTIF($F$2:F3,$B$3:$B$117), 1), 0)),"")</f>
        <v>Ancillary services/Support services</v>
      </c>
      <c r="G4" s="91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79" t="s">
        <v>161</v>
      </c>
      <c r="B5" s="80" t="s">
        <v>86</v>
      </c>
      <c r="C5" s="78" t="s">
        <v>89</v>
      </c>
      <c r="E5" s="92"/>
      <c r="F5" s="90" t="str">
        <f t="array" ref="F5">IFERROR(INDEX($B$3:$B$117,MATCH(0,IF(($A$3:$A$117=$F$1),COUNTIF($F$2:F4,$B$3:$B$117), 1), 0)),"")</f>
        <v>Clinical/Medical services</v>
      </c>
      <c r="G5" s="91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79" t="s">
        <v>161</v>
      </c>
      <c r="B6" s="80" t="s">
        <v>86</v>
      </c>
      <c r="C6" s="78" t="s">
        <v>90</v>
      </c>
      <c r="E6" s="89"/>
      <c r="F6" s="90" t="str">
        <f t="array" ref="F6">IFERROR(INDEX($B$3:$B$117,MATCH(0,IF(($A$3:$A$117=$F$1),COUNTIF($F$2:F5,$B$3:$B$117), 1), 0)),"")</f>
        <v/>
      </c>
      <c r="G6" s="91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79" t="s">
        <v>161</v>
      </c>
      <c r="B7" s="80" t="s">
        <v>86</v>
      </c>
      <c r="C7" s="78" t="s">
        <v>91</v>
      </c>
      <c r="E7" s="89" t="str">
        <f>IFERROR(INDEX($B$3:$B$117,MATCH(0,IF($A$3:$A$117=F$1,COUNTIF(F$1:F4,$B$3:$B$117),1),0)),"")</f>
        <v/>
      </c>
      <c r="F7" s="90" t="str">
        <f t="array" ref="F7">IFERROR(INDEX($B$3:$B$117,MATCH(0,IF(($A$3:$A$117=$F$1),COUNTIF($F$2:F6,$B$3:$B$117), 1), 0)),"")</f>
        <v/>
      </c>
      <c r="G7" s="91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79" t="s">
        <v>161</v>
      </c>
      <c r="B8" s="80" t="s">
        <v>86</v>
      </c>
      <c r="C8" s="78" t="s">
        <v>92</v>
      </c>
      <c r="E8" s="89"/>
      <c r="F8" s="90" t="str">
        <f t="array" ref="F8">IFERROR(INDEX($B$3:$B$117,MATCH(0,IF(($A$3:$A$117=$F$1),COUNTIF($F$2:F7,$B$3:$B$117), 1), 0)),"")</f>
        <v/>
      </c>
      <c r="G8" s="91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79" t="s">
        <v>161</v>
      </c>
      <c r="B9" s="80" t="s">
        <v>86</v>
      </c>
      <c r="C9" s="78" t="s">
        <v>93</v>
      </c>
      <c r="E9" s="89"/>
      <c r="F9" s="90" t="str">
        <f t="array" ref="F9">IFERROR(INDEX($B$3:$B$117,MATCH(0,IF(($A$3:$A$117=$F$1),COUNTIF($F$2:F8,$B$3:$B$117), 1), 0)),"")</f>
        <v/>
      </c>
      <c r="G9" s="91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79" t="s">
        <v>161</v>
      </c>
      <c r="B10" s="80" t="s">
        <v>86</v>
      </c>
      <c r="C10" s="78" t="s">
        <v>94</v>
      </c>
      <c r="E10" s="89"/>
      <c r="F10" s="90" t="str">
        <f t="array" ref="F10">IFERROR(INDEX($B$3:$B$117,MATCH(0,IF(($A$3:$A$117=$F$1),COUNTIF($F$2:F9,$B$3:$B$117), 1), 0)),"")</f>
        <v/>
      </c>
      <c r="G10" s="91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79" t="s">
        <v>161</v>
      </c>
      <c r="B11" s="80" t="s">
        <v>86</v>
      </c>
      <c r="C11" s="78" t="s">
        <v>95</v>
      </c>
      <c r="E11" s="89"/>
      <c r="F11" s="90" t="str">
        <f t="array" ref="F11">IFERROR(INDEX($B$3:$B$117,MATCH(0,IF(($A$3:$A$117=$F$1),COUNTIF($F$2:F10,$B$3:$B$117), 1), 0)),"")</f>
        <v/>
      </c>
      <c r="G11" s="91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79" t="s">
        <v>161</v>
      </c>
      <c r="B12" s="80" t="s">
        <v>86</v>
      </c>
      <c r="C12" s="78" t="s">
        <v>96</v>
      </c>
      <c r="E12" s="89"/>
      <c r="F12" s="90" t="str">
        <f t="array" ref="F12">IFERROR(INDEX($B$3:$B$117,MATCH(0,IF(($A$3:$A$117=$F$1),COUNTIF($F$2:F11,$B$3:$B$117), 1), 0)),"")</f>
        <v/>
      </c>
      <c r="G12" s="91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79" t="s">
        <v>161</v>
      </c>
      <c r="B13" s="80" t="s">
        <v>86</v>
      </c>
      <c r="C13" s="78" t="s">
        <v>97</v>
      </c>
      <c r="E13" s="89"/>
      <c r="F13" s="90" t="str">
        <f t="array" ref="F13">IFERROR(INDEX($B$3:$B$117,MATCH(0,IF(($A$3:$A$117=$F$1),COUNTIF($F$2:F12,$B$3:$B$117), 1), 0)),"")</f>
        <v/>
      </c>
      <c r="G13" s="91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79" t="s">
        <v>161</v>
      </c>
      <c r="B14" s="80" t="s">
        <v>86</v>
      </c>
      <c r="C14" s="78" t="s">
        <v>98</v>
      </c>
      <c r="E14" s="89"/>
      <c r="F14" s="90" t="str">
        <f t="array" ref="F14">IFERROR(INDEX($B$3:$B$117,MATCH(0,IF(($A$3:$A$117=$F$1),COUNTIF($F$2:F13,$B$3:$B$117), 1), 0)),"")</f>
        <v/>
      </c>
      <c r="G14" s="91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79" t="s">
        <v>161</v>
      </c>
      <c r="B15" s="80" t="s">
        <v>86</v>
      </c>
      <c r="C15" s="78" t="s">
        <v>99</v>
      </c>
      <c r="E15" s="89"/>
      <c r="F15" s="90" t="str">
        <f t="array" ref="F15">IFERROR(INDEX($B$3:$B$117,MATCH(0,IF(($A$3:$A$117=$F$1),COUNTIF($F$2:F14,$B$3:$B$117), 1), 0)),"")</f>
        <v/>
      </c>
      <c r="G15" s="91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79" t="s">
        <v>161</v>
      </c>
      <c r="B16" s="80" t="s">
        <v>86</v>
      </c>
      <c r="C16" s="78" t="s">
        <v>100</v>
      </c>
      <c r="E16" s="89"/>
      <c r="F16" s="90" t="str">
        <f t="array" ref="F16">IFERROR(INDEX($B$3:$B$117,MATCH(0,IF(($A$3:$A$117=$F$1),COUNTIF($F$2:F15,$B$3:$B$117), 1), 0)),"")</f>
        <v/>
      </c>
      <c r="G16" s="91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79" t="s">
        <v>161</v>
      </c>
      <c r="B17" s="80" t="s">
        <v>86</v>
      </c>
      <c r="C17" s="78" t="s">
        <v>101</v>
      </c>
      <c r="E17" s="92"/>
      <c r="F17" s="90" t="str">
        <f t="array" ref="F17">IFERROR(INDEX($B$3:$B$117,MATCH(0,IF(($A$3:$A$117=$F$1),COUNTIF($F$2:F16,$B$3:$B$117), 1), 0)),"")</f>
        <v/>
      </c>
      <c r="G17" s="91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79" t="s">
        <v>161</v>
      </c>
      <c r="B18" s="80" t="s">
        <v>86</v>
      </c>
      <c r="C18" s="78" t="s">
        <v>102</v>
      </c>
      <c r="E18" s="92"/>
      <c r="F18" s="90" t="str">
        <f t="array" ref="F18">IFERROR(INDEX($B$3:$B$117,MATCH(0,IF(($A$3:$A$117=$F$1),COUNTIF($F$2:F17,$B$3:$B$117), 1), 0)),"")</f>
        <v/>
      </c>
      <c r="G18" s="91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79" t="s">
        <v>161</v>
      </c>
      <c r="B19" s="80" t="s">
        <v>86</v>
      </c>
      <c r="C19" s="78" t="s">
        <v>103</v>
      </c>
      <c r="E19" s="92"/>
      <c r="F19" s="90" t="str">
        <f t="array" ref="F19">IFERROR(INDEX($B$3:$B$117,MATCH(0,IF(($A$3:$A$117=$F$1),COUNTIF($F$2:F18,$B$3:$B$117), 1), 0)),"")</f>
        <v/>
      </c>
      <c r="G19" s="91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79" t="s">
        <v>161</v>
      </c>
      <c r="B20" s="80" t="s">
        <v>86</v>
      </c>
      <c r="C20" s="78" t="s">
        <v>104</v>
      </c>
      <c r="E20" s="92"/>
      <c r="F20" s="90" t="str">
        <f t="array" ref="F20">IFERROR(INDEX($B$3:$B$117,MATCH(0,IF(($A$3:$A$117=$F$1),COUNTIF($F$2:F19,$B$3:$B$117), 1), 0)),"")</f>
        <v/>
      </c>
      <c r="G20" s="91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79" t="s">
        <v>161</v>
      </c>
      <c r="B21" s="80" t="s">
        <v>105</v>
      </c>
      <c r="C21" s="78" t="s">
        <v>106</v>
      </c>
      <c r="E21" s="92"/>
      <c r="F21" s="90" t="str">
        <f t="array" ref="F21">IFERROR(INDEX($B$3:$B$117,MATCH(0,IF(($A$3:$A$117=$F$1),COUNTIF($F$2:F20,$B$3:$B$117), 1), 0)),"")</f>
        <v/>
      </c>
      <c r="G21" s="91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79" t="s">
        <v>161</v>
      </c>
      <c r="B22" s="80" t="s">
        <v>105</v>
      </c>
      <c r="C22" s="78" t="s">
        <v>107</v>
      </c>
      <c r="E22" s="92"/>
      <c r="F22" s="90" t="str">
        <f t="array" ref="F22">IFERROR(INDEX($B$3:$B$117,MATCH(0,IF(($A$3:$A$117=$F$1),COUNTIF($F$2:F21,$B$3:$B$117), 1), 0)),"")</f>
        <v/>
      </c>
      <c r="G22" s="91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79" t="s">
        <v>161</v>
      </c>
      <c r="B23" s="80" t="s">
        <v>105</v>
      </c>
      <c r="C23" s="82" t="s">
        <v>108</v>
      </c>
      <c r="E23" s="92"/>
      <c r="F23" s="90" t="str">
        <f t="array" ref="F23">IFERROR(INDEX($B$3:$B$117,MATCH(0,IF(($A$3:$A$117=$F$1),COUNTIF($F$2:F22,$B$3:$B$117), 1), 0)),"")</f>
        <v/>
      </c>
      <c r="G23" s="91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79" t="s">
        <v>161</v>
      </c>
      <c r="B24" s="80" t="s">
        <v>105</v>
      </c>
      <c r="C24" s="78" t="s">
        <v>109</v>
      </c>
      <c r="E24" s="92"/>
      <c r="F24" s="90" t="str">
        <f t="array" ref="F24">IFERROR(INDEX($B$3:$B$117,MATCH(0,IF(($A$3:$A$117=$F$1),COUNTIF($F$2:F23,$B$3:$B$117), 1), 0)),"")</f>
        <v/>
      </c>
      <c r="G24" s="91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79" t="s">
        <v>161</v>
      </c>
      <c r="B25" s="80" t="s">
        <v>105</v>
      </c>
      <c r="C25" s="82" t="s">
        <v>110</v>
      </c>
      <c r="E25" s="92"/>
      <c r="F25" s="90" t="str">
        <f t="array" ref="F25">IFERROR(INDEX($B$3:$B$117,MATCH(0,IF(($A$3:$A$117=$F$1),COUNTIF($F$2:F24,$B$3:$B$117), 1), 0)),"")</f>
        <v/>
      </c>
      <c r="G25" s="91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79" t="s">
        <v>161</v>
      </c>
      <c r="B26" s="80" t="s">
        <v>105</v>
      </c>
      <c r="C26" s="78" t="s">
        <v>111</v>
      </c>
      <c r="E26" s="92"/>
      <c r="F26" s="90" t="str">
        <f t="array" ref="F26">IFERROR(INDEX($B$3:$B$117,MATCH(0,IF(($A$3:$A$117=$F$1),COUNTIF($F$2:F25,$B$3:$B$117), 1), 0)),"")</f>
        <v/>
      </c>
      <c r="G26" s="91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79" t="s">
        <v>161</v>
      </c>
      <c r="B27" s="80" t="s">
        <v>105</v>
      </c>
      <c r="C27" s="78" t="s">
        <v>112</v>
      </c>
      <c r="E27" s="93"/>
      <c r="F27" s="94" t="str">
        <f t="array" ref="F27">IFERROR(INDEX($B$3:$B$117,MATCH(0,IF(($A$3:$A$117=$F$1),COUNTIF($F$2:F26,$B$3:$B$117), 1), 0)),"")</f>
        <v/>
      </c>
      <c r="G27" s="95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79" t="s">
        <v>161</v>
      </c>
      <c r="B28" s="80" t="s">
        <v>105</v>
      </c>
      <c r="C28" s="78" t="s">
        <v>113</v>
      </c>
      <c r="E28"/>
      <c r="F28" s="77"/>
      <c r="G28" s="77"/>
      <c r="H28"/>
      <c r="I28"/>
    </row>
    <row r="29" spans="1:9" ht="16.5" x14ac:dyDescent="0.3">
      <c r="A29" s="79" t="s">
        <v>161</v>
      </c>
      <c r="B29" s="80" t="s">
        <v>105</v>
      </c>
      <c r="C29" s="78" t="s">
        <v>114</v>
      </c>
      <c r="E29"/>
      <c r="F29" s="77"/>
      <c r="G29" s="77"/>
      <c r="H29"/>
      <c r="I29"/>
    </row>
    <row r="30" spans="1:9" ht="16.5" x14ac:dyDescent="0.3">
      <c r="A30" s="79" t="s">
        <v>161</v>
      </c>
      <c r="B30" s="80" t="s">
        <v>105</v>
      </c>
      <c r="C30" s="83" t="s">
        <v>115</v>
      </c>
      <c r="E30"/>
      <c r="F30" s="77"/>
      <c r="G30" s="77"/>
      <c r="H30"/>
      <c r="I30"/>
    </row>
    <row r="31" spans="1:9" ht="16.5" x14ac:dyDescent="0.3">
      <c r="A31" s="79" t="s">
        <v>161</v>
      </c>
      <c r="B31" s="80" t="s">
        <v>105</v>
      </c>
      <c r="C31" s="78" t="s">
        <v>116</v>
      </c>
      <c r="E31"/>
      <c r="F31" s="77"/>
      <c r="G31" s="77"/>
      <c r="H31"/>
      <c r="I31"/>
    </row>
    <row r="32" spans="1:9" ht="16.5" x14ac:dyDescent="0.3">
      <c r="A32" s="79" t="s">
        <v>161</v>
      </c>
      <c r="B32" s="80" t="s">
        <v>105</v>
      </c>
      <c r="C32" s="83" t="s">
        <v>117</v>
      </c>
      <c r="E32"/>
      <c r="F32" s="77"/>
      <c r="G32" s="77"/>
      <c r="H32"/>
      <c r="I32"/>
    </row>
    <row r="33" spans="1:9" ht="16.5" x14ac:dyDescent="0.3">
      <c r="A33" s="79" t="s">
        <v>161</v>
      </c>
      <c r="B33" s="80" t="s">
        <v>105</v>
      </c>
      <c r="C33" s="83" t="s">
        <v>118</v>
      </c>
      <c r="E33"/>
      <c r="F33" s="77"/>
      <c r="G33" s="77"/>
      <c r="H33"/>
      <c r="I33"/>
    </row>
    <row r="34" spans="1:9" ht="16.5" x14ac:dyDescent="0.3">
      <c r="A34" s="79" t="s">
        <v>161</v>
      </c>
      <c r="B34" s="80" t="s">
        <v>105</v>
      </c>
      <c r="C34" s="83" t="s">
        <v>119</v>
      </c>
      <c r="E34"/>
      <c r="F34" s="77"/>
      <c r="G34" s="77"/>
      <c r="H34"/>
      <c r="I34"/>
    </row>
    <row r="35" spans="1:9" ht="16.5" x14ac:dyDescent="0.3">
      <c r="A35" s="79" t="s">
        <v>161</v>
      </c>
      <c r="B35" s="80" t="s">
        <v>105</v>
      </c>
      <c r="C35" s="83" t="s">
        <v>120</v>
      </c>
      <c r="E35"/>
      <c r="F35" s="77"/>
      <c r="G35" s="77"/>
      <c r="H35"/>
      <c r="I35"/>
    </row>
    <row r="36" spans="1:9" ht="16.5" x14ac:dyDescent="0.3">
      <c r="A36" s="79" t="s">
        <v>161</v>
      </c>
      <c r="B36" s="80" t="s">
        <v>105</v>
      </c>
      <c r="C36" s="82" t="s">
        <v>121</v>
      </c>
      <c r="E36"/>
      <c r="F36" s="77"/>
      <c r="G36" s="77"/>
      <c r="H36"/>
      <c r="I36"/>
    </row>
    <row r="37" spans="1:9" ht="16.5" x14ac:dyDescent="0.3">
      <c r="A37" s="79" t="s">
        <v>161</v>
      </c>
      <c r="B37" s="80" t="s">
        <v>105</v>
      </c>
      <c r="C37" s="82" t="s">
        <v>122</v>
      </c>
      <c r="E37"/>
      <c r="F37" s="77"/>
      <c r="G37" s="77"/>
      <c r="H37"/>
      <c r="I37"/>
    </row>
    <row r="38" spans="1:9" ht="16.5" x14ac:dyDescent="0.3">
      <c r="A38" s="79" t="s">
        <v>161</v>
      </c>
      <c r="B38" s="80" t="s">
        <v>105</v>
      </c>
      <c r="C38" s="78" t="s">
        <v>104</v>
      </c>
      <c r="E38"/>
      <c r="F38" s="77"/>
      <c r="G38" s="77"/>
      <c r="H38"/>
      <c r="I38"/>
    </row>
    <row r="39" spans="1:9" ht="16.5" x14ac:dyDescent="0.3">
      <c r="A39" s="79" t="s">
        <v>161</v>
      </c>
      <c r="B39" s="80" t="s">
        <v>123</v>
      </c>
      <c r="C39" s="78" t="s">
        <v>124</v>
      </c>
      <c r="E39"/>
      <c r="F39" s="77"/>
      <c r="G39" s="77"/>
      <c r="H39"/>
      <c r="I39"/>
    </row>
    <row r="40" spans="1:9" ht="16.5" x14ac:dyDescent="0.3">
      <c r="A40" s="79" t="s">
        <v>161</v>
      </c>
      <c r="B40" s="80" t="s">
        <v>123</v>
      </c>
      <c r="C40" s="78" t="s">
        <v>125</v>
      </c>
      <c r="E40"/>
      <c r="F40" s="77"/>
      <c r="G40" s="77"/>
      <c r="H40"/>
      <c r="I40"/>
    </row>
    <row r="41" spans="1:9" ht="16.5" x14ac:dyDescent="0.3">
      <c r="A41" s="79" t="s">
        <v>161</v>
      </c>
      <c r="B41" s="80" t="s">
        <v>123</v>
      </c>
      <c r="C41" s="78" t="s">
        <v>126</v>
      </c>
      <c r="E41"/>
      <c r="F41" s="77"/>
      <c r="G41" s="77"/>
      <c r="H41"/>
      <c r="I41"/>
    </row>
    <row r="42" spans="1:9" ht="16.5" x14ac:dyDescent="0.3">
      <c r="A42" s="79" t="s">
        <v>161</v>
      </c>
      <c r="B42" s="80" t="s">
        <v>123</v>
      </c>
      <c r="C42" s="78" t="s">
        <v>127</v>
      </c>
      <c r="E42"/>
      <c r="F42" s="77"/>
      <c r="G42" s="77"/>
      <c r="H42"/>
      <c r="I42"/>
    </row>
    <row r="43" spans="1:9" ht="16.5" x14ac:dyDescent="0.3">
      <c r="A43" s="79" t="s">
        <v>161</v>
      </c>
      <c r="B43" s="80" t="s">
        <v>123</v>
      </c>
      <c r="C43" s="78" t="s">
        <v>128</v>
      </c>
      <c r="E43"/>
      <c r="F43" s="77"/>
      <c r="G43" s="77"/>
      <c r="H43"/>
      <c r="I43"/>
    </row>
    <row r="44" spans="1:9" ht="16.5" x14ac:dyDescent="0.3">
      <c r="A44" s="79" t="s">
        <v>161</v>
      </c>
      <c r="B44" s="80" t="s">
        <v>123</v>
      </c>
      <c r="C44" s="78" t="s">
        <v>129</v>
      </c>
      <c r="E44"/>
      <c r="F44" s="77"/>
      <c r="G44" s="77"/>
      <c r="H44"/>
      <c r="I44"/>
    </row>
    <row r="45" spans="1:9" ht="16.5" x14ac:dyDescent="0.3">
      <c r="A45" s="79" t="s">
        <v>161</v>
      </c>
      <c r="B45" s="80" t="s">
        <v>123</v>
      </c>
      <c r="C45" s="78" t="s">
        <v>130</v>
      </c>
      <c r="E45"/>
      <c r="F45" s="77"/>
      <c r="G45" s="77"/>
      <c r="H45"/>
      <c r="I45"/>
    </row>
    <row r="46" spans="1:9" ht="16.5" x14ac:dyDescent="0.3">
      <c r="A46" s="79" t="s">
        <v>161</v>
      </c>
      <c r="B46" s="80" t="s">
        <v>123</v>
      </c>
      <c r="C46" s="82" t="s">
        <v>131</v>
      </c>
      <c r="E46"/>
      <c r="F46" s="77"/>
      <c r="G46" s="77"/>
      <c r="H46"/>
      <c r="I46"/>
    </row>
    <row r="47" spans="1:9" ht="16.5" x14ac:dyDescent="0.3">
      <c r="A47" s="79" t="s">
        <v>161</v>
      </c>
      <c r="B47" s="80" t="s">
        <v>123</v>
      </c>
      <c r="C47" s="78" t="s">
        <v>132</v>
      </c>
      <c r="E47"/>
      <c r="F47" s="77"/>
      <c r="G47" s="77"/>
      <c r="H47"/>
      <c r="I47"/>
    </row>
    <row r="48" spans="1:9" ht="16.5" x14ac:dyDescent="0.3">
      <c r="A48" s="79" t="s">
        <v>161</v>
      </c>
      <c r="B48" s="80" t="s">
        <v>123</v>
      </c>
      <c r="C48" s="78" t="s">
        <v>133</v>
      </c>
      <c r="E48"/>
      <c r="F48" s="77"/>
      <c r="G48" s="77"/>
      <c r="H48"/>
      <c r="I48"/>
    </row>
    <row r="49" spans="1:9" ht="16.5" x14ac:dyDescent="0.3">
      <c r="A49" s="79" t="s">
        <v>161</v>
      </c>
      <c r="B49" s="80" t="s">
        <v>123</v>
      </c>
      <c r="C49" s="78" t="s">
        <v>134</v>
      </c>
      <c r="E49"/>
      <c r="F49" s="77"/>
      <c r="G49" s="77"/>
      <c r="H49"/>
      <c r="I49"/>
    </row>
    <row r="50" spans="1:9" ht="16.5" x14ac:dyDescent="0.3">
      <c r="A50" s="79" t="s">
        <v>161</v>
      </c>
      <c r="B50" s="80" t="s">
        <v>123</v>
      </c>
      <c r="C50" s="78" t="s">
        <v>135</v>
      </c>
      <c r="E50"/>
      <c r="F50" s="77"/>
      <c r="G50" s="77"/>
      <c r="H50"/>
      <c r="I50"/>
    </row>
    <row r="51" spans="1:9" ht="16.5" x14ac:dyDescent="0.3">
      <c r="A51" s="79" t="s">
        <v>161</v>
      </c>
      <c r="B51" s="80" t="s">
        <v>123</v>
      </c>
      <c r="C51" s="78" t="s">
        <v>136</v>
      </c>
      <c r="E51"/>
      <c r="F51" s="77"/>
      <c r="G51" s="77"/>
      <c r="H51"/>
      <c r="I51"/>
    </row>
    <row r="52" spans="1:9" ht="16.5" x14ac:dyDescent="0.3">
      <c r="A52" s="79" t="s">
        <v>161</v>
      </c>
      <c r="B52" s="80" t="s">
        <v>123</v>
      </c>
      <c r="C52" s="78" t="s">
        <v>137</v>
      </c>
      <c r="E52"/>
      <c r="F52" s="77"/>
      <c r="G52" s="77"/>
      <c r="H52"/>
      <c r="I52"/>
    </row>
    <row r="53" spans="1:9" ht="16.5" x14ac:dyDescent="0.3">
      <c r="A53" s="79" t="s">
        <v>161</v>
      </c>
      <c r="B53" s="80" t="s">
        <v>123</v>
      </c>
      <c r="C53" s="78" t="s">
        <v>138</v>
      </c>
      <c r="E53"/>
      <c r="F53" s="77"/>
      <c r="G53" s="77"/>
      <c r="H53"/>
      <c r="I53"/>
    </row>
    <row r="54" spans="1:9" ht="16.5" x14ac:dyDescent="0.3">
      <c r="A54" s="79" t="s">
        <v>161</v>
      </c>
      <c r="B54" s="80" t="s">
        <v>123</v>
      </c>
      <c r="C54" s="78" t="s">
        <v>139</v>
      </c>
      <c r="E54"/>
      <c r="F54" s="77"/>
      <c r="G54" s="77"/>
      <c r="H54"/>
      <c r="I54"/>
    </row>
    <row r="55" spans="1:9" ht="16.5" x14ac:dyDescent="0.3">
      <c r="A55" s="79" t="s">
        <v>161</v>
      </c>
      <c r="B55" s="80" t="s">
        <v>123</v>
      </c>
      <c r="C55" s="78" t="s">
        <v>140</v>
      </c>
      <c r="E55"/>
      <c r="F55" s="77"/>
      <c r="G55" s="77"/>
      <c r="H55"/>
      <c r="I55"/>
    </row>
    <row r="56" spans="1:9" ht="16.5" x14ac:dyDescent="0.3">
      <c r="A56" s="79" t="s">
        <v>161</v>
      </c>
      <c r="B56" s="80" t="s">
        <v>123</v>
      </c>
      <c r="C56" s="78" t="s">
        <v>141</v>
      </c>
      <c r="E56"/>
      <c r="F56" s="77"/>
      <c r="G56" s="77"/>
      <c r="H56"/>
      <c r="I56"/>
    </row>
    <row r="57" spans="1:9" ht="16.5" x14ac:dyDescent="0.3">
      <c r="A57" s="79" t="s">
        <v>162</v>
      </c>
      <c r="B57" s="84" t="s">
        <v>86</v>
      </c>
      <c r="C57" s="83" t="s">
        <v>87</v>
      </c>
      <c r="E57"/>
      <c r="F57" s="77"/>
      <c r="G57" s="77"/>
      <c r="H57"/>
      <c r="I57"/>
    </row>
    <row r="58" spans="1:9" ht="16.5" x14ac:dyDescent="0.3">
      <c r="A58" s="79" t="s">
        <v>162</v>
      </c>
      <c r="B58" s="84" t="s">
        <v>86</v>
      </c>
      <c r="C58" s="78" t="s">
        <v>142</v>
      </c>
      <c r="E58"/>
      <c r="F58" s="77"/>
      <c r="G58" s="77"/>
      <c r="H58"/>
      <c r="I58"/>
    </row>
    <row r="59" spans="1:9" ht="16.5" x14ac:dyDescent="0.3">
      <c r="A59" s="79" t="s">
        <v>162</v>
      </c>
      <c r="B59" s="84" t="s">
        <v>86</v>
      </c>
      <c r="C59" s="83" t="s">
        <v>89</v>
      </c>
      <c r="E59"/>
      <c r="F59" s="77"/>
      <c r="G59" s="77"/>
      <c r="H59"/>
      <c r="I59"/>
    </row>
    <row r="60" spans="1:9" ht="16.5" x14ac:dyDescent="0.3">
      <c r="A60" s="79" t="s">
        <v>162</v>
      </c>
      <c r="B60" s="84" t="s">
        <v>86</v>
      </c>
      <c r="C60" s="83" t="s">
        <v>90</v>
      </c>
      <c r="E60"/>
      <c r="F60" s="77"/>
      <c r="G60" s="77"/>
      <c r="H60"/>
      <c r="I60"/>
    </row>
    <row r="61" spans="1:9" ht="16.5" x14ac:dyDescent="0.3">
      <c r="A61" s="79" t="s">
        <v>162</v>
      </c>
      <c r="B61" s="84" t="s">
        <v>86</v>
      </c>
      <c r="C61" s="83" t="s">
        <v>91</v>
      </c>
      <c r="E61"/>
      <c r="F61" s="77"/>
      <c r="G61" s="77"/>
      <c r="H61"/>
      <c r="I61"/>
    </row>
    <row r="62" spans="1:9" ht="16.5" x14ac:dyDescent="0.3">
      <c r="A62" s="79" t="s">
        <v>162</v>
      </c>
      <c r="B62" s="84" t="s">
        <v>86</v>
      </c>
      <c r="C62" s="83" t="s">
        <v>92</v>
      </c>
      <c r="E62"/>
      <c r="F62" s="77"/>
      <c r="G62" s="77"/>
      <c r="H62"/>
      <c r="I62"/>
    </row>
    <row r="63" spans="1:9" ht="16.5" x14ac:dyDescent="0.3">
      <c r="A63" s="79" t="s">
        <v>162</v>
      </c>
      <c r="B63" s="84" t="s">
        <v>86</v>
      </c>
      <c r="C63" s="83" t="s">
        <v>93</v>
      </c>
      <c r="E63"/>
      <c r="F63" s="77"/>
      <c r="G63" s="77"/>
      <c r="H63"/>
      <c r="I63"/>
    </row>
    <row r="64" spans="1:9" ht="16.5" x14ac:dyDescent="0.3">
      <c r="A64" s="79" t="s">
        <v>162</v>
      </c>
      <c r="B64" s="84" t="s">
        <v>86</v>
      </c>
      <c r="C64" s="78" t="s">
        <v>143</v>
      </c>
      <c r="E64"/>
      <c r="F64" s="77"/>
      <c r="G64" s="77"/>
      <c r="H64"/>
      <c r="I64"/>
    </row>
    <row r="65" spans="1:9" ht="16.5" x14ac:dyDescent="0.3">
      <c r="A65" s="79" t="s">
        <v>162</v>
      </c>
      <c r="B65" s="84" t="s">
        <v>86</v>
      </c>
      <c r="C65" s="83" t="s">
        <v>95</v>
      </c>
      <c r="E65"/>
      <c r="F65" s="77"/>
      <c r="G65" s="77"/>
      <c r="H65"/>
      <c r="I65"/>
    </row>
    <row r="66" spans="1:9" ht="16.5" x14ac:dyDescent="0.3">
      <c r="A66" s="79" t="s">
        <v>162</v>
      </c>
      <c r="B66" s="84" t="s">
        <v>86</v>
      </c>
      <c r="C66" s="83" t="s">
        <v>96</v>
      </c>
      <c r="E66"/>
      <c r="F66" s="77"/>
      <c r="G66" s="77"/>
      <c r="H66"/>
      <c r="I66"/>
    </row>
    <row r="67" spans="1:9" ht="16.5" x14ac:dyDescent="0.3">
      <c r="A67" s="79" t="s">
        <v>162</v>
      </c>
      <c r="B67" s="84" t="s">
        <v>86</v>
      </c>
      <c r="C67" s="83" t="s">
        <v>97</v>
      </c>
      <c r="E67"/>
      <c r="F67" s="77"/>
      <c r="G67" s="77"/>
      <c r="H67"/>
      <c r="I67"/>
    </row>
    <row r="68" spans="1:9" ht="16.5" x14ac:dyDescent="0.3">
      <c r="A68" s="79" t="s">
        <v>162</v>
      </c>
      <c r="B68" s="84" t="s">
        <v>86</v>
      </c>
      <c r="C68" s="83" t="s">
        <v>98</v>
      </c>
      <c r="E68"/>
      <c r="F68" s="77"/>
      <c r="G68" s="77"/>
      <c r="H68"/>
      <c r="I68"/>
    </row>
    <row r="69" spans="1:9" ht="16.5" x14ac:dyDescent="0.3">
      <c r="A69" s="79" t="s">
        <v>162</v>
      </c>
      <c r="B69" s="84" t="s">
        <v>86</v>
      </c>
      <c r="C69" s="83" t="s">
        <v>99</v>
      </c>
      <c r="E69"/>
      <c r="F69" s="77"/>
      <c r="G69" s="77"/>
      <c r="H69"/>
      <c r="I69"/>
    </row>
    <row r="70" spans="1:9" ht="16.5" x14ac:dyDescent="0.3">
      <c r="A70" s="79" t="s">
        <v>162</v>
      </c>
      <c r="B70" s="84" t="s">
        <v>86</v>
      </c>
      <c r="C70" s="83" t="s">
        <v>100</v>
      </c>
      <c r="E70"/>
      <c r="F70" s="77"/>
      <c r="G70" s="77"/>
      <c r="H70"/>
      <c r="I70"/>
    </row>
    <row r="71" spans="1:9" ht="16.5" x14ac:dyDescent="0.3">
      <c r="A71" s="79" t="s">
        <v>162</v>
      </c>
      <c r="B71" s="84" t="s">
        <v>86</v>
      </c>
      <c r="C71" s="83" t="s">
        <v>101</v>
      </c>
      <c r="E71"/>
      <c r="F71" s="77"/>
      <c r="G71" s="77"/>
      <c r="H71"/>
      <c r="I71"/>
    </row>
    <row r="72" spans="1:9" ht="16.5" x14ac:dyDescent="0.3">
      <c r="A72" s="79" t="s">
        <v>162</v>
      </c>
      <c r="B72" s="84" t="s">
        <v>86</v>
      </c>
      <c r="C72" s="83" t="s">
        <v>102</v>
      </c>
      <c r="E72"/>
      <c r="F72" s="77"/>
      <c r="G72" s="77"/>
      <c r="H72"/>
      <c r="I72"/>
    </row>
    <row r="73" spans="1:9" ht="16.5" x14ac:dyDescent="0.3">
      <c r="A73" s="79" t="s">
        <v>162</v>
      </c>
      <c r="B73" s="84" t="s">
        <v>86</v>
      </c>
      <c r="C73" s="78" t="s">
        <v>144</v>
      </c>
      <c r="E73"/>
      <c r="F73" s="77"/>
      <c r="G73" s="77"/>
      <c r="H73"/>
      <c r="I73"/>
    </row>
    <row r="74" spans="1:9" ht="16.5" x14ac:dyDescent="0.3">
      <c r="A74" s="79" t="s">
        <v>162</v>
      </c>
      <c r="B74" s="84" t="s">
        <v>86</v>
      </c>
      <c r="C74" s="78" t="s">
        <v>104</v>
      </c>
      <c r="E74"/>
      <c r="F74" s="77"/>
      <c r="G74" s="77"/>
      <c r="H74"/>
      <c r="I74"/>
    </row>
    <row r="75" spans="1:9" ht="16.5" x14ac:dyDescent="0.3">
      <c r="A75" s="79" t="s">
        <v>162</v>
      </c>
      <c r="B75" s="80" t="s">
        <v>105</v>
      </c>
      <c r="C75" s="78" t="s">
        <v>106</v>
      </c>
      <c r="E75"/>
      <c r="F75" s="77"/>
      <c r="G75" s="77"/>
      <c r="H75"/>
      <c r="I75"/>
    </row>
    <row r="76" spans="1:9" ht="16.5" x14ac:dyDescent="0.3">
      <c r="A76" s="79" t="s">
        <v>162</v>
      </c>
      <c r="B76" s="80" t="s">
        <v>105</v>
      </c>
      <c r="C76" s="78" t="s">
        <v>107</v>
      </c>
      <c r="E76"/>
      <c r="F76" s="77"/>
      <c r="G76" s="77"/>
      <c r="H76"/>
      <c r="I76"/>
    </row>
    <row r="77" spans="1:9" ht="16.5" x14ac:dyDescent="0.3">
      <c r="A77" s="79" t="s">
        <v>162</v>
      </c>
      <c r="B77" s="80" t="s">
        <v>105</v>
      </c>
      <c r="C77" s="78" t="s">
        <v>108</v>
      </c>
      <c r="E77"/>
      <c r="F77" s="77"/>
      <c r="G77" s="77"/>
      <c r="H77"/>
      <c r="I77"/>
    </row>
    <row r="78" spans="1:9" ht="16.5" x14ac:dyDescent="0.3">
      <c r="A78" s="79" t="s">
        <v>162</v>
      </c>
      <c r="B78" s="80" t="s">
        <v>105</v>
      </c>
      <c r="C78" s="78" t="s">
        <v>109</v>
      </c>
      <c r="E78"/>
      <c r="F78" s="77"/>
      <c r="G78" s="77"/>
      <c r="H78"/>
      <c r="I78"/>
    </row>
    <row r="79" spans="1:9" ht="16.5" x14ac:dyDescent="0.3">
      <c r="A79" s="79" t="s">
        <v>162</v>
      </c>
      <c r="B79" s="80" t="s">
        <v>105</v>
      </c>
      <c r="C79" s="78" t="s">
        <v>110</v>
      </c>
      <c r="E79"/>
      <c r="F79" s="77"/>
      <c r="G79" s="77"/>
      <c r="H79"/>
      <c r="I79"/>
    </row>
    <row r="80" spans="1:9" ht="16.5" x14ac:dyDescent="0.3">
      <c r="A80" s="79" t="s">
        <v>162</v>
      </c>
      <c r="B80" s="80" t="s">
        <v>105</v>
      </c>
      <c r="C80" s="78" t="s">
        <v>111</v>
      </c>
      <c r="E80"/>
      <c r="F80" s="77"/>
      <c r="G80" s="77"/>
      <c r="H80"/>
      <c r="I80"/>
    </row>
    <row r="81" spans="1:9" ht="16.5" x14ac:dyDescent="0.3">
      <c r="A81" s="79" t="s">
        <v>162</v>
      </c>
      <c r="B81" s="80" t="s">
        <v>105</v>
      </c>
      <c r="C81" s="78" t="s">
        <v>112</v>
      </c>
      <c r="E81"/>
      <c r="F81" s="77"/>
      <c r="G81" s="77"/>
      <c r="H81"/>
      <c r="I81"/>
    </row>
    <row r="82" spans="1:9" ht="16.5" x14ac:dyDescent="0.3">
      <c r="A82" s="79" t="s">
        <v>162</v>
      </c>
      <c r="B82" s="80" t="s">
        <v>105</v>
      </c>
      <c r="C82" s="78" t="s">
        <v>145</v>
      </c>
      <c r="E82"/>
      <c r="F82" s="77"/>
      <c r="G82" s="77"/>
      <c r="H82"/>
      <c r="I82"/>
    </row>
    <row r="83" spans="1:9" ht="16.5" x14ac:dyDescent="0.3">
      <c r="A83" s="79" t="s">
        <v>162</v>
      </c>
      <c r="B83" s="80" t="s">
        <v>105</v>
      </c>
      <c r="C83" s="78" t="s">
        <v>113</v>
      </c>
      <c r="E83"/>
      <c r="F83" s="77"/>
      <c r="G83" s="77"/>
      <c r="H83"/>
      <c r="I83"/>
    </row>
    <row r="84" spans="1:9" ht="16.5" x14ac:dyDescent="0.3">
      <c r="A84" s="79" t="s">
        <v>162</v>
      </c>
      <c r="B84" s="80" t="s">
        <v>105</v>
      </c>
      <c r="C84" s="78" t="s">
        <v>114</v>
      </c>
      <c r="E84"/>
      <c r="F84" s="77"/>
      <c r="G84" s="77"/>
      <c r="H84"/>
      <c r="I84"/>
    </row>
    <row r="85" spans="1:9" ht="16.5" x14ac:dyDescent="0.3">
      <c r="A85" s="79" t="s">
        <v>162</v>
      </c>
      <c r="B85" s="80" t="s">
        <v>105</v>
      </c>
      <c r="C85" s="83" t="s">
        <v>115</v>
      </c>
      <c r="E85"/>
      <c r="F85" s="77"/>
      <c r="G85" s="77"/>
      <c r="H85"/>
      <c r="I85"/>
    </row>
    <row r="86" spans="1:9" ht="16.5" x14ac:dyDescent="0.3">
      <c r="A86" s="79" t="s">
        <v>162</v>
      </c>
      <c r="B86" s="80" t="s">
        <v>105</v>
      </c>
      <c r="C86" s="78" t="s">
        <v>116</v>
      </c>
      <c r="E86"/>
      <c r="F86" s="77"/>
      <c r="G86" s="77"/>
      <c r="H86"/>
      <c r="I86"/>
    </row>
    <row r="87" spans="1:9" ht="16.5" x14ac:dyDescent="0.3">
      <c r="A87" s="79" t="s">
        <v>162</v>
      </c>
      <c r="B87" s="80" t="s">
        <v>105</v>
      </c>
      <c r="C87" s="83" t="s">
        <v>117</v>
      </c>
      <c r="E87"/>
      <c r="F87" s="77"/>
      <c r="G87" s="77"/>
      <c r="H87"/>
      <c r="I87"/>
    </row>
    <row r="88" spans="1:9" ht="16.5" x14ac:dyDescent="0.3">
      <c r="A88" s="79" t="s">
        <v>162</v>
      </c>
      <c r="B88" s="80" t="s">
        <v>105</v>
      </c>
      <c r="C88" s="83" t="s">
        <v>118</v>
      </c>
      <c r="E88"/>
      <c r="F88" s="77"/>
      <c r="G88" s="77"/>
      <c r="H88"/>
      <c r="I88"/>
    </row>
    <row r="89" spans="1:9" ht="16.5" x14ac:dyDescent="0.3">
      <c r="A89" s="79" t="s">
        <v>162</v>
      </c>
      <c r="B89" s="80" t="s">
        <v>105</v>
      </c>
      <c r="C89" s="83" t="s">
        <v>119</v>
      </c>
      <c r="E89"/>
      <c r="F89" s="77"/>
      <c r="G89" s="77"/>
      <c r="H89"/>
      <c r="I89"/>
    </row>
    <row r="90" spans="1:9" ht="16.5" x14ac:dyDescent="0.3">
      <c r="A90" s="79" t="s">
        <v>162</v>
      </c>
      <c r="B90" s="80" t="s">
        <v>105</v>
      </c>
      <c r="C90" s="83" t="s">
        <v>120</v>
      </c>
      <c r="E90"/>
      <c r="F90" s="77"/>
      <c r="G90" s="77"/>
      <c r="H90"/>
      <c r="I90"/>
    </row>
    <row r="91" spans="1:9" ht="16.5" x14ac:dyDescent="0.3">
      <c r="A91" s="79" t="s">
        <v>162</v>
      </c>
      <c r="B91" s="80" t="s">
        <v>105</v>
      </c>
      <c r="C91" s="83" t="s">
        <v>121</v>
      </c>
      <c r="E91"/>
      <c r="F91" s="77"/>
      <c r="G91" s="77"/>
      <c r="H91"/>
      <c r="I91"/>
    </row>
    <row r="92" spans="1:9" ht="16.5" x14ac:dyDescent="0.3">
      <c r="A92" s="79" t="s">
        <v>162</v>
      </c>
      <c r="B92" s="80" t="s">
        <v>105</v>
      </c>
      <c r="C92" s="78" t="s">
        <v>122</v>
      </c>
      <c r="E92"/>
      <c r="F92" s="77"/>
      <c r="G92" s="77"/>
      <c r="H92"/>
      <c r="I92"/>
    </row>
    <row r="93" spans="1:9" ht="16.5" x14ac:dyDescent="0.3">
      <c r="A93" s="79" t="s">
        <v>162</v>
      </c>
      <c r="B93" s="80" t="s">
        <v>105</v>
      </c>
      <c r="C93" s="82" t="s">
        <v>104</v>
      </c>
      <c r="E93"/>
      <c r="F93" s="77"/>
      <c r="G93" s="77"/>
      <c r="H93"/>
      <c r="I93"/>
    </row>
    <row r="94" spans="1:9" ht="16.5" x14ac:dyDescent="0.3">
      <c r="A94" s="79" t="s">
        <v>162</v>
      </c>
      <c r="B94" s="84" t="s">
        <v>123</v>
      </c>
      <c r="C94" s="83" t="s">
        <v>146</v>
      </c>
      <c r="E94"/>
      <c r="F94" s="77"/>
      <c r="G94" s="77"/>
      <c r="H94"/>
      <c r="I94"/>
    </row>
    <row r="95" spans="1:9" ht="16.5" x14ac:dyDescent="0.3">
      <c r="A95" s="79" t="s">
        <v>162</v>
      </c>
      <c r="B95" s="84" t="s">
        <v>123</v>
      </c>
      <c r="C95" s="78" t="s">
        <v>125</v>
      </c>
      <c r="E95"/>
      <c r="F95" s="77"/>
      <c r="G95" s="77"/>
      <c r="H95"/>
      <c r="I95"/>
    </row>
    <row r="96" spans="1:9" ht="16.5" x14ac:dyDescent="0.3">
      <c r="A96" s="79" t="s">
        <v>162</v>
      </c>
      <c r="B96" s="84" t="s">
        <v>123</v>
      </c>
      <c r="C96" s="78" t="s">
        <v>126</v>
      </c>
      <c r="E96"/>
      <c r="F96" s="77"/>
      <c r="G96" s="77"/>
      <c r="H96"/>
      <c r="I96"/>
    </row>
    <row r="97" spans="1:9" ht="16.5" x14ac:dyDescent="0.3">
      <c r="A97" s="79" t="s">
        <v>162</v>
      </c>
      <c r="B97" s="84" t="s">
        <v>123</v>
      </c>
      <c r="C97" s="78" t="s">
        <v>127</v>
      </c>
      <c r="E97"/>
      <c r="F97" s="77"/>
      <c r="G97" s="77"/>
      <c r="H97"/>
      <c r="I97"/>
    </row>
    <row r="98" spans="1:9" ht="16.5" x14ac:dyDescent="0.3">
      <c r="A98" s="79" t="s">
        <v>162</v>
      </c>
      <c r="B98" s="84" t="s">
        <v>123</v>
      </c>
      <c r="C98" s="78" t="s">
        <v>128</v>
      </c>
      <c r="E98"/>
      <c r="F98" s="77"/>
      <c r="G98" s="77"/>
      <c r="H98"/>
      <c r="I98"/>
    </row>
    <row r="99" spans="1:9" ht="16.5" x14ac:dyDescent="0.3">
      <c r="A99" s="79" t="s">
        <v>162</v>
      </c>
      <c r="B99" s="84" t="s">
        <v>123</v>
      </c>
      <c r="C99" s="78" t="s">
        <v>129</v>
      </c>
      <c r="E99"/>
      <c r="F99" s="77"/>
      <c r="G99" s="77"/>
      <c r="H99"/>
      <c r="I99"/>
    </row>
    <row r="100" spans="1:9" ht="16.5" x14ac:dyDescent="0.3">
      <c r="A100" s="79" t="s">
        <v>162</v>
      </c>
      <c r="B100" s="84" t="s">
        <v>123</v>
      </c>
      <c r="C100" s="78" t="s">
        <v>130</v>
      </c>
      <c r="E100"/>
      <c r="F100" s="77"/>
      <c r="G100" s="77"/>
      <c r="H100"/>
      <c r="I100"/>
    </row>
    <row r="101" spans="1:9" ht="16.5" x14ac:dyDescent="0.25">
      <c r="A101" s="79" t="s">
        <v>162</v>
      </c>
      <c r="B101" s="84" t="s">
        <v>123</v>
      </c>
      <c r="C101" s="85" t="s">
        <v>147</v>
      </c>
      <c r="E101"/>
      <c r="F101" s="77"/>
      <c r="G101" s="77"/>
      <c r="H101"/>
      <c r="I101"/>
    </row>
    <row r="102" spans="1:9" ht="16.5" x14ac:dyDescent="0.3">
      <c r="A102" s="79" t="s">
        <v>162</v>
      </c>
      <c r="B102" s="84" t="s">
        <v>123</v>
      </c>
      <c r="C102" s="78" t="s">
        <v>148</v>
      </c>
      <c r="E102"/>
      <c r="F102" s="77"/>
      <c r="G102" s="77"/>
      <c r="H102"/>
      <c r="I102"/>
    </row>
    <row r="103" spans="1:9" ht="16.5" x14ac:dyDescent="0.3">
      <c r="A103" s="79" t="s">
        <v>162</v>
      </c>
      <c r="B103" s="84" t="s">
        <v>123</v>
      </c>
      <c r="C103" s="83" t="s">
        <v>133</v>
      </c>
      <c r="E103"/>
      <c r="F103" s="77"/>
      <c r="G103" s="77"/>
      <c r="H103"/>
      <c r="I103"/>
    </row>
    <row r="104" spans="1:9" ht="16.5" x14ac:dyDescent="0.3">
      <c r="A104" s="79" t="s">
        <v>162</v>
      </c>
      <c r="B104" s="84" t="s">
        <v>123</v>
      </c>
      <c r="C104" s="83" t="s">
        <v>134</v>
      </c>
      <c r="E104"/>
      <c r="F104" s="77"/>
      <c r="G104" s="77"/>
      <c r="H104"/>
      <c r="I104"/>
    </row>
    <row r="105" spans="1:9" ht="16.5" x14ac:dyDescent="0.3">
      <c r="A105" s="79" t="s">
        <v>162</v>
      </c>
      <c r="B105" s="84" t="s">
        <v>123</v>
      </c>
      <c r="C105" s="78" t="s">
        <v>149</v>
      </c>
      <c r="E105"/>
      <c r="F105" s="77"/>
      <c r="G105" s="77"/>
      <c r="H105"/>
      <c r="I105"/>
    </row>
    <row r="106" spans="1:9" ht="16.5" x14ac:dyDescent="0.3">
      <c r="A106" s="79" t="s">
        <v>162</v>
      </c>
      <c r="B106" s="84" t="s">
        <v>123</v>
      </c>
      <c r="C106" s="83" t="s">
        <v>135</v>
      </c>
      <c r="E106"/>
      <c r="F106" s="77"/>
      <c r="G106" s="77"/>
      <c r="H106"/>
      <c r="I106"/>
    </row>
    <row r="107" spans="1:9" ht="16.5" x14ac:dyDescent="0.3">
      <c r="A107" s="79" t="s">
        <v>162</v>
      </c>
      <c r="B107" s="84" t="s">
        <v>123</v>
      </c>
      <c r="C107" s="78" t="s">
        <v>150</v>
      </c>
      <c r="E107"/>
      <c r="F107" s="77"/>
      <c r="G107" s="77"/>
      <c r="H107"/>
      <c r="I107"/>
    </row>
    <row r="108" spans="1:9" ht="16.5" x14ac:dyDescent="0.3">
      <c r="A108" s="79" t="s">
        <v>162</v>
      </c>
      <c r="B108" s="84" t="s">
        <v>123</v>
      </c>
      <c r="C108" s="83" t="s">
        <v>136</v>
      </c>
      <c r="E108"/>
      <c r="F108" s="77"/>
      <c r="G108" s="77"/>
      <c r="H108"/>
      <c r="I108"/>
    </row>
    <row r="109" spans="1:9" ht="16.5" x14ac:dyDescent="0.3">
      <c r="A109" s="79" t="s">
        <v>162</v>
      </c>
      <c r="B109" s="84" t="s">
        <v>123</v>
      </c>
      <c r="C109" s="83" t="s">
        <v>137</v>
      </c>
      <c r="E109"/>
      <c r="F109" s="77"/>
      <c r="G109" s="77"/>
      <c r="H109"/>
      <c r="I109"/>
    </row>
    <row r="110" spans="1:9" ht="16.5" x14ac:dyDescent="0.3">
      <c r="A110" s="79" t="s">
        <v>162</v>
      </c>
      <c r="B110" s="84" t="s">
        <v>123</v>
      </c>
      <c r="C110" s="83" t="s">
        <v>138</v>
      </c>
      <c r="E110"/>
      <c r="F110" s="77"/>
      <c r="G110" s="77"/>
      <c r="H110"/>
      <c r="I110"/>
    </row>
    <row r="111" spans="1:9" ht="16.5" x14ac:dyDescent="0.3">
      <c r="A111" s="79" t="s">
        <v>162</v>
      </c>
      <c r="B111" s="84" t="s">
        <v>123</v>
      </c>
      <c r="C111" s="83" t="s">
        <v>139</v>
      </c>
      <c r="E111"/>
      <c r="F111" s="77"/>
      <c r="G111" s="77"/>
      <c r="H111"/>
      <c r="I111"/>
    </row>
    <row r="112" spans="1:9" ht="16.5" x14ac:dyDescent="0.3">
      <c r="A112" s="79" t="s">
        <v>162</v>
      </c>
      <c r="B112" s="84" t="s">
        <v>123</v>
      </c>
      <c r="C112" s="83" t="s">
        <v>140</v>
      </c>
      <c r="E112"/>
      <c r="F112" s="77"/>
      <c r="G112" s="77"/>
      <c r="H112"/>
      <c r="I112"/>
    </row>
    <row r="113" spans="1:9" ht="16.5" x14ac:dyDescent="0.3">
      <c r="A113" s="79" t="s">
        <v>162</v>
      </c>
      <c r="B113" s="84" t="s">
        <v>123</v>
      </c>
      <c r="C113" s="83" t="s">
        <v>141</v>
      </c>
      <c r="E113"/>
      <c r="F113" s="77"/>
      <c r="G113" s="77"/>
      <c r="H113"/>
      <c r="I113"/>
    </row>
    <row r="114" spans="1:9" ht="16.5" x14ac:dyDescent="0.3">
      <c r="A114" s="79" t="s">
        <v>162</v>
      </c>
      <c r="B114" s="84" t="s">
        <v>123</v>
      </c>
      <c r="C114" s="83" t="s">
        <v>151</v>
      </c>
      <c r="E114"/>
      <c r="F114" s="77"/>
      <c r="G114" s="77"/>
      <c r="H114"/>
      <c r="I114"/>
    </row>
    <row r="115" spans="1:9" ht="16.5" x14ac:dyDescent="0.3">
      <c r="A115" s="79" t="s">
        <v>162</v>
      </c>
      <c r="B115" s="84" t="s">
        <v>123</v>
      </c>
      <c r="C115" s="83" t="s">
        <v>152</v>
      </c>
      <c r="E115"/>
      <c r="F115" s="77"/>
      <c r="G115" s="77"/>
      <c r="H115"/>
      <c r="I115"/>
    </row>
    <row r="116" spans="1:9" ht="16.5" x14ac:dyDescent="0.3">
      <c r="A116" s="79" t="s">
        <v>162</v>
      </c>
      <c r="B116" s="84" t="s">
        <v>123</v>
      </c>
      <c r="C116" s="83" t="s">
        <v>153</v>
      </c>
      <c r="E116"/>
      <c r="F116" s="77"/>
      <c r="G116" s="77"/>
      <c r="H116"/>
      <c r="I116"/>
    </row>
    <row r="117" spans="1:9" ht="16.5" x14ac:dyDescent="0.3">
      <c r="A117" s="79" t="s">
        <v>162</v>
      </c>
      <c r="B117" s="84" t="s">
        <v>123</v>
      </c>
      <c r="C117" s="83" t="s">
        <v>154</v>
      </c>
      <c r="E117"/>
      <c r="F117" s="77"/>
      <c r="G117" s="77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2018-06-01T03:44:47Z</dcterms:modified>
</cp:coreProperties>
</file>