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Drugs&amp;Med'!$C$11:$C$25</definedName>
    <definedName name="_xlnm.Print_Area" localSheetId="0">'1.1 Case data_general'!$B$1:$F$80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64" i="9" l="1"/>
  <c r="G63" i="9"/>
  <c r="G62" i="9"/>
  <c r="G61" i="9"/>
  <c r="G60" i="9"/>
  <c r="G59" i="9"/>
  <c r="J26" i="2"/>
  <c r="J11" i="2"/>
  <c r="F23" i="1"/>
  <c r="G58" i="9" l="1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<sst xmlns="http://schemas.openxmlformats.org/spreadsheetml/2006/main" count="571" uniqueCount="234">
  <si>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</si>
  <si>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</si>
  <si>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</si>
  <si>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</si>
  <si>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</si>
  <si>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</si>
  <si>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</si>
  <si>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</si>
  <si>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</si>
  <si>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</si>
  <si>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</si>
  <si>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</si>
  <si>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</si>
  <si>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</si>
  <si>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</si>
  <si>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</si>
  <si>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</si>
  <si>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</si>
  <si>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</si>
  <si>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</si>
  <si>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</si>
  <si>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</si>
  <si>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</si>
  <si>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</si>
  <si>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</si>
  <si>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</si>
  <si>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</si>
  <si>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</si>
  <si>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</si>
  <si>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</si>
  <si>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</si>
  <si>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</si>
  <si>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</si>
  <si>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</si>
  <si>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</si>
  <si>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</si>
  <si>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</si>
  <si>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</si>
  <si>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</si>
  <si>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</si>
  <si>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</si>
  <si>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</si>
  <si>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</si>
  <si>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</si>
  <si>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</si>
  <si>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</si>
  <si>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</si>
  <si>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</si>
  <si>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</si>
  <si>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</si>
  <si>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</si>
  <si>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</si>
  <si>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</si>
  <si>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</si>
  <si>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</si>
  <si>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</si>
  <si>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</si>
  <si>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</si>
  <si>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</si>
  <si>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</si>
  <si>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</si>
  <si>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</si>
  <si>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</si>
  <si>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</si>
  <si>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</si>
  <si>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</si>
  <si>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</si>
  <si>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</si>
  <si>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</si>
  <si>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</si>
  <si>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</si>
  <si>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</si>
  <si>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</si>
  <si>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</si>
  <si>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</si>
  <si>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</si>
  <si>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</si>
  <si>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</si>
  <si>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</si>
  <si>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</si>
  <si>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</si>
  <si>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</si>
  <si>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</si>
  <si>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</si>
  <si>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</si>
  <si>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</si>
  <si>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</si>
  <si>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</si>
  <si>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</si>
  <si>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</si>
  <si>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</si>
  <si>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</si>
  <si>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</si>
  <si>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</si>
  <si>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</si>
  <si>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</si>
  <si>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</si>
  <si>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</si>
  <si>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</si>
  <si>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</si>
  <si>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</si>
  <si>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</si>
  <si>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</si>
  <si>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</si>
  <si>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</si>
  <si>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</si>
  <si>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</si>
  <si>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</si>
  <si>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</si>
  <si>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</si>
  <si>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</si>
  <si>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</si>
  <si>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</si>
  <si>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</si>
  <si>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</si>
  <si>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</si>
  <si>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</si>
  <si>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</si>
  <si>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</si>
  <si>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</si>
  <si>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</si>
  <si>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</si>
  <si>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</si>
  <si>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</si>
  <si>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</si>
  <si>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</si>
  <si>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</si>
  <si>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</si>
  <si>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</si>
  <si>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</si>
  <si>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</si>
  <si>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</si>
  <si>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</si>
  <si>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</si>
  <si>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</si>
  <si>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</si>
  <si>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</si>
  <si>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</si>
  <si>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</si>
  <si>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</si>
  <si>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</si>
  <si>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</si>
  <si>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</si>
  <si>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</si>
  <si>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</si>
  <si>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</si>
  <si>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</si>
  <si>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</si>
  <si>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</si>
  <si>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</si>
  <si>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</si>
  <si>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</si>
  <si>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</si>
  <si>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</si>
  <si>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</si>
  <si>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</si>
  <si>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</si>
  <si>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</si>
  <si>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</si>
  <si>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</si>
  <si>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</si>
  <si>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</si>
  <si>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</si>
  <si>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</si>
  <si>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</si>
  <si>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LABORATORY</t>
  </si>
  <si>
    <t>ROOM AND ACCOMMODATION</t>
  </si>
  <si>
    <t>PROFESSIONAL FEE</t>
  </si>
  <si>
    <t>APPENDECTOMY</t>
  </si>
  <si>
    <t>K35.8</t>
  </si>
  <si>
    <t>MAJOR</t>
  </si>
  <si>
    <t>OTHERS (OPERATING ROOM)</t>
  </si>
  <si>
    <t>MIDAZOLAM 5MG-1ML 5MG/ML-1ML</t>
  </si>
  <si>
    <t>PARACETAMOL (ACETAMINOPHEN) 300MG-2ML</t>
  </si>
  <si>
    <t>RANITIDINE HCI 25MG/ML-2ML</t>
  </si>
  <si>
    <t>CEFOXITIN SODIUM 1G</t>
  </si>
  <si>
    <t>PLAIN NSS 1L  (X 12S)</t>
  </si>
  <si>
    <t>(D5LRS 1L) 5% DEXTROSE IN LACTATED RINGERS SOLUTION 1000ML (D5 LRS) X 12S</t>
  </si>
  <si>
    <t>LIDOCAINE HCI 2%-5ML PRESERVATIVE-FREE REGARDLESS OF CONTAINER</t>
  </si>
  <si>
    <t>BUPIVACAINE HCL- SPINAL  0.5% - 4ML + 8% DEXTROSE</t>
  </si>
  <si>
    <t>(PLAIN LRS 1L) LACTATED RINGER''''S SOLUTION 1000ML (PLAIN LRS 1L) X 12S</t>
  </si>
  <si>
    <t>EPINEPHRINE (AS ADRENALINE) 1MG/ML- 1 ML</t>
  </si>
  <si>
    <t>TRAMADOL HCL 50MG/ML-2ML</t>
  </si>
  <si>
    <t>DISPOSABLE SYRINGE 1ML G 25, W/ NEEDLE X 100S (CPR NEEDED)</t>
  </si>
  <si>
    <t>DISPOSABLE SYRINGE 3ML G 23, W/ NEEDLE X 100S (CPR NEEDED)</t>
  </si>
  <si>
    <t>DISPOSABLE SYRINGE 10ML G 21, W/ NEEDLE X 100S (CPR NEEDED)</t>
  </si>
  <si>
    <t>IV CATHETER GAUGE 20</t>
  </si>
  <si>
    <t>IV CATHETER GAUGE 18</t>
  </si>
  <si>
    <t>IV SET W/ AIRWAY FOR IV PUSH, VACOSET/MACRODRIP, ADULT</t>
  </si>
  <si>
    <t>IV SET FOR PEDIA W/ BURETTE FOR DOSIFICATION VENTS W/ FILTER, SOLUSET</t>
  </si>
  <si>
    <t>DISPOSABLE SURGICAL BRUSH W/ SPONGE AND NAIL CLEANER</t>
  </si>
  <si>
    <t>SPINAL NEEDLE, G23 X 3 1/2" DISPOSABLE STERILE, SINGLE PACK (CPR NEEDED)</t>
  </si>
  <si>
    <t>SILK 2-0 BRAIDED, COATED, NON-ABSORBABLE SURGICAL SUTURE 75CM, WITH AT LEAST 26M X ½ CIRCLE TAPER NEEDLE</t>
  </si>
  <si>
    <t>SURGICAL COTTON THREAD 2/0, 18" X 10 STRANDS</t>
  </si>
  <si>
    <t>ISOPROPHYL ALCOHOL 70%, 500ML</t>
  </si>
  <si>
    <t>PC</t>
  </si>
  <si>
    <t>300MG-2ML</t>
  </si>
  <si>
    <t>25MG/ML-2ML</t>
  </si>
  <si>
    <t>1G</t>
  </si>
  <si>
    <t>1L</t>
  </si>
  <si>
    <t>1MG/ML- 1 ML</t>
  </si>
  <si>
    <t>360563/74228</t>
  </si>
  <si>
    <t>ABO/RH TYPING FULLY 1.00 400.00 400.00 0.00 AUTOMATED (ADULT)</t>
  </si>
  <si>
    <t>CBC, PC</t>
  </si>
  <si>
    <t>URINALYSIS (UA)</t>
  </si>
  <si>
    <t xml:space="preserve">BLOOD EXTRACTION </t>
  </si>
  <si>
    <t>HISTOPATHOLOGY - SMALL</t>
  </si>
  <si>
    <t>OPERATION ROOM</t>
  </si>
  <si>
    <t>TRANEXAMIC ACID 100MG/ML-5ML</t>
  </si>
  <si>
    <t>(SAFETY FILTER)   BLOOD ADMINISTRATION SET W/ FILTER</t>
  </si>
  <si>
    <t>100MG/ML-5ML</t>
  </si>
  <si>
    <t xml:space="preserve">0.5% - 4ML + 8% </t>
  </si>
  <si>
    <t xml:space="preserve"> 2%-5ML</t>
  </si>
  <si>
    <t>5MG-1ML 5MG/ML-1ML</t>
  </si>
  <si>
    <t>50MG/ML-2ML</t>
  </si>
  <si>
    <t>BOTTLE</t>
  </si>
  <si>
    <t>TABLET</t>
  </si>
  <si>
    <t>VIAL</t>
  </si>
  <si>
    <t>SUCTION TUBING YANKAUER TIP F25 X 150CM</t>
  </si>
  <si>
    <t>SURGICAL LAPAROTOMY SPONGE 8"X36", 24X28 MESH, 12 PLY SEWED EDGES STERILE W/ DETECTABLE X-RAY THREAD (LAP SPONGE 8"X36"X12 PLY, LOOP W/ X-RAY THREAD, STERILE, 1 PIECE/PCK) (CPR NEEDED)</t>
  </si>
  <si>
    <t>POVIDONE IODINE 10 % SOLUTION (ANTISEPTIC) 120ML</t>
  </si>
  <si>
    <t>SURGICAL BLADE 11 , BOX OF 100S</t>
  </si>
  <si>
    <t>ADHESIVE PLASTER 2 X 10 (SILK) BOX OF 12S</t>
  </si>
  <si>
    <t>MONITORING CHEST ELECTRODES, DISPOSABLE</t>
  </si>
  <si>
    <t>DISPOSABLE SYRINGE 5ML G 23, W/ NEEDLE X 100S</t>
  </si>
  <si>
    <t>MEDICAL GLOVES W/ CUFF, STERILE LATEX, NATURAL RUBBER: BOX OF 50'S  WARD USE SIZE 6 1/2</t>
  </si>
  <si>
    <t>MEDICAL GLOVES W/ CUFF, STERILE LATEX, NATURAL RUBBER: BOX OF 50''''S  WARD USE SIZE 7</t>
  </si>
  <si>
    <t>MEDICAL GLOVES W/ CUFF, STERILE LATEX, NATURAL RUBBER: BOX OF 50''S  WARD USE SIZE 7 1/2</t>
  </si>
  <si>
    <t>GAUZE SPONGE 4"X4", 8 PLY, 28X24 MESH, UNSTERILE,  W/O BLUE DETECTOR, PACK OF 100S (OS 4X4) (CPR NEEDED)</t>
  </si>
  <si>
    <t>DISPOSABLE HEAD CAP X 100S GARTERIZED</t>
  </si>
  <si>
    <t>DISPOSABLE FACE MASK, EAR LOOP 3 FOLDS X 50S</t>
  </si>
  <si>
    <t>SURGICAL SKIN STAPLER W/ FREE SKIN STAPLER REMOVER 12 PCS FOR EVERY PURCHASE OF 50 PCS (BBRAUN/SPAIN)</t>
  </si>
  <si>
    <t>IV SET W/ AIRWAY FOR IV PUSH, MICRODRIP, PEDIA</t>
  </si>
  <si>
    <t>POLYDIOXONE 1  MONOFILAMENT, SYNTHETIC ABSORBABLE SUTURE 90CM, WITH 40MM X 1/2 CIRCLE ROUND BODIED NEEDLE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</si>
</sst>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-* #,##0.00_-;\-* #,##0.00_-;_-* &quot;-&quot;??_-;_-@_-"/>
  </numFmts>
  <fonts count="23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10"/>
      <color indexed="8"/>
      <name val="Arial"/>
      <family val="2"/>
    </font>
    <font>
      <sz val="8"/>
      <color rgb="FF0070C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164" fontId="14" fillId="0" borderId="0" applyFont="0" applyFill="0" applyBorder="0" applyAlignment="0" applyProtection="0"/>
    <xf numFmtId="0" fontId="14" fillId="0" borderId="3"/>
    <xf numFmtId="0" fontId="19" fillId="0" borderId="30" applyNumberFormat="0" applyFill="0" applyAlignment="0" applyProtection="0"/>
    <xf numFmtId="0" fontId="1" fillId="0" borderId="3"/>
    <xf numFmtId="43" fontId="1" fillId="0" borderId="3" applyFont="0" applyFill="0" applyBorder="0" applyAlignment="0" applyProtection="0"/>
    <xf numFmtId="0" fontId="21" fillId="0" borderId="3">
      <alignment vertical="top"/>
    </xf>
  </cellStyleXfs>
  <cellXfs count="154">
    <xf numFmtId="0" fontId="0" fillId="0" borderId="0" xfId="0" applyFont="1" applyAlignment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/>
    <xf numFmtId="0" fontId="6" fillId="3" borderId="1" xfId="0" applyFont="1" applyFill="1" applyBorder="1" applyAlignment="1">
      <alignment horizontal="center"/>
    </xf>
    <xf numFmtId="0" fontId="7" fillId="4" borderId="1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2" fillId="6" borderId="1" xfId="0" applyFont="1" applyFill="1" applyBorder="1"/>
    <xf numFmtId="0" fontId="6" fillId="7" borderId="0" xfId="0" applyFont="1" applyFill="1"/>
    <xf numFmtId="0" fontId="2" fillId="7" borderId="0" xfId="0" applyFont="1" applyFill="1"/>
    <xf numFmtId="0" fontId="2" fillId="5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2" fillId="5" borderId="7" xfId="0" applyFont="1" applyFill="1" applyBorder="1" applyAlignment="1">
      <alignment horizontal="right" vertical="center"/>
    </xf>
    <xf numFmtId="0" fontId="2" fillId="6" borderId="7" xfId="0" applyFont="1" applyFill="1" applyBorder="1"/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2" fillId="0" borderId="7" xfId="0" applyFont="1" applyBorder="1" applyProtection="1">
      <protection locked="0"/>
    </xf>
    <xf numFmtId="0" fontId="6" fillId="3" borderId="16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2" fillId="0" borderId="0" xfId="0" applyFont="1" applyFill="1"/>
    <xf numFmtId="0" fontId="8" fillId="6" borderId="3" xfId="0" applyFont="1" applyFill="1" applyBorder="1"/>
    <xf numFmtId="0" fontId="8" fillId="6" borderId="20" xfId="0" applyFont="1" applyFill="1" applyBorder="1"/>
    <xf numFmtId="0" fontId="2" fillId="6" borderId="3" xfId="0" applyFont="1" applyFill="1" applyBorder="1"/>
    <xf numFmtId="0" fontId="2" fillId="6" borderId="20" xfId="0" applyFont="1" applyFill="1" applyBorder="1"/>
    <xf numFmtId="0" fontId="2" fillId="0" borderId="9" xfId="0" applyFont="1" applyBorder="1"/>
    <xf numFmtId="0" fontId="2" fillId="5" borderId="21" xfId="0" applyFont="1" applyFill="1" applyBorder="1" applyAlignment="1">
      <alignment horizontal="right" vertical="center"/>
    </xf>
    <xf numFmtId="0" fontId="11" fillId="5" borderId="21" xfId="0" applyFont="1" applyFill="1" applyBorder="1" applyAlignment="1" applyProtection="1">
      <alignment wrapText="1"/>
      <protection locked="0"/>
    </xf>
    <xf numFmtId="0" fontId="2" fillId="6" borderId="21" xfId="0" applyFont="1" applyFill="1" applyBorder="1"/>
    <xf numFmtId="0" fontId="11" fillId="5" borderId="21" xfId="0" applyFont="1" applyFill="1" applyBorder="1" applyProtection="1">
      <protection locked="0"/>
    </xf>
    <xf numFmtId="0" fontId="2" fillId="5" borderId="22" xfId="0" applyFont="1" applyFill="1" applyBorder="1" applyAlignment="1">
      <alignment horizontal="right" vertical="center"/>
    </xf>
    <xf numFmtId="0" fontId="11" fillId="5" borderId="22" xfId="0" applyFont="1" applyFill="1" applyBorder="1" applyAlignment="1" applyProtection="1">
      <alignment wrapText="1"/>
      <protection locked="0"/>
    </xf>
    <xf numFmtId="0" fontId="2" fillId="6" borderId="22" xfId="0" applyFont="1" applyFill="1" applyBorder="1"/>
    <xf numFmtId="0" fontId="3" fillId="0" borderId="0" xfId="0" applyFont="1" applyAlignment="1" applyProtection="1">
      <alignment horizontal="center"/>
    </xf>
    <xf numFmtId="0" fontId="3" fillId="0" borderId="0" xfId="0" applyFont="1" applyProtection="1"/>
    <xf numFmtId="0" fontId="0" fillId="0" borderId="0" xfId="0" applyFont="1" applyAlignment="1" applyProtection="1"/>
    <xf numFmtId="0" fontId="6" fillId="7" borderId="0" xfId="0" applyFont="1" applyFill="1" applyProtection="1"/>
    <xf numFmtId="0" fontId="2" fillId="7" borderId="0" xfId="0" applyFont="1" applyFill="1" applyProtection="1"/>
    <xf numFmtId="0" fontId="5" fillId="0" borderId="0" xfId="0" applyFont="1" applyProtection="1"/>
    <xf numFmtId="0" fontId="2" fillId="0" borderId="0" xfId="0" applyFont="1" applyProtection="1"/>
    <xf numFmtId="0" fontId="2" fillId="0" borderId="0" xfId="0" applyFont="1" applyAlignment="1" applyProtection="1"/>
    <xf numFmtId="0" fontId="4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2" fillId="0" borderId="0" xfId="0" applyFont="1" applyAlignment="1" applyProtection="1">
      <alignment horizontal="center"/>
    </xf>
    <xf numFmtId="0" fontId="2" fillId="3" borderId="8" xfId="0" applyFont="1" applyFill="1" applyBorder="1" applyProtection="1"/>
    <xf numFmtId="0" fontId="3" fillId="3" borderId="9" xfId="0" applyFont="1" applyFill="1" applyBorder="1" applyProtection="1"/>
    <xf numFmtId="0" fontId="3" fillId="3" borderId="10" xfId="0" applyFont="1" applyFill="1" applyBorder="1" applyProtection="1"/>
    <xf numFmtId="0" fontId="2" fillId="3" borderId="11" xfId="0" applyFont="1" applyFill="1" applyBorder="1" applyProtection="1"/>
    <xf numFmtId="0" fontId="3" fillId="3" borderId="3" xfId="0" applyFont="1" applyFill="1" applyBorder="1" applyProtection="1"/>
    <xf numFmtId="0" fontId="3" fillId="3" borderId="12" xfId="0" applyFont="1" applyFill="1" applyBorder="1" applyProtection="1"/>
    <xf numFmtId="0" fontId="2" fillId="3" borderId="11" xfId="0" applyFont="1" applyFill="1" applyBorder="1" applyAlignment="1" applyProtection="1"/>
    <xf numFmtId="0" fontId="5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left" vertical="center" wrapText="1"/>
    </xf>
    <xf numFmtId="164" fontId="11" fillId="5" borderId="21" xfId="1" applyFont="1" applyFill="1" applyBorder="1" applyProtection="1">
      <protection locked="0"/>
    </xf>
    <xf numFmtId="164" fontId="11" fillId="5" borderId="1" xfId="1" applyFont="1" applyFill="1" applyBorder="1" applyProtection="1">
      <protection locked="0"/>
    </xf>
    <xf numFmtId="164" fontId="11" fillId="5" borderId="22" xfId="1" applyFont="1" applyFill="1" applyBorder="1" applyProtection="1">
      <protection locked="0"/>
    </xf>
    <xf numFmtId="164" fontId="2" fillId="0" borderId="26" xfId="1" applyFont="1" applyBorder="1"/>
    <xf numFmtId="164" fontId="6" fillId="3" borderId="7" xfId="1" applyFont="1" applyFill="1" applyBorder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</xf>
    <xf numFmtId="0" fontId="9" fillId="0" borderId="0" xfId="0" applyFont="1" applyProtection="1"/>
    <xf numFmtId="0" fontId="4" fillId="7" borderId="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left" vertical="center"/>
    </xf>
    <xf numFmtId="0" fontId="4" fillId="7" borderId="1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Protection="1"/>
    <xf numFmtId="0" fontId="2" fillId="0" borderId="1" xfId="0" applyFont="1" applyBorder="1" applyAlignment="1" applyProtection="1">
      <alignment horizontal="right"/>
    </xf>
    <xf numFmtId="0" fontId="11" fillId="0" borderId="1" xfId="0" applyFont="1" applyBorder="1" applyAlignment="1" applyProtection="1">
      <alignment wrapText="1"/>
      <protection locked="0"/>
    </xf>
    <xf numFmtId="0" fontId="11" fillId="0" borderId="1" xfId="0" applyFont="1" applyBorder="1" applyAlignment="1" applyProtection="1">
      <alignment horizontal="center" wrapText="1"/>
      <protection locked="0"/>
    </xf>
    <xf numFmtId="0" fontId="2" fillId="3" borderId="8" xfId="0" applyFont="1" applyFill="1" applyBorder="1" applyAlignment="1" applyProtection="1"/>
    <xf numFmtId="0" fontId="2" fillId="3" borderId="3" xfId="0" applyFont="1" applyFill="1" applyBorder="1" applyAlignment="1" applyProtection="1">
      <alignment horizontal="center"/>
    </xf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2" fillId="3" borderId="13" xfId="0" applyFont="1" applyFill="1" applyBorder="1" applyAlignment="1" applyProtection="1"/>
    <xf numFmtId="0" fontId="2" fillId="3" borderId="9" xfId="0" applyFont="1" applyFill="1" applyBorder="1" applyAlignment="1" applyProtection="1"/>
    <xf numFmtId="0" fontId="2" fillId="3" borderId="3" xfId="0" applyFont="1" applyFill="1" applyBorder="1" applyAlignment="1" applyProtection="1"/>
    <xf numFmtId="0" fontId="2" fillId="3" borderId="14" xfId="0" applyFont="1" applyFill="1" applyBorder="1" applyAlignment="1" applyProtection="1"/>
    <xf numFmtId="0" fontId="4" fillId="7" borderId="0" xfId="0" applyFont="1" applyFill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2" fillId="3" borderId="14" xfId="0" applyFont="1" applyFill="1" applyBorder="1" applyProtection="1"/>
    <xf numFmtId="0" fontId="2" fillId="3" borderId="15" xfId="0" applyFont="1" applyFill="1" applyBorder="1" applyProtection="1"/>
    <xf numFmtId="0" fontId="2" fillId="0" borderId="0" xfId="0" applyFont="1" applyAlignment="1" applyProtection="1">
      <alignment vertical="center" wrapText="1"/>
    </xf>
    <xf numFmtId="0" fontId="15" fillId="8" borderId="1" xfId="0" applyFont="1" applyFill="1" applyBorder="1" applyAlignment="1" applyProtection="1">
      <alignment horizontal="center" vertical="center" wrapText="1"/>
    </xf>
    <xf numFmtId="0" fontId="15" fillId="8" borderId="1" xfId="0" applyFont="1" applyFill="1" applyBorder="1" applyAlignment="1" applyProtection="1">
      <alignment horizontal="center" vertical="center"/>
    </xf>
    <xf numFmtId="0" fontId="4" fillId="4" borderId="1" xfId="0" applyFont="1" applyFill="1" applyBorder="1" applyProtection="1"/>
    <xf numFmtId="164" fontId="2" fillId="0" borderId="1" xfId="1" applyFont="1" applyBorder="1" applyProtection="1"/>
    <xf numFmtId="164" fontId="4" fillId="0" borderId="1" xfId="1" applyFont="1" applyBorder="1" applyProtection="1"/>
    <xf numFmtId="0" fontId="16" fillId="3" borderId="1" xfId="0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Alignment="1"/>
    <xf numFmtId="0" fontId="2" fillId="0" borderId="3" xfId="2" applyFont="1" applyBorder="1" applyAlignment="1"/>
    <xf numFmtId="0" fontId="14" fillId="0" borderId="3" xfId="0" applyFont="1" applyBorder="1" applyAlignment="1"/>
    <xf numFmtId="0" fontId="2" fillId="0" borderId="3" xfId="2" applyFont="1" applyBorder="1" applyAlignment="1">
      <alignment vertical="center"/>
    </xf>
    <xf numFmtId="0" fontId="0" fillId="0" borderId="3" xfId="0" applyFont="1" applyBorder="1" applyAlignment="1"/>
    <xf numFmtId="0" fontId="17" fillId="0" borderId="3" xfId="2" applyFont="1" applyBorder="1" applyAlignment="1"/>
    <xf numFmtId="0" fontId="2" fillId="0" borderId="3" xfId="2" applyFont="1" applyBorder="1"/>
    <xf numFmtId="0" fontId="2" fillId="0" borderId="3" xfId="2" applyFont="1" applyBorder="1" applyAlignment="1">
      <alignment vertical="center" wrapText="1"/>
    </xf>
    <xf numFmtId="0" fontId="18" fillId="0" borderId="3" xfId="2" applyFont="1" applyBorder="1" applyAlignment="1"/>
    <xf numFmtId="0" fontId="14" fillId="9" borderId="31" xfId="0" applyFont="1" applyFill="1" applyBorder="1" applyAlignment="1"/>
    <xf numFmtId="0" fontId="14" fillId="9" borderId="32" xfId="0" applyFont="1" applyFill="1" applyBorder="1" applyAlignment="1"/>
    <xf numFmtId="0" fontId="14" fillId="9" borderId="33" xfId="0" applyFont="1" applyFill="1" applyBorder="1" applyAlignment="1"/>
    <xf numFmtId="0" fontId="14" fillId="9" borderId="34" xfId="0" applyFont="1" applyFill="1" applyBorder="1" applyAlignment="1"/>
    <xf numFmtId="0" fontId="14" fillId="9" borderId="3" xfId="0" applyFont="1" applyFill="1" applyBorder="1" applyAlignment="1"/>
    <xf numFmtId="0" fontId="14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4" fillId="9" borderId="24" xfId="0" applyFont="1" applyFill="1" applyBorder="1" applyAlignment="1"/>
    <xf numFmtId="0" fontId="14" fillId="9" borderId="37" xfId="0" applyFont="1" applyFill="1" applyBorder="1" applyAlignment="1"/>
    <xf numFmtId="0" fontId="2" fillId="3" borderId="7" xfId="0" applyFont="1" applyFill="1" applyBorder="1" applyAlignment="1">
      <alignment horizontal="left" vertical="center"/>
    </xf>
    <xf numFmtId="0" fontId="19" fillId="0" borderId="30" xfId="3" applyAlignment="1"/>
    <xf numFmtId="0" fontId="19" fillId="0" borderId="30" xfId="3" applyAlignment="1">
      <alignment vertical="center"/>
    </xf>
    <xf numFmtId="0" fontId="11" fillId="9" borderId="21" xfId="0" applyFont="1" applyFill="1" applyBorder="1" applyProtection="1">
      <protection locked="0"/>
    </xf>
    <xf numFmtId="0" fontId="11" fillId="9" borderId="3" xfId="0" applyFont="1" applyFill="1" applyBorder="1" applyProtection="1">
      <protection locked="0"/>
    </xf>
    <xf numFmtId="0" fontId="11" fillId="0" borderId="0" xfId="0" quotePrefix="1" applyFont="1" applyAlignment="1">
      <alignment horizontal="center" vertical="center"/>
    </xf>
    <xf numFmtId="0" fontId="3" fillId="0" borderId="4" xfId="0" applyFont="1" applyBorder="1" applyProtection="1"/>
    <xf numFmtId="0" fontId="4" fillId="3" borderId="6" xfId="0" applyFont="1" applyFill="1" applyBorder="1" applyAlignment="1" applyProtection="1">
      <alignment horizontal="left" vertical="center" wrapText="1"/>
    </xf>
    <xf numFmtId="0" fontId="22" fillId="0" borderId="21" xfId="0" applyFont="1" applyBorder="1" applyAlignment="1">
      <alignment vertical="top" wrapText="1"/>
    </xf>
    <xf numFmtId="0" fontId="22" fillId="0" borderId="21" xfId="0" applyFont="1" applyBorder="1" applyAlignment="1">
      <alignment vertical="top" wrapText="1" readingOrder="1"/>
    </xf>
    <xf numFmtId="0" fontId="4" fillId="3" borderId="17" xfId="0" applyFont="1" applyFill="1" applyBorder="1" applyAlignment="1">
      <alignment horizontal="left" vertical="center"/>
    </xf>
    <xf numFmtId="0" fontId="4" fillId="3" borderId="18" xfId="0" applyFont="1" applyFill="1" applyBorder="1" applyAlignment="1">
      <alignment horizontal="left" vertical="center"/>
    </xf>
    <xf numFmtId="0" fontId="4" fillId="3" borderId="19" xfId="0" applyFont="1" applyFill="1" applyBorder="1" applyAlignment="1">
      <alignment horizontal="left" vertical="center"/>
    </xf>
    <xf numFmtId="0" fontId="4" fillId="3" borderId="23" xfId="0" applyFont="1" applyFill="1" applyBorder="1" applyAlignment="1">
      <alignment horizontal="left" vertical="center"/>
    </xf>
    <xf numFmtId="0" fontId="4" fillId="3" borderId="24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wrapText="1"/>
    </xf>
    <xf numFmtId="0" fontId="2" fillId="3" borderId="9" xfId="0" applyFont="1" applyFill="1" applyBorder="1" applyAlignment="1">
      <alignment horizontal="left" wrapText="1"/>
    </xf>
    <xf numFmtId="0" fontId="2" fillId="3" borderId="10" xfId="0" applyFont="1" applyFill="1" applyBorder="1" applyAlignment="1">
      <alignment horizontal="left" wrapText="1"/>
    </xf>
    <xf numFmtId="0" fontId="2" fillId="3" borderId="11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2" fillId="3" borderId="12" xfId="0" applyFont="1" applyFill="1" applyBorder="1" applyAlignment="1">
      <alignment horizontal="left" wrapText="1"/>
    </xf>
    <xf numFmtId="0" fontId="2" fillId="3" borderId="13" xfId="0" applyFont="1" applyFill="1" applyBorder="1" applyAlignment="1">
      <alignment horizontal="left" wrapText="1"/>
    </xf>
    <xf numFmtId="0" fontId="2" fillId="3" borderId="14" xfId="0" applyFont="1" applyFill="1" applyBorder="1" applyAlignment="1">
      <alignment horizontal="left" wrapText="1"/>
    </xf>
    <xf numFmtId="0" fontId="2" fillId="3" borderId="15" xfId="0" applyFont="1" applyFill="1" applyBorder="1" applyAlignment="1">
      <alignment horizontal="left" wrapText="1"/>
    </xf>
    <xf numFmtId="0" fontId="4" fillId="3" borderId="25" xfId="0" applyFont="1" applyFill="1" applyBorder="1" applyAlignment="1">
      <alignment horizontal="left" vertical="center"/>
    </xf>
    <xf numFmtId="0" fontId="2" fillId="3" borderId="13" xfId="0" applyFont="1" applyFill="1" applyBorder="1" applyAlignment="1" applyProtection="1">
      <alignment horizontal="left" wrapText="1"/>
    </xf>
    <xf numFmtId="0" fontId="2" fillId="3" borderId="14" xfId="0" applyFont="1" applyFill="1" applyBorder="1" applyAlignment="1" applyProtection="1">
      <alignment horizontal="left" wrapText="1"/>
    </xf>
    <xf numFmtId="0" fontId="2" fillId="3" borderId="15" xfId="0" applyFont="1" applyFill="1" applyBorder="1" applyAlignment="1" applyProtection="1">
      <alignment horizontal="left" wrapText="1"/>
    </xf>
    <xf numFmtId="0" fontId="2" fillId="3" borderId="8" xfId="0" applyFont="1" applyFill="1" applyBorder="1" applyAlignment="1" applyProtection="1">
      <alignment horizontal="left"/>
    </xf>
    <xf numFmtId="0" fontId="2" fillId="3" borderId="9" xfId="0" applyFont="1" applyFill="1" applyBorder="1" applyAlignment="1" applyProtection="1">
      <alignment horizontal="left"/>
    </xf>
    <xf numFmtId="0" fontId="2" fillId="3" borderId="10" xfId="0" applyFont="1" applyFill="1" applyBorder="1" applyAlignment="1" applyProtection="1">
      <alignment horizontal="left"/>
    </xf>
    <xf numFmtId="0" fontId="4" fillId="3" borderId="27" xfId="0" applyFont="1" applyFill="1" applyBorder="1" applyAlignment="1" applyProtection="1">
      <alignment horizontal="left"/>
    </xf>
    <xf numFmtId="0" fontId="4" fillId="3" borderId="28" xfId="0" applyFont="1" applyFill="1" applyBorder="1" applyAlignment="1" applyProtection="1">
      <alignment horizontal="left"/>
    </xf>
    <xf numFmtId="0" fontId="4" fillId="3" borderId="29" xfId="0" applyFont="1" applyFill="1" applyBorder="1" applyAlignment="1" applyProtection="1">
      <alignment horizontal="left"/>
    </xf>
    <xf numFmtId="0" fontId="2" fillId="3" borderId="11" xfId="0" applyFont="1" applyFill="1" applyBorder="1" applyAlignment="1" applyProtection="1">
      <alignment horizontal="left"/>
    </xf>
    <xf numFmtId="0" fontId="2" fillId="3" borderId="3" xfId="0" applyFont="1" applyFill="1" applyBorder="1" applyAlignment="1" applyProtection="1">
      <alignment horizontal="left"/>
    </xf>
    <xf numFmtId="0" fontId="2" fillId="3" borderId="12" xfId="0" applyFont="1" applyFill="1" applyBorder="1" applyAlignment="1" applyProtection="1">
      <alignment horizontal="left"/>
    </xf>
    <xf numFmtId="0" fontId="2" fillId="3" borderId="13" xfId="0" applyFont="1" applyFill="1" applyBorder="1" applyAlignment="1" applyProtection="1">
      <alignment horizontal="left"/>
    </xf>
    <xf numFmtId="0" fontId="2" fillId="3" borderId="14" xfId="0" applyFont="1" applyFill="1" applyBorder="1" applyAlignment="1" applyProtection="1">
      <alignment horizontal="left"/>
    </xf>
    <xf numFmtId="0" fontId="2" fillId="3" borderId="15" xfId="0" applyFont="1" applyFill="1" applyBorder="1" applyAlignment="1" applyProtection="1">
      <alignment horizontal="left"/>
    </xf>
    <xf numFmtId="0" fontId="4" fillId="4" borderId="4" xfId="0" applyFont="1" applyFill="1" applyBorder="1" applyAlignment="1" applyProtection="1">
      <alignment horizontal="center" vertical="center"/>
    </xf>
    <xf numFmtId="0" fontId="17" fillId="4" borderId="5" xfId="0" applyFont="1" applyFill="1" applyBorder="1" applyProtection="1"/>
    <xf numFmtId="0" fontId="17" fillId="4" borderId="2" xfId="0" applyFont="1" applyFill="1" applyBorder="1" applyProtection="1"/>
    <xf numFmtId="0" fontId="4" fillId="4" borderId="6" xfId="0" applyFont="1" applyFill="1" applyBorder="1" applyAlignment="1" applyProtection="1">
      <alignment horizontal="center" vertical="center" wrapText="1"/>
    </xf>
    <xf numFmtId="0" fontId="17" fillId="4" borderId="7" xfId="0" applyFont="1" applyFill="1" applyBorder="1" applyProtection="1"/>
  </cellXfs>
  <cellStyles count="7">
    <cellStyle name="Comma" xfId="1" builtinId="3"/>
    <cellStyle name="Comma 2" xfId="5"/>
    <cellStyle name="Linked Cell" xfId="3" builtinId="24"/>
    <cellStyle name="Normal" xfId="0" builtinId="0"/>
    <cellStyle name="Normal 2" xfId="2"/>
    <cellStyle name="Normal 2 2" xfId="6"/>
    <cellStyle name="Normal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abSelected="1" zoomScaleNormal="100" workbookViewId="0">
      <selection activeCell="D17" sqref="D1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201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44960</v>
      </c>
      <c r="D23" s="29" t="s">
        <v>170</v>
      </c>
      <c r="E23" s="54">
        <v>1</v>
      </c>
      <c r="F23" s="54">
        <f>43/60</f>
        <v>0.71666666666666667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4"/>
      <c r="F24" s="5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4"/>
      <c r="F25" s="5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4"/>
      <c r="F26" s="5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4"/>
      <c r="F27" s="5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09" t="s">
        <v>158</v>
      </c>
      <c r="C29" s="112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09" t="s">
        <v>159</v>
      </c>
      <c r="C30" s="113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3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5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202</v>
      </c>
      <c r="D34" s="23"/>
      <c r="E34" s="56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203</v>
      </c>
      <c r="D35" s="23"/>
      <c r="E35" s="54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204</v>
      </c>
      <c r="D36" s="23"/>
      <c r="E36" s="54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205</v>
      </c>
      <c r="D37" s="23"/>
      <c r="E37" s="54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206</v>
      </c>
      <c r="D38" s="23"/>
      <c r="E38" s="54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4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4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4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4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4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4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4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4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22" t="s">
        <v>19</v>
      </c>
      <c r="C47" s="123"/>
      <c r="D47" s="120"/>
      <c r="E47" s="123"/>
      <c r="F47" s="12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/>
      <c r="D48" s="23"/>
      <c r="E48" s="54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4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4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4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22" t="s">
        <v>43</v>
      </c>
      <c r="C52" s="123"/>
      <c r="D52" s="120"/>
      <c r="E52" s="123"/>
      <c r="F52" s="12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44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9" t="s">
        <v>52</v>
      </c>
      <c r="C54" s="120"/>
      <c r="D54" s="120"/>
      <c r="E54" s="120"/>
      <c r="F54" s="12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6"/>
      <c r="F55" s="56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6"/>
      <c r="F56" s="56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4"/>
      <c r="F57" s="5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4"/>
      <c r="F58" s="5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9" t="s">
        <v>20</v>
      </c>
      <c r="C59" s="120"/>
      <c r="D59" s="120"/>
      <c r="E59" s="120"/>
      <c r="F59" s="12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/>
      <c r="D60" s="28"/>
      <c r="E60" s="54"/>
      <c r="F60" s="5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4"/>
      <c r="F61" s="5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4"/>
      <c r="F62" s="5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4"/>
      <c r="F63" s="5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4"/>
      <c r="F64" s="5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4"/>
      <c r="F65" s="5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54</v>
      </c>
      <c r="C68" s="17" t="s">
        <v>50</v>
      </c>
      <c r="D68" s="17" t="s">
        <v>55</v>
      </c>
      <c r="E68" s="18" t="s">
        <v>56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163</v>
      </c>
      <c r="D69" s="54">
        <v>1235.8800000000001</v>
      </c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164</v>
      </c>
      <c r="D70" s="54">
        <v>2723.65</v>
      </c>
      <c r="E70" s="54"/>
      <c r="F70" s="5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207</v>
      </c>
      <c r="D71" s="54">
        <v>3500</v>
      </c>
      <c r="E71" s="54"/>
      <c r="F71" s="5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165</v>
      </c>
      <c r="D72" s="54">
        <v>1290</v>
      </c>
      <c r="E72" s="54"/>
      <c r="F72" s="5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 t="s">
        <v>171</v>
      </c>
      <c r="D73" s="54"/>
      <c r="E73" s="54"/>
      <c r="F73" s="5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 t="s">
        <v>166</v>
      </c>
      <c r="D74" s="54">
        <v>500</v>
      </c>
      <c r="E74" s="54"/>
      <c r="F74" s="5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 t="s">
        <v>167</v>
      </c>
      <c r="D75" s="54">
        <v>9600</v>
      </c>
      <c r="E75" s="54"/>
      <c r="F75" s="5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4"/>
      <c r="E76" s="54"/>
      <c r="F76" s="5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4"/>
      <c r="E77" s="54"/>
      <c r="F77" s="5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4"/>
      <c r="E78" s="54"/>
      <c r="F78" s="5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7"/>
      <c r="E79" s="57"/>
      <c r="F79" s="57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8">
        <f>SUM(D69:D79)</f>
        <v>18849.53</v>
      </c>
      <c r="E80" s="58">
        <f>SUM(E69:E79)</f>
        <v>0</v>
      </c>
      <c r="F80" s="58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G22" sqref="G22"/>
    </sheetView>
  </sheetViews>
  <sheetFormatPr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9.1406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59" t="str">
        <f>'1.1 Case data_general'!D2</f>
        <v>APPENDECTOMY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1" t="s">
        <v>5</v>
      </c>
      <c r="C10" s="116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115">
        <v>1</v>
      </c>
      <c r="C11" s="117" t="s">
        <v>175</v>
      </c>
      <c r="D11" s="27" t="s">
        <v>216</v>
      </c>
      <c r="E11" s="27" t="s">
        <v>198</v>
      </c>
      <c r="F11" s="54">
        <v>1</v>
      </c>
      <c r="G11" s="54">
        <v>1</v>
      </c>
      <c r="H11" s="54">
        <v>3</v>
      </c>
      <c r="I11" s="54">
        <v>93.33</v>
      </c>
      <c r="J11" s="54">
        <f>H11*I11</f>
        <v>279.99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115">
        <v>2</v>
      </c>
      <c r="C12" s="118" t="s">
        <v>177</v>
      </c>
      <c r="D12" s="27" t="s">
        <v>215</v>
      </c>
      <c r="E12" s="27" t="s">
        <v>199</v>
      </c>
      <c r="F12" s="54">
        <v>1</v>
      </c>
      <c r="G12" s="54">
        <v>1</v>
      </c>
      <c r="H12" s="54">
        <v>1</v>
      </c>
      <c r="I12" s="54">
        <v>49.33</v>
      </c>
      <c r="J12" s="54">
        <f t="shared" ref="J12:J26" si="0">H12*I12</f>
        <v>49.33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115">
        <v>3</v>
      </c>
      <c r="C13" s="117" t="s">
        <v>176</v>
      </c>
      <c r="D13" s="27" t="s">
        <v>215</v>
      </c>
      <c r="E13" s="27" t="s">
        <v>199</v>
      </c>
      <c r="F13" s="54">
        <v>1</v>
      </c>
      <c r="G13" s="54">
        <v>1</v>
      </c>
      <c r="H13" s="54">
        <v>1</v>
      </c>
      <c r="I13" s="54">
        <v>50.67</v>
      </c>
      <c r="J13" s="54">
        <f t="shared" si="0"/>
        <v>50.67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115">
        <v>4</v>
      </c>
      <c r="C14" s="117" t="s">
        <v>208</v>
      </c>
      <c r="D14" s="27" t="s">
        <v>217</v>
      </c>
      <c r="E14" s="27" t="s">
        <v>210</v>
      </c>
      <c r="F14" s="54">
        <v>1</v>
      </c>
      <c r="G14" s="54">
        <v>1</v>
      </c>
      <c r="H14" s="54">
        <v>2</v>
      </c>
      <c r="I14" s="54">
        <v>17.03</v>
      </c>
      <c r="J14" s="54">
        <f t="shared" si="0"/>
        <v>34.06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115">
        <v>5</v>
      </c>
      <c r="C15" s="117" t="s">
        <v>179</v>
      </c>
      <c r="D15" s="27" t="s">
        <v>215</v>
      </c>
      <c r="E15" s="27" t="s">
        <v>211</v>
      </c>
      <c r="F15" s="54">
        <v>1</v>
      </c>
      <c r="G15" s="54">
        <v>1</v>
      </c>
      <c r="H15" s="54">
        <v>1</v>
      </c>
      <c r="I15" s="54">
        <v>81.63</v>
      </c>
      <c r="J15" s="54">
        <f t="shared" si="0"/>
        <v>81.63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115">
        <v>6</v>
      </c>
      <c r="C16" s="117" t="s">
        <v>181</v>
      </c>
      <c r="D16" s="27" t="s">
        <v>217</v>
      </c>
      <c r="E16" s="27" t="s">
        <v>200</v>
      </c>
      <c r="F16" s="54">
        <v>1</v>
      </c>
      <c r="G16" s="54">
        <v>1</v>
      </c>
      <c r="H16" s="54">
        <v>1</v>
      </c>
      <c r="I16" s="54">
        <v>38.51</v>
      </c>
      <c r="J16" s="54">
        <f t="shared" si="0"/>
        <v>38.51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115">
        <v>7</v>
      </c>
      <c r="C17" s="118" t="s">
        <v>178</v>
      </c>
      <c r="D17" s="27" t="s">
        <v>217</v>
      </c>
      <c r="E17" s="27" t="s">
        <v>212</v>
      </c>
      <c r="F17" s="54">
        <v>1</v>
      </c>
      <c r="G17" s="54">
        <v>1</v>
      </c>
      <c r="H17" s="54">
        <v>1</v>
      </c>
      <c r="I17" s="54">
        <v>30.4</v>
      </c>
      <c r="J17" s="54">
        <f t="shared" si="0"/>
        <v>30.4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115">
        <v>8</v>
      </c>
      <c r="C18" s="118" t="s">
        <v>180</v>
      </c>
      <c r="D18" s="27" t="s">
        <v>215</v>
      </c>
      <c r="E18" s="27" t="s">
        <v>199</v>
      </c>
      <c r="F18" s="54">
        <v>1</v>
      </c>
      <c r="G18" s="54">
        <v>1</v>
      </c>
      <c r="H18" s="54">
        <v>1</v>
      </c>
      <c r="I18" s="54">
        <v>49.33</v>
      </c>
      <c r="J18" s="54">
        <f t="shared" si="0"/>
        <v>49.33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115">
        <v>9</v>
      </c>
      <c r="C19" s="117" t="s">
        <v>172</v>
      </c>
      <c r="D19" s="27" t="s">
        <v>215</v>
      </c>
      <c r="E19" s="27" t="s">
        <v>213</v>
      </c>
      <c r="F19" s="54">
        <v>1</v>
      </c>
      <c r="G19" s="54">
        <v>1</v>
      </c>
      <c r="H19" s="54">
        <v>1</v>
      </c>
      <c r="I19" s="54">
        <v>89.79</v>
      </c>
      <c r="J19" s="54">
        <f t="shared" si="0"/>
        <v>89.79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115">
        <v>10</v>
      </c>
      <c r="C20" s="117" t="s">
        <v>173</v>
      </c>
      <c r="D20" s="27" t="s">
        <v>217</v>
      </c>
      <c r="E20" s="27" t="s">
        <v>196</v>
      </c>
      <c r="F20" s="54">
        <v>1</v>
      </c>
      <c r="G20" s="54">
        <v>1</v>
      </c>
      <c r="H20" s="54">
        <v>3</v>
      </c>
      <c r="I20" s="54">
        <v>4.57</v>
      </c>
      <c r="J20" s="54">
        <f t="shared" si="0"/>
        <v>13.71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115">
        <v>11</v>
      </c>
      <c r="C21" s="117" t="s">
        <v>174</v>
      </c>
      <c r="D21" s="27" t="s">
        <v>217</v>
      </c>
      <c r="E21" s="27" t="s">
        <v>197</v>
      </c>
      <c r="F21" s="54">
        <v>1</v>
      </c>
      <c r="G21" s="54">
        <v>1</v>
      </c>
      <c r="H21" s="54">
        <v>3</v>
      </c>
      <c r="I21" s="54">
        <v>4.92</v>
      </c>
      <c r="J21" s="54">
        <f t="shared" si="0"/>
        <v>14.76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115">
        <v>12</v>
      </c>
      <c r="C22" s="117" t="s">
        <v>175</v>
      </c>
      <c r="D22" s="27" t="s">
        <v>216</v>
      </c>
      <c r="E22" s="27" t="s">
        <v>198</v>
      </c>
      <c r="F22" s="54">
        <v>1</v>
      </c>
      <c r="G22" s="54">
        <v>1</v>
      </c>
      <c r="H22" s="54">
        <v>3</v>
      </c>
      <c r="I22" s="54">
        <v>93.33</v>
      </c>
      <c r="J22" s="54">
        <f t="shared" si="0"/>
        <v>279.99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115">
        <v>13</v>
      </c>
      <c r="C23" s="118" t="s">
        <v>180</v>
      </c>
      <c r="D23" s="27" t="s">
        <v>215</v>
      </c>
      <c r="E23" s="27" t="s">
        <v>199</v>
      </c>
      <c r="F23" s="54">
        <v>1</v>
      </c>
      <c r="G23" s="54">
        <v>1</v>
      </c>
      <c r="H23" s="54">
        <v>2</v>
      </c>
      <c r="I23" s="54">
        <v>49.33</v>
      </c>
      <c r="J23" s="54">
        <f t="shared" si="0"/>
        <v>98.66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115">
        <v>14</v>
      </c>
      <c r="C24" s="118" t="s">
        <v>177</v>
      </c>
      <c r="D24" s="27" t="s">
        <v>215</v>
      </c>
      <c r="E24" s="27" t="s">
        <v>199</v>
      </c>
      <c r="F24" s="54">
        <v>1</v>
      </c>
      <c r="G24" s="54">
        <v>1</v>
      </c>
      <c r="H24" s="54">
        <v>2</v>
      </c>
      <c r="I24" s="54">
        <v>49.33</v>
      </c>
      <c r="J24" s="54">
        <f t="shared" si="0"/>
        <v>98.66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115">
        <v>15</v>
      </c>
      <c r="C25" s="117" t="s">
        <v>182</v>
      </c>
      <c r="D25" s="27" t="s">
        <v>217</v>
      </c>
      <c r="E25" s="27" t="s">
        <v>214</v>
      </c>
      <c r="F25" s="54">
        <v>1</v>
      </c>
      <c r="G25" s="54">
        <v>1</v>
      </c>
      <c r="H25" s="54">
        <v>1</v>
      </c>
      <c r="I25" s="54">
        <v>6.39</v>
      </c>
      <c r="J25" s="54">
        <f t="shared" si="0"/>
        <v>6.39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115">
        <v>16</v>
      </c>
      <c r="C26" s="117" t="s">
        <v>209</v>
      </c>
      <c r="D26" s="27"/>
      <c r="E26" s="27"/>
      <c r="F26" s="54">
        <v>1</v>
      </c>
      <c r="G26" s="54">
        <v>1</v>
      </c>
      <c r="H26" s="54">
        <v>1</v>
      </c>
      <c r="I26" s="54">
        <v>20</v>
      </c>
      <c r="J26" s="54">
        <f t="shared" si="0"/>
        <v>20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VVNWf0/s8vXVdMQz4Baf1Tset5Q5y6oWvtW6ZoliZmunsLeRbKjm7NRC7/2LnDBdYWKMDxQ+g5U1V2Ne4DfNSA==" saltValue="eRPnpbFELAsJdMXPcZ7pR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opLeftCell="C1" workbookViewId="0">
      <selection activeCell="D56" sqref="D56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3"/>
      <c r="B1" s="39"/>
      <c r="C1" s="43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3"/>
      <c r="B2" s="36" t="s">
        <v>67</v>
      </c>
      <c r="C2" s="36"/>
      <c r="D2" s="61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3"/>
      <c r="B3" s="39"/>
      <c r="C3" s="43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3"/>
      <c r="B4" s="39" t="s">
        <v>72</v>
      </c>
      <c r="C4" s="43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3"/>
      <c r="B5" s="39" t="s">
        <v>74</v>
      </c>
      <c r="C5" s="43">
        <v>31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3"/>
      <c r="B6" s="39" t="s">
        <v>73</v>
      </c>
      <c r="C6" s="43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3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3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3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3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2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3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3"/>
      <c r="B13" s="39"/>
      <c r="C13" s="43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7">
        <v>1</v>
      </c>
      <c r="C16" s="68"/>
      <c r="D16" s="69"/>
      <c r="E16" s="54"/>
      <c r="F16" s="54"/>
      <c r="G16" s="54">
        <f>E16*F16</f>
        <v>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7">
        <v>2</v>
      </c>
      <c r="C17" s="68"/>
      <c r="D17" s="69"/>
      <c r="E17" s="54"/>
      <c r="F17" s="54"/>
      <c r="G17" s="54">
        <f t="shared" ref="G17:G32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7">
        <v>3</v>
      </c>
      <c r="C18" s="68"/>
      <c r="D18" s="69"/>
      <c r="E18" s="54"/>
      <c r="F18" s="54"/>
      <c r="G18" s="54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7">
        <v>4</v>
      </c>
      <c r="C19" s="68"/>
      <c r="D19" s="69"/>
      <c r="E19" s="54"/>
      <c r="F19" s="54"/>
      <c r="G19" s="54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7">
        <v>5</v>
      </c>
      <c r="C20" s="68"/>
      <c r="D20" s="69"/>
      <c r="E20" s="54"/>
      <c r="F20" s="54"/>
      <c r="G20" s="54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7">
        <v>6</v>
      </c>
      <c r="C21" s="68"/>
      <c r="D21" s="69"/>
      <c r="E21" s="54"/>
      <c r="F21" s="54"/>
      <c r="G21" s="54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7">
        <v>7</v>
      </c>
      <c r="C22" s="68"/>
      <c r="D22" s="69"/>
      <c r="E22" s="54"/>
      <c r="F22" s="54"/>
      <c r="G22" s="54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7">
        <v>8</v>
      </c>
      <c r="C23" s="68"/>
      <c r="D23" s="69"/>
      <c r="E23" s="54"/>
      <c r="F23" s="54"/>
      <c r="G23" s="54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7">
        <v>9</v>
      </c>
      <c r="C24" s="68"/>
      <c r="D24" s="69"/>
      <c r="E24" s="54"/>
      <c r="F24" s="54"/>
      <c r="G24" s="54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7">
        <v>10</v>
      </c>
      <c r="C25" s="68"/>
      <c r="D25" s="69"/>
      <c r="E25" s="54"/>
      <c r="F25" s="54"/>
      <c r="G25" s="54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7">
        <v>11</v>
      </c>
      <c r="C26" s="68"/>
      <c r="D26" s="69"/>
      <c r="E26" s="54"/>
      <c r="F26" s="54"/>
      <c r="G26" s="54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7">
        <v>12</v>
      </c>
      <c r="C27" s="68"/>
      <c r="D27" s="69"/>
      <c r="E27" s="54"/>
      <c r="F27" s="54"/>
      <c r="G27" s="54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7">
        <v>13</v>
      </c>
      <c r="C28" s="68"/>
      <c r="D28" s="69"/>
      <c r="E28" s="54"/>
      <c r="F28" s="54"/>
      <c r="G28" s="54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7">
        <v>14</v>
      </c>
      <c r="C29" s="68"/>
      <c r="D29" s="69"/>
      <c r="E29" s="54"/>
      <c r="F29" s="54"/>
      <c r="G29" s="54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7">
        <v>15</v>
      </c>
      <c r="C30" s="68"/>
      <c r="D30" s="69"/>
      <c r="E30" s="54"/>
      <c r="F30" s="54"/>
      <c r="G30" s="54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7">
        <v>16</v>
      </c>
      <c r="C31" s="68"/>
      <c r="D31" s="69"/>
      <c r="E31" s="54"/>
      <c r="F31" s="54"/>
      <c r="G31" s="54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7">
        <v>17</v>
      </c>
      <c r="C32" s="68"/>
      <c r="D32" s="69"/>
      <c r="E32" s="54"/>
      <c r="F32" s="54"/>
      <c r="G32" s="54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40" t="s">
        <v>75</v>
      </c>
      <c r="C33" s="141"/>
      <c r="D33" s="141"/>
      <c r="E33" s="141"/>
      <c r="F33" s="141"/>
      <c r="G33" s="142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7">
        <v>1</v>
      </c>
      <c r="C34" s="68" t="s">
        <v>188</v>
      </c>
      <c r="D34" s="69" t="s">
        <v>195</v>
      </c>
      <c r="E34" s="54">
        <v>1</v>
      </c>
      <c r="F34" s="54">
        <v>14</v>
      </c>
      <c r="G34" s="54">
        <f>E34*F34</f>
        <v>14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7">
        <v>2</v>
      </c>
      <c r="C35" s="68" t="s">
        <v>189</v>
      </c>
      <c r="D35" s="69" t="s">
        <v>195</v>
      </c>
      <c r="E35" s="54">
        <v>1</v>
      </c>
      <c r="F35" s="54">
        <v>120</v>
      </c>
      <c r="G35" s="54">
        <f t="shared" ref="G35:G64" si="1">E35*F35</f>
        <v>120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7">
        <v>3</v>
      </c>
      <c r="C36" s="68" t="s">
        <v>218</v>
      </c>
      <c r="D36" s="69" t="s">
        <v>195</v>
      </c>
      <c r="E36" s="54">
        <v>1</v>
      </c>
      <c r="F36" s="54">
        <v>149</v>
      </c>
      <c r="G36" s="54">
        <f t="shared" si="1"/>
        <v>149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7">
        <v>4</v>
      </c>
      <c r="C37" s="68" t="s">
        <v>219</v>
      </c>
      <c r="D37" s="69" t="s">
        <v>195</v>
      </c>
      <c r="E37" s="54">
        <v>1</v>
      </c>
      <c r="F37" s="54">
        <v>95</v>
      </c>
      <c r="G37" s="54">
        <f t="shared" si="1"/>
        <v>95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7">
        <v>5</v>
      </c>
      <c r="C38" s="68" t="s">
        <v>193</v>
      </c>
      <c r="D38" s="69" t="s">
        <v>195</v>
      </c>
      <c r="E38" s="54">
        <v>1</v>
      </c>
      <c r="F38" s="54">
        <v>70.67</v>
      </c>
      <c r="G38" s="54">
        <f t="shared" si="1"/>
        <v>70.67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7">
        <v>6</v>
      </c>
      <c r="C39" s="68" t="s">
        <v>194</v>
      </c>
      <c r="D39" s="69" t="s">
        <v>195</v>
      </c>
      <c r="E39" s="54">
        <v>0.5</v>
      </c>
      <c r="F39" s="54">
        <v>67.319999999999993</v>
      </c>
      <c r="G39" s="54">
        <f t="shared" si="1"/>
        <v>33.659999999999997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7">
        <v>7</v>
      </c>
      <c r="C40" s="68" t="s">
        <v>220</v>
      </c>
      <c r="D40" s="69" t="s">
        <v>195</v>
      </c>
      <c r="E40" s="54">
        <v>1</v>
      </c>
      <c r="F40" s="54">
        <v>84</v>
      </c>
      <c r="G40" s="54">
        <f t="shared" si="1"/>
        <v>84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7">
        <v>8</v>
      </c>
      <c r="C41" s="68" t="s">
        <v>218</v>
      </c>
      <c r="D41" s="69" t="s">
        <v>195</v>
      </c>
      <c r="E41" s="54">
        <v>1</v>
      </c>
      <c r="F41" s="54">
        <v>258</v>
      </c>
      <c r="G41" s="54">
        <f t="shared" si="1"/>
        <v>258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7">
        <v>9</v>
      </c>
      <c r="C42" s="68" t="s">
        <v>221</v>
      </c>
      <c r="D42" s="69" t="s">
        <v>195</v>
      </c>
      <c r="E42" s="54">
        <v>3</v>
      </c>
      <c r="F42" s="54">
        <v>2.77</v>
      </c>
      <c r="G42" s="54">
        <f t="shared" si="1"/>
        <v>8.31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7">
        <v>10</v>
      </c>
      <c r="C43" s="68" t="s">
        <v>222</v>
      </c>
      <c r="D43" s="69" t="s">
        <v>195</v>
      </c>
      <c r="E43" s="54">
        <v>1</v>
      </c>
      <c r="F43" s="54">
        <v>168.44</v>
      </c>
      <c r="G43" s="54">
        <f t="shared" si="1"/>
        <v>168.44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7">
        <v>11</v>
      </c>
      <c r="C44" s="68" t="s">
        <v>223</v>
      </c>
      <c r="D44" s="69" t="s">
        <v>195</v>
      </c>
      <c r="E44" s="54">
        <v>5</v>
      </c>
      <c r="F44" s="54">
        <v>30</v>
      </c>
      <c r="G44" s="54">
        <f t="shared" si="1"/>
        <v>150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7">
        <v>12</v>
      </c>
      <c r="C45" s="68" t="s">
        <v>183</v>
      </c>
      <c r="D45" s="69" t="s">
        <v>195</v>
      </c>
      <c r="E45" s="54">
        <v>1</v>
      </c>
      <c r="F45" s="54">
        <v>1.6</v>
      </c>
      <c r="G45" s="54">
        <f t="shared" si="1"/>
        <v>1.6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7">
        <v>13</v>
      </c>
      <c r="C46" s="68" t="s">
        <v>184</v>
      </c>
      <c r="D46" s="69" t="s">
        <v>195</v>
      </c>
      <c r="E46" s="54">
        <v>1</v>
      </c>
      <c r="F46" s="54">
        <v>1.6</v>
      </c>
      <c r="G46" s="54">
        <f t="shared" si="1"/>
        <v>1.6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7">
        <v>14</v>
      </c>
      <c r="C47" s="68" t="s">
        <v>224</v>
      </c>
      <c r="D47" s="69" t="s">
        <v>195</v>
      </c>
      <c r="E47" s="54">
        <v>1</v>
      </c>
      <c r="F47" s="54">
        <v>5</v>
      </c>
      <c r="G47" s="54">
        <f t="shared" si="1"/>
        <v>5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7">
        <v>15</v>
      </c>
      <c r="C48" s="68" t="s">
        <v>185</v>
      </c>
      <c r="D48" s="69" t="s">
        <v>195</v>
      </c>
      <c r="E48" s="54">
        <v>1</v>
      </c>
      <c r="F48" s="54">
        <v>2.77</v>
      </c>
      <c r="G48" s="54">
        <f t="shared" si="1"/>
        <v>2.77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7">
        <v>16</v>
      </c>
      <c r="C49" s="68" t="s">
        <v>225</v>
      </c>
      <c r="D49" s="69" t="s">
        <v>195</v>
      </c>
      <c r="E49" s="54">
        <v>8</v>
      </c>
      <c r="F49" s="54">
        <v>12</v>
      </c>
      <c r="G49" s="54">
        <f t="shared" si="1"/>
        <v>96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7">
        <v>17</v>
      </c>
      <c r="C50" s="68" t="s">
        <v>226</v>
      </c>
      <c r="D50" s="69" t="s">
        <v>195</v>
      </c>
      <c r="E50" s="54">
        <v>8</v>
      </c>
      <c r="F50" s="54">
        <v>15</v>
      </c>
      <c r="G50" s="54">
        <f t="shared" si="1"/>
        <v>120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7">
        <v>18</v>
      </c>
      <c r="C51" s="68" t="s">
        <v>227</v>
      </c>
      <c r="D51" s="69" t="s">
        <v>195</v>
      </c>
      <c r="E51" s="54">
        <v>8</v>
      </c>
      <c r="F51" s="54">
        <v>10.67</v>
      </c>
      <c r="G51" s="54">
        <f t="shared" si="1"/>
        <v>85.36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7">
        <v>19</v>
      </c>
      <c r="C52" s="68" t="s">
        <v>228</v>
      </c>
      <c r="D52" s="69" t="s">
        <v>195</v>
      </c>
      <c r="E52" s="54">
        <v>50</v>
      </c>
      <c r="F52" s="54">
        <v>1.51</v>
      </c>
      <c r="G52" s="54">
        <f t="shared" si="1"/>
        <v>75.5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7">
        <v>20</v>
      </c>
      <c r="C53" s="68" t="s">
        <v>190</v>
      </c>
      <c r="D53" s="69" t="s">
        <v>195</v>
      </c>
      <c r="E53" s="54">
        <v>1</v>
      </c>
      <c r="F53" s="54">
        <v>23.87</v>
      </c>
      <c r="G53" s="54">
        <f t="shared" si="1"/>
        <v>23.87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7">
        <v>21</v>
      </c>
      <c r="C54" s="68" t="s">
        <v>229</v>
      </c>
      <c r="D54" s="69" t="s">
        <v>195</v>
      </c>
      <c r="E54" s="54">
        <v>5</v>
      </c>
      <c r="F54" s="54">
        <v>1.27</v>
      </c>
      <c r="G54" s="54">
        <f t="shared" si="1"/>
        <v>6.35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7">
        <v>22</v>
      </c>
      <c r="C55" s="68" t="s">
        <v>230</v>
      </c>
      <c r="D55" s="69" t="s">
        <v>195</v>
      </c>
      <c r="E55" s="54">
        <v>5</v>
      </c>
      <c r="F55" s="54">
        <v>1.0900000000000001</v>
      </c>
      <c r="G55" s="54">
        <f t="shared" si="1"/>
        <v>5.45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7">
        <v>23</v>
      </c>
      <c r="C56" s="68" t="s">
        <v>191</v>
      </c>
      <c r="D56" s="69" t="s">
        <v>195</v>
      </c>
      <c r="E56" s="54">
        <v>1</v>
      </c>
      <c r="F56" s="54">
        <v>66.67</v>
      </c>
      <c r="G56" s="54">
        <f t="shared" si="1"/>
        <v>66.67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7">
        <v>24</v>
      </c>
      <c r="C57" s="68" t="s">
        <v>231</v>
      </c>
      <c r="D57" s="69" t="s">
        <v>195</v>
      </c>
      <c r="E57" s="54">
        <v>1</v>
      </c>
      <c r="F57" s="54">
        <v>504</v>
      </c>
      <c r="G57" s="54">
        <f t="shared" si="1"/>
        <v>504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7">
        <v>25</v>
      </c>
      <c r="C58" s="68" t="s">
        <v>185</v>
      </c>
      <c r="D58" s="69" t="s">
        <v>195</v>
      </c>
      <c r="E58" s="54">
        <v>10</v>
      </c>
      <c r="F58" s="54">
        <v>2.77</v>
      </c>
      <c r="G58" s="54">
        <f t="shared" si="1"/>
        <v>27.7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7">
        <v>26</v>
      </c>
      <c r="C59" s="68" t="s">
        <v>186</v>
      </c>
      <c r="D59" s="69" t="s">
        <v>195</v>
      </c>
      <c r="E59" s="54">
        <v>1</v>
      </c>
      <c r="F59" s="54">
        <v>13.13</v>
      </c>
      <c r="G59" s="54">
        <f t="shared" si="1"/>
        <v>13.13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7">
        <v>27</v>
      </c>
      <c r="C60" s="68" t="s">
        <v>187</v>
      </c>
      <c r="D60" s="69" t="s">
        <v>195</v>
      </c>
      <c r="E60" s="54">
        <v>1</v>
      </c>
      <c r="F60" s="54">
        <v>13.13</v>
      </c>
      <c r="G60" s="54">
        <f t="shared" si="1"/>
        <v>13.13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7">
        <v>28</v>
      </c>
      <c r="C61" s="68" t="s">
        <v>232</v>
      </c>
      <c r="D61" s="69" t="s">
        <v>195</v>
      </c>
      <c r="E61" s="54">
        <v>1</v>
      </c>
      <c r="F61" s="54">
        <v>20.440000000000001</v>
      </c>
      <c r="G61" s="54">
        <f t="shared" si="1"/>
        <v>20.440000000000001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7">
        <v>29</v>
      </c>
      <c r="C62" s="68" t="s">
        <v>188</v>
      </c>
      <c r="D62" s="69" t="s">
        <v>195</v>
      </c>
      <c r="E62" s="54">
        <v>1</v>
      </c>
      <c r="F62" s="54">
        <v>14</v>
      </c>
      <c r="G62" s="54">
        <f t="shared" si="1"/>
        <v>14</v>
      </c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7">
        <v>30</v>
      </c>
      <c r="C63" s="68" t="s">
        <v>233</v>
      </c>
      <c r="D63" s="69" t="s">
        <v>195</v>
      </c>
      <c r="E63" s="54">
        <v>1</v>
      </c>
      <c r="F63" s="54">
        <v>394.67</v>
      </c>
      <c r="G63" s="54">
        <f t="shared" si="1"/>
        <v>394.67</v>
      </c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7">
        <v>31</v>
      </c>
      <c r="C64" s="68" t="s">
        <v>192</v>
      </c>
      <c r="D64" s="69" t="s">
        <v>195</v>
      </c>
      <c r="E64" s="54">
        <v>1</v>
      </c>
      <c r="F64" s="54">
        <v>95.33</v>
      </c>
      <c r="G64" s="54">
        <f t="shared" si="1"/>
        <v>95.33</v>
      </c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140" t="s">
        <v>29</v>
      </c>
      <c r="C65" s="141"/>
      <c r="D65" s="141"/>
      <c r="E65" s="141"/>
      <c r="F65" s="141"/>
      <c r="G65" s="142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7">
        <v>1</v>
      </c>
      <c r="C66" s="68"/>
      <c r="D66" s="69"/>
      <c r="E66" s="54"/>
      <c r="F66" s="54"/>
      <c r="G66" s="54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7">
        <v>2</v>
      </c>
      <c r="C67" s="68"/>
      <c r="D67" s="69"/>
      <c r="E67" s="54"/>
      <c r="F67" s="54"/>
      <c r="G67" s="54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7">
        <v>3</v>
      </c>
      <c r="C68" s="68"/>
      <c r="D68" s="69"/>
      <c r="E68" s="54"/>
      <c r="F68" s="54"/>
      <c r="G68" s="54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7">
        <v>4</v>
      </c>
      <c r="C69" s="68"/>
      <c r="D69" s="69"/>
      <c r="E69" s="54"/>
      <c r="F69" s="54"/>
      <c r="G69" s="54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7">
        <v>5</v>
      </c>
      <c r="C70" s="68"/>
      <c r="D70" s="69"/>
      <c r="E70" s="54"/>
      <c r="F70" s="54"/>
      <c r="G70" s="54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7">
        <v>6</v>
      </c>
      <c r="C71" s="68"/>
      <c r="D71" s="69"/>
      <c r="E71" s="54"/>
      <c r="F71" s="54"/>
      <c r="G71" s="54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7">
        <v>7</v>
      </c>
      <c r="C72" s="68"/>
      <c r="D72" s="69"/>
      <c r="E72" s="54"/>
      <c r="F72" s="54"/>
      <c r="G72" s="54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B73" s="67">
        <v>8</v>
      </c>
      <c r="C73" s="68"/>
      <c r="D73" s="69"/>
      <c r="E73" s="54"/>
      <c r="F73" s="54"/>
      <c r="G73" s="54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B74" s="67">
        <v>9</v>
      </c>
      <c r="C74" s="68"/>
      <c r="D74" s="69"/>
      <c r="E74" s="54"/>
      <c r="F74" s="54"/>
      <c r="G74" s="54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4.25" customHeight="1" x14ac:dyDescent="0.3">
      <c r="B75" s="67">
        <v>10</v>
      </c>
      <c r="C75" s="68"/>
      <c r="D75" s="69"/>
      <c r="E75" s="54"/>
      <c r="F75" s="54"/>
      <c r="G75" s="54"/>
      <c r="H75" s="39"/>
      <c r="I75" s="39"/>
      <c r="J75" s="39"/>
      <c r="K75" s="39"/>
      <c r="L75" s="39"/>
      <c r="M75" s="39"/>
      <c r="N75" s="39"/>
      <c r="O75" s="39"/>
      <c r="P75" s="39"/>
    </row>
    <row r="76" spans="1:16" ht="14.25" customHeight="1" x14ac:dyDescent="0.3">
      <c r="A76" s="43"/>
      <c r="B76" s="39"/>
      <c r="C76" s="43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</row>
    <row r="77" spans="1:16" ht="14.25" customHeight="1" x14ac:dyDescent="0.3">
      <c r="A77" s="43"/>
      <c r="B77" s="39"/>
      <c r="C77" s="43"/>
      <c r="D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</row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</sheetData>
  <sheetProtection algorithmName="SHA-512" hashValue="bxG0zGbQOyqtr7pk73xrDlvNx4Vvnr1osbikGvxIwdeOfK8fmpkzOrZa60QdqcnJ2BnpLz7ljVm0auHNV13UQw==" saltValue="QcQ6VoZsZ/HiCmK43NegQw==" spinCount="100000" sheet="1" objects="1" scenarios="1" formatColumns="0" formatRows="0" sort="0" autoFilter="0"/>
  <mergeCells count="9">
    <mergeCell ref="B7:G7"/>
    <mergeCell ref="B33:G33"/>
    <mergeCell ref="B65:G6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H23" sqref="H2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8" t="s">
        <v>76</v>
      </c>
      <c r="C2" s="78"/>
      <c r="D2" s="61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6"/>
      <c r="C11" s="86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3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2"/>
      <c r="C30" s="41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data_general'!$C$29</f>
        <v>Level II and III</v>
      </c>
      <c r="G1" s="111" t="str">
        <f>'1.1 Case data_general'!$C$30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2018-05-30T09:06:45Z</dcterms:modified>
</cp:coreProperties>
</file>