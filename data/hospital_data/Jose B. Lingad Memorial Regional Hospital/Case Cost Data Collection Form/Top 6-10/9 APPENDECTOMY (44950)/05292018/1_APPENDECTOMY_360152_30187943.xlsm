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Supplies_Medical'!$C$15:$C$85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Drugs&amp;Med'!$B$2:$J$34</definedName>
  </definedNames>
  <calcPr calcId="152511"/>
</workbook>
</file>

<file path=xl/calcChain.xml><?xml version="1.0" encoding="utf-8"?>
<calcChain xmlns="http://schemas.openxmlformats.org/spreadsheetml/2006/main">
  <c r="G74" i="9" l="1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 l="1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F23" i="1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<sst xmlns="http://schemas.openxmlformats.org/spreadsheetml/2006/main" count="597" uniqueCount="259">
  <si>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</si>
  <si>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</si>
  <si>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</si>
  <si>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</si>
  <si>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</si>
  <si>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</si>
  <si>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</si>
  <si>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</si>
  <si>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</si>
  <si>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</si>
  <si>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</si>
  <si>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</si>
  <si>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</si>
  <si>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</si>
  <si>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</si>
  <si>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</si>
  <si>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</si>
  <si>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</si>
  <si>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</si>
  <si>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</si>
  <si>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</si>
  <si>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</si>
  <si>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</si>
  <si>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</si>
  <si>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</si>
  <si>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</si>
  <si>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</si>
  <si>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</si>
  <si>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</si>
  <si>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</si>
  <si>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</si>
  <si>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</si>
  <si>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</si>
  <si>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</si>
  <si>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</si>
  <si>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</si>
  <si>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</si>
  <si>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</si>
  <si>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</si>
  <si>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</si>
  <si>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</si>
  <si>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</si>
  <si>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</si>
  <si>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</si>
  <si>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</si>
  <si>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</si>
  <si>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</si>
  <si>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</si>
  <si>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</si>
  <si>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</si>
  <si>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</si>
  <si>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</si>
  <si>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</si>
  <si>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</si>
  <si>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</si>
  <si>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</si>
  <si>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</si>
  <si>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</si>
  <si>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</si>
  <si>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</si>
  <si>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</si>
  <si>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</si>
  <si>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</si>
  <si>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</si>
  <si>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</si>
  <si>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</si>
  <si>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</si>
  <si>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</si>
  <si>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</si>
  <si>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</si>
  <si>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</si>
  <si>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</si>
  <si>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</si>
  <si>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</si>
  <si>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</si>
  <si>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</si>
  <si>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</si>
  <si>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</si>
  <si>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</si>
  <si>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</si>
  <si>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</si>
  <si>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</si>
  <si>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</si>
  <si>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</si>
  <si>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</si>
  <si>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</si>
  <si>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</si>
  <si>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</si>
  <si>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</si>
  <si>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</si>
  <si>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</si>
  <si>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</si>
  <si>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</si>
  <si>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</si>
  <si>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</si>
  <si>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</si>
  <si>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</si>
  <si>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</si>
  <si>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</si>
  <si>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</si>
  <si>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</si>
  <si>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</si>
  <si>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</si>
  <si>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</si>
  <si>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</si>
  <si>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</si>
  <si>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</si>
  <si>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</si>
  <si>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</si>
  <si>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</si>
  <si>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</si>
  <si>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</si>
  <si>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</si>
  <si>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</si>
  <si>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</si>
  <si>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</si>
  <si>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</si>
  <si>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</si>
  <si>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</si>
  <si>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</si>
  <si>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</si>
  <si>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</si>
  <si>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</si>
  <si>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</si>
  <si>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</si>
  <si>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</si>
  <si>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</si>
  <si>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</si>
  <si>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</si>
  <si>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</si>
  <si>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</si>
  <si>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</si>
  <si>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</si>
  <si>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</si>
  <si>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</si>
  <si>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</si>
  <si>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</si>
  <si>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</si>
  <si>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</si>
  <si>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</si>
  <si>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</si>
  <si>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</si>
  <si>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</si>
  <si>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</si>
  <si>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</si>
  <si>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</si>
  <si>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</si>
  <si>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</si>
  <si>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</si>
  <si>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</si>
  <si>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</si>
  <si>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</si>
  <si>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</si>
  <si>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</si>
  <si>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</si>
  <si>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</si>
  <si>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</si>
  <si>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</si>
  <si>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</si>
  <si>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</si>
  <si>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</si>
  <si>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</si>
  <si>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</si>
  <si>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</si>
  <si>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</si>
  <si>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</si>
  <si>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</si>
  <si>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ROOM AND ACCOMMODATION</t>
  </si>
  <si>
    <t>PROFESSIONAL FEE</t>
  </si>
  <si>
    <t>APPENDECTOMY</t>
  </si>
  <si>
    <t>K35.8</t>
  </si>
  <si>
    <t>MAJOR</t>
  </si>
  <si>
    <t>NA (SODIUM)</t>
  </si>
  <si>
    <t>K (POTASSIUM)</t>
  </si>
  <si>
    <t>OTHERS (OPERATING ROOM)</t>
  </si>
  <si>
    <t>POTASSIUM CHLORIDE 2MEQ/ML-20ML</t>
  </si>
  <si>
    <t>PARACETAMOL (ACETAMINOPHEN) 300MG-2ML</t>
  </si>
  <si>
    <t>RANITIDINE HCI 25MG/ML-2ML</t>
  </si>
  <si>
    <t>PLAIN NSS 1L  (X 12S)</t>
  </si>
  <si>
    <t>LIDOCAINE HCI 2%-5ML PRESERVATIVE-FREE REGARDLESS OF CONTAINER</t>
  </si>
  <si>
    <t>BUPIVACAINE HCL- SPINAL  0.5% - 4ML + 8% DEXTROSE</t>
  </si>
  <si>
    <t>(PLAIN LRS 1L) LACTATED RINGER''''S SOLUTION 1000ML (PLAIN LRS 1L) X 12S</t>
  </si>
  <si>
    <t>EPINEPHRINE (AS ADRENALINE) 1MG/ML- 1 ML</t>
  </si>
  <si>
    <t>CIPROFLOXACIN LACTATE, 200MG/100ML, IV INFUSION</t>
  </si>
  <si>
    <t>KETOROLAC TROMETHAMOL 30MG/ML-1ML</t>
  </si>
  <si>
    <t>TRAMADOL HCL 50MG/ML-2ML</t>
  </si>
  <si>
    <t>DISPOSABLE SYRINGE 1ML G 25, W/ NEEDLE X 100S (CPR NEEDED)</t>
  </si>
  <si>
    <t>DISPOSABLE SYRINGE 3ML G 23, W/ NEEDLE X 100S (CPR NEEDED)</t>
  </si>
  <si>
    <t>DISPOSABLE SYRINGE 10ML G 21, W/ NEEDLE X 100S (CPR NEEDED)</t>
  </si>
  <si>
    <t>IV CATHETER GAUGE 20</t>
  </si>
  <si>
    <t>IV CATHETER GAUGE 18</t>
  </si>
  <si>
    <t>IV SET W/ AIRWAY FOR IV PUSH, VACOSET/MACRODRIP, ADULT</t>
  </si>
  <si>
    <t>STERILLE COTTON</t>
  </si>
  <si>
    <t>HYDROGEN PEROXIDE 3% SOLUTION (10 VOLUMES), 120ML</t>
  </si>
  <si>
    <t>DISPOSABLE SURGICAL BRUSH W/ SPONGE AND NAIL CLEANER</t>
  </si>
  <si>
    <t>SURGICAL BLADE 20, BOX OF 100''S UNIMEX/CHINA</t>
  </si>
  <si>
    <t>SPINAL NEEDLE, G23 X 3 1/2" DISPOSABLE STERILE, SINGLE PACK (CPR NEEDED)</t>
  </si>
  <si>
    <t>SILK 2-0 BRAIDED, COATED, NON-ABSORBABLE SURGICAL SUTURE 75CM, WITH AT LEAST 26M X ½ CIRCLE TAPER NEEDLE</t>
  </si>
  <si>
    <t>SURGICAL COTTON THREAD 2/0, 18" X 10 STRANDS</t>
  </si>
  <si>
    <t>ISOPROPHYL ALCOHOL 70%, 500ML</t>
  </si>
  <si>
    <t>PC</t>
  </si>
  <si>
    <t>vial</t>
  </si>
  <si>
    <t>bottle</t>
  </si>
  <si>
    <t>300MG-2ML</t>
  </si>
  <si>
    <t>25MG/ML-2ML</t>
  </si>
  <si>
    <t>1MG/ML- 1 ML</t>
  </si>
  <si>
    <t>30MG/ML-1ML</t>
  </si>
  <si>
    <t>360152/7434</t>
  </si>
  <si>
    <t>URINALYSIS (UA)</t>
  </si>
  <si>
    <t>BLOOD EXTRACTION FEE</t>
  </si>
  <si>
    <t>CREATININE (CREA)</t>
  </si>
  <si>
    <t>CL (CHLORIDE)</t>
  </si>
  <si>
    <t>BLOOD UREA NITROGEN (BUN)</t>
  </si>
  <si>
    <t>RANDOM BLOOD SUGAR (RBS)</t>
  </si>
  <si>
    <t>CBC, PC</t>
  </si>
  <si>
    <t>PT (PROTIME)</t>
  </si>
  <si>
    <t>APTT</t>
  </si>
  <si>
    <t>CHEST PA ADULT (1 VIEW)</t>
  </si>
  <si>
    <t>5% DEXTROSE 0.9% SODIUM CHLORIDE 1000ML  ( D5 NSS 1L )</t>
  </si>
  <si>
    <t>(IRRIGATING SOLN) 0.9% SODIUM CHLORIDE (PLAIN NSS) 1000ML (IRRIGATION) X 12S</t>
  </si>
  <si>
    <t>CO-AMOXICLAV TRIHYDRATE 625MG IN BLISTER FOIL PACK</t>
  </si>
  <si>
    <t>CELECOXIB 200MG IN BLISTER FOIL PACK</t>
  </si>
  <si>
    <t>20ML</t>
  </si>
  <si>
    <t>1000ML  ( D5 NSS 1L )</t>
  </si>
  <si>
    <t>0.5% - 4ML + 8%</t>
  </si>
  <si>
    <t xml:space="preserve">2%-5ML </t>
  </si>
  <si>
    <t>1000ML (PLAIN LRS 1L) X 12S</t>
  </si>
  <si>
    <t xml:space="preserve"> 1000ML </t>
  </si>
  <si>
    <t>200MG/100M</t>
  </si>
  <si>
    <t>50MG/ML-2ML</t>
  </si>
  <si>
    <t xml:space="preserve">625MG </t>
  </si>
  <si>
    <t xml:space="preserve"> 200MG</t>
  </si>
  <si>
    <t>1L  (X 12S)</t>
  </si>
  <si>
    <t>POLYDIOXONE 1  MONOFILAMENT, SYNTHETIC ABSORBABLE SUTURE 90CM, WITH 40MM X 1/2 CIRCLE ROUND BODIED NEEDLE</t>
  </si>
  <si>
    <t>SAFETY GOGGLES, NO MOIST , PLASTIC, WITH SPOUT FRAME</t>
  </si>
  <si>
    <t>SURGICAL SKIN STAPLER W/ FREE SKIN STAPLER REMOVER 12 PCS FOR EVERY PURCHASE OF 50 PCS (BBRAUN/SPAIN)</t>
  </si>
  <si>
    <t>OXYGEN FLOW METER (PIPELINE) PER HOUR</t>
  </si>
  <si>
    <t>OXYGEN MASK ADULT W/ CONNECTING TUBE</t>
  </si>
  <si>
    <t>STERILE WATER FOR INJECTION, 10ML (SWFI)</t>
  </si>
  <si>
    <t>IV CATHETER GAUGE 22</t>
  </si>
  <si>
    <t>GAUZE SPONGE 4"X4", 8 PLY, 28X24 MESH, UNSTERILE,  W/O BLUE DETECTOR, PACK OF 100S (OS 4X4) (CPR NEEDED)</t>
  </si>
  <si>
    <t>MEDICAL GLOVES W/ CUFF, STERILE LATEX, NATURAL RUBBER: BOX OF 50'S  WARD USE SIZE 6 1/2</t>
  </si>
  <si>
    <t>MEDICAL GLOVES W/ CUFF, STERILE LATEX, NATURAL RUBBER: BOX OF 50''''S  WARD USE SIZE 7</t>
  </si>
  <si>
    <t>DISPOSABLE SYRINGE 5ML G 23, W/ NEEDLE X 100S</t>
  </si>
  <si>
    <t>ECG PAPER, UNWAXED,  50MM X 30M GREEN NON-GLOSSY</t>
  </si>
  <si>
    <t>HEMOGLUCOTEST TEST STRIP BOX OF 50S W/ FREE GLUCOMETER MACHINE FOR EVERY PURCHASE OF 25 BOXES WITH 2 EXTRA BATTERIES FOR EVERY GLUCOMETER MACHINE (CURACHECK/KOREA)</t>
  </si>
  <si>
    <t>POVIDONE IODINE 10 % SOLUTION (ANTISEPTIC) 120ML</t>
  </si>
  <si>
    <t>OXYGEN NASAL CANNULA WITH THREAD CONNECTOR FOR PEDIA (CURVED FLAIRED TIP)</t>
  </si>
  <si>
    <t>SUCTION CONNECTING TUBE W/ FEMALE &amp; MALE CONNECTOR F 24X210 CM (UNIVERSAL CONNECTOR 210CM, CH/FG-25) SIMPLEX/CHINA</t>
  </si>
  <si>
    <t>SURGICAL LAPAROTOMY SPONGE 8"X36", 24X28 MESH, 12 PLY SEWED EDGES STERILE W/ DETECTABLE X-RAY THREAD (LAP SPONGE 8"X36"X12 PLY, LOOP W/ X-RAY THREAD, STERILE, 1 PIECE/PCK) (CPR NEEDED)</t>
  </si>
  <si>
    <t>SUCTION TUBING YANKAUER TIP F25 X 150CM</t>
  </si>
  <si>
    <t>SURGICAL BLADE 15 BOX OF 100''''''''S UNIMEX/CHINA</t>
  </si>
  <si>
    <t>SURGICAL BLADE 11 , BOX OF 100S</t>
  </si>
  <si>
    <t>ADHESIVE PLASTER 2 X 10 (SILK) BOX OF 12S</t>
  </si>
  <si>
    <t>MONITORING CHEST ELECTRODES, DISPOSABLE</t>
  </si>
  <si>
    <t>MEDICAL GLOVES W/ CUFF, STERILE LATEX, NATURAL RUBBER: BOX OF 50''S  WARD USE SIZE 7 1/2</t>
  </si>
  <si>
    <t>LUBRICANT JELLY 5G/SACHET, BOX OF 100''''''''''''''''S, STERIL AND BACTERIOLISTIC (STERILE)</t>
  </si>
  <si>
    <t>DISPOSABLE HEAD CAP X 100S GARTERIZED</t>
  </si>
  <si>
    <t>DISPOSABLE FACE MASK, EAR LOOP 3 FOLDS X 50S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</si>
</sst>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.00_-;\-* #,##0.00_-;_-* &quot;-&quot;??_-;_-@_-"/>
  </numFmts>
  <fonts count="22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14" fillId="0" borderId="0" applyFont="0" applyFill="0" applyBorder="0" applyAlignment="0" applyProtection="0"/>
    <xf numFmtId="0" fontId="14" fillId="0" borderId="3"/>
    <xf numFmtId="0" fontId="19" fillId="0" borderId="30" applyNumberFormat="0" applyFill="0" applyAlignment="0" applyProtection="0"/>
    <xf numFmtId="0" fontId="1" fillId="0" borderId="3"/>
    <xf numFmtId="43" fontId="1" fillId="0" borderId="3" applyFont="0" applyFill="0" applyBorder="0" applyAlignment="0" applyProtection="0"/>
    <xf numFmtId="0" fontId="21" fillId="0" borderId="3">
      <alignment vertical="top"/>
    </xf>
  </cellStyleXfs>
  <cellXfs count="151">
    <xf numFmtId="0" fontId="0" fillId="0" borderId="0" xfId="0" applyFont="1" applyAlignme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0" fontId="6" fillId="3" borderId="1" xfId="0" applyFont="1" applyFill="1" applyBorder="1" applyAlignment="1">
      <alignment horizontal="center"/>
    </xf>
    <xf numFmtId="0" fontId="7" fillId="4" borderId="1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2" fillId="6" borderId="1" xfId="0" applyFont="1" applyFill="1" applyBorder="1"/>
    <xf numFmtId="0" fontId="6" fillId="7" borderId="0" xfId="0" applyFont="1" applyFill="1"/>
    <xf numFmtId="0" fontId="2" fillId="7" borderId="0" xfId="0" applyFont="1" applyFill="1"/>
    <xf numFmtId="0" fontId="2" fillId="5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5" borderId="7" xfId="0" applyFont="1" applyFill="1" applyBorder="1" applyAlignment="1">
      <alignment horizontal="right" vertical="center"/>
    </xf>
    <xf numFmtId="0" fontId="2" fillId="6" borderId="7" xfId="0" applyFont="1" applyFill="1" applyBorder="1"/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2" fillId="0" borderId="7" xfId="0" applyFont="1" applyBorder="1" applyProtection="1">
      <protection locked="0"/>
    </xf>
    <xf numFmtId="0" fontId="6" fillId="3" borderId="16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2" fillId="0" borderId="0" xfId="0" applyFont="1" applyFill="1"/>
    <xf numFmtId="0" fontId="8" fillId="6" borderId="3" xfId="0" applyFont="1" applyFill="1" applyBorder="1"/>
    <xf numFmtId="0" fontId="8" fillId="6" borderId="20" xfId="0" applyFont="1" applyFill="1" applyBorder="1"/>
    <xf numFmtId="0" fontId="2" fillId="6" borderId="3" xfId="0" applyFont="1" applyFill="1" applyBorder="1"/>
    <xf numFmtId="0" fontId="2" fillId="6" borderId="20" xfId="0" applyFont="1" applyFill="1" applyBorder="1"/>
    <xf numFmtId="0" fontId="2" fillId="0" borderId="9" xfId="0" applyFont="1" applyBorder="1"/>
    <xf numFmtId="0" fontId="2" fillId="5" borderId="21" xfId="0" applyFont="1" applyFill="1" applyBorder="1" applyAlignment="1">
      <alignment horizontal="right" vertical="center"/>
    </xf>
    <xf numFmtId="0" fontId="11" fillId="5" borderId="21" xfId="0" applyFont="1" applyFill="1" applyBorder="1" applyAlignment="1" applyProtection="1">
      <alignment wrapText="1"/>
      <protection locked="0"/>
    </xf>
    <xf numFmtId="0" fontId="2" fillId="6" borderId="21" xfId="0" applyFont="1" applyFill="1" applyBorder="1"/>
    <xf numFmtId="0" fontId="11" fillId="5" borderId="21" xfId="0" applyFont="1" applyFill="1" applyBorder="1" applyProtection="1">
      <protection locked="0"/>
    </xf>
    <xf numFmtId="0" fontId="2" fillId="5" borderId="22" xfId="0" applyFont="1" applyFill="1" applyBorder="1" applyAlignment="1">
      <alignment horizontal="right" vertical="center"/>
    </xf>
    <xf numFmtId="0" fontId="11" fillId="5" borderId="22" xfId="0" applyFont="1" applyFill="1" applyBorder="1" applyAlignment="1" applyProtection="1">
      <alignment wrapText="1"/>
      <protection locked="0"/>
    </xf>
    <xf numFmtId="0" fontId="2" fillId="6" borderId="22" xfId="0" applyFont="1" applyFill="1" applyBorder="1"/>
    <xf numFmtId="0" fontId="3" fillId="0" borderId="0" xfId="0" applyFont="1" applyAlignment="1" applyProtection="1">
      <alignment horizontal="center"/>
    </xf>
    <xf numFmtId="0" fontId="3" fillId="0" borderId="0" xfId="0" applyFont="1" applyProtection="1"/>
    <xf numFmtId="0" fontId="0" fillId="0" borderId="0" xfId="0" applyFont="1" applyAlignment="1" applyProtection="1"/>
    <xf numFmtId="0" fontId="6" fillId="7" borderId="0" xfId="0" applyFont="1" applyFill="1" applyProtection="1"/>
    <xf numFmtId="0" fontId="2" fillId="7" borderId="0" xfId="0" applyFont="1" applyFill="1" applyProtection="1"/>
    <xf numFmtId="0" fontId="5" fillId="0" borderId="0" xfId="0" applyFont="1" applyProtection="1"/>
    <xf numFmtId="0" fontId="2" fillId="0" borderId="0" xfId="0" applyFont="1" applyProtection="1"/>
    <xf numFmtId="0" fontId="2" fillId="0" borderId="0" xfId="0" applyFont="1" applyAlignment="1" applyProtection="1"/>
    <xf numFmtId="0" fontId="4" fillId="0" borderId="1" xfId="0" applyFont="1" applyBorder="1" applyAlignment="1" applyProtection="1">
      <alignment horizontal="center" vertical="center" wrapText="1"/>
    </xf>
    <xf numFmtId="0" fontId="3" fillId="0" borderId="1" xfId="0" applyFont="1" applyBorder="1" applyProtection="1"/>
    <xf numFmtId="0" fontId="2" fillId="0" borderId="1" xfId="0" applyFont="1" applyBorder="1" applyProtection="1"/>
    <xf numFmtId="0" fontId="2" fillId="0" borderId="0" xfId="0" applyFont="1" applyAlignment="1" applyProtection="1">
      <alignment horizontal="center"/>
    </xf>
    <xf numFmtId="0" fontId="2" fillId="3" borderId="8" xfId="0" applyFont="1" applyFill="1" applyBorder="1" applyProtection="1"/>
    <xf numFmtId="0" fontId="3" fillId="3" borderId="9" xfId="0" applyFont="1" applyFill="1" applyBorder="1" applyProtection="1"/>
    <xf numFmtId="0" fontId="3" fillId="3" borderId="10" xfId="0" applyFont="1" applyFill="1" applyBorder="1" applyProtection="1"/>
    <xf numFmtId="0" fontId="2" fillId="3" borderId="11" xfId="0" applyFont="1" applyFill="1" applyBorder="1" applyProtection="1"/>
    <xf numFmtId="0" fontId="3" fillId="3" borderId="3" xfId="0" applyFont="1" applyFill="1" applyBorder="1" applyProtection="1"/>
    <xf numFmtId="0" fontId="3" fillId="3" borderId="12" xfId="0" applyFont="1" applyFill="1" applyBorder="1" applyProtection="1"/>
    <xf numFmtId="0" fontId="2" fillId="3" borderId="11" xfId="0" applyFont="1" applyFill="1" applyBorder="1" applyAlignment="1" applyProtection="1"/>
    <xf numFmtId="0" fontId="5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left" vertical="center" wrapText="1"/>
    </xf>
    <xf numFmtId="164" fontId="11" fillId="5" borderId="21" xfId="1" applyFont="1" applyFill="1" applyBorder="1" applyProtection="1">
      <protection locked="0"/>
    </xf>
    <xf numFmtId="164" fontId="11" fillId="5" borderId="1" xfId="1" applyFont="1" applyFill="1" applyBorder="1" applyProtection="1">
      <protection locked="0"/>
    </xf>
    <xf numFmtId="164" fontId="11" fillId="5" borderId="22" xfId="1" applyFont="1" applyFill="1" applyBorder="1" applyProtection="1">
      <protection locked="0"/>
    </xf>
    <xf numFmtId="164" fontId="2" fillId="0" borderId="26" xfId="1" applyFont="1" applyBorder="1"/>
    <xf numFmtId="164" fontId="6" fillId="3" borderId="7" xfId="1" applyFont="1" applyFill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</xf>
    <xf numFmtId="0" fontId="9" fillId="0" borderId="0" xfId="0" applyFont="1" applyProtection="1"/>
    <xf numFmtId="0" fontId="4" fillId="7" borderId="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left" vertical="center"/>
    </xf>
    <xf numFmtId="0" fontId="4" fillId="7" borderId="1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Protection="1"/>
    <xf numFmtId="0" fontId="2" fillId="0" borderId="1" xfId="0" applyFont="1" applyBorder="1" applyAlignment="1" applyProtection="1">
      <alignment horizontal="right"/>
    </xf>
    <xf numFmtId="0" fontId="11" fillId="0" borderId="1" xfId="0" applyFont="1" applyBorder="1" applyAlignment="1" applyProtection="1">
      <alignment wrapText="1"/>
      <protection locked="0"/>
    </xf>
    <xf numFmtId="0" fontId="11" fillId="0" borderId="1" xfId="0" applyFont="1" applyBorder="1" applyAlignment="1" applyProtection="1">
      <alignment horizontal="center" wrapText="1"/>
      <protection locked="0"/>
    </xf>
    <xf numFmtId="0" fontId="2" fillId="3" borderId="8" xfId="0" applyFont="1" applyFill="1" applyBorder="1" applyAlignment="1" applyProtection="1"/>
    <xf numFmtId="0" fontId="2" fillId="3" borderId="3" xfId="0" applyFont="1" applyFill="1" applyBorder="1" applyAlignment="1" applyProtection="1">
      <alignment horizontal="center"/>
    </xf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2" fillId="3" borderId="13" xfId="0" applyFont="1" applyFill="1" applyBorder="1" applyAlignment="1" applyProtection="1"/>
    <xf numFmtId="0" fontId="2" fillId="3" borderId="9" xfId="0" applyFont="1" applyFill="1" applyBorder="1" applyAlignment="1" applyProtection="1"/>
    <xf numFmtId="0" fontId="2" fillId="3" borderId="3" xfId="0" applyFont="1" applyFill="1" applyBorder="1" applyAlignment="1" applyProtection="1"/>
    <xf numFmtId="0" fontId="2" fillId="3" borderId="14" xfId="0" applyFont="1" applyFill="1" applyBorder="1" applyAlignment="1" applyProtection="1"/>
    <xf numFmtId="0" fontId="4" fillId="7" borderId="0" xfId="0" applyFont="1" applyFill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2" fillId="3" borderId="14" xfId="0" applyFont="1" applyFill="1" applyBorder="1" applyProtection="1"/>
    <xf numFmtId="0" fontId="2" fillId="3" borderId="15" xfId="0" applyFont="1" applyFill="1" applyBorder="1" applyProtection="1"/>
    <xf numFmtId="0" fontId="2" fillId="0" borderId="0" xfId="0" applyFont="1" applyAlignment="1" applyProtection="1">
      <alignment vertical="center" wrapText="1"/>
    </xf>
    <xf numFmtId="0" fontId="15" fillId="8" borderId="1" xfId="0" applyFont="1" applyFill="1" applyBorder="1" applyAlignment="1" applyProtection="1">
      <alignment horizontal="center" vertical="center" wrapText="1"/>
    </xf>
    <xf numFmtId="0" fontId="15" fillId="8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Protection="1"/>
    <xf numFmtId="164" fontId="2" fillId="0" borderId="1" xfId="1" applyFont="1" applyBorder="1" applyProtection="1"/>
    <xf numFmtId="164" fontId="4" fillId="0" borderId="1" xfId="1" applyFont="1" applyBorder="1" applyProtection="1"/>
    <xf numFmtId="0" fontId="16" fillId="3" borderId="1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/>
    <xf numFmtId="0" fontId="2" fillId="0" borderId="3" xfId="2" applyFont="1" applyBorder="1" applyAlignment="1"/>
    <xf numFmtId="0" fontId="14" fillId="0" borderId="3" xfId="0" applyFont="1" applyBorder="1" applyAlignment="1"/>
    <xf numFmtId="0" fontId="2" fillId="0" borderId="3" xfId="2" applyFont="1" applyBorder="1" applyAlignment="1">
      <alignment vertical="center"/>
    </xf>
    <xf numFmtId="0" fontId="0" fillId="0" borderId="3" xfId="0" applyFont="1" applyBorder="1" applyAlignment="1"/>
    <xf numFmtId="0" fontId="17" fillId="0" borderId="3" xfId="2" applyFont="1" applyBorder="1" applyAlignment="1"/>
    <xf numFmtId="0" fontId="2" fillId="0" borderId="3" xfId="2" applyFont="1" applyBorder="1"/>
    <xf numFmtId="0" fontId="2" fillId="0" borderId="3" xfId="2" applyFont="1" applyBorder="1" applyAlignment="1">
      <alignment vertical="center" wrapText="1"/>
    </xf>
    <xf numFmtId="0" fontId="18" fillId="0" borderId="3" xfId="2" applyFont="1" applyBorder="1" applyAlignment="1"/>
    <xf numFmtId="0" fontId="14" fillId="9" borderId="31" xfId="0" applyFont="1" applyFill="1" applyBorder="1" applyAlignment="1"/>
    <xf numFmtId="0" fontId="14" fillId="9" borderId="32" xfId="0" applyFont="1" applyFill="1" applyBorder="1" applyAlignment="1"/>
    <xf numFmtId="0" fontId="14" fillId="9" borderId="33" xfId="0" applyFont="1" applyFill="1" applyBorder="1" applyAlignment="1"/>
    <xf numFmtId="0" fontId="14" fillId="9" borderId="34" xfId="0" applyFont="1" applyFill="1" applyBorder="1" applyAlignment="1"/>
    <xf numFmtId="0" fontId="14" fillId="9" borderId="3" xfId="0" applyFont="1" applyFill="1" applyBorder="1" applyAlignment="1"/>
    <xf numFmtId="0" fontId="14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4" fillId="9" borderId="24" xfId="0" applyFont="1" applyFill="1" applyBorder="1" applyAlignment="1"/>
    <xf numFmtId="0" fontId="14" fillId="9" borderId="37" xfId="0" applyFont="1" applyFill="1" applyBorder="1" applyAlignment="1"/>
    <xf numFmtId="0" fontId="2" fillId="3" borderId="7" xfId="0" applyFont="1" applyFill="1" applyBorder="1" applyAlignment="1">
      <alignment horizontal="left" vertical="center"/>
    </xf>
    <xf numFmtId="0" fontId="19" fillId="0" borderId="30" xfId="3" applyAlignment="1"/>
    <xf numFmtId="0" fontId="19" fillId="0" borderId="30" xfId="3" applyAlignment="1">
      <alignment vertical="center"/>
    </xf>
    <xf numFmtId="0" fontId="11" fillId="9" borderId="21" xfId="0" applyFont="1" applyFill="1" applyBorder="1" applyProtection="1">
      <protection locked="0"/>
    </xf>
    <xf numFmtId="0" fontId="11" fillId="9" borderId="3" xfId="0" applyFont="1" applyFill="1" applyBorder="1" applyProtection="1">
      <protection locked="0"/>
    </xf>
    <xf numFmtId="0" fontId="11" fillId="0" borderId="0" xfId="0" quotePrefix="1" applyFont="1" applyAlignment="1">
      <alignment horizontal="center" vertical="center"/>
    </xf>
    <xf numFmtId="0" fontId="4" fillId="3" borderId="17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4" fillId="3" borderId="24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wrapText="1"/>
    </xf>
    <xf numFmtId="0" fontId="2" fillId="3" borderId="9" xfId="0" applyFont="1" applyFill="1" applyBorder="1" applyAlignment="1">
      <alignment horizontal="left" wrapText="1"/>
    </xf>
    <xf numFmtId="0" fontId="2" fillId="3" borderId="10" xfId="0" applyFont="1" applyFill="1" applyBorder="1" applyAlignment="1">
      <alignment horizontal="left" wrapText="1"/>
    </xf>
    <xf numFmtId="0" fontId="2" fillId="3" borderId="11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2" fillId="3" borderId="12" xfId="0" applyFont="1" applyFill="1" applyBorder="1" applyAlignment="1">
      <alignment horizontal="left" wrapText="1"/>
    </xf>
    <xf numFmtId="0" fontId="2" fillId="3" borderId="13" xfId="0" applyFont="1" applyFill="1" applyBorder="1" applyAlignment="1">
      <alignment horizontal="left" wrapText="1"/>
    </xf>
    <xf numFmtId="0" fontId="2" fillId="3" borderId="14" xfId="0" applyFont="1" applyFill="1" applyBorder="1" applyAlignment="1">
      <alignment horizontal="left" wrapText="1"/>
    </xf>
    <xf numFmtId="0" fontId="2" fillId="3" borderId="15" xfId="0" applyFont="1" applyFill="1" applyBorder="1" applyAlignment="1">
      <alignment horizontal="left" wrapText="1"/>
    </xf>
    <xf numFmtId="0" fontId="4" fillId="3" borderId="25" xfId="0" applyFont="1" applyFill="1" applyBorder="1" applyAlignment="1">
      <alignment horizontal="left" vertical="center"/>
    </xf>
    <xf numFmtId="0" fontId="2" fillId="3" borderId="13" xfId="0" applyFont="1" applyFill="1" applyBorder="1" applyAlignment="1" applyProtection="1">
      <alignment horizontal="left" wrapText="1"/>
    </xf>
    <xf numFmtId="0" fontId="2" fillId="3" borderId="14" xfId="0" applyFont="1" applyFill="1" applyBorder="1" applyAlignment="1" applyProtection="1">
      <alignment horizontal="left" wrapText="1"/>
    </xf>
    <xf numFmtId="0" fontId="2" fillId="3" borderId="15" xfId="0" applyFont="1" applyFill="1" applyBorder="1" applyAlignment="1" applyProtection="1">
      <alignment horizontal="left" wrapText="1"/>
    </xf>
    <xf numFmtId="0" fontId="2" fillId="3" borderId="8" xfId="0" applyFont="1" applyFill="1" applyBorder="1" applyAlignment="1" applyProtection="1">
      <alignment horizontal="left"/>
    </xf>
    <xf numFmtId="0" fontId="2" fillId="3" borderId="9" xfId="0" applyFont="1" applyFill="1" applyBorder="1" applyAlignment="1" applyProtection="1">
      <alignment horizontal="left"/>
    </xf>
    <xf numFmtId="0" fontId="2" fillId="3" borderId="10" xfId="0" applyFont="1" applyFill="1" applyBorder="1" applyAlignment="1" applyProtection="1">
      <alignment horizontal="left"/>
    </xf>
    <xf numFmtId="0" fontId="4" fillId="3" borderId="27" xfId="0" applyFont="1" applyFill="1" applyBorder="1" applyAlignment="1" applyProtection="1">
      <alignment horizontal="left"/>
    </xf>
    <xf numFmtId="0" fontId="4" fillId="3" borderId="28" xfId="0" applyFont="1" applyFill="1" applyBorder="1" applyAlignment="1" applyProtection="1">
      <alignment horizontal="left"/>
    </xf>
    <xf numFmtId="0" fontId="4" fillId="3" borderId="29" xfId="0" applyFont="1" applyFill="1" applyBorder="1" applyAlignment="1" applyProtection="1">
      <alignment horizontal="left"/>
    </xf>
    <xf numFmtId="0" fontId="2" fillId="3" borderId="11" xfId="0" applyFont="1" applyFill="1" applyBorder="1" applyAlignment="1" applyProtection="1">
      <alignment horizontal="left"/>
    </xf>
    <xf numFmtId="0" fontId="2" fillId="3" borderId="3" xfId="0" applyFont="1" applyFill="1" applyBorder="1" applyAlignment="1" applyProtection="1">
      <alignment horizontal="left"/>
    </xf>
    <xf numFmtId="0" fontId="2" fillId="3" borderId="12" xfId="0" applyFont="1" applyFill="1" applyBorder="1" applyAlignment="1" applyProtection="1">
      <alignment horizontal="left"/>
    </xf>
    <xf numFmtId="0" fontId="2" fillId="3" borderId="13" xfId="0" applyFont="1" applyFill="1" applyBorder="1" applyAlignment="1" applyProtection="1">
      <alignment horizontal="left"/>
    </xf>
    <xf numFmtId="0" fontId="2" fillId="3" borderId="14" xfId="0" applyFont="1" applyFill="1" applyBorder="1" applyAlignment="1" applyProtection="1">
      <alignment horizontal="left"/>
    </xf>
    <xf numFmtId="0" fontId="2" fillId="3" borderId="15" xfId="0" applyFont="1" applyFill="1" applyBorder="1" applyAlignment="1" applyProtection="1">
      <alignment horizontal="left"/>
    </xf>
    <xf numFmtId="0" fontId="4" fillId="4" borderId="4" xfId="0" applyFont="1" applyFill="1" applyBorder="1" applyAlignment="1" applyProtection="1">
      <alignment horizontal="center" vertical="center"/>
    </xf>
    <xf numFmtId="0" fontId="17" fillId="4" borderId="5" xfId="0" applyFont="1" applyFill="1" applyBorder="1" applyProtection="1"/>
    <xf numFmtId="0" fontId="17" fillId="4" borderId="2" xfId="0" applyFont="1" applyFill="1" applyBorder="1" applyProtection="1"/>
    <xf numFmtId="0" fontId="4" fillId="4" borderId="6" xfId="0" applyFont="1" applyFill="1" applyBorder="1" applyAlignment="1" applyProtection="1">
      <alignment horizontal="center" vertical="center" wrapText="1"/>
    </xf>
    <xf numFmtId="0" fontId="17" fillId="4" borderId="7" xfId="0" applyFont="1" applyFill="1" applyBorder="1" applyProtection="1"/>
  </cellXfs>
  <cellStyles count="7">
    <cellStyle name="Comma" xfId="1" builtinId="3"/>
    <cellStyle name="Comma 2" xfId="5"/>
    <cellStyle name="Linked Cell" xfId="3" builtinId="24"/>
    <cellStyle name="Normal" xfId="0" builtinId="0"/>
    <cellStyle name="Normal 2" xfId="2"/>
    <cellStyle name="Normal 2 2" xfId="6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75</xdr:row>
          <xdr:rowOff>28575</xdr:rowOff>
        </xdr:from>
        <xdr:to>
          <xdr:col>1</xdr:col>
          <xdr:colOff>771525</xdr:colOff>
          <xdr:row>75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75</xdr:row>
          <xdr:rowOff>28575</xdr:rowOff>
        </xdr:from>
        <xdr:to>
          <xdr:col>1</xdr:col>
          <xdr:colOff>1543050</xdr:colOff>
          <xdr:row>75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zoomScaleNormal="100" workbookViewId="0">
      <selection activeCell="E20" sqref="E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44960</v>
      </c>
      <c r="D23" s="29" t="s">
        <v>171</v>
      </c>
      <c r="E23" s="55">
        <v>1</v>
      </c>
      <c r="F23" s="55">
        <f>67/60</f>
        <v>1.1166666666666667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209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210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173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211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212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213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214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215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216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19</v>
      </c>
      <c r="C47" s="120"/>
      <c r="D47" s="117"/>
      <c r="E47" s="120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217</v>
      </c>
      <c r="D48" s="23"/>
      <c r="E48" s="55">
        <v>2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9" t="s">
        <v>43</v>
      </c>
      <c r="C52" s="120"/>
      <c r="D52" s="117"/>
      <c r="E52" s="120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44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6" t="s">
        <v>52</v>
      </c>
      <c r="C54" s="117"/>
      <c r="D54" s="117"/>
      <c r="E54" s="117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6" t="s">
        <v>20</v>
      </c>
      <c r="C59" s="117"/>
      <c r="D59" s="117"/>
      <c r="E59" s="117"/>
      <c r="F59" s="11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54</v>
      </c>
      <c r="C68" s="17" t="s">
        <v>50</v>
      </c>
      <c r="D68" s="17" t="s">
        <v>55</v>
      </c>
      <c r="E68" s="18" t="s">
        <v>56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163</v>
      </c>
      <c r="D69" s="55">
        <v>1106.4000000000001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164</v>
      </c>
      <c r="D70" s="55">
        <v>4369.87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165</v>
      </c>
      <c r="D71" s="55">
        <v>240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166</v>
      </c>
      <c r="D72" s="55">
        <v>2245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174</v>
      </c>
      <c r="D73" s="55">
        <v>3500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167</v>
      </c>
      <c r="D74" s="55">
        <v>1000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168</v>
      </c>
      <c r="D75" s="55">
        <v>9600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22061.27</v>
      </c>
      <c r="E80" s="59">
        <f>SUM(E69:E79)</f>
        <v>0</v>
      </c>
      <c r="F80" s="59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36 E37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4"/>
  <sheetViews>
    <sheetView topLeftCell="D9" workbookViewId="0">
      <selection activeCell="L23" sqref="L23"/>
    </sheetView>
  </sheetViews>
  <sheetFormatPr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9.1406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23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201</v>
      </c>
      <c r="E11" s="27" t="s">
        <v>222</v>
      </c>
      <c r="F11" s="55">
        <v>1</v>
      </c>
      <c r="G11" s="55">
        <v>1</v>
      </c>
      <c r="H11" s="55">
        <v>1</v>
      </c>
      <c r="I11" s="55">
        <v>28.57</v>
      </c>
      <c r="J11" s="55">
        <f>H11*I11</f>
        <v>28.57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218</v>
      </c>
      <c r="D12" s="27" t="s">
        <v>202</v>
      </c>
      <c r="E12" s="27" t="s">
        <v>223</v>
      </c>
      <c r="F12" s="55">
        <v>1</v>
      </c>
      <c r="G12" s="55">
        <v>1</v>
      </c>
      <c r="H12" s="55">
        <v>3</v>
      </c>
      <c r="I12" s="55">
        <v>57.05</v>
      </c>
      <c r="J12" s="55">
        <f t="shared" ref="J12:J33" si="0">H12*I12</f>
        <v>171.14999999999998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201</v>
      </c>
      <c r="E13" s="27" t="s">
        <v>224</v>
      </c>
      <c r="F13" s="55">
        <v>1</v>
      </c>
      <c r="G13" s="55">
        <v>1</v>
      </c>
      <c r="H13" s="55">
        <v>1</v>
      </c>
      <c r="I13" s="55">
        <v>81.63</v>
      </c>
      <c r="J13" s="55">
        <f t="shared" si="0"/>
        <v>81.63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201</v>
      </c>
      <c r="E14" s="27" t="s">
        <v>225</v>
      </c>
      <c r="F14" s="55">
        <v>1</v>
      </c>
      <c r="G14" s="55">
        <v>1</v>
      </c>
      <c r="H14" s="55">
        <v>1</v>
      </c>
      <c r="I14" s="55">
        <v>30.4</v>
      </c>
      <c r="J14" s="55">
        <f t="shared" si="0"/>
        <v>30.4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201</v>
      </c>
      <c r="E15" s="27" t="s">
        <v>205</v>
      </c>
      <c r="F15" s="55">
        <v>1</v>
      </c>
      <c r="G15" s="55">
        <v>1</v>
      </c>
      <c r="H15" s="55">
        <v>1</v>
      </c>
      <c r="I15" s="55">
        <v>38.51</v>
      </c>
      <c r="J15" s="55">
        <f t="shared" si="0"/>
        <v>38.51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181</v>
      </c>
      <c r="D16" s="27" t="s">
        <v>202</v>
      </c>
      <c r="E16" s="27" t="s">
        <v>226</v>
      </c>
      <c r="F16" s="55">
        <v>1</v>
      </c>
      <c r="G16" s="55">
        <v>1</v>
      </c>
      <c r="H16" s="55">
        <v>1</v>
      </c>
      <c r="I16" s="55">
        <v>49.33</v>
      </c>
      <c r="J16" s="55">
        <f t="shared" si="0"/>
        <v>49.33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219</v>
      </c>
      <c r="D17" s="27" t="s">
        <v>201</v>
      </c>
      <c r="E17" s="27" t="s">
        <v>227</v>
      </c>
      <c r="F17" s="55">
        <v>1</v>
      </c>
      <c r="G17" s="55">
        <v>1</v>
      </c>
      <c r="H17" s="55">
        <v>2</v>
      </c>
      <c r="I17" s="55">
        <v>53.33</v>
      </c>
      <c r="J17" s="55">
        <f t="shared" si="0"/>
        <v>106.66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184</v>
      </c>
      <c r="D18" s="27" t="s">
        <v>201</v>
      </c>
      <c r="E18" s="27" t="s">
        <v>206</v>
      </c>
      <c r="F18" s="55">
        <v>1</v>
      </c>
      <c r="G18" s="55">
        <v>1</v>
      </c>
      <c r="H18" s="55">
        <v>5</v>
      </c>
      <c r="I18" s="55">
        <v>20.43</v>
      </c>
      <c r="J18" s="55">
        <f t="shared" si="0"/>
        <v>102.15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177</v>
      </c>
      <c r="D19" s="27" t="s">
        <v>201</v>
      </c>
      <c r="E19" s="27" t="s">
        <v>204</v>
      </c>
      <c r="F19" s="55">
        <v>1</v>
      </c>
      <c r="G19" s="55">
        <v>1</v>
      </c>
      <c r="H19" s="55">
        <v>4</v>
      </c>
      <c r="I19" s="55">
        <v>4.92</v>
      </c>
      <c r="J19" s="55">
        <f t="shared" si="0"/>
        <v>19.68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183</v>
      </c>
      <c r="D20" s="27" t="s">
        <v>201</v>
      </c>
      <c r="E20" s="27" t="s">
        <v>228</v>
      </c>
      <c r="F20" s="55">
        <v>1</v>
      </c>
      <c r="G20" s="55">
        <v>1</v>
      </c>
      <c r="H20" s="55">
        <v>8</v>
      </c>
      <c r="I20" s="55">
        <v>32.39</v>
      </c>
      <c r="J20" s="55">
        <f t="shared" si="0"/>
        <v>259.12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176</v>
      </c>
      <c r="D21" s="27" t="s">
        <v>201</v>
      </c>
      <c r="E21" s="27" t="s">
        <v>203</v>
      </c>
      <c r="F21" s="55">
        <v>1</v>
      </c>
      <c r="G21" s="55">
        <v>1</v>
      </c>
      <c r="H21" s="55">
        <v>4</v>
      </c>
      <c r="I21" s="55">
        <v>4.57</v>
      </c>
      <c r="J21" s="55">
        <f t="shared" si="0"/>
        <v>18.28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185</v>
      </c>
      <c r="D22" s="27" t="s">
        <v>201</v>
      </c>
      <c r="E22" s="27" t="s">
        <v>229</v>
      </c>
      <c r="F22" s="55">
        <v>1</v>
      </c>
      <c r="G22" s="55">
        <v>1</v>
      </c>
      <c r="H22" s="55">
        <v>1</v>
      </c>
      <c r="I22" s="55">
        <v>6.39</v>
      </c>
      <c r="J22" s="55">
        <f t="shared" si="0"/>
        <v>6.39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220</v>
      </c>
      <c r="D23" s="27" t="s">
        <v>201</v>
      </c>
      <c r="E23" s="27" t="s">
        <v>230</v>
      </c>
      <c r="F23" s="55">
        <v>1</v>
      </c>
      <c r="G23" s="55">
        <v>1</v>
      </c>
      <c r="H23" s="55">
        <v>4</v>
      </c>
      <c r="I23" s="55">
        <v>9.33</v>
      </c>
      <c r="J23" s="55">
        <f t="shared" si="0"/>
        <v>37.32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221</v>
      </c>
      <c r="D24" s="27" t="s">
        <v>201</v>
      </c>
      <c r="E24" s="27" t="s">
        <v>231</v>
      </c>
      <c r="F24" s="55">
        <v>1</v>
      </c>
      <c r="G24" s="55">
        <v>1</v>
      </c>
      <c r="H24" s="55">
        <v>2</v>
      </c>
      <c r="I24" s="55">
        <v>2.6</v>
      </c>
      <c r="J24" s="55">
        <f t="shared" si="0"/>
        <v>5.2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178</v>
      </c>
      <c r="D25" s="27" t="s">
        <v>202</v>
      </c>
      <c r="E25" s="27" t="s">
        <v>232</v>
      </c>
      <c r="F25" s="55">
        <v>1</v>
      </c>
      <c r="G25" s="55">
        <v>1</v>
      </c>
      <c r="H25" s="55">
        <v>3</v>
      </c>
      <c r="I25" s="55">
        <v>50.67</v>
      </c>
      <c r="J25" s="55">
        <f t="shared" si="0"/>
        <v>152.01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25">
      <c r="A34" s="33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</row>
    <row r="35" spans="1:20" ht="15.75" customHeight="1" x14ac:dyDescent="0.25"/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1009"/>
  <sheetViews>
    <sheetView topLeftCell="C34" workbookViewId="0">
      <selection activeCell="F46" sqref="F46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41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32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75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 t="s">
        <v>197</v>
      </c>
      <c r="D34" s="70" t="s">
        <v>200</v>
      </c>
      <c r="E34" s="55">
        <v>1</v>
      </c>
      <c r="F34" s="55">
        <v>95.33</v>
      </c>
      <c r="G34" s="55">
        <f>E34*F34</f>
        <v>95.33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 t="s">
        <v>233</v>
      </c>
      <c r="D35" s="70" t="s">
        <v>200</v>
      </c>
      <c r="E35" s="55">
        <v>1</v>
      </c>
      <c r="F35" s="55">
        <v>394.67</v>
      </c>
      <c r="G35" s="55">
        <f t="shared" ref="G35:G74" si="1">E35*F35</f>
        <v>394.67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 t="s">
        <v>234</v>
      </c>
      <c r="D36" s="70" t="s">
        <v>200</v>
      </c>
      <c r="E36" s="55">
        <v>3</v>
      </c>
      <c r="F36" s="55">
        <v>48.85</v>
      </c>
      <c r="G36" s="55">
        <f t="shared" si="1"/>
        <v>146.55000000000001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 t="s">
        <v>235</v>
      </c>
      <c r="D37" s="70" t="s">
        <v>200</v>
      </c>
      <c r="E37" s="55">
        <v>1</v>
      </c>
      <c r="F37" s="55">
        <v>504</v>
      </c>
      <c r="G37" s="55">
        <f t="shared" si="1"/>
        <v>504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 t="s">
        <v>236</v>
      </c>
      <c r="D38" s="70" t="s">
        <v>200</v>
      </c>
      <c r="E38" s="55">
        <v>5</v>
      </c>
      <c r="F38" s="55">
        <v>100</v>
      </c>
      <c r="G38" s="55">
        <f t="shared" si="1"/>
        <v>500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 t="s">
        <v>237</v>
      </c>
      <c r="D39" s="70" t="s">
        <v>200</v>
      </c>
      <c r="E39" s="55">
        <v>1</v>
      </c>
      <c r="F39" s="55">
        <v>37.130000000000003</v>
      </c>
      <c r="G39" s="55">
        <f t="shared" si="1"/>
        <v>37.130000000000003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 t="s">
        <v>238</v>
      </c>
      <c r="D40" s="70" t="s">
        <v>200</v>
      </c>
      <c r="E40" s="55">
        <v>1</v>
      </c>
      <c r="F40" s="55">
        <v>25</v>
      </c>
      <c r="G40" s="55">
        <f t="shared" si="1"/>
        <v>25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 t="s">
        <v>189</v>
      </c>
      <c r="D41" s="70" t="s">
        <v>200</v>
      </c>
      <c r="E41" s="55">
        <v>2</v>
      </c>
      <c r="F41" s="55">
        <v>13.13</v>
      </c>
      <c r="G41" s="55">
        <f t="shared" si="1"/>
        <v>26.26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 t="s">
        <v>190</v>
      </c>
      <c r="D42" s="70" t="s">
        <v>200</v>
      </c>
      <c r="E42" s="55">
        <v>2</v>
      </c>
      <c r="F42" s="55">
        <v>13.13</v>
      </c>
      <c r="G42" s="55">
        <f t="shared" si="1"/>
        <v>26.26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 t="s">
        <v>239</v>
      </c>
      <c r="D43" s="70" t="s">
        <v>200</v>
      </c>
      <c r="E43" s="55">
        <v>2</v>
      </c>
      <c r="F43" s="55">
        <v>13.13</v>
      </c>
      <c r="G43" s="55">
        <f t="shared" si="1"/>
        <v>26.26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11</v>
      </c>
      <c r="C44" s="69" t="s">
        <v>240</v>
      </c>
      <c r="D44" s="70" t="s">
        <v>200</v>
      </c>
      <c r="E44" s="55">
        <v>75</v>
      </c>
      <c r="F44" s="55">
        <v>1.51</v>
      </c>
      <c r="G44" s="55">
        <f t="shared" si="1"/>
        <v>113.25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12</v>
      </c>
      <c r="C45" s="69" t="s">
        <v>192</v>
      </c>
      <c r="D45" s="70" t="s">
        <v>200</v>
      </c>
      <c r="E45" s="55">
        <v>5</v>
      </c>
      <c r="F45" s="55">
        <v>15</v>
      </c>
      <c r="G45" s="55">
        <f t="shared" si="1"/>
        <v>75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13</v>
      </c>
      <c r="C46" s="69" t="s">
        <v>241</v>
      </c>
      <c r="D46" s="70" t="s">
        <v>200</v>
      </c>
      <c r="E46" s="55">
        <v>10</v>
      </c>
      <c r="F46" s="55">
        <v>12</v>
      </c>
      <c r="G46" s="55">
        <f t="shared" si="1"/>
        <v>120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14</v>
      </c>
      <c r="C47" s="69" t="s">
        <v>242</v>
      </c>
      <c r="D47" s="70" t="s">
        <v>200</v>
      </c>
      <c r="E47" s="55">
        <v>5</v>
      </c>
      <c r="F47" s="55">
        <v>10.67</v>
      </c>
      <c r="G47" s="55">
        <f t="shared" si="1"/>
        <v>53.35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15</v>
      </c>
      <c r="C48" s="69" t="s">
        <v>187</v>
      </c>
      <c r="D48" s="70" t="s">
        <v>200</v>
      </c>
      <c r="E48" s="55">
        <v>15</v>
      </c>
      <c r="F48" s="55">
        <v>1.6</v>
      </c>
      <c r="G48" s="55">
        <f t="shared" si="1"/>
        <v>24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16</v>
      </c>
      <c r="C49" s="69" t="s">
        <v>243</v>
      </c>
      <c r="D49" s="70" t="s">
        <v>200</v>
      </c>
      <c r="E49" s="55">
        <v>15</v>
      </c>
      <c r="F49" s="55">
        <v>5</v>
      </c>
      <c r="G49" s="55">
        <f t="shared" si="1"/>
        <v>75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17</v>
      </c>
      <c r="C50" s="69" t="s">
        <v>188</v>
      </c>
      <c r="D50" s="70" t="s">
        <v>200</v>
      </c>
      <c r="E50" s="55">
        <v>15</v>
      </c>
      <c r="F50" s="55">
        <v>2.77</v>
      </c>
      <c r="G50" s="55">
        <f t="shared" si="1"/>
        <v>41.55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18</v>
      </c>
      <c r="C51" s="69" t="s">
        <v>244</v>
      </c>
      <c r="D51" s="70" t="s">
        <v>200</v>
      </c>
      <c r="E51" s="55">
        <v>4</v>
      </c>
      <c r="F51" s="55">
        <v>100</v>
      </c>
      <c r="G51" s="55">
        <f t="shared" si="1"/>
        <v>400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19</v>
      </c>
      <c r="C52" s="69" t="s">
        <v>245</v>
      </c>
      <c r="D52" s="70" t="s">
        <v>200</v>
      </c>
      <c r="E52" s="55">
        <v>5</v>
      </c>
      <c r="F52" s="55">
        <v>20</v>
      </c>
      <c r="G52" s="55">
        <f t="shared" si="1"/>
        <v>100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20</v>
      </c>
      <c r="C53" s="69" t="s">
        <v>246</v>
      </c>
      <c r="D53" s="70" t="s">
        <v>200</v>
      </c>
      <c r="E53" s="55">
        <v>1</v>
      </c>
      <c r="F53" s="55">
        <v>84</v>
      </c>
      <c r="G53" s="55">
        <f t="shared" si="1"/>
        <v>84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21</v>
      </c>
      <c r="C54" s="69" t="s">
        <v>193</v>
      </c>
      <c r="D54" s="70" t="s">
        <v>200</v>
      </c>
      <c r="E54" s="55">
        <v>2</v>
      </c>
      <c r="F54" s="55">
        <v>22.67</v>
      </c>
      <c r="G54" s="55">
        <f t="shared" si="1"/>
        <v>45.34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22</v>
      </c>
      <c r="C55" s="69" t="s">
        <v>191</v>
      </c>
      <c r="D55" s="70" t="s">
        <v>200</v>
      </c>
      <c r="E55" s="55">
        <v>3</v>
      </c>
      <c r="F55" s="55">
        <v>14</v>
      </c>
      <c r="G55" s="55">
        <f t="shared" si="1"/>
        <v>42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23</v>
      </c>
      <c r="C56" s="69" t="s">
        <v>247</v>
      </c>
      <c r="D56" s="70" t="s">
        <v>200</v>
      </c>
      <c r="E56" s="55">
        <v>3</v>
      </c>
      <c r="F56" s="55">
        <v>16</v>
      </c>
      <c r="G56" s="55">
        <f t="shared" si="1"/>
        <v>48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24</v>
      </c>
      <c r="C57" s="69" t="s">
        <v>248</v>
      </c>
      <c r="D57" s="70" t="s">
        <v>200</v>
      </c>
      <c r="E57" s="55">
        <v>1</v>
      </c>
      <c r="F57" s="55">
        <v>98</v>
      </c>
      <c r="G57" s="55">
        <f t="shared" si="1"/>
        <v>98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25</v>
      </c>
      <c r="C58" s="69" t="s">
        <v>249</v>
      </c>
      <c r="D58" s="70" t="s">
        <v>200</v>
      </c>
      <c r="E58" s="55">
        <v>2</v>
      </c>
      <c r="F58" s="55">
        <v>95</v>
      </c>
      <c r="G58" s="55">
        <f t="shared" si="1"/>
        <v>190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26</v>
      </c>
      <c r="C59" s="69" t="s">
        <v>199</v>
      </c>
      <c r="D59" s="70" t="s">
        <v>200</v>
      </c>
      <c r="E59" s="55">
        <v>0.5</v>
      </c>
      <c r="F59" s="55">
        <v>67.319999999999993</v>
      </c>
      <c r="G59" s="55">
        <f t="shared" si="1"/>
        <v>33.659999999999997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27</v>
      </c>
      <c r="C60" s="69" t="s">
        <v>250</v>
      </c>
      <c r="D60" s="70" t="s">
        <v>200</v>
      </c>
      <c r="E60" s="55">
        <v>2</v>
      </c>
      <c r="F60" s="55">
        <v>258</v>
      </c>
      <c r="G60" s="55">
        <f t="shared" si="1"/>
        <v>516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28</v>
      </c>
      <c r="C61" s="69" t="s">
        <v>195</v>
      </c>
      <c r="D61" s="70" t="s">
        <v>200</v>
      </c>
      <c r="E61" s="55">
        <v>2</v>
      </c>
      <c r="F61" s="55">
        <v>3</v>
      </c>
      <c r="G61" s="55">
        <f t="shared" si="1"/>
        <v>6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29</v>
      </c>
      <c r="C62" s="69" t="s">
        <v>251</v>
      </c>
      <c r="D62" s="70" t="s">
        <v>200</v>
      </c>
      <c r="E62" s="55">
        <v>2</v>
      </c>
      <c r="F62" s="55">
        <v>2.0699999999999998</v>
      </c>
      <c r="G62" s="55">
        <f t="shared" si="1"/>
        <v>4.1399999999999997</v>
      </c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30</v>
      </c>
      <c r="C63" s="69" t="s">
        <v>252</v>
      </c>
      <c r="D63" s="70" t="s">
        <v>200</v>
      </c>
      <c r="E63" s="55">
        <v>2</v>
      </c>
      <c r="F63" s="55">
        <v>2.77</v>
      </c>
      <c r="G63" s="55">
        <f t="shared" si="1"/>
        <v>5.54</v>
      </c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31</v>
      </c>
      <c r="C64" s="69" t="s">
        <v>198</v>
      </c>
      <c r="D64" s="70" t="s">
        <v>200</v>
      </c>
      <c r="E64" s="55">
        <v>1</v>
      </c>
      <c r="F64" s="55">
        <v>70.67</v>
      </c>
      <c r="G64" s="55">
        <f t="shared" si="1"/>
        <v>70.67</v>
      </c>
      <c r="H64" s="39"/>
      <c r="I64" s="39"/>
      <c r="J64" s="39"/>
      <c r="K64" s="39"/>
      <c r="L64" s="39"/>
      <c r="M64" s="39"/>
      <c r="N64" s="39"/>
      <c r="O64" s="39"/>
      <c r="P64" s="39"/>
    </row>
    <row r="65" spans="2:16" ht="14.25" customHeight="1" x14ac:dyDescent="0.3">
      <c r="B65" s="68">
        <v>32</v>
      </c>
      <c r="C65" s="69" t="s">
        <v>253</v>
      </c>
      <c r="D65" s="70" t="s">
        <v>200</v>
      </c>
      <c r="E65" s="55">
        <v>0.5</v>
      </c>
      <c r="F65" s="55">
        <v>168.44</v>
      </c>
      <c r="G65" s="55">
        <f t="shared" si="1"/>
        <v>84.22</v>
      </c>
      <c r="H65" s="39"/>
      <c r="I65" s="39"/>
      <c r="J65" s="39"/>
      <c r="K65" s="39"/>
      <c r="L65" s="39"/>
      <c r="M65" s="39"/>
      <c r="N65" s="39"/>
      <c r="O65" s="39"/>
      <c r="P65" s="39"/>
    </row>
    <row r="66" spans="2:16" ht="14.25" customHeight="1" x14ac:dyDescent="0.3">
      <c r="B66" s="68">
        <v>33</v>
      </c>
      <c r="C66" s="69" t="s">
        <v>254</v>
      </c>
      <c r="D66" s="70" t="s">
        <v>200</v>
      </c>
      <c r="E66" s="55">
        <v>3</v>
      </c>
      <c r="F66" s="55">
        <v>30</v>
      </c>
      <c r="G66" s="55">
        <f t="shared" si="1"/>
        <v>90</v>
      </c>
      <c r="H66" s="39"/>
      <c r="I66" s="39"/>
      <c r="J66" s="39"/>
      <c r="K66" s="39"/>
      <c r="L66" s="39"/>
      <c r="M66" s="39"/>
      <c r="N66" s="39"/>
      <c r="O66" s="39"/>
      <c r="P66" s="39"/>
    </row>
    <row r="67" spans="2:16" ht="14.25" customHeight="1" x14ac:dyDescent="0.3">
      <c r="B67" s="68">
        <v>34</v>
      </c>
      <c r="C67" s="69" t="s">
        <v>242</v>
      </c>
      <c r="D67" s="70" t="s">
        <v>200</v>
      </c>
      <c r="E67" s="55">
        <v>5</v>
      </c>
      <c r="F67" s="55">
        <v>15</v>
      </c>
      <c r="G67" s="55">
        <f t="shared" si="1"/>
        <v>75</v>
      </c>
      <c r="H67" s="39"/>
      <c r="I67" s="39"/>
      <c r="J67" s="39"/>
      <c r="K67" s="39"/>
      <c r="L67" s="39"/>
      <c r="M67" s="39"/>
      <c r="N67" s="39"/>
      <c r="O67" s="39"/>
      <c r="P67" s="39"/>
    </row>
    <row r="68" spans="2:16" ht="14.25" customHeight="1" x14ac:dyDescent="0.3">
      <c r="B68" s="68">
        <v>35</v>
      </c>
      <c r="C68" s="69" t="s">
        <v>255</v>
      </c>
      <c r="D68" s="70" t="s">
        <v>200</v>
      </c>
      <c r="E68" s="55">
        <v>5</v>
      </c>
      <c r="F68" s="55">
        <v>10.67</v>
      </c>
      <c r="G68" s="55">
        <f t="shared" si="1"/>
        <v>53.35</v>
      </c>
      <c r="H68" s="39"/>
      <c r="I68" s="39"/>
      <c r="J68" s="39"/>
      <c r="K68" s="39"/>
      <c r="L68" s="39"/>
      <c r="M68" s="39"/>
      <c r="N68" s="39"/>
      <c r="O68" s="39"/>
      <c r="P68" s="39"/>
    </row>
    <row r="69" spans="2:16" ht="14.25" customHeight="1" x14ac:dyDescent="0.3">
      <c r="B69" s="68">
        <v>36</v>
      </c>
      <c r="C69" s="69" t="s">
        <v>256</v>
      </c>
      <c r="D69" s="70" t="s">
        <v>200</v>
      </c>
      <c r="E69" s="55">
        <v>3</v>
      </c>
      <c r="F69" s="55">
        <v>10</v>
      </c>
      <c r="G69" s="55">
        <f t="shared" si="1"/>
        <v>30</v>
      </c>
      <c r="H69" s="39"/>
      <c r="I69" s="39"/>
      <c r="J69" s="39"/>
      <c r="K69" s="39"/>
      <c r="L69" s="39"/>
      <c r="M69" s="39"/>
      <c r="N69" s="39"/>
      <c r="O69" s="39"/>
      <c r="P69" s="39"/>
    </row>
    <row r="70" spans="2:16" ht="14.25" customHeight="1" x14ac:dyDescent="0.3">
      <c r="B70" s="68">
        <v>37</v>
      </c>
      <c r="C70" s="69" t="s">
        <v>194</v>
      </c>
      <c r="D70" s="70" t="s">
        <v>200</v>
      </c>
      <c r="E70" s="55">
        <v>1</v>
      </c>
      <c r="F70" s="55">
        <v>23.87</v>
      </c>
      <c r="G70" s="55">
        <f t="shared" si="1"/>
        <v>23.87</v>
      </c>
      <c r="H70" s="39"/>
      <c r="I70" s="39"/>
      <c r="J70" s="39"/>
      <c r="K70" s="39"/>
      <c r="L70" s="39"/>
      <c r="M70" s="39"/>
      <c r="N70" s="39"/>
      <c r="O70" s="39"/>
      <c r="P70" s="39"/>
    </row>
    <row r="71" spans="2:16" ht="14.25" customHeight="1" x14ac:dyDescent="0.3">
      <c r="B71" s="68">
        <v>38</v>
      </c>
      <c r="C71" s="69" t="s">
        <v>186</v>
      </c>
      <c r="D71" s="70" t="s">
        <v>200</v>
      </c>
      <c r="E71" s="55">
        <v>5</v>
      </c>
      <c r="F71" s="55">
        <v>1.6</v>
      </c>
      <c r="G71" s="55">
        <f t="shared" si="1"/>
        <v>8</v>
      </c>
      <c r="H71" s="39"/>
      <c r="I71" s="39"/>
      <c r="J71" s="39"/>
      <c r="K71" s="39"/>
      <c r="L71" s="39"/>
      <c r="M71" s="39"/>
      <c r="N71" s="39"/>
      <c r="O71" s="39"/>
      <c r="P71" s="39"/>
    </row>
    <row r="72" spans="2:16" ht="14.25" customHeight="1" x14ac:dyDescent="0.3">
      <c r="B72" s="68">
        <v>39</v>
      </c>
      <c r="C72" s="69" t="s">
        <v>257</v>
      </c>
      <c r="D72" s="70" t="s">
        <v>200</v>
      </c>
      <c r="E72" s="55">
        <v>5</v>
      </c>
      <c r="F72" s="55">
        <v>1.27</v>
      </c>
      <c r="G72" s="55">
        <f t="shared" si="1"/>
        <v>6.35</v>
      </c>
      <c r="H72" s="39"/>
      <c r="I72" s="39"/>
      <c r="J72" s="39"/>
      <c r="K72" s="39"/>
      <c r="L72" s="39"/>
      <c r="M72" s="39"/>
      <c r="N72" s="39"/>
      <c r="O72" s="39"/>
      <c r="P72" s="39"/>
    </row>
    <row r="73" spans="2:16" ht="14.25" customHeight="1" x14ac:dyDescent="0.3">
      <c r="B73" s="68">
        <v>40</v>
      </c>
      <c r="C73" s="69" t="s">
        <v>258</v>
      </c>
      <c r="D73" s="70" t="s">
        <v>200</v>
      </c>
      <c r="E73" s="55">
        <v>5</v>
      </c>
      <c r="F73" s="55">
        <v>1.0900000000000001</v>
      </c>
      <c r="G73" s="55">
        <f t="shared" si="1"/>
        <v>5.45</v>
      </c>
      <c r="H73" s="39"/>
      <c r="I73" s="39"/>
      <c r="J73" s="39"/>
      <c r="K73" s="39"/>
      <c r="L73" s="39"/>
      <c r="M73" s="39"/>
      <c r="N73" s="39"/>
      <c r="O73" s="39"/>
      <c r="P73" s="39"/>
    </row>
    <row r="74" spans="2:16" ht="14.25" customHeight="1" x14ac:dyDescent="0.3">
      <c r="B74" s="68">
        <v>41</v>
      </c>
      <c r="C74" s="69" t="s">
        <v>196</v>
      </c>
      <c r="D74" s="70" t="s">
        <v>200</v>
      </c>
      <c r="E74" s="55">
        <v>1</v>
      </c>
      <c r="F74" s="55">
        <v>66.67</v>
      </c>
      <c r="G74" s="55">
        <f t="shared" si="1"/>
        <v>66.67</v>
      </c>
      <c r="H74" s="39"/>
      <c r="I74" s="39"/>
      <c r="J74" s="39"/>
      <c r="K74" s="39"/>
      <c r="L74" s="39"/>
      <c r="M74" s="39"/>
      <c r="N74" s="39"/>
      <c r="O74" s="39"/>
      <c r="P74" s="39"/>
    </row>
    <row r="75" spans="2:16" ht="14.25" customHeight="1" x14ac:dyDescent="0.3">
      <c r="B75" s="137" t="s">
        <v>29</v>
      </c>
      <c r="C75" s="138"/>
      <c r="D75" s="138"/>
      <c r="E75" s="138"/>
      <c r="F75" s="138"/>
      <c r="G75" s="139"/>
      <c r="H75" s="39"/>
      <c r="I75" s="39"/>
      <c r="J75" s="39"/>
      <c r="K75" s="39"/>
      <c r="L75" s="39"/>
      <c r="M75" s="39"/>
      <c r="N75" s="39"/>
      <c r="O75" s="39"/>
      <c r="P75" s="39"/>
    </row>
    <row r="76" spans="2:16" ht="14.25" customHeight="1" x14ac:dyDescent="0.3">
      <c r="B76" s="68">
        <v>1</v>
      </c>
      <c r="C76" s="69"/>
      <c r="D76" s="70"/>
      <c r="E76" s="55"/>
      <c r="F76" s="55"/>
      <c r="G76" s="55"/>
      <c r="H76" s="39"/>
      <c r="I76" s="39"/>
      <c r="J76" s="39"/>
      <c r="K76" s="39"/>
      <c r="L76" s="39"/>
      <c r="M76" s="39"/>
      <c r="N76" s="39"/>
      <c r="O76" s="39"/>
      <c r="P76" s="39"/>
    </row>
    <row r="77" spans="2:16" ht="14.25" customHeight="1" x14ac:dyDescent="0.3">
      <c r="B77" s="68">
        <v>2</v>
      </c>
      <c r="C77" s="69"/>
      <c r="D77" s="70"/>
      <c r="E77" s="55"/>
      <c r="F77" s="55"/>
      <c r="G77" s="55"/>
      <c r="H77" s="39"/>
      <c r="I77" s="39"/>
      <c r="J77" s="39"/>
      <c r="K77" s="39"/>
      <c r="L77" s="39"/>
      <c r="M77" s="39"/>
      <c r="N77" s="39"/>
      <c r="O77" s="39"/>
      <c r="P77" s="39"/>
    </row>
    <row r="78" spans="2:16" ht="14.25" customHeight="1" x14ac:dyDescent="0.3">
      <c r="B78" s="68">
        <v>3</v>
      </c>
      <c r="C78" s="69"/>
      <c r="D78" s="70"/>
      <c r="E78" s="55"/>
      <c r="F78" s="55"/>
      <c r="G78" s="55"/>
      <c r="H78" s="39"/>
      <c r="I78" s="39"/>
      <c r="J78" s="39"/>
      <c r="K78" s="39"/>
      <c r="L78" s="39"/>
      <c r="M78" s="39"/>
      <c r="N78" s="39"/>
      <c r="O78" s="39"/>
      <c r="P78" s="39"/>
    </row>
    <row r="79" spans="2:16" ht="14.25" customHeight="1" x14ac:dyDescent="0.3">
      <c r="B79" s="68">
        <v>4</v>
      </c>
      <c r="C79" s="69"/>
      <c r="D79" s="70"/>
      <c r="E79" s="55"/>
      <c r="F79" s="55"/>
      <c r="G79" s="55"/>
      <c r="H79" s="39"/>
      <c r="I79" s="39"/>
      <c r="J79" s="39"/>
      <c r="K79" s="39"/>
      <c r="L79" s="39"/>
      <c r="M79" s="39"/>
      <c r="N79" s="39"/>
      <c r="O79" s="39"/>
      <c r="P79" s="39"/>
    </row>
    <row r="80" spans="2:16" ht="14.25" customHeight="1" x14ac:dyDescent="0.3">
      <c r="B80" s="68">
        <v>5</v>
      </c>
      <c r="C80" s="69"/>
      <c r="D80" s="70"/>
      <c r="E80" s="55"/>
      <c r="F80" s="55"/>
      <c r="G80" s="55"/>
      <c r="H80" s="39"/>
      <c r="I80" s="39"/>
      <c r="J80" s="39"/>
      <c r="K80" s="39"/>
      <c r="L80" s="39"/>
      <c r="M80" s="39"/>
      <c r="N80" s="39"/>
      <c r="O80" s="39"/>
      <c r="P80" s="39"/>
    </row>
    <row r="81" spans="1:16" ht="14.25" customHeight="1" x14ac:dyDescent="0.3">
      <c r="B81" s="68">
        <v>6</v>
      </c>
      <c r="C81" s="69"/>
      <c r="D81" s="70"/>
      <c r="E81" s="55"/>
      <c r="F81" s="55"/>
      <c r="G81" s="55"/>
      <c r="H81" s="39"/>
      <c r="I81" s="39"/>
      <c r="J81" s="39"/>
      <c r="K81" s="39"/>
      <c r="L81" s="39"/>
      <c r="M81" s="39"/>
      <c r="N81" s="39"/>
      <c r="O81" s="39"/>
      <c r="P81" s="39"/>
    </row>
    <row r="82" spans="1:16" ht="14.25" customHeight="1" x14ac:dyDescent="0.3">
      <c r="B82" s="68">
        <v>7</v>
      </c>
      <c r="C82" s="69"/>
      <c r="D82" s="70"/>
      <c r="E82" s="55"/>
      <c r="F82" s="55"/>
      <c r="G82" s="55"/>
      <c r="H82" s="39"/>
      <c r="I82" s="39"/>
      <c r="J82" s="39"/>
      <c r="K82" s="39"/>
      <c r="L82" s="39"/>
      <c r="M82" s="39"/>
      <c r="N82" s="39"/>
      <c r="O82" s="39"/>
      <c r="P82" s="39"/>
    </row>
    <row r="83" spans="1:16" ht="14.25" customHeight="1" x14ac:dyDescent="0.3">
      <c r="B83" s="68">
        <v>8</v>
      </c>
      <c r="C83" s="69"/>
      <c r="D83" s="70"/>
      <c r="E83" s="55"/>
      <c r="F83" s="55"/>
      <c r="G83" s="55"/>
      <c r="H83" s="39"/>
      <c r="I83" s="39"/>
      <c r="J83" s="39"/>
      <c r="K83" s="39"/>
      <c r="L83" s="39"/>
      <c r="M83" s="39"/>
      <c r="N83" s="39"/>
      <c r="O83" s="39"/>
      <c r="P83" s="39"/>
    </row>
    <row r="84" spans="1:16" ht="14.25" customHeight="1" x14ac:dyDescent="0.3">
      <c r="B84" s="68">
        <v>9</v>
      </c>
      <c r="C84" s="69"/>
      <c r="D84" s="70"/>
      <c r="E84" s="55"/>
      <c r="F84" s="55"/>
      <c r="G84" s="55"/>
      <c r="H84" s="39"/>
      <c r="I84" s="39"/>
      <c r="J84" s="39"/>
      <c r="K84" s="39"/>
      <c r="L84" s="39"/>
      <c r="M84" s="39"/>
      <c r="N84" s="39"/>
      <c r="O84" s="39"/>
      <c r="P84" s="39"/>
    </row>
    <row r="85" spans="1:16" ht="14.25" customHeight="1" x14ac:dyDescent="0.3">
      <c r="B85" s="68">
        <v>10</v>
      </c>
      <c r="C85" s="69"/>
      <c r="D85" s="70"/>
      <c r="E85" s="55"/>
      <c r="F85" s="55"/>
      <c r="G85" s="55"/>
      <c r="H85" s="39"/>
      <c r="I85" s="39"/>
      <c r="J85" s="39"/>
      <c r="K85" s="39"/>
      <c r="L85" s="39"/>
      <c r="M85" s="39"/>
      <c r="N85" s="39"/>
      <c r="O85" s="39"/>
      <c r="P85" s="39"/>
    </row>
    <row r="86" spans="1:16" ht="14.25" customHeight="1" x14ac:dyDescent="0.3">
      <c r="A86" s="44"/>
      <c r="B86" s="39"/>
      <c r="C86" s="44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</row>
    <row r="87" spans="1:16" ht="14.25" customHeight="1" x14ac:dyDescent="0.3">
      <c r="A87" s="44"/>
      <c r="B87" s="39"/>
      <c r="C87" s="44"/>
      <c r="D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</row>
    <row r="88" spans="1:16" ht="15.75" customHeight="1" x14ac:dyDescent="0.25"/>
    <row r="89" spans="1:16" ht="15.75" customHeight="1" x14ac:dyDescent="0.25"/>
    <row r="90" spans="1:16" ht="15.75" customHeight="1" x14ac:dyDescent="0.25"/>
    <row r="91" spans="1:16" ht="15.75" customHeight="1" x14ac:dyDescent="0.25"/>
    <row r="92" spans="1:16" ht="15.75" customHeight="1" x14ac:dyDescent="0.25"/>
    <row r="93" spans="1:16" ht="15.75" customHeight="1" x14ac:dyDescent="0.25"/>
    <row r="94" spans="1:16" ht="15.75" customHeight="1" x14ac:dyDescent="0.25"/>
    <row r="95" spans="1:16" ht="15.75" customHeight="1" x14ac:dyDescent="0.25"/>
    <row r="96" spans="1:1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</sheetData>
  <sheetProtection algorithmName="SHA-512" hashValue="/7zgtc6oKl6lmo79g742So246UhR7qQE3jbf+nFQ3qzSUdPvKKgNEPacnzcadIhyHt8OGn4I14ZKEx9zWUqLWA==" saltValue="QuyotHkQ7m2qGlJMQW5zlw==" spinCount="100000" sheet="1" objects="1" scenarios="1" formatColumns="0" formatRows="0" sort="0" autoFilter="0"/>
  <mergeCells count="9">
    <mergeCell ref="B7:G7"/>
    <mergeCell ref="B33:G33"/>
    <mergeCell ref="B75:G7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8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75</xdr:row>
                    <xdr:rowOff>28575</xdr:rowOff>
                  </from>
                  <to>
                    <xdr:col>1</xdr:col>
                    <xdr:colOff>771525</xdr:colOff>
                    <xdr:row>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75</xdr:row>
                    <xdr:rowOff>28575</xdr:rowOff>
                  </from>
                  <to>
                    <xdr:col>1</xdr:col>
                    <xdr:colOff>1543050</xdr:colOff>
                    <xdr:row>75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3" sqref="H2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2018-05-30T09:05:39Z</dcterms:modified>
</cp:coreProperties>
</file>