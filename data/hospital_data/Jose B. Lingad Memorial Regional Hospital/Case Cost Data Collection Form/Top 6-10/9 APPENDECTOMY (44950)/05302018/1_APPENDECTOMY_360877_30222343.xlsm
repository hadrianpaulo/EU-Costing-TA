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Supplies_Medical'!$C$15:$C$62</definedName>
    <definedName name="Drugs">'1.2 Drugs&amp;Med'!$C$11:$C$22</definedName>
    <definedName name="_xlnm.Print_Area" localSheetId="0">'1.1 Case data_general'!$B$1:$F$74</definedName>
    <definedName name="_xlnm.Print_Area" localSheetId="1">'1.2 Drugs&amp;Med'!$B$2:$J$23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<sst xmlns="http://schemas.openxmlformats.org/spreadsheetml/2006/main" count="565" uniqueCount="241">
  <si>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</si>
  <si>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</si>
  <si>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</si>
  <si>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</si>
  <si>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</si>
  <si>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</si>
  <si>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</si>
  <si>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</si>
  <si>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</si>
  <si>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</si>
  <si>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</si>
  <si>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</si>
  <si>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</si>
  <si>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</si>
  <si>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</si>
  <si>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</si>
  <si>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</si>
  <si>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</si>
  <si>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</si>
  <si>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</si>
  <si>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</si>
  <si>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</si>
  <si>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</si>
  <si>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</si>
  <si>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</si>
  <si>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</si>
  <si>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</si>
  <si>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</si>
  <si>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</si>
  <si>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</si>
  <si>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</si>
  <si>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</si>
  <si>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</si>
  <si>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</si>
  <si>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</si>
  <si>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</si>
  <si>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</si>
  <si>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</si>
  <si>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</si>
  <si>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</si>
  <si>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</si>
  <si>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</si>
  <si>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</si>
  <si>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</si>
  <si>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</si>
  <si>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</si>
  <si>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</si>
  <si>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</si>
  <si>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</si>
  <si>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</si>
  <si>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</si>
  <si>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</si>
  <si>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</si>
  <si>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</si>
  <si>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</si>
  <si>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</si>
  <si>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</si>
  <si>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</si>
  <si>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</si>
  <si>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</si>
  <si>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</si>
  <si>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</si>
  <si>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</si>
  <si>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</si>
  <si>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</si>
  <si>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</si>
  <si>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</si>
  <si>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</si>
  <si>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</si>
  <si>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</si>
  <si>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</si>
  <si>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</si>
  <si>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</si>
  <si>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</si>
  <si>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</si>
  <si>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</si>
  <si>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</si>
  <si>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</si>
  <si>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</si>
  <si>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</si>
  <si>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</si>
  <si>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</si>
  <si>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</si>
  <si>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</si>
  <si>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</si>
  <si>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</si>
  <si>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</si>
  <si>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</si>
  <si>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</si>
  <si>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</si>
  <si>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</si>
  <si>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</si>
  <si>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</si>
  <si>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</si>
  <si>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</si>
  <si>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</si>
  <si>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</si>
  <si>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</si>
  <si>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</si>
  <si>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</si>
  <si>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</si>
  <si>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</si>
  <si>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</si>
  <si>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</si>
  <si>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</si>
  <si>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</si>
  <si>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</si>
  <si>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</si>
  <si>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</si>
  <si>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</si>
  <si>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</si>
  <si>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</si>
  <si>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</si>
  <si>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</si>
  <si>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</si>
  <si>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</si>
  <si>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</si>
  <si>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</si>
  <si>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</si>
  <si>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</si>
  <si>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</si>
  <si>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</si>
  <si>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</si>
  <si>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</si>
  <si>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</si>
  <si>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</si>
  <si>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</si>
  <si>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</si>
  <si>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</si>
  <si>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</si>
  <si>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</si>
  <si>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</si>
  <si>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</si>
  <si>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</si>
  <si>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</si>
  <si>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</si>
  <si>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</si>
  <si>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</si>
  <si>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</si>
  <si>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</si>
  <si>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</si>
  <si>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</si>
  <si>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</si>
  <si>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</si>
  <si>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</si>
  <si>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</si>
  <si>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</si>
  <si>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</si>
  <si>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</si>
  <si>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</si>
  <si>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</si>
  <si>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</si>
  <si>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</si>
  <si>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</si>
  <si>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</si>
  <si>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</si>
  <si>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</si>
  <si>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</si>
  <si>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</si>
  <si>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</si>
  <si>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</si>
  <si>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</si>
  <si>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</si>
  <si>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</si>
  <si>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</si>
  <si>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ampule</t>
  </si>
  <si>
    <t>500MG</t>
  </si>
  <si>
    <t>capsule</t>
  </si>
  <si>
    <t>bottle</t>
  </si>
  <si>
    <t>pack</t>
  </si>
  <si>
    <t>APPENDECTOMY</t>
  </si>
  <si>
    <t>360877/74310</t>
  </si>
  <si>
    <t>K35.8</t>
  </si>
  <si>
    <t>MAJOR</t>
  </si>
  <si>
    <t>CBC, PC</t>
  </si>
  <si>
    <t>URINALYSIS</t>
  </si>
  <si>
    <t>BLOOD EXTRACTION FEE</t>
  </si>
  <si>
    <t>HISTOPATHOLOGY</t>
  </si>
  <si>
    <t>CASE RATE</t>
  </si>
  <si>
    <t>PF CASE RATE</t>
  </si>
  <si>
    <t>ASEPTO BULB SYRINGE TIP 60ML</t>
  </si>
  <si>
    <t>DISPOSABLE INSULIN SYRINGE 1CC G 30 0.3 X 8MM BOX OF 100'S ( SHORT NEEDLE ULTRAFINE )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</si>
  <si>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</si>
  <si>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</si>
  <si>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</si>
  <si>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DISPOSABLE SYRINGE 50ML, BOX OF 25S (CPR NEEDED)</t>
  </si>
  <si>
    <t>IV CATHETER GAUGE 20</t>
  </si>
  <si>
    <t>IV CATHETER GAUGE 18</t>
  </si>
  <si>
    <t>IV SET W/ AIRWAY FOR IV PUSH, VACOSET/MACRODRIP, ADULT</t>
  </si>
  <si>
    <t>(MICROSET) IV INFUSION SET PEDIA</t>
  </si>
  <si>
    <t>IV SET FOR PEDIA W/ BURETTE FOR DOSIFICATION VENTS W/ FILTER, SOLUSET</t>
  </si>
  <si>
    <t>(D5LRS 1L) 5% DEXTROSE IN LACTATED RINGERS SOLUTION 1000ML (D5 LRS) X 12S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</si>
  <si>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</si>
  <si>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STERILLE COTTON</t>
  </si>
  <si>
    <t>SURGICAL LAPAROTOMY SPONGE 8"X36", 24X28 MESH, 12 PLY SEWED EDGES STERILE W/ DETECTABLE X-RAY THREAD (LAP SPONGE 8"X36"X12 PLY, LOOP W/ X-RAY THREAD, STERILE, 1 PIECE/PCK) (CPR NEEDED)</t>
  </si>
  <si>
    <t>ISOPROPHYL ALCOHOL 70%, 500ML</t>
  </si>
  <si>
    <t>POVIDONE IODINE 10 % SOLUTION (ANTISEPTIC) 120ML</t>
  </si>
  <si>
    <t>SURGICAL BLADE 20, BOX OF 100''S UNIMEX/CHINA</t>
  </si>
  <si>
    <t>SURGICAL COTTON THREAD 2/0, 18" X 10 STRANDS</t>
  </si>
  <si>
    <t>ADHESIVE PLASTER 2 X 10 (SILK) BOX OF 12S</t>
  </si>
  <si>
    <t>MONITORING CHEST ELECTRODES, DISPOSABLE</t>
  </si>
  <si>
    <t>DISPOSABLE SYRINGE 1ML G 25, W/ NEEDLE X 100S (CPR NEEDED)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</si>
  <si>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</si>
  <si>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</si>
  <si>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</si>
  <si>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LUBRICANT JELLY 5G/SACHET, BOX OF 100''''''''''''''''S, STERIL AND BACTERIOLISTIC (STERILE)</t>
  </si>
  <si>
    <t>GAUZE SPONGE 4"X4", 8 PLY, 28X24 MESH, UNSTERILE,  W/O BLUE DETECTOR, PACK OF 100S (OS 4X4) (CPR NEEDED)</t>
  </si>
  <si>
    <t>DISPOSABLE SURGICAL BRUSH W/ SPONGE AND NAIL CLEANER</t>
  </si>
  <si>
    <t>DISPOSABLE HEAD CAP X 100S GARTERIZED</t>
  </si>
  <si>
    <t>DISPOSABLE FACE MASK, EAR LOOP 3 FOLDS X 50S</t>
  </si>
  <si>
    <t>OXYGEN FLOW METER (PIPELINE) PER HOUR</t>
  </si>
  <si>
    <t>SPINAL NEEDLE, G23 X 3 1/2" DISPOSABLE STERILE, SINGLE PACK (CPR NEEDED)</t>
  </si>
  <si>
    <t>POLYDIOXONE 1  MONOFILAMENT, SYNTHETIC ABSORBABLE SUTURE 90CM, WITH 40MM X 1/2 CIRCLE ROUND BODIED NEEDLE</t>
  </si>
  <si>
    <t>SILK 2-0 BRAIDED, COATED, NON-ABSORBABLE SURGICAL SUTURE 75CM, WITH AT LEAST 26M X ½ CIRCLE TAPER NEEDLE</t>
  </si>
  <si>
    <t>SURGICAL SKIN STAPLER W/ FREE SKIN STAPLER REMOVER 12 PCS FOR EVERY PURCHASE OF 50 PCS (BBRAUN/SPAIN)</t>
  </si>
  <si>
    <t>kit</t>
  </si>
  <si>
    <t>m3</t>
  </si>
  <si>
    <t>visits ward</t>
  </si>
  <si>
    <t>KETOROLAC TROMETHAMOL 30MG/ML-1ML</t>
  </si>
  <si>
    <t>PARACETAMOL (ACETAMINOPHEN) 300MG-2ML</t>
  </si>
  <si>
    <t>RANITIDINE HCI 25MG/ML-2ML</t>
  </si>
  <si>
    <t>CIPROFLOXACIN LACTATE, 200MG/100ML, IV INFUSION</t>
  </si>
  <si>
    <t>BUPIVACAINE HCL- SPINAL  0.5% - 4ML + 8% DEXTROSE</t>
  </si>
  <si>
    <t>LIDOCAINE HCI 2%-5ML PRESERVATIVE-FREE REGARDLESS OF CONTAINER</t>
  </si>
  <si>
    <t>BUTORPHANOL TARTRATE 2MG/ML-1ML</t>
  </si>
  <si>
    <t>(PLAIN LRS 1L) LACTATED RINGER''''S SOLUTION 1000ML (PLAIN LRS 1L) X 12S</t>
  </si>
  <si>
    <t>(IRRIGATING SOLN) 0.9% SODIUM CHLORIDE (PLAIN NSS) 1000ML (IRRIGATION) X 12S</t>
  </si>
  <si>
    <t>CO-AMOXICLAV TRIHYDRATE 625MG IN BLISTER FOIL PACK</t>
  </si>
  <si>
    <t>MEFENAMIC ACID 500MG IN BLISTER FOIL PACK</t>
  </si>
  <si>
    <t>MEFENAMIC ACID 250MG IN BLISTER FOIL/PACK</t>
  </si>
  <si>
    <t>vial</t>
  </si>
  <si>
    <t xml:space="preserve"> 30MG/ML-1ML</t>
  </si>
  <si>
    <t>300MG-2ML</t>
  </si>
  <si>
    <t>25MG/ML-2ML</t>
  </si>
  <si>
    <t>200MG/100ML</t>
  </si>
  <si>
    <t>SPINAL  0.5% - 4ML + 8% DEXTROSE</t>
  </si>
  <si>
    <t xml:space="preserve"> HCI 2%-5ML</t>
  </si>
  <si>
    <t xml:space="preserve"> 2MG/ML-1ML</t>
  </si>
  <si>
    <t>1000ML</t>
  </si>
  <si>
    <t xml:space="preserve"> 625MG</t>
  </si>
  <si>
    <t xml:space="preserve"> 250MG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</si>
</sst>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rgb="FF0070C0"/>
      <name val="Arial"/>
      <family val="2"/>
    </font>
    <font>
      <sz val="11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6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20" fillId="0" borderId="21" xfId="0" applyFont="1" applyBorder="1" applyAlignment="1" applyProtection="1">
      <alignment vertical="center"/>
      <protection locked="0"/>
    </xf>
    <xf numFmtId="0" fontId="20" fillId="0" borderId="21" xfId="0" applyFont="1" applyBorder="1" applyAlignment="1" applyProtection="1">
      <alignment vertical="center" readingOrder="1"/>
      <protection locked="0"/>
    </xf>
    <xf numFmtId="0" fontId="20" fillId="5" borderId="21" xfId="0" applyFont="1" applyFill="1" applyBorder="1" applyAlignment="1" applyProtection="1">
      <alignment vertical="center" readingOrder="1"/>
      <protection locked="0"/>
    </xf>
    <xf numFmtId="0" fontId="20" fillId="5" borderId="21" xfId="0" applyFont="1" applyFill="1" applyBorder="1" applyAlignment="1" applyProtection="1">
      <alignment vertical="center"/>
      <protection locked="0"/>
    </xf>
    <xf numFmtId="3" fontId="20" fillId="0" borderId="21" xfId="0" applyNumberFormat="1" applyFont="1" applyBorder="1" applyAlignment="1" applyProtection="1">
      <alignment vertical="top"/>
      <protection locked="0"/>
    </xf>
    <xf numFmtId="3" fontId="20" fillId="5" borderId="21" xfId="0" applyNumberFormat="1" applyFont="1" applyFill="1" applyBorder="1" applyAlignment="1" applyProtection="1">
      <alignment vertical="top"/>
      <protection locked="0"/>
    </xf>
    <xf numFmtId="4" fontId="20" fillId="0" borderId="21" xfId="0" applyNumberFormat="1" applyFont="1" applyBorder="1" applyAlignment="1" applyProtection="1">
      <alignment vertical="top"/>
      <protection locked="0"/>
    </xf>
    <xf numFmtId="4" fontId="20" fillId="5" borderId="21" xfId="0" applyNumberFormat="1" applyFont="1" applyFill="1" applyBorder="1" applyAlignment="1" applyProtection="1">
      <alignment vertical="top"/>
      <protection locked="0"/>
    </xf>
    <xf numFmtId="0" fontId="20" fillId="0" borderId="21" xfId="0" applyFont="1" applyBorder="1" applyAlignment="1" applyProtection="1">
      <alignment vertical="top"/>
      <protection locked="0"/>
    </xf>
    <xf numFmtId="0" fontId="20" fillId="0" borderId="21" xfId="0" applyFont="1" applyBorder="1" applyAlignment="1" applyProtection="1">
      <alignment vertical="top" readingOrder="1"/>
      <protection locked="0"/>
    </xf>
    <xf numFmtId="0" fontId="21" fillId="0" borderId="21" xfId="0" applyFont="1" applyBorder="1" applyAlignment="1" applyProtection="1">
      <alignment vertical="top"/>
      <protection locked="0"/>
    </xf>
    <xf numFmtId="0" fontId="21" fillId="0" borderId="21" xfId="0" applyFont="1" applyBorder="1" applyProtection="1"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28575</xdr:rowOff>
        </xdr:from>
        <xdr:to>
          <xdr:col>1</xdr:col>
          <xdr:colOff>762000</xdr:colOff>
          <xdr:row>30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30</xdr:row>
          <xdr:rowOff>28575</xdr:rowOff>
        </xdr:from>
        <xdr:to>
          <xdr:col>1</xdr:col>
          <xdr:colOff>1533525</xdr:colOff>
          <xdr:row>30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</xdr:row>
          <xdr:rowOff>28575</xdr:rowOff>
        </xdr:from>
        <xdr:to>
          <xdr:col>1</xdr:col>
          <xdr:colOff>771525</xdr:colOff>
          <xdr:row>52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28575</xdr:rowOff>
        </xdr:from>
        <xdr:to>
          <xdr:col>1</xdr:col>
          <xdr:colOff>1543050</xdr:colOff>
          <xdr:row>52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60" zoomScaleNormal="100" workbookViewId="0">
      <selection activeCell="H80" sqref="H8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44950</v>
      </c>
      <c r="D23" s="29" t="s">
        <v>173</v>
      </c>
      <c r="E23" s="55">
        <v>1</v>
      </c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175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176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177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178</v>
      </c>
      <c r="D63" s="55">
        <v>9295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179</v>
      </c>
      <c r="D64" s="55">
        <v>9600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18895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3"/>
  <sheetViews>
    <sheetView workbookViewId="0">
      <selection activeCell="I26" sqref="I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59" t="s">
        <v>218</v>
      </c>
      <c r="D11" s="161" t="s">
        <v>230</v>
      </c>
      <c r="E11" s="162" t="s">
        <v>231</v>
      </c>
      <c r="F11" s="155">
        <v>2</v>
      </c>
      <c r="G11" s="55">
        <v>2</v>
      </c>
      <c r="H11" s="155">
        <v>3</v>
      </c>
      <c r="I11" s="157">
        <v>20.43</v>
      </c>
      <c r="J11" s="55">
        <f>H11*I11</f>
        <v>61.29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59" t="s">
        <v>219</v>
      </c>
      <c r="D12" s="161" t="s">
        <v>230</v>
      </c>
      <c r="E12" s="162" t="s">
        <v>232</v>
      </c>
      <c r="F12" s="155">
        <v>3</v>
      </c>
      <c r="G12" s="55">
        <v>2</v>
      </c>
      <c r="H12" s="155">
        <v>7</v>
      </c>
      <c r="I12" s="157">
        <v>4.57</v>
      </c>
      <c r="J12" s="55">
        <f t="shared" ref="J12:J22" si="0">H12*I12</f>
        <v>31.990000000000002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59" t="s">
        <v>220</v>
      </c>
      <c r="D13" s="161" t="s">
        <v>230</v>
      </c>
      <c r="E13" s="162" t="s">
        <v>233</v>
      </c>
      <c r="F13" s="155">
        <v>2</v>
      </c>
      <c r="G13" s="55">
        <v>2</v>
      </c>
      <c r="H13" s="155">
        <v>4</v>
      </c>
      <c r="I13" s="157">
        <v>4.92</v>
      </c>
      <c r="J13" s="55">
        <f t="shared" si="0"/>
        <v>19.68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59" t="s">
        <v>221</v>
      </c>
      <c r="D14" s="161" t="s">
        <v>165</v>
      </c>
      <c r="E14" s="162" t="s">
        <v>234</v>
      </c>
      <c r="F14" s="155">
        <v>4</v>
      </c>
      <c r="G14" s="55">
        <v>2</v>
      </c>
      <c r="H14" s="155">
        <v>8</v>
      </c>
      <c r="I14" s="157">
        <v>32.39</v>
      </c>
      <c r="J14" s="55">
        <f t="shared" si="0"/>
        <v>259.12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59" t="s">
        <v>222</v>
      </c>
      <c r="D15" s="161" t="s">
        <v>165</v>
      </c>
      <c r="E15" s="162" t="s">
        <v>235</v>
      </c>
      <c r="F15" s="155">
        <v>1</v>
      </c>
      <c r="G15" s="55">
        <v>1</v>
      </c>
      <c r="H15" s="155">
        <v>1</v>
      </c>
      <c r="I15" s="157">
        <v>81.150000000000006</v>
      </c>
      <c r="J15" s="55">
        <f t="shared" si="0"/>
        <v>81.150000000000006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60" t="s">
        <v>223</v>
      </c>
      <c r="D16" s="161" t="s">
        <v>165</v>
      </c>
      <c r="E16" s="162" t="s">
        <v>236</v>
      </c>
      <c r="F16" s="155">
        <v>1</v>
      </c>
      <c r="G16" s="55">
        <v>1</v>
      </c>
      <c r="H16" s="155">
        <v>1</v>
      </c>
      <c r="I16" s="157">
        <v>30.4</v>
      </c>
      <c r="J16" s="55">
        <f t="shared" si="0"/>
        <v>30.4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59" t="s">
        <v>224</v>
      </c>
      <c r="D17" s="161" t="s">
        <v>165</v>
      </c>
      <c r="E17" s="162" t="s">
        <v>237</v>
      </c>
      <c r="F17" s="155">
        <v>1</v>
      </c>
      <c r="G17" s="55">
        <v>1</v>
      </c>
      <c r="H17" s="155">
        <v>1</v>
      </c>
      <c r="I17" s="157">
        <v>566.66999999999996</v>
      </c>
      <c r="J17" s="55">
        <f t="shared" si="0"/>
        <v>566.66999999999996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60" t="s">
        <v>225</v>
      </c>
      <c r="D18" s="161" t="s">
        <v>168</v>
      </c>
      <c r="E18" s="162" t="s">
        <v>238</v>
      </c>
      <c r="F18" s="155">
        <v>1</v>
      </c>
      <c r="G18" s="55">
        <v>1</v>
      </c>
      <c r="H18" s="155">
        <v>2</v>
      </c>
      <c r="I18" s="157">
        <v>49.33</v>
      </c>
      <c r="J18" s="55">
        <f t="shared" si="0"/>
        <v>98.66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60" t="s">
        <v>226</v>
      </c>
      <c r="D19" s="161" t="s">
        <v>168</v>
      </c>
      <c r="E19" s="162" t="s">
        <v>238</v>
      </c>
      <c r="F19" s="155">
        <v>1</v>
      </c>
      <c r="G19" s="55">
        <v>1</v>
      </c>
      <c r="H19" s="155">
        <v>2</v>
      </c>
      <c r="I19" s="157">
        <v>53.33</v>
      </c>
      <c r="J19" s="55">
        <f t="shared" si="0"/>
        <v>106.66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59" t="s">
        <v>227</v>
      </c>
      <c r="D20" s="161" t="s">
        <v>167</v>
      </c>
      <c r="E20" s="162" t="s">
        <v>239</v>
      </c>
      <c r="F20" s="155">
        <v>2</v>
      </c>
      <c r="G20" s="55">
        <v>2</v>
      </c>
      <c r="H20" s="155">
        <v>4</v>
      </c>
      <c r="I20" s="157">
        <v>9.33</v>
      </c>
      <c r="J20" s="55">
        <f t="shared" si="0"/>
        <v>37.32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159" t="s">
        <v>228</v>
      </c>
      <c r="D21" s="161" t="s">
        <v>167</v>
      </c>
      <c r="E21" s="162" t="s">
        <v>166</v>
      </c>
      <c r="F21" s="155">
        <v>3</v>
      </c>
      <c r="G21" s="55">
        <v>2</v>
      </c>
      <c r="H21" s="155">
        <v>6</v>
      </c>
      <c r="I21" s="157">
        <v>0.97</v>
      </c>
      <c r="J21" s="55">
        <f t="shared" si="0"/>
        <v>5.82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159" t="s">
        <v>229</v>
      </c>
      <c r="D22" s="161" t="s">
        <v>167</v>
      </c>
      <c r="E22" s="162" t="s">
        <v>240</v>
      </c>
      <c r="F22" s="155">
        <v>3</v>
      </c>
      <c r="G22" s="55">
        <v>2</v>
      </c>
      <c r="H22" s="155">
        <v>7</v>
      </c>
      <c r="I22" s="157">
        <v>2.5099999999999998</v>
      </c>
      <c r="J22" s="55">
        <f t="shared" si="0"/>
        <v>17.57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25">
      <c r="A23" s="33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</row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6"/>
  <sheetViews>
    <sheetView topLeftCell="A37" workbookViewId="0">
      <selection activeCell="I26" sqref="I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21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51" t="s">
        <v>180</v>
      </c>
      <c r="D16" s="70" t="s">
        <v>29</v>
      </c>
      <c r="E16" s="155">
        <v>1</v>
      </c>
      <c r="F16" s="157">
        <v>23.91</v>
      </c>
      <c r="G16" s="157">
        <v>23.910000000000004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52" t="s">
        <v>181</v>
      </c>
      <c r="D17" s="70" t="s">
        <v>29</v>
      </c>
      <c r="E17" s="155">
        <v>5</v>
      </c>
      <c r="F17" s="157">
        <v>11.73</v>
      </c>
      <c r="G17" s="157">
        <v>58.65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52" t="s">
        <v>182</v>
      </c>
      <c r="D18" s="70" t="s">
        <v>29</v>
      </c>
      <c r="E18" s="155">
        <v>6</v>
      </c>
      <c r="F18" s="157">
        <v>1.6</v>
      </c>
      <c r="G18" s="157">
        <v>9.6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51" t="s">
        <v>183</v>
      </c>
      <c r="D19" s="70" t="s">
        <v>29</v>
      </c>
      <c r="E19" s="155">
        <v>6</v>
      </c>
      <c r="F19" s="157">
        <v>5</v>
      </c>
      <c r="G19" s="157"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52" t="s">
        <v>184</v>
      </c>
      <c r="D20" s="70" t="s">
        <v>29</v>
      </c>
      <c r="E20" s="155">
        <v>5</v>
      </c>
      <c r="F20" s="157">
        <v>2.77</v>
      </c>
      <c r="G20" s="157">
        <v>13.85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51" t="s">
        <v>185</v>
      </c>
      <c r="D21" s="70" t="s">
        <v>29</v>
      </c>
      <c r="E21" s="155">
        <v>1</v>
      </c>
      <c r="F21" s="157">
        <v>11.09</v>
      </c>
      <c r="G21" s="157">
        <v>11.09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51" t="s">
        <v>186</v>
      </c>
      <c r="D22" s="70" t="s">
        <v>29</v>
      </c>
      <c r="E22" s="155">
        <v>2</v>
      </c>
      <c r="F22" s="157">
        <v>13.13</v>
      </c>
      <c r="G22" s="157">
        <v>26.26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51" t="s">
        <v>187</v>
      </c>
      <c r="D23" s="70" t="s">
        <v>29</v>
      </c>
      <c r="E23" s="155">
        <v>2</v>
      </c>
      <c r="F23" s="157">
        <v>13.13</v>
      </c>
      <c r="G23" s="157">
        <v>26.26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52" t="s">
        <v>188</v>
      </c>
      <c r="D24" s="70" t="s">
        <v>29</v>
      </c>
      <c r="E24" s="155">
        <v>2</v>
      </c>
      <c r="F24" s="157">
        <v>14</v>
      </c>
      <c r="G24" s="157">
        <v>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51" t="s">
        <v>189</v>
      </c>
      <c r="D25" s="70" t="s">
        <v>215</v>
      </c>
      <c r="E25" s="155">
        <v>1</v>
      </c>
      <c r="F25" s="157">
        <v>19</v>
      </c>
      <c r="G25" s="157">
        <v>19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52" t="s">
        <v>190</v>
      </c>
      <c r="D26" s="70" t="s">
        <v>29</v>
      </c>
      <c r="E26" s="155">
        <v>1</v>
      </c>
      <c r="F26" s="157">
        <v>116.67</v>
      </c>
      <c r="G26" s="157">
        <v>116.67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152" t="s">
        <v>191</v>
      </c>
      <c r="D27" s="70" t="s">
        <v>168</v>
      </c>
      <c r="E27" s="155">
        <v>2</v>
      </c>
      <c r="F27" s="157">
        <v>49.33</v>
      </c>
      <c r="G27" s="157">
        <v>98.66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152" t="s">
        <v>192</v>
      </c>
      <c r="D28" s="70" t="s">
        <v>29</v>
      </c>
      <c r="E28" s="155">
        <v>1</v>
      </c>
      <c r="F28" s="157">
        <v>105.33</v>
      </c>
      <c r="G28" s="157">
        <v>105.33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151" t="s">
        <v>193</v>
      </c>
      <c r="D29" s="70" t="s">
        <v>169</v>
      </c>
      <c r="E29" s="155">
        <v>10</v>
      </c>
      <c r="F29" s="157">
        <v>15</v>
      </c>
      <c r="G29" s="157">
        <v>150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137" t="s">
        <v>77</v>
      </c>
      <c r="C30" s="138"/>
      <c r="D30" s="138"/>
      <c r="E30" s="138"/>
      <c r="F30" s="138"/>
      <c r="G30" s="139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</v>
      </c>
      <c r="C31" s="153" t="s">
        <v>194</v>
      </c>
      <c r="D31" s="70" t="s">
        <v>29</v>
      </c>
      <c r="E31" s="156">
        <v>1</v>
      </c>
      <c r="F31" s="158">
        <v>95</v>
      </c>
      <c r="G31" s="158">
        <v>95.000000000000014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2</v>
      </c>
      <c r="C32" s="154" t="s">
        <v>195</v>
      </c>
      <c r="D32" s="70" t="s">
        <v>29</v>
      </c>
      <c r="E32" s="156">
        <v>0.25</v>
      </c>
      <c r="F32" s="158">
        <v>67.319999999999993</v>
      </c>
      <c r="G32" s="158">
        <v>16.829999999999998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3</v>
      </c>
      <c r="C33" s="154" t="s">
        <v>196</v>
      </c>
      <c r="D33" s="70" t="s">
        <v>168</v>
      </c>
      <c r="E33" s="156">
        <v>0.25</v>
      </c>
      <c r="F33" s="158">
        <v>84</v>
      </c>
      <c r="G33" s="158">
        <v>21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4</v>
      </c>
      <c r="C34" s="154" t="s">
        <v>197</v>
      </c>
      <c r="D34" s="70" t="s">
        <v>29</v>
      </c>
      <c r="E34" s="156">
        <v>1</v>
      </c>
      <c r="F34" s="158">
        <v>3</v>
      </c>
      <c r="G34" s="158">
        <v>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5</v>
      </c>
      <c r="C35" s="154" t="s">
        <v>198</v>
      </c>
      <c r="D35" s="70" t="s">
        <v>29</v>
      </c>
      <c r="E35" s="156">
        <v>1</v>
      </c>
      <c r="F35" s="158">
        <v>70.67</v>
      </c>
      <c r="G35" s="158">
        <v>70.67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6</v>
      </c>
      <c r="C36" s="154" t="s">
        <v>199</v>
      </c>
      <c r="D36" s="70" t="s">
        <v>29</v>
      </c>
      <c r="E36" s="156">
        <v>0.25</v>
      </c>
      <c r="F36" s="158">
        <v>168.44</v>
      </c>
      <c r="G36" s="158">
        <v>42.11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7</v>
      </c>
      <c r="C37" s="154" t="s">
        <v>200</v>
      </c>
      <c r="D37" s="70" t="s">
        <v>29</v>
      </c>
      <c r="E37" s="156">
        <v>3</v>
      </c>
      <c r="F37" s="158">
        <v>30</v>
      </c>
      <c r="G37" s="158">
        <v>90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8</v>
      </c>
      <c r="C38" s="153" t="s">
        <v>201</v>
      </c>
      <c r="D38" s="70" t="s">
        <v>29</v>
      </c>
      <c r="E38" s="156">
        <v>2</v>
      </c>
      <c r="F38" s="158">
        <v>1.6</v>
      </c>
      <c r="G38" s="158">
        <v>3.2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9</v>
      </c>
      <c r="C39" s="153" t="s">
        <v>202</v>
      </c>
      <c r="D39" s="70" t="s">
        <v>169</v>
      </c>
      <c r="E39" s="156">
        <v>6</v>
      </c>
      <c r="F39" s="158">
        <v>12</v>
      </c>
      <c r="G39" s="158">
        <v>72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10</v>
      </c>
      <c r="C40" s="153" t="s">
        <v>203</v>
      </c>
      <c r="D40" s="70" t="s">
        <v>169</v>
      </c>
      <c r="E40" s="156">
        <v>6</v>
      </c>
      <c r="F40" s="158">
        <v>15</v>
      </c>
      <c r="G40" s="158">
        <v>90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11</v>
      </c>
      <c r="C41" s="153" t="s">
        <v>204</v>
      </c>
      <c r="D41" s="70" t="s">
        <v>29</v>
      </c>
      <c r="E41" s="156">
        <v>7</v>
      </c>
      <c r="F41" s="158">
        <v>10.67</v>
      </c>
      <c r="G41" s="158">
        <v>74.69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12</v>
      </c>
      <c r="C42" s="153" t="s">
        <v>205</v>
      </c>
      <c r="D42" s="70" t="s">
        <v>29</v>
      </c>
      <c r="E42" s="156">
        <v>1</v>
      </c>
      <c r="F42" s="158">
        <v>10</v>
      </c>
      <c r="G42" s="158">
        <v>10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13</v>
      </c>
      <c r="C43" s="153" t="s">
        <v>206</v>
      </c>
      <c r="D43" s="70" t="s">
        <v>29</v>
      </c>
      <c r="E43" s="156">
        <v>60</v>
      </c>
      <c r="F43" s="158">
        <v>1.51</v>
      </c>
      <c r="G43" s="158">
        <v>90.6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14</v>
      </c>
      <c r="C44" s="153" t="s">
        <v>207</v>
      </c>
      <c r="D44" s="70" t="s">
        <v>29</v>
      </c>
      <c r="E44" s="156">
        <v>3</v>
      </c>
      <c r="F44" s="158">
        <v>23.87</v>
      </c>
      <c r="G44" s="158">
        <v>23.870000000000005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15</v>
      </c>
      <c r="C45" s="154" t="s">
        <v>208</v>
      </c>
      <c r="D45" s="70" t="s">
        <v>29</v>
      </c>
      <c r="E45" s="156">
        <v>4</v>
      </c>
      <c r="F45" s="158">
        <v>1.28</v>
      </c>
      <c r="G45" s="158">
        <v>5.12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16</v>
      </c>
      <c r="C46" s="154" t="s">
        <v>209</v>
      </c>
      <c r="D46" s="70" t="s">
        <v>29</v>
      </c>
      <c r="E46" s="156">
        <v>3</v>
      </c>
      <c r="F46" s="158">
        <v>1.0900000000000001</v>
      </c>
      <c r="G46" s="158">
        <v>3.27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17</v>
      </c>
      <c r="C47" s="154" t="s">
        <v>210</v>
      </c>
      <c r="D47" s="70" t="s">
        <v>216</v>
      </c>
      <c r="E47" s="156">
        <v>1</v>
      </c>
      <c r="F47" s="158">
        <v>100</v>
      </c>
      <c r="G47" s="158">
        <v>100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18</v>
      </c>
      <c r="C48" s="153" t="s">
        <v>211</v>
      </c>
      <c r="D48" s="70" t="s">
        <v>29</v>
      </c>
      <c r="E48" s="156">
        <v>1</v>
      </c>
      <c r="F48" s="158">
        <v>66.67</v>
      </c>
      <c r="G48" s="158">
        <v>66.67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19</v>
      </c>
      <c r="C49" s="153" t="s">
        <v>212</v>
      </c>
      <c r="D49" s="70" t="s">
        <v>29</v>
      </c>
      <c r="E49" s="156">
        <v>1</v>
      </c>
      <c r="F49" s="158">
        <v>394.67</v>
      </c>
      <c r="G49" s="158">
        <v>394.67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20</v>
      </c>
      <c r="C50" s="153" t="s">
        <v>213</v>
      </c>
      <c r="D50" s="70" t="s">
        <v>29</v>
      </c>
      <c r="E50" s="156">
        <v>1</v>
      </c>
      <c r="F50" s="158">
        <v>95.23</v>
      </c>
      <c r="G50" s="158">
        <v>95.23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21</v>
      </c>
      <c r="C51" s="153" t="s">
        <v>214</v>
      </c>
      <c r="D51" s="70" t="s">
        <v>29</v>
      </c>
      <c r="E51" s="156">
        <v>1</v>
      </c>
      <c r="F51" s="158">
        <v>504</v>
      </c>
      <c r="G51" s="158">
        <v>504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137" t="s">
        <v>30</v>
      </c>
      <c r="C52" s="138"/>
      <c r="D52" s="138"/>
      <c r="E52" s="138"/>
      <c r="F52" s="138"/>
      <c r="G52" s="1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2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3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4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5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6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7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8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B61" s="68">
        <v>9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B62" s="68">
        <v>10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4.25" customHeight="1" x14ac:dyDescent="0.3">
      <c r="A63" s="44"/>
      <c r="B63" s="39"/>
      <c r="C63" s="44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</row>
    <row r="64" spans="1:16" ht="14.25" customHeight="1" x14ac:dyDescent="0.3">
      <c r="A64" s="44"/>
      <c r="B64" s="39"/>
      <c r="C64" s="44"/>
      <c r="D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</row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password="C2E9" sheet="1" objects="1" scenarios="1" formatColumns="0" formatRows="0" sort="0" autoFilter="0"/>
  <mergeCells count="9">
    <mergeCell ref="B7:G7"/>
    <mergeCell ref="B30:G30"/>
    <mergeCell ref="B52:G52"/>
    <mergeCell ref="B8:G8"/>
    <mergeCell ref="B9:G9"/>
    <mergeCell ref="B10:G10"/>
    <mergeCell ref="B11:G11"/>
    <mergeCell ref="B12:G12"/>
    <mergeCell ref="B15:G15"/>
  </mergeCells>
  <conditionalFormatting sqref="C31:C51">
    <cfRule type="duplicateValues" dxfId="3" priority="1"/>
    <cfRule type="duplicateValues" dxfId="2" priority="2"/>
  </conditionalFormatting>
  <conditionalFormatting sqref="C16:C29">
    <cfRule type="duplicateValues" dxfId="1" priority="45"/>
    <cfRule type="duplicateValues" dxfId="0" priority="46"/>
  </conditionalFormatting>
  <dataValidations count="1">
    <dataValidation type="decimal" operator="greaterThanOrEqual" allowBlank="1" showInputMessage="1" showErrorMessage="1" sqref="E16:G6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30</xdr:row>
                    <xdr:rowOff>28575</xdr:rowOff>
                  </from>
                  <to>
                    <xdr:col>1</xdr:col>
                    <xdr:colOff>762000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30</xdr:row>
                    <xdr:rowOff>28575</xdr:rowOff>
                  </from>
                  <to>
                    <xdr:col>1</xdr:col>
                    <xdr:colOff>1533525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52</xdr:row>
                    <xdr:rowOff>28575</xdr:rowOff>
                  </from>
                  <to>
                    <xdr:col>1</xdr:col>
                    <xdr:colOff>771525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52</xdr:row>
                    <xdr:rowOff>28575</xdr:rowOff>
                  </from>
                  <to>
                    <xdr:col>1</xdr:col>
                    <xdr:colOff>1543050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F22" sqref="F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217</v>
      </c>
      <c r="D13" s="55"/>
      <c r="E13" s="55">
        <v>30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45</v>
      </c>
      <c r="F14" s="55"/>
      <c r="G14" s="55">
        <v>45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95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2018-06-01T08:06:47Z</dcterms:modified>
</cp:coreProperties>
</file>