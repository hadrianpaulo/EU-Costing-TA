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Drugs&amp;Med'!$C$11:$C$22</definedName>
    <definedName name="_xlnm.Print_Area" localSheetId="0">'1.1 Case data_general'!$B$1:$F$75</definedName>
    <definedName name="_xlnm.Print_Area" localSheetId="1">'1.2 Drugs&amp;Med'!$B$2:$J$54</definedName>
  </definedNames>
  <calcPr calcId="144525"/>
</workbook>
</file>

<file path=xl/calcChain.xml><?xml version="1.0" encoding="utf-8"?>
<calcChain xmlns="http://schemas.openxmlformats.org/spreadsheetml/2006/main">
  <c r="G32" i="9" l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11" i="2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35" i="9"/>
  <c r="E61" i="9"/>
  <c r="G61" i="9" s="1"/>
  <c r="J20" i="2" l="1"/>
  <c r="J21" i="2"/>
  <c r="J22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<sst xmlns="http://schemas.openxmlformats.org/spreadsheetml/2006/main" count="586" uniqueCount="249">
  <si>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</si>
  <si>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</si>
  <si>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</si>
  <si>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</si>
  <si>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</si>
  <si>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</si>
  <si>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</si>
  <si>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</si>
  <si>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</si>
  <si>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</si>
  <si>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</si>
  <si>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</si>
  <si>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</si>
  <si>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</si>
  <si>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</si>
  <si>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</si>
  <si>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</si>
  <si>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</si>
  <si>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</si>
  <si>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</si>
  <si>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</si>
  <si>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</si>
  <si>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</si>
  <si>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</si>
  <si>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</si>
  <si>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</si>
  <si>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</si>
  <si>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</si>
  <si>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</si>
  <si>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</si>
  <si>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</si>
  <si>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</si>
  <si>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</si>
  <si>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</si>
  <si>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</si>
  <si>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</si>
  <si>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</si>
  <si>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</si>
  <si>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</si>
  <si>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</si>
  <si>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</si>
  <si>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</si>
  <si>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</si>
  <si>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</si>
  <si>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</si>
  <si>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</si>
  <si>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</si>
  <si>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</si>
  <si>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</si>
  <si>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</si>
  <si>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</si>
  <si>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</si>
  <si>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</si>
  <si>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</si>
  <si>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</si>
  <si>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</si>
  <si>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</si>
  <si>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</si>
  <si>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</si>
  <si>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</si>
  <si>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</si>
  <si>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</si>
  <si>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</si>
  <si>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</si>
  <si>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</si>
  <si>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</si>
  <si>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</si>
  <si>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</si>
  <si>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</si>
  <si>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</si>
  <si>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</si>
  <si>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</si>
  <si>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</si>
  <si>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</si>
  <si>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</si>
  <si>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</si>
  <si>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</si>
  <si>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</si>
  <si>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</si>
  <si>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</si>
  <si>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</si>
  <si>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</si>
  <si>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</si>
  <si>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</si>
  <si>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</si>
  <si>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</si>
  <si>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</si>
  <si>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</si>
  <si>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</si>
  <si>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</si>
  <si>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</si>
  <si>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</si>
  <si>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</si>
  <si>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</si>
  <si>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</si>
  <si>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</si>
  <si>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</si>
  <si>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</si>
  <si>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</si>
  <si>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</si>
  <si>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</si>
  <si>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</si>
  <si>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</si>
  <si>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</si>
  <si>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</si>
  <si>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</si>
  <si>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</si>
  <si>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</si>
  <si>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</si>
  <si>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</si>
  <si>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</si>
  <si>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</si>
  <si>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</si>
  <si>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</si>
  <si>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</si>
  <si>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</si>
  <si>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</si>
  <si>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</si>
  <si>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</si>
  <si>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</si>
  <si>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</si>
  <si>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</si>
  <si>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</si>
  <si>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</si>
  <si>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</si>
  <si>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</si>
  <si>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</si>
  <si>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</si>
  <si>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</si>
  <si>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</si>
  <si>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</si>
  <si>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</si>
  <si>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</si>
  <si>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</si>
  <si>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</si>
  <si>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</si>
  <si>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</si>
  <si>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</si>
  <si>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</si>
  <si>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</si>
  <si>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</si>
  <si>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</si>
  <si>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</si>
  <si>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</si>
  <si>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</si>
  <si>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</si>
  <si>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</si>
  <si>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</si>
  <si>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</si>
  <si>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</si>
  <si>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</si>
  <si>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</si>
  <si>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</si>
  <si>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</si>
  <si>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</si>
  <si>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</si>
  <si>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</si>
  <si>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</si>
  <si>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</si>
  <si>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</si>
  <si>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</si>
  <si>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</si>
  <si>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</si>
  <si>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</si>
  <si>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</si>
  <si>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capsule</t>
  </si>
  <si>
    <t>bottle</t>
  </si>
  <si>
    <t>pack</t>
  </si>
  <si>
    <t>APPENDECTOMY</t>
  </si>
  <si>
    <t>K35.8</t>
  </si>
  <si>
    <t>MAJOR</t>
  </si>
  <si>
    <t>CBC, PC</t>
  </si>
  <si>
    <t>BLOOD EXTRACTION FEE</t>
  </si>
  <si>
    <t>CASE RATE</t>
  </si>
  <si>
    <t>PF CASE RATE</t>
  </si>
  <si>
    <t>ASEPTO BULB SYRINGE TIP 60ML</t>
  </si>
  <si>
    <t>DISPOSABLE SYRINGE 3ML G 23, W/ NEEDLE X 100S (CPR NEEDED)</t>
  </si>
  <si>
    <t>DISPOSABLE SYRINGE 5ML G 23, W/ NEEDLE X 100S</t>
  </si>
  <si>
    <t>DISPOSABLE SYRINGE 10ML G 21, W/ NEEDLE X 100S (CPR NEEDED)</t>
  </si>
  <si>
    <t>IV CATHETER GAUGE 20</t>
  </si>
  <si>
    <t>IV CATHETER GAUGE 18</t>
  </si>
  <si>
    <t>IV SET W/ AIRWAY FOR IV PUSH, VACOSET/MACRODRIP, ADULT</t>
  </si>
  <si>
    <t>(D5LRS 1L) 5% DEXTROSE IN LACTATED RINGERS SOLUTION 1000ML (D5 LRS) X 12S</t>
  </si>
  <si>
    <t>SURGICAL LAPAROTOMY SPONGE 8"X36", 24X28 MESH, 12 PLY SEWED EDGES STERILE W/ DETECTABLE X-RAY THREAD (LAP SPONGE 8"X36"X12 PLY, LOOP W/ X-RAY THREAD, STERILE, 1 PIECE/PCK) (CPR NEEDED)</t>
  </si>
  <si>
    <t>ISOPROPHYL ALCOHOL 70%, 500ML</t>
  </si>
  <si>
    <t>POVIDONE IODINE 10 % SOLUTION (ANTISEPTIC) 120ML</t>
  </si>
  <si>
    <t>SURGICAL BLADE 20, BOX OF 100''S UNIMEX/CHINA</t>
  </si>
  <si>
    <t>SURGICAL COTTON THREAD 2/0, 18" X 10 STRANDS</t>
  </si>
  <si>
    <t>ADHESIVE PLASTER 2 X 10 (SILK) BOX OF 12S</t>
  </si>
  <si>
    <t>MONITORING CHEST ELECTRODES, DISPOSABLE</t>
  </si>
  <si>
    <t>DISPOSABLE SYRINGE 1ML G 25, W/ NEEDLE X 100S (CPR NEEDED)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</si>
  <si>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</si>
  <si>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</si>
  <si>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</si>
  <si>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</si>
  <si>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</si>
  <si>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</si>
  <si>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DISPOSABLE HEAD CAP X 100S GARTERIZED</t>
  </si>
  <si>
    <t>DISPOSABLE FACE MASK, EAR LOOP 3 FOLDS X 50S</t>
  </si>
  <si>
    <t>OXYGEN FLOW METER (PIPELINE) PER HOUR</t>
  </si>
  <si>
    <t>SPINAL NEEDLE, G23 X 3 1/2" DISPOSABLE STERILE, SINGLE PACK (CPR NEEDED)</t>
  </si>
  <si>
    <t>SILK 2-0 BRAIDED, COATED, NON-ABSORBABLE SURGICAL SUTURE 75CM, WITH AT LEAST 26M X ½ CIRCLE TAPER NEEDLE</t>
  </si>
  <si>
    <t>visits ward</t>
  </si>
  <si>
    <t>vial</t>
  </si>
  <si>
    <t>25MG/ML-2ML</t>
  </si>
  <si>
    <t>123288/73953</t>
  </si>
  <si>
    <t>O06.8</t>
  </si>
  <si>
    <t>O99.6</t>
  </si>
  <si>
    <t>CBC, TYPING, HBSAG</t>
  </si>
  <si>
    <t>RAPID PLASMA REAGIN (RPR)</t>
  </si>
  <si>
    <t>URETHRAL VAGINAL</t>
  </si>
  <si>
    <t>URINALYSIS (UA)</t>
  </si>
  <si>
    <t>CROSSMATCHING PER UNIT</t>
  </si>
  <si>
    <t>HISTOPATHOLOGY - SMALL (1)</t>
  </si>
  <si>
    <t>ULTRASOUND PRINTING PAPER 110MM X 20MM (HIGH DENSITY) (DURICO TYPE 1)</t>
  </si>
  <si>
    <t>ADULT DIAPER WITH HIGH LIQUID ABSORBENCY</t>
  </si>
  <si>
    <t>STERILE WATER FOR INJECTION, 10ML (SWFI)</t>
  </si>
  <si>
    <t>FOLEY CATHETER FR 14, 2 WAY, BOX OF 20</t>
  </si>
  <si>
    <t>URINE BAG, ADULT W/ DRAINAGE TUBE 2,000 ML</t>
  </si>
  <si>
    <t>IV CATHETER GAUGE 22</t>
  </si>
  <si>
    <t>HYDROGEN PEROXIDE 3% SOLUTION (10 VOLUMES), 120ML</t>
  </si>
  <si>
    <t>SUCTION TUBING YANKAUER TIP F25 X 150CM</t>
  </si>
  <si>
    <t>SURGICAL BLADE 10 , BOX OF 100S</t>
  </si>
  <si>
    <t>DISPOSABLE RAZOR, DOUBLE BLADE UNIMEX/CHINA</t>
  </si>
  <si>
    <t>ELECTROSURGICAL HAND CONTROL PENCIL W/ 3 MALE PLUG, STERILE;MUST BE COMPATIBLE WITH EXISTING CAUTERY MACHINE (UNIVERSAL)</t>
  </si>
  <si>
    <t>CAUTERY MACHINE</t>
  </si>
  <si>
    <t>CATGUT 1 ABSORBABLE SURGICAL SUTURE AT LEAST 75CM, WITH AT LEAST 37-40MM X 1/2 CIRCLE ROUND TAPER NEEDLE</t>
  </si>
  <si>
    <t>CATGUT 2-0 ABSORBABLE SURGICAL SUTURE AT LEAST 75CM,  WITH AT LEAST 35-37MM X ½ CIRCLE ROUND TAPER NEEDLE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</si>
  <si>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</si>
  <si>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</si>
  <si>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INDIVIDUAL DRESSING KIT CONTENTS: 5 STERILE OS 4 X 4 X 8, 5 STERILE COTTON BALLS, 1 PLASTIC FORCEP, 1 MEDIWRAP, PLASTIC TRAY W/ COMPARTMENT AND POVIDONE IODINE 10% (30ML)</t>
  </si>
  <si>
    <t>KETOROLAC TROMETHAMOL</t>
  </si>
  <si>
    <t>RANITIDINE</t>
  </si>
  <si>
    <t>TRAMADOL HCL</t>
  </si>
  <si>
    <t>(D5LRS 1L) 5% DEXTROSE IN</t>
  </si>
  <si>
    <t>CEFOXITIN SODIUM</t>
  </si>
  <si>
    <t>PLAIN NSS 1L (X 12S)</t>
  </si>
  <si>
    <t>CO-AMOXICLAV TRIHYDRATE</t>
  </si>
  <si>
    <t>CELECOXIB 200MG IN BLISTER</t>
  </si>
  <si>
    <t>30MG/ML-1ML</t>
  </si>
  <si>
    <t>50MG/ML-2ML</t>
  </si>
  <si>
    <t>1L)</t>
  </si>
  <si>
    <t>1G</t>
  </si>
  <si>
    <t>1L</t>
  </si>
  <si>
    <t>625MG</t>
  </si>
  <si>
    <t>200MG</t>
  </si>
  <si>
    <t xml:space="preserve">ampule </t>
  </si>
  <si>
    <t>D5 WATER 500ML</t>
  </si>
  <si>
    <t>500ML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</si>
</sst>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rgb="FF0070C0"/>
      <name val="Arial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8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3" fontId="20" fillId="0" borderId="21" xfId="0" applyNumberFormat="1" applyFont="1" applyBorder="1" applyAlignment="1" applyProtection="1">
      <alignment vertical="top"/>
      <protection locked="0"/>
    </xf>
    <xf numFmtId="4" fontId="20" fillId="0" borderId="21" xfId="0" applyNumberFormat="1" applyFont="1" applyBorder="1" applyAlignment="1" applyProtection="1">
      <alignment vertical="top"/>
      <protection locked="0"/>
    </xf>
    <xf numFmtId="4" fontId="20" fillId="5" borderId="21" xfId="0" applyNumberFormat="1" applyFont="1" applyFill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 readingOrder="1"/>
      <protection locked="0"/>
    </xf>
    <xf numFmtId="0" fontId="21" fillId="0" borderId="21" xfId="0" applyFont="1" applyBorder="1" applyAlignment="1" applyProtection="1">
      <alignment vertical="top"/>
      <protection locked="0"/>
    </xf>
    <xf numFmtId="0" fontId="21" fillId="0" borderId="21" xfId="0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zoomScaleNormal="100" workbookViewId="0">
      <selection activeCell="K57" sqref="K5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8" t="s">
        <v>61</v>
      </c>
      <c r="C12" s="129"/>
      <c r="D12" s="129"/>
      <c r="E12" s="129"/>
      <c r="F12" s="130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31" t="s">
        <v>2</v>
      </c>
      <c r="C13" s="132"/>
      <c r="D13" s="132"/>
      <c r="E13" s="132"/>
      <c r="F13" s="13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31" t="s">
        <v>4</v>
      </c>
      <c r="C14" s="132"/>
      <c r="D14" s="132"/>
      <c r="E14" s="132"/>
      <c r="F14" s="13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4" t="s">
        <v>62</v>
      </c>
      <c r="C15" s="135"/>
      <c r="D15" s="135"/>
      <c r="E15" s="135"/>
      <c r="F15" s="13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3" t="s">
        <v>15</v>
      </c>
      <c r="C18" s="124"/>
      <c r="D18" s="124"/>
      <c r="E18" s="124"/>
      <c r="F18" s="12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169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3" t="s">
        <v>53</v>
      </c>
      <c r="C22" s="124"/>
      <c r="D22" s="124"/>
      <c r="E22" s="124"/>
      <c r="F22" s="12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170</v>
      </c>
      <c r="E23" s="55">
        <v>1</v>
      </c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6" t="s">
        <v>44</v>
      </c>
      <c r="C28" s="127"/>
      <c r="D28" s="127"/>
      <c r="E28" s="127"/>
      <c r="F28" s="13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7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3" t="s">
        <v>18</v>
      </c>
      <c r="C33" s="124"/>
      <c r="D33" s="124"/>
      <c r="E33" s="124"/>
      <c r="F33" s="12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208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209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210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211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212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213</v>
      </c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171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6" t="s">
        <v>19</v>
      </c>
      <c r="C42" s="127"/>
      <c r="D42" s="124"/>
      <c r="E42" s="127"/>
      <c r="F42" s="12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6" t="s">
        <v>45</v>
      </c>
      <c r="C47" s="127"/>
      <c r="D47" s="124"/>
      <c r="E47" s="127"/>
      <c r="F47" s="12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>
        <v>1</v>
      </c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3" t="s">
        <v>54</v>
      </c>
      <c r="C49" s="124"/>
      <c r="D49" s="124"/>
      <c r="E49" s="124"/>
      <c r="F49" s="12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23" t="s">
        <v>20</v>
      </c>
      <c r="C54" s="124"/>
      <c r="D54" s="124"/>
      <c r="E54" s="124"/>
      <c r="F54" s="1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173</v>
      </c>
      <c r="D64" s="55">
        <v>14344.99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174</v>
      </c>
      <c r="D65" s="55">
        <v>9600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23944.989999999998</v>
      </c>
      <c r="E75" s="59">
        <f>SUM(E64:E74)</f>
        <v>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1004"/>
  <sheetViews>
    <sheetView workbookViewId="0">
      <selection activeCell="C28" sqref="C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43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8" t="s">
        <v>65</v>
      </c>
      <c r="C8" s="139"/>
      <c r="D8" s="139"/>
      <c r="E8" s="139"/>
      <c r="F8" s="139"/>
      <c r="G8" s="139"/>
      <c r="H8" s="139"/>
      <c r="I8" s="139"/>
      <c r="J8" s="140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9" t="s">
        <v>231</v>
      </c>
      <c r="D11" s="121" t="s">
        <v>246</v>
      </c>
      <c r="E11" s="122" t="s">
        <v>239</v>
      </c>
      <c r="F11" s="116">
        <v>1</v>
      </c>
      <c r="G11" s="55">
        <v>4</v>
      </c>
      <c r="H11" s="116">
        <v>4</v>
      </c>
      <c r="I11" s="117">
        <v>20.43</v>
      </c>
      <c r="J11" s="55">
        <f>I11*H11</f>
        <v>81.72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9" t="s">
        <v>232</v>
      </c>
      <c r="D12" s="121" t="s">
        <v>203</v>
      </c>
      <c r="E12" s="122" t="s">
        <v>204</v>
      </c>
      <c r="F12" s="116">
        <v>1</v>
      </c>
      <c r="G12" s="55">
        <v>1</v>
      </c>
      <c r="H12" s="116">
        <v>1</v>
      </c>
      <c r="I12" s="117">
        <v>4.92</v>
      </c>
      <c r="J12" s="55">
        <f t="shared" ref="J12:J19" si="0">I12*H12</f>
        <v>4.92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9" t="s">
        <v>233</v>
      </c>
      <c r="D13" s="121" t="s">
        <v>246</v>
      </c>
      <c r="E13" s="122" t="s">
        <v>240</v>
      </c>
      <c r="F13" s="116">
        <v>1</v>
      </c>
      <c r="G13" s="55">
        <v>1</v>
      </c>
      <c r="H13" s="116">
        <v>1</v>
      </c>
      <c r="I13" s="117">
        <v>6.39</v>
      </c>
      <c r="J13" s="55">
        <f t="shared" si="0"/>
        <v>6.39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9" t="s">
        <v>234</v>
      </c>
      <c r="D14" s="121" t="s">
        <v>166</v>
      </c>
      <c r="E14" s="122" t="s">
        <v>241</v>
      </c>
      <c r="F14" s="116">
        <v>1</v>
      </c>
      <c r="G14" s="55">
        <v>1</v>
      </c>
      <c r="H14" s="116">
        <v>4</v>
      </c>
      <c r="I14" s="117">
        <v>49.33</v>
      </c>
      <c r="J14" s="55">
        <f t="shared" si="0"/>
        <v>197.32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9" t="s">
        <v>235</v>
      </c>
      <c r="D15" s="121" t="s">
        <v>203</v>
      </c>
      <c r="E15" s="122" t="s">
        <v>242</v>
      </c>
      <c r="F15" s="116">
        <v>1</v>
      </c>
      <c r="G15" s="55">
        <v>1</v>
      </c>
      <c r="H15" s="116">
        <v>1</v>
      </c>
      <c r="I15" s="117">
        <v>93.33</v>
      </c>
      <c r="J15" s="55">
        <f t="shared" si="0"/>
        <v>93.33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20" t="s">
        <v>236</v>
      </c>
      <c r="D16" s="121" t="s">
        <v>166</v>
      </c>
      <c r="E16" s="122" t="s">
        <v>243</v>
      </c>
      <c r="F16" s="116">
        <v>1</v>
      </c>
      <c r="G16" s="55">
        <v>5</v>
      </c>
      <c r="H16" s="116">
        <v>5</v>
      </c>
      <c r="I16" s="117">
        <v>50.67</v>
      </c>
      <c r="J16" s="55">
        <f t="shared" si="0"/>
        <v>253.35000000000002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119" t="s">
        <v>234</v>
      </c>
      <c r="D17" s="121" t="s">
        <v>166</v>
      </c>
      <c r="E17" s="122" t="s">
        <v>241</v>
      </c>
      <c r="F17" s="116">
        <v>1</v>
      </c>
      <c r="G17" s="55">
        <v>3</v>
      </c>
      <c r="H17" s="116">
        <v>3</v>
      </c>
      <c r="I17" s="117">
        <v>49.33</v>
      </c>
      <c r="J17" s="55">
        <f t="shared" si="0"/>
        <v>147.99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120" t="s">
        <v>237</v>
      </c>
      <c r="D18" s="121" t="s">
        <v>165</v>
      </c>
      <c r="E18" s="122" t="s">
        <v>244</v>
      </c>
      <c r="F18" s="116">
        <v>1</v>
      </c>
      <c r="G18" s="55">
        <v>5</v>
      </c>
      <c r="H18" s="116">
        <v>5</v>
      </c>
      <c r="I18" s="117">
        <v>9.33</v>
      </c>
      <c r="J18" s="55">
        <f t="shared" si="0"/>
        <v>46.65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119" t="s">
        <v>238</v>
      </c>
      <c r="D19" s="121" t="s">
        <v>165</v>
      </c>
      <c r="E19" s="122" t="s">
        <v>245</v>
      </c>
      <c r="F19" s="116">
        <v>1</v>
      </c>
      <c r="G19" s="55">
        <v>6</v>
      </c>
      <c r="H19" s="116">
        <v>6</v>
      </c>
      <c r="I19" s="117">
        <v>2.6</v>
      </c>
      <c r="J19" s="55">
        <f t="shared" si="0"/>
        <v>15.600000000000001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119" t="s">
        <v>235</v>
      </c>
      <c r="D20" s="121" t="s">
        <v>165</v>
      </c>
      <c r="E20" s="122" t="s">
        <v>242</v>
      </c>
      <c r="F20" s="116">
        <v>1</v>
      </c>
      <c r="G20" s="55">
        <v>2</v>
      </c>
      <c r="H20" s="116">
        <v>2</v>
      </c>
      <c r="I20" s="117">
        <v>93.33</v>
      </c>
      <c r="J20" s="55">
        <f t="shared" ref="J20:J22" si="1">H20*I20</f>
        <v>186.66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119" t="s">
        <v>247</v>
      </c>
      <c r="D21" s="121" t="s">
        <v>166</v>
      </c>
      <c r="E21" s="122" t="s">
        <v>248</v>
      </c>
      <c r="F21" s="116">
        <v>1</v>
      </c>
      <c r="G21" s="55">
        <v>1</v>
      </c>
      <c r="H21" s="116">
        <v>1</v>
      </c>
      <c r="I21" s="117">
        <v>55.85</v>
      </c>
      <c r="J21" s="55">
        <f t="shared" si="1"/>
        <v>55.85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119"/>
      <c r="D22" s="121"/>
      <c r="E22" s="122"/>
      <c r="F22" s="116"/>
      <c r="G22" s="55"/>
      <c r="H22" s="116"/>
      <c r="I22" s="117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119"/>
      <c r="D23" s="121"/>
      <c r="E23" s="122"/>
      <c r="F23" s="116"/>
      <c r="G23" s="55"/>
      <c r="H23" s="116"/>
      <c r="I23" s="117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119"/>
      <c r="D24" s="121"/>
      <c r="E24" s="122"/>
      <c r="F24" s="116"/>
      <c r="G24" s="55"/>
      <c r="H24" s="116"/>
      <c r="I24" s="117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119"/>
      <c r="D25" s="121"/>
      <c r="E25" s="122"/>
      <c r="F25" s="116"/>
      <c r="G25" s="55"/>
      <c r="H25" s="116"/>
      <c r="I25" s="117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119"/>
      <c r="D26" s="121"/>
      <c r="E26" s="122"/>
      <c r="F26" s="116"/>
      <c r="G26" s="55"/>
      <c r="H26" s="116"/>
      <c r="I26" s="117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119"/>
      <c r="D27" s="121"/>
      <c r="E27" s="122"/>
      <c r="F27" s="116"/>
      <c r="G27" s="55"/>
      <c r="H27" s="116"/>
      <c r="I27" s="117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119"/>
      <c r="D28" s="121"/>
      <c r="E28" s="122"/>
      <c r="F28" s="116"/>
      <c r="G28" s="55"/>
      <c r="H28" s="116"/>
      <c r="I28" s="117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119"/>
      <c r="D29" s="121"/>
      <c r="E29" s="122"/>
      <c r="F29" s="116"/>
      <c r="G29" s="55"/>
      <c r="H29" s="116"/>
      <c r="I29" s="117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119"/>
      <c r="D30" s="121"/>
      <c r="E30" s="122"/>
      <c r="F30" s="116"/>
      <c r="G30" s="55"/>
      <c r="H30" s="116"/>
      <c r="I30" s="117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119"/>
      <c r="D31" s="121"/>
      <c r="E31" s="122"/>
      <c r="F31" s="116"/>
      <c r="G31" s="55"/>
      <c r="H31" s="116"/>
      <c r="I31" s="117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119"/>
      <c r="D32" s="121"/>
      <c r="E32" s="122"/>
      <c r="F32" s="116"/>
      <c r="G32" s="55"/>
      <c r="H32" s="116"/>
      <c r="I32" s="117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.75" customHeight="1" x14ac:dyDescent="0.3">
      <c r="B33" s="42">
        <v>23</v>
      </c>
      <c r="C33" s="119"/>
      <c r="D33" s="121"/>
      <c r="E33" s="122"/>
      <c r="F33" s="116"/>
      <c r="G33" s="55"/>
      <c r="H33" s="116"/>
      <c r="I33" s="117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.75" customHeight="1" x14ac:dyDescent="0.3">
      <c r="B34" s="42">
        <v>24</v>
      </c>
      <c r="C34" s="119"/>
      <c r="D34" s="121"/>
      <c r="E34" s="122"/>
      <c r="F34" s="116"/>
      <c r="G34" s="55"/>
      <c r="H34" s="116"/>
      <c r="I34" s="117"/>
      <c r="J34" s="55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.75" customHeight="1" x14ac:dyDescent="0.3">
      <c r="B35" s="42">
        <v>25</v>
      </c>
      <c r="C35" s="119"/>
      <c r="D35" s="121"/>
      <c r="E35" s="122"/>
      <c r="F35" s="116"/>
      <c r="G35" s="55"/>
      <c r="H35" s="116"/>
      <c r="I35" s="117"/>
      <c r="J35" s="55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.75" customHeight="1" x14ac:dyDescent="0.3">
      <c r="B36" s="42">
        <v>26</v>
      </c>
      <c r="C36" s="119"/>
      <c r="D36" s="121"/>
      <c r="E36" s="122"/>
      <c r="F36" s="116"/>
      <c r="G36" s="55"/>
      <c r="H36" s="116"/>
      <c r="I36" s="117"/>
      <c r="J36" s="55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12.75" customHeight="1" x14ac:dyDescent="0.3">
      <c r="B37" s="42">
        <v>27</v>
      </c>
      <c r="C37" s="119"/>
      <c r="D37" s="121"/>
      <c r="E37" s="122"/>
      <c r="F37" s="116"/>
      <c r="G37" s="55"/>
      <c r="H37" s="116"/>
      <c r="I37" s="117"/>
      <c r="J37" s="55"/>
      <c r="K37" s="34"/>
      <c r="L37" s="34"/>
      <c r="M37" s="34"/>
      <c r="N37" s="34"/>
      <c r="O37" s="34"/>
      <c r="P37" s="34"/>
      <c r="Q37" s="34"/>
      <c r="R37" s="34"/>
      <c r="S37" s="34"/>
      <c r="T37" s="34"/>
    </row>
    <row r="38" spans="2:20" ht="12.75" customHeight="1" x14ac:dyDescent="0.3">
      <c r="B38" s="42">
        <v>28</v>
      </c>
      <c r="C38" s="119"/>
      <c r="D38" s="121"/>
      <c r="E38" s="122"/>
      <c r="F38" s="116"/>
      <c r="G38" s="55"/>
      <c r="H38" s="116"/>
      <c r="I38" s="117"/>
      <c r="J38" s="55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.75" customHeight="1" x14ac:dyDescent="0.3">
      <c r="B39" s="42">
        <v>29</v>
      </c>
      <c r="C39" s="119"/>
      <c r="D39" s="121"/>
      <c r="E39" s="122"/>
      <c r="F39" s="116"/>
      <c r="G39" s="55"/>
      <c r="H39" s="116"/>
      <c r="I39" s="117"/>
      <c r="J39" s="55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12.75" customHeight="1" x14ac:dyDescent="0.3">
      <c r="B40" s="42">
        <v>30</v>
      </c>
      <c r="C40" s="119"/>
      <c r="D40" s="121"/>
      <c r="E40" s="122"/>
      <c r="F40" s="116"/>
      <c r="G40" s="55"/>
      <c r="H40" s="116"/>
      <c r="I40" s="117"/>
      <c r="J40" s="55"/>
      <c r="K40" s="34"/>
      <c r="L40" s="34"/>
      <c r="M40" s="34"/>
      <c r="N40" s="34"/>
      <c r="O40" s="34"/>
      <c r="P40" s="34"/>
      <c r="Q40" s="34"/>
      <c r="R40" s="34"/>
      <c r="S40" s="34"/>
      <c r="T40" s="34"/>
    </row>
    <row r="41" spans="2:20" ht="12.75" customHeight="1" x14ac:dyDescent="0.3">
      <c r="B41" s="42">
        <v>31</v>
      </c>
      <c r="C41" s="119"/>
      <c r="D41" s="121"/>
      <c r="E41" s="122"/>
      <c r="F41" s="116"/>
      <c r="G41" s="55"/>
      <c r="H41" s="116"/>
      <c r="I41" s="117"/>
      <c r="J41" s="55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.75" customHeight="1" x14ac:dyDescent="0.3">
      <c r="B42" s="42">
        <v>32</v>
      </c>
      <c r="C42" s="119"/>
      <c r="D42" s="121"/>
      <c r="E42" s="122"/>
      <c r="F42" s="116"/>
      <c r="G42" s="55"/>
      <c r="H42" s="116"/>
      <c r="I42" s="117"/>
      <c r="J42" s="55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2.75" customHeight="1" x14ac:dyDescent="0.3">
      <c r="B43" s="42">
        <v>33</v>
      </c>
      <c r="C43" s="119"/>
      <c r="D43" s="121"/>
      <c r="E43" s="122"/>
      <c r="F43" s="116"/>
      <c r="G43" s="55"/>
      <c r="H43" s="116"/>
      <c r="I43" s="117"/>
      <c r="J43" s="55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2:20" ht="12.75" customHeight="1" x14ac:dyDescent="0.3">
      <c r="B44" s="42">
        <v>34</v>
      </c>
      <c r="C44" s="119"/>
      <c r="D44" s="121"/>
      <c r="E44" s="122"/>
      <c r="F44" s="116"/>
      <c r="G44" s="55"/>
      <c r="H44" s="116"/>
      <c r="I44" s="117"/>
      <c r="J44" s="55"/>
      <c r="K44" s="34"/>
      <c r="L44" s="34"/>
      <c r="M44" s="34"/>
      <c r="N44" s="34"/>
      <c r="O44" s="34"/>
      <c r="P44" s="34"/>
      <c r="Q44" s="34"/>
      <c r="R44" s="34"/>
      <c r="S44" s="34"/>
      <c r="T44" s="34"/>
    </row>
    <row r="45" spans="2:20" ht="12.75" customHeight="1" x14ac:dyDescent="0.3">
      <c r="B45" s="42">
        <v>35</v>
      </c>
      <c r="C45" s="119"/>
      <c r="D45" s="121"/>
      <c r="E45" s="122"/>
      <c r="F45" s="116"/>
      <c r="G45" s="55"/>
      <c r="H45" s="116"/>
      <c r="I45" s="117"/>
      <c r="J45" s="55"/>
      <c r="K45" s="34"/>
      <c r="L45" s="34"/>
      <c r="M45" s="34"/>
      <c r="N45" s="34"/>
      <c r="O45" s="34"/>
      <c r="P45" s="34"/>
      <c r="Q45" s="34"/>
      <c r="R45" s="34"/>
      <c r="S45" s="34"/>
      <c r="T45" s="34"/>
    </row>
    <row r="46" spans="2:20" ht="12.75" customHeight="1" x14ac:dyDescent="0.3">
      <c r="B46" s="42">
        <v>36</v>
      </c>
      <c r="C46" s="119"/>
      <c r="D46" s="121"/>
      <c r="E46" s="122"/>
      <c r="F46" s="116"/>
      <c r="G46" s="55"/>
      <c r="H46" s="116"/>
      <c r="I46" s="117"/>
      <c r="J46" s="55"/>
      <c r="K46" s="34"/>
      <c r="L46" s="34"/>
      <c r="M46" s="34"/>
      <c r="N46" s="34"/>
      <c r="O46" s="34"/>
      <c r="P46" s="34"/>
      <c r="Q46" s="34"/>
      <c r="R46" s="34"/>
      <c r="S46" s="34"/>
      <c r="T46" s="34"/>
    </row>
    <row r="47" spans="2:20" ht="12.75" customHeight="1" x14ac:dyDescent="0.3">
      <c r="B47" s="42">
        <v>37</v>
      </c>
      <c r="C47" s="119"/>
      <c r="D47" s="121"/>
      <c r="E47" s="122"/>
      <c r="F47" s="116"/>
      <c r="G47" s="55"/>
      <c r="H47" s="116"/>
      <c r="I47" s="117"/>
      <c r="J47" s="55"/>
      <c r="K47" s="34"/>
      <c r="L47" s="34"/>
      <c r="M47" s="34"/>
      <c r="N47" s="34"/>
      <c r="O47" s="34"/>
      <c r="P47" s="34"/>
      <c r="Q47" s="34"/>
      <c r="R47" s="34"/>
      <c r="S47" s="34"/>
      <c r="T47" s="34"/>
    </row>
    <row r="48" spans="2:20" ht="12.75" customHeight="1" x14ac:dyDescent="0.3">
      <c r="B48" s="42">
        <v>38</v>
      </c>
      <c r="C48" s="119"/>
      <c r="D48" s="121"/>
      <c r="E48" s="122"/>
      <c r="F48" s="116"/>
      <c r="G48" s="55"/>
      <c r="H48" s="116"/>
      <c r="I48" s="117"/>
      <c r="J48" s="55"/>
      <c r="K48" s="34"/>
      <c r="L48" s="34"/>
      <c r="M48" s="34"/>
      <c r="N48" s="34"/>
      <c r="O48" s="34"/>
      <c r="P48" s="34"/>
      <c r="Q48" s="34"/>
      <c r="R48" s="34"/>
      <c r="S48" s="34"/>
      <c r="T48" s="34"/>
    </row>
    <row r="49" spans="1:20" ht="12.75" customHeight="1" x14ac:dyDescent="0.3">
      <c r="B49" s="42">
        <v>39</v>
      </c>
      <c r="C49" s="119"/>
      <c r="D49" s="121"/>
      <c r="E49" s="122"/>
      <c r="F49" s="116"/>
      <c r="G49" s="55"/>
      <c r="H49" s="116"/>
      <c r="I49" s="117"/>
      <c r="J49" s="55"/>
      <c r="K49" s="34"/>
      <c r="L49" s="34"/>
      <c r="M49" s="34"/>
      <c r="N49" s="34"/>
      <c r="O49" s="34"/>
      <c r="P49" s="34"/>
      <c r="Q49" s="34"/>
      <c r="R49" s="34"/>
      <c r="S49" s="34"/>
      <c r="T49" s="34"/>
    </row>
    <row r="50" spans="1:20" ht="12.75" customHeight="1" x14ac:dyDescent="0.3">
      <c r="B50" s="42">
        <v>40</v>
      </c>
      <c r="C50" s="119"/>
      <c r="D50" s="121"/>
      <c r="E50" s="122"/>
      <c r="F50" s="116"/>
      <c r="G50" s="55"/>
      <c r="H50" s="116"/>
      <c r="I50" s="117"/>
      <c r="J50" s="55"/>
      <c r="K50" s="34"/>
      <c r="L50" s="34"/>
      <c r="M50" s="34"/>
      <c r="N50" s="34"/>
      <c r="O50" s="34"/>
      <c r="P50" s="34"/>
      <c r="Q50" s="34"/>
      <c r="R50" s="34"/>
      <c r="S50" s="34"/>
      <c r="T50" s="34"/>
    </row>
    <row r="51" spans="1:20" ht="12.75" customHeight="1" x14ac:dyDescent="0.3">
      <c r="B51" s="42">
        <v>41</v>
      </c>
      <c r="C51" s="119"/>
      <c r="D51" s="121"/>
      <c r="E51" s="122"/>
      <c r="F51" s="116"/>
      <c r="G51" s="55"/>
      <c r="H51" s="116"/>
      <c r="I51" s="117"/>
      <c r="J51" s="55"/>
      <c r="K51" s="34"/>
      <c r="L51" s="34"/>
      <c r="M51" s="34"/>
      <c r="N51" s="34"/>
      <c r="O51" s="34"/>
      <c r="P51" s="34"/>
      <c r="Q51" s="34"/>
      <c r="R51" s="34"/>
      <c r="S51" s="34"/>
      <c r="T51" s="34"/>
    </row>
    <row r="52" spans="1:20" ht="12.75" customHeight="1" x14ac:dyDescent="0.3">
      <c r="B52" s="42">
        <v>42</v>
      </c>
      <c r="C52" s="119"/>
      <c r="D52" s="121"/>
      <c r="E52" s="122"/>
      <c r="F52" s="116"/>
      <c r="G52" s="55"/>
      <c r="H52" s="116"/>
      <c r="I52" s="117"/>
      <c r="J52" s="55"/>
      <c r="K52" s="34"/>
      <c r="L52" s="34"/>
      <c r="M52" s="34"/>
      <c r="N52" s="34"/>
      <c r="O52" s="34"/>
      <c r="P52" s="34"/>
      <c r="Q52" s="34"/>
      <c r="R52" s="34"/>
      <c r="S52" s="34"/>
      <c r="T52" s="34"/>
    </row>
    <row r="53" spans="1:20" ht="12.75" customHeight="1" x14ac:dyDescent="0.3">
      <c r="B53" s="42">
        <v>43</v>
      </c>
      <c r="C53" s="119"/>
      <c r="D53" s="121"/>
      <c r="E53" s="122"/>
      <c r="F53" s="116"/>
      <c r="G53" s="55"/>
      <c r="H53" s="116"/>
      <c r="I53" s="117"/>
      <c r="J53" s="55"/>
      <c r="K53" s="34"/>
      <c r="L53" s="34"/>
      <c r="M53" s="34"/>
      <c r="N53" s="34"/>
      <c r="O53" s="34"/>
      <c r="P53" s="34"/>
      <c r="Q53" s="34"/>
      <c r="R53" s="34"/>
      <c r="S53" s="34"/>
      <c r="T53" s="34"/>
    </row>
    <row r="54" spans="1:20" ht="12.75" customHeight="1" x14ac:dyDescent="0.25">
      <c r="A54" s="33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20" ht="15.75" customHeight="1" x14ac:dyDescent="0.25"/>
    <row r="56" spans="1:20" ht="15.75" customHeight="1" x14ac:dyDescent="0.25"/>
    <row r="57" spans="1:20" ht="15.75" customHeight="1" x14ac:dyDescent="0.25"/>
    <row r="58" spans="1:20" ht="15.75" customHeight="1" x14ac:dyDescent="0.25"/>
    <row r="59" spans="1:20" ht="15.75" customHeight="1" x14ac:dyDescent="0.25"/>
    <row r="60" spans="1:20" ht="15.75" customHeight="1" x14ac:dyDescent="0.25"/>
    <row r="61" spans="1:20" ht="15.75" customHeight="1" x14ac:dyDescent="0.25"/>
    <row r="62" spans="1:20" ht="15.75" customHeight="1" x14ac:dyDescent="0.25"/>
    <row r="63" spans="1:20" ht="15.75" customHeight="1" x14ac:dyDescent="0.25"/>
    <row r="64" spans="1:20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5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abSelected="1" topLeftCell="A46" workbookViewId="0">
      <selection activeCell="C67" sqref="C6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27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41" t="s">
        <v>23</v>
      </c>
      <c r="C7" s="142"/>
      <c r="D7" s="142"/>
      <c r="E7" s="142"/>
      <c r="F7" s="142"/>
      <c r="G7" s="143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7" t="s">
        <v>24</v>
      </c>
      <c r="C8" s="148"/>
      <c r="D8" s="148"/>
      <c r="E8" s="148"/>
      <c r="F8" s="148"/>
      <c r="G8" s="149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7" t="s">
        <v>70</v>
      </c>
      <c r="C9" s="148"/>
      <c r="D9" s="148"/>
      <c r="E9" s="148"/>
      <c r="F9" s="148"/>
      <c r="G9" s="149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7" t="s">
        <v>25</v>
      </c>
      <c r="C10" s="148"/>
      <c r="D10" s="148"/>
      <c r="E10" s="148"/>
      <c r="F10" s="148"/>
      <c r="G10" s="149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7" t="s">
        <v>26</v>
      </c>
      <c r="C11" s="148"/>
      <c r="D11" s="148"/>
      <c r="E11" s="148"/>
      <c r="F11" s="148"/>
      <c r="G11" s="149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50" t="s">
        <v>27</v>
      </c>
      <c r="C12" s="151"/>
      <c r="D12" s="151"/>
      <c r="E12" s="151"/>
      <c r="F12" s="151"/>
      <c r="G12" s="152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4" t="s">
        <v>73</v>
      </c>
      <c r="C15" s="145"/>
      <c r="D15" s="145"/>
      <c r="E15" s="145"/>
      <c r="F15" s="145"/>
      <c r="G15" s="146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20" t="s">
        <v>196</v>
      </c>
      <c r="D16" s="70" t="s">
        <v>29</v>
      </c>
      <c r="E16" s="116">
        <v>1</v>
      </c>
      <c r="F16" s="117">
        <v>23.87</v>
      </c>
      <c r="G16" s="118">
        <f t="shared" ref="G16:G32" si="0">F16*E16</f>
        <v>23.87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9" t="s">
        <v>175</v>
      </c>
      <c r="D17" s="70" t="s">
        <v>29</v>
      </c>
      <c r="E17" s="116">
        <v>1</v>
      </c>
      <c r="F17" s="117">
        <v>23.91</v>
      </c>
      <c r="G17" s="118">
        <f t="shared" si="0"/>
        <v>23.91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20" t="s">
        <v>176</v>
      </c>
      <c r="D18" s="70" t="s">
        <v>29</v>
      </c>
      <c r="E18" s="116">
        <v>3</v>
      </c>
      <c r="F18" s="117">
        <v>1.6</v>
      </c>
      <c r="G18" s="118">
        <f t="shared" si="0"/>
        <v>4.8000000000000007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9" t="s">
        <v>177</v>
      </c>
      <c r="D19" s="70" t="s">
        <v>29</v>
      </c>
      <c r="E19" s="116">
        <v>3</v>
      </c>
      <c r="F19" s="117">
        <v>5</v>
      </c>
      <c r="G19" s="118">
        <f t="shared" si="0"/>
        <v>15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9" t="s">
        <v>197</v>
      </c>
      <c r="D20" s="70" t="s">
        <v>29</v>
      </c>
      <c r="E20" s="116">
        <v>5</v>
      </c>
      <c r="F20" s="117">
        <v>1.27</v>
      </c>
      <c r="G20" s="118">
        <f t="shared" si="0"/>
        <v>6.35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9" t="s">
        <v>198</v>
      </c>
      <c r="D21" s="70" t="s">
        <v>29</v>
      </c>
      <c r="E21" s="116">
        <v>5</v>
      </c>
      <c r="F21" s="117">
        <v>1.0900000000000001</v>
      </c>
      <c r="G21" s="118">
        <f t="shared" si="0"/>
        <v>5.45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9" t="s">
        <v>199</v>
      </c>
      <c r="D22" s="70" t="s">
        <v>29</v>
      </c>
      <c r="E22" s="116">
        <v>2</v>
      </c>
      <c r="F22" s="117">
        <v>100</v>
      </c>
      <c r="G22" s="118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20" t="s">
        <v>224</v>
      </c>
      <c r="D23" s="70" t="s">
        <v>29</v>
      </c>
      <c r="E23" s="116">
        <v>1</v>
      </c>
      <c r="F23" s="117">
        <v>253.33</v>
      </c>
      <c r="G23" s="118">
        <f t="shared" si="0"/>
        <v>253.33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9" t="s">
        <v>225</v>
      </c>
      <c r="D24" s="70" t="s">
        <v>29</v>
      </c>
      <c r="E24" s="116">
        <v>1</v>
      </c>
      <c r="F24" s="117">
        <v>200</v>
      </c>
      <c r="G24" s="118">
        <f t="shared" si="0"/>
        <v>200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20" t="s">
        <v>200</v>
      </c>
      <c r="D25" s="70" t="s">
        <v>29</v>
      </c>
      <c r="E25" s="116">
        <v>1</v>
      </c>
      <c r="F25" s="117">
        <v>66.67</v>
      </c>
      <c r="G25" s="118">
        <f t="shared" si="0"/>
        <v>66.67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20" t="s">
        <v>226</v>
      </c>
      <c r="D26" s="70" t="s">
        <v>29</v>
      </c>
      <c r="E26" s="116">
        <v>1</v>
      </c>
      <c r="F26" s="117">
        <v>118.67</v>
      </c>
      <c r="G26" s="118">
        <f t="shared" si="0"/>
        <v>118.67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120" t="s">
        <v>227</v>
      </c>
      <c r="D27" s="70" t="s">
        <v>29</v>
      </c>
      <c r="E27" s="116">
        <v>1</v>
      </c>
      <c r="F27" s="117">
        <v>118.67</v>
      </c>
      <c r="G27" s="118">
        <f t="shared" si="0"/>
        <v>118.67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120" t="s">
        <v>228</v>
      </c>
      <c r="D28" s="70" t="s">
        <v>29</v>
      </c>
      <c r="E28" s="116">
        <v>1</v>
      </c>
      <c r="F28" s="117">
        <v>331.96</v>
      </c>
      <c r="G28" s="118">
        <f t="shared" si="0"/>
        <v>331.96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120" t="s">
        <v>229</v>
      </c>
      <c r="D29" s="70" t="s">
        <v>29</v>
      </c>
      <c r="E29" s="116">
        <v>1</v>
      </c>
      <c r="F29" s="117">
        <v>310.5</v>
      </c>
      <c r="G29" s="118">
        <f t="shared" si="0"/>
        <v>310.5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120" t="s">
        <v>201</v>
      </c>
      <c r="D30" s="70" t="s">
        <v>29</v>
      </c>
      <c r="E30" s="116">
        <v>1</v>
      </c>
      <c r="F30" s="117">
        <v>95.33</v>
      </c>
      <c r="G30" s="118">
        <f t="shared" si="0"/>
        <v>95.33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120" t="s">
        <v>230</v>
      </c>
      <c r="D31" s="70" t="s">
        <v>29</v>
      </c>
      <c r="E31" s="116">
        <v>1</v>
      </c>
      <c r="F31" s="121">
        <v>85.72</v>
      </c>
      <c r="G31" s="118">
        <f t="shared" si="0"/>
        <v>85.72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119" t="s">
        <v>179</v>
      </c>
      <c r="D32" s="70" t="s">
        <v>29</v>
      </c>
      <c r="E32" s="116">
        <v>1</v>
      </c>
      <c r="F32" s="117">
        <v>13.13</v>
      </c>
      <c r="G32" s="118">
        <f t="shared" si="0"/>
        <v>13.13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120"/>
      <c r="D33" s="70"/>
      <c r="E33" s="116"/>
      <c r="F33" s="117"/>
      <c r="G33" s="117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44" t="s">
        <v>77</v>
      </c>
      <c r="C34" s="145"/>
      <c r="D34" s="145"/>
      <c r="E34" s="145"/>
      <c r="F34" s="145"/>
      <c r="G34" s="146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120" t="s">
        <v>182</v>
      </c>
      <c r="D35" s="70" t="s">
        <v>29</v>
      </c>
      <c r="E35" s="116">
        <v>1</v>
      </c>
      <c r="F35" s="117">
        <v>49.33</v>
      </c>
      <c r="G35" s="118">
        <f>F35*E35</f>
        <v>49.33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120" t="s">
        <v>181</v>
      </c>
      <c r="D36" s="70" t="s">
        <v>29</v>
      </c>
      <c r="E36" s="116">
        <v>4</v>
      </c>
      <c r="F36" s="117">
        <v>14</v>
      </c>
      <c r="G36" s="118">
        <f t="shared" ref="G36:G61" si="1">F36*E36</f>
        <v>56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119" t="s">
        <v>180</v>
      </c>
      <c r="D37" s="70" t="s">
        <v>29</v>
      </c>
      <c r="E37" s="116">
        <v>1</v>
      </c>
      <c r="F37" s="117">
        <v>13.13</v>
      </c>
      <c r="G37" s="118">
        <f t="shared" si="1"/>
        <v>13.13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120" t="s">
        <v>214</v>
      </c>
      <c r="D38" s="70" t="s">
        <v>29</v>
      </c>
      <c r="E38" s="116">
        <v>1</v>
      </c>
      <c r="F38" s="117">
        <v>100</v>
      </c>
      <c r="G38" s="118">
        <f t="shared" si="1"/>
        <v>100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119" t="s">
        <v>215</v>
      </c>
      <c r="D39" s="70" t="s">
        <v>167</v>
      </c>
      <c r="E39" s="116">
        <v>1</v>
      </c>
      <c r="F39" s="117">
        <v>20.97</v>
      </c>
      <c r="G39" s="118">
        <f t="shared" si="1"/>
        <v>20.97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119" t="s">
        <v>216</v>
      </c>
      <c r="D40" s="70" t="s">
        <v>29</v>
      </c>
      <c r="E40" s="116">
        <v>1</v>
      </c>
      <c r="F40" s="117">
        <v>25</v>
      </c>
      <c r="G40" s="118">
        <f t="shared" si="1"/>
        <v>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119" t="s">
        <v>217</v>
      </c>
      <c r="D41" s="70" t="s">
        <v>29</v>
      </c>
      <c r="E41" s="116">
        <v>1</v>
      </c>
      <c r="F41" s="117">
        <v>21.46</v>
      </c>
      <c r="G41" s="118">
        <f t="shared" si="1"/>
        <v>21.46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119" t="s">
        <v>218</v>
      </c>
      <c r="D42" s="70" t="s">
        <v>29</v>
      </c>
      <c r="E42" s="116">
        <v>1</v>
      </c>
      <c r="F42" s="117">
        <v>15.81</v>
      </c>
      <c r="G42" s="118">
        <f t="shared" si="1"/>
        <v>15.81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120" t="s">
        <v>190</v>
      </c>
      <c r="D43" s="70" t="s">
        <v>29</v>
      </c>
      <c r="E43" s="116">
        <v>17</v>
      </c>
      <c r="F43" s="117">
        <v>1.6</v>
      </c>
      <c r="G43" s="118">
        <f t="shared" si="1"/>
        <v>27.200000000000003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120" t="s">
        <v>178</v>
      </c>
      <c r="D44" s="70" t="s">
        <v>29</v>
      </c>
      <c r="E44" s="116">
        <v>18</v>
      </c>
      <c r="F44" s="117">
        <v>2.77</v>
      </c>
      <c r="G44" s="118">
        <f t="shared" si="1"/>
        <v>49.86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11</v>
      </c>
      <c r="C45" s="119" t="s">
        <v>219</v>
      </c>
      <c r="D45" s="70" t="s">
        <v>29</v>
      </c>
      <c r="E45" s="116">
        <v>3</v>
      </c>
      <c r="F45" s="117">
        <v>13.13</v>
      </c>
      <c r="G45" s="118">
        <f t="shared" si="1"/>
        <v>39.39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12</v>
      </c>
      <c r="C46" s="120" t="s">
        <v>183</v>
      </c>
      <c r="D46" s="70" t="s">
        <v>29</v>
      </c>
      <c r="E46" s="116">
        <v>3</v>
      </c>
      <c r="F46" s="117">
        <v>95</v>
      </c>
      <c r="G46" s="118">
        <f t="shared" si="1"/>
        <v>285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13</v>
      </c>
      <c r="C47" s="119" t="s">
        <v>184</v>
      </c>
      <c r="D47" s="70" t="s">
        <v>29</v>
      </c>
      <c r="E47" s="116">
        <v>0.5</v>
      </c>
      <c r="F47" s="117">
        <v>67.319999999999993</v>
      </c>
      <c r="G47" s="118">
        <f t="shared" si="1"/>
        <v>33.659999999999997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14</v>
      </c>
      <c r="C48" s="119" t="s">
        <v>185</v>
      </c>
      <c r="D48" s="70" t="s">
        <v>29</v>
      </c>
      <c r="E48" s="116">
        <v>1</v>
      </c>
      <c r="F48" s="117">
        <v>84</v>
      </c>
      <c r="G48" s="118">
        <f t="shared" si="1"/>
        <v>84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15</v>
      </c>
      <c r="C49" s="119" t="s">
        <v>220</v>
      </c>
      <c r="D49" s="70" t="s">
        <v>29</v>
      </c>
      <c r="E49" s="116">
        <v>1</v>
      </c>
      <c r="F49" s="117">
        <v>22.67</v>
      </c>
      <c r="G49" s="118">
        <f t="shared" si="1"/>
        <v>22.67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16</v>
      </c>
      <c r="C50" s="119" t="s">
        <v>221</v>
      </c>
      <c r="D50" s="70" t="s">
        <v>29</v>
      </c>
      <c r="E50" s="116">
        <v>1</v>
      </c>
      <c r="F50" s="117">
        <v>258</v>
      </c>
      <c r="G50" s="118">
        <f t="shared" si="1"/>
        <v>258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17</v>
      </c>
      <c r="C51" s="119" t="s">
        <v>186</v>
      </c>
      <c r="D51" s="70" t="s">
        <v>29</v>
      </c>
      <c r="E51" s="116">
        <v>1</v>
      </c>
      <c r="F51" s="117">
        <v>3</v>
      </c>
      <c r="G51" s="118">
        <f t="shared" si="1"/>
        <v>3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18</v>
      </c>
      <c r="C52" s="119" t="s">
        <v>222</v>
      </c>
      <c r="D52" s="70" t="s">
        <v>29</v>
      </c>
      <c r="E52" s="116">
        <v>1</v>
      </c>
      <c r="F52" s="117">
        <v>4</v>
      </c>
      <c r="G52" s="118">
        <f t="shared" si="1"/>
        <v>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19</v>
      </c>
      <c r="C53" s="119" t="s">
        <v>187</v>
      </c>
      <c r="D53" s="70" t="s">
        <v>29</v>
      </c>
      <c r="E53" s="116">
        <v>3</v>
      </c>
      <c r="F53" s="117">
        <v>70.67</v>
      </c>
      <c r="G53" s="118">
        <f t="shared" si="1"/>
        <v>212.01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20</v>
      </c>
      <c r="C54" s="119" t="s">
        <v>188</v>
      </c>
      <c r="D54" s="70" t="s">
        <v>29</v>
      </c>
      <c r="E54" s="116">
        <v>0.5</v>
      </c>
      <c r="F54" s="117">
        <v>84.22</v>
      </c>
      <c r="G54" s="118">
        <f t="shared" si="1"/>
        <v>42.11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21</v>
      </c>
      <c r="C55" s="119" t="s">
        <v>223</v>
      </c>
      <c r="D55" s="70" t="s">
        <v>29</v>
      </c>
      <c r="E55" s="116">
        <v>1</v>
      </c>
      <c r="F55" s="117">
        <v>5.33</v>
      </c>
      <c r="G55" s="118">
        <f t="shared" si="1"/>
        <v>5.33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22</v>
      </c>
      <c r="C56" s="119" t="s">
        <v>189</v>
      </c>
      <c r="D56" s="70" t="s">
        <v>29</v>
      </c>
      <c r="E56" s="116">
        <v>3</v>
      </c>
      <c r="F56" s="117">
        <v>30</v>
      </c>
      <c r="G56" s="118">
        <f t="shared" si="1"/>
        <v>90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23</v>
      </c>
      <c r="C57" s="120" t="s">
        <v>191</v>
      </c>
      <c r="D57" s="70" t="s">
        <v>29</v>
      </c>
      <c r="E57" s="116">
        <v>3</v>
      </c>
      <c r="F57" s="117">
        <v>12</v>
      </c>
      <c r="G57" s="118">
        <f t="shared" si="1"/>
        <v>36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24</v>
      </c>
      <c r="C58" s="120" t="s">
        <v>192</v>
      </c>
      <c r="D58" s="70" t="s">
        <v>29</v>
      </c>
      <c r="E58" s="116">
        <v>5</v>
      </c>
      <c r="F58" s="117">
        <v>15</v>
      </c>
      <c r="G58" s="118">
        <f t="shared" si="1"/>
        <v>75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25</v>
      </c>
      <c r="C59" s="120" t="s">
        <v>193</v>
      </c>
      <c r="D59" s="70" t="s">
        <v>29</v>
      </c>
      <c r="E59" s="116">
        <v>3</v>
      </c>
      <c r="F59" s="117">
        <v>10.67</v>
      </c>
      <c r="G59" s="118">
        <f t="shared" si="1"/>
        <v>32.01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26</v>
      </c>
      <c r="C60" s="120" t="s">
        <v>194</v>
      </c>
      <c r="D60" s="70" t="s">
        <v>29</v>
      </c>
      <c r="E60" s="116">
        <v>1</v>
      </c>
      <c r="F60" s="117">
        <v>10</v>
      </c>
      <c r="G60" s="118">
        <f t="shared" si="1"/>
        <v>10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27</v>
      </c>
      <c r="C61" s="120" t="s">
        <v>195</v>
      </c>
      <c r="D61" s="70" t="s">
        <v>29</v>
      </c>
      <c r="E61" s="116">
        <f>64+35</f>
        <v>99</v>
      </c>
      <c r="F61" s="117">
        <v>1.51</v>
      </c>
      <c r="G61" s="118">
        <f t="shared" si="1"/>
        <v>149.49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44" t="s">
        <v>30</v>
      </c>
      <c r="C62" s="145"/>
      <c r="D62" s="145"/>
      <c r="E62" s="145"/>
      <c r="F62" s="145"/>
      <c r="G62" s="146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password="C2E9" sheet="1" objects="1" scenarios="1" formatColumns="0" formatRows="0" sort="0" autoFilter="0"/>
  <mergeCells count="9">
    <mergeCell ref="B7:G7"/>
    <mergeCell ref="B34:G34"/>
    <mergeCell ref="B62:G62"/>
    <mergeCell ref="B8:G8"/>
    <mergeCell ref="B9:G9"/>
    <mergeCell ref="B10:G10"/>
    <mergeCell ref="B11:G11"/>
    <mergeCell ref="B12:G12"/>
    <mergeCell ref="B15:G15"/>
  </mergeCells>
  <conditionalFormatting sqref="C35:C61">
    <cfRule type="duplicateValues" dxfId="21" priority="203"/>
  </conditionalFormatting>
  <conditionalFormatting sqref="C33">
    <cfRule type="duplicateValues" dxfId="4" priority="3"/>
  </conditionalFormatting>
  <conditionalFormatting sqref="C16:C30">
    <cfRule type="duplicateValues" dxfId="3" priority="2"/>
  </conditionalFormatting>
  <conditionalFormatting sqref="C31:C32">
    <cfRule type="duplicateValues" dxfId="1" priority="1"/>
  </conditionalFormatting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0" sqref="H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3" t="s">
        <v>33</v>
      </c>
      <c r="E11" s="154"/>
      <c r="F11" s="154"/>
      <c r="G11" s="154"/>
      <c r="H11" s="154"/>
      <c r="I11" s="154"/>
      <c r="J11" s="154"/>
      <c r="K11" s="154"/>
      <c r="L11" s="154"/>
      <c r="M11" s="154"/>
      <c r="N11" s="155"/>
      <c r="P11" s="156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7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202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45</v>
      </c>
      <c r="F14" s="55"/>
      <c r="G14" s="55">
        <v>45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95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2018-06-04T09:31:56Z</dcterms:modified>
</cp:coreProperties>
</file>