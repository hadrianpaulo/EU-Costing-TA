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Drugs&amp;Med'!$C$11:$C$15</definedName>
    <definedName name="_xlnm.Print_Area" localSheetId="0">'1.1 Case data_general'!$B$1:$F$69</definedName>
    <definedName name="_xlnm.Print_Area" localSheetId="1">'1.2 Drugs&amp;Med'!$B$2:$J$18</definedName>
  </definedNames>
  <calcPr calcId="144525"/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 l="1"/>
  <c r="G31" i="9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<sst xmlns="http://schemas.openxmlformats.org/spreadsheetml/2006/main" count="514" uniqueCount="210">
  <si>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</si>
  <si>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</si>
  <si>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</si>
  <si>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</si>
  <si>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</si>
  <si>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</si>
  <si>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</si>
  <si>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</si>
  <si>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</si>
  <si>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</si>
  <si>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</si>
  <si>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</si>
  <si>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</si>
  <si>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</si>
  <si>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</si>
  <si>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</si>
  <si>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</si>
  <si>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</si>
  <si>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</si>
  <si>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</si>
  <si>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</si>
  <si>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</si>
  <si>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</si>
  <si>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</si>
  <si>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</si>
  <si>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</si>
  <si>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</si>
  <si>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</si>
  <si>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</si>
  <si>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</si>
  <si>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</si>
  <si>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</si>
  <si>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</si>
  <si>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</si>
  <si>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</si>
  <si>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</si>
  <si>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</si>
  <si>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</si>
  <si>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</si>
  <si>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</si>
  <si>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</si>
  <si>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</si>
  <si>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</si>
  <si>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</si>
  <si>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</si>
  <si>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</si>
  <si>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</si>
  <si>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</si>
  <si>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</si>
  <si>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</si>
  <si>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</si>
  <si>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</si>
  <si>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</si>
  <si>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</si>
  <si>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</si>
  <si>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</si>
  <si>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</si>
  <si>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</si>
  <si>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</si>
  <si>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</si>
  <si>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</si>
  <si>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</si>
  <si>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</si>
  <si>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</si>
  <si>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</si>
  <si>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</si>
  <si>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</si>
  <si>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</si>
  <si>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</si>
  <si>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</si>
  <si>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</si>
  <si>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</si>
  <si>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</si>
  <si>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</si>
  <si>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</si>
  <si>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</si>
  <si>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</si>
  <si>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</si>
  <si>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</si>
  <si>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</si>
  <si>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</si>
  <si>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</si>
  <si>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</si>
  <si>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</si>
  <si>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</si>
  <si>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</si>
  <si>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</si>
  <si>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</si>
  <si>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</si>
  <si>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</si>
  <si>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</si>
  <si>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</si>
  <si>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</si>
  <si>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</si>
  <si>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</si>
  <si>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</si>
  <si>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</si>
  <si>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</si>
  <si>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</si>
  <si>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</si>
  <si>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</si>
  <si>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</si>
  <si>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</si>
  <si>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</si>
  <si>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</si>
  <si>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</si>
  <si>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</si>
  <si>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</si>
  <si>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</si>
  <si>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</si>
  <si>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</si>
  <si>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</si>
  <si>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</si>
  <si>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</si>
  <si>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</si>
  <si>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</si>
  <si>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</si>
  <si>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</si>
  <si>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</si>
  <si>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</si>
  <si>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</si>
  <si>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</si>
  <si>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</si>
  <si>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</si>
  <si>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</si>
  <si>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</si>
  <si>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</si>
  <si>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</si>
  <si>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</si>
  <si>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</si>
  <si>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</si>
  <si>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</si>
  <si>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</si>
  <si>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</si>
  <si>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</si>
  <si>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</si>
  <si>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</si>
  <si>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</si>
  <si>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</si>
  <si>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</si>
  <si>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</si>
  <si>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</si>
  <si>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</si>
  <si>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</si>
  <si>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</si>
  <si>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</si>
  <si>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</si>
  <si>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</si>
  <si>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</si>
  <si>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</si>
  <si>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</si>
  <si>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</si>
  <si>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</si>
  <si>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</si>
  <si>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</si>
  <si>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</si>
  <si>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</si>
  <si>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</si>
  <si>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</si>
  <si>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</si>
  <si>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</si>
  <si>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</si>
  <si>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</si>
  <si>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</si>
  <si>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</si>
  <si>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</si>
  <si>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</si>
  <si>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</si>
  <si>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</si>
  <si>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</si>
  <si>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</si>
  <si>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</si>
  <si>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</si>
  <si>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</si>
  <si>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</si>
  <si>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</si>
  <si>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</si>
  <si>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VIAL</t>
  </si>
  <si>
    <t>CAPSULE</t>
  </si>
  <si>
    <t>500MG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</si>
  <si>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</si>
  <si>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</si>
  <si>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</si>
  <si>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</si>
  <si>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</si>
  <si>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</si>
  <si>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</si>
  <si>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</si>
  <si>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PHYTOMENADIONE ( VITAMIN K ) 10MG/1ML</t>
  </si>
  <si>
    <t>ERYTHROMYCIN  EYE OINTMENT 0.5%, 3.5G</t>
  </si>
  <si>
    <t>10MG</t>
  </si>
  <si>
    <t>3.5G</t>
  </si>
  <si>
    <t>TUBE</t>
  </si>
  <si>
    <t>IV CATHETER GAUGE 18</t>
  </si>
  <si>
    <t>IV SET W/ AIRWAY FOR IV PUSH, VACOSET/MACRODRIP, ADULT</t>
  </si>
  <si>
    <t>RAPID PLASMA REAGIN (RPR)</t>
  </si>
  <si>
    <t>BLOOD EXTRACTION FEE</t>
  </si>
  <si>
    <t>NBB</t>
  </si>
  <si>
    <t>URINE BAG, ADULT W/ DRAINAGE TUBE 2,000 ML</t>
  </si>
  <si>
    <t>MEDICAL GLOVES W/ CUFF, STERILE LATEX, NATURAL RUBBER: BOX OF 50'S  WARD USE SIZE 6 1/2</t>
  </si>
  <si>
    <t>HYDRALAZINE HCI 20MG/ML-1ML</t>
  </si>
  <si>
    <t>20MG</t>
  </si>
  <si>
    <t>ROLL</t>
  </si>
  <si>
    <t>HYOSCINE N-BUTYLBROMIDE 20MG/ML-1ML</t>
  </si>
  <si>
    <t>MEFENAMIC ACID 500MG IN BLISTER FOIL PACK</t>
  </si>
  <si>
    <t>OXYGEN NASAL CANNULA WITH THREAD CONNECTOR FOR ADULT (CURVED FLAIRED TIP)</t>
  </si>
  <si>
    <t>ULTRASOUND PRINTING PAPER 110MM X 20MM (HIGH DENSITY) (DURICO TYPE 1)</t>
  </si>
  <si>
    <t>361646/74603</t>
  </si>
  <si>
    <t>FOLEY CATHETER FR 16, 2 WAY, BOX OF 20 (CPR NEEDED)</t>
  </si>
  <si>
    <t>HEMOGLUCOTEST TEST STRIP BOX OF 50S W/ FREE GLUCOMETER MACHINE FOR EVERY PURCHASE OF 25 BOXES WITH 2 EXTRA BATTERIES FOR EVERY GLUCOMETER MACHINE (CURACHECK/KOREA)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</si>
</sst>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="115" zoomScaleNormal="115" workbookViewId="0">
      <selection activeCell="E37" sqref="E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195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196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5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180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181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197</v>
      </c>
      <c r="D60" s="55"/>
      <c r="E60" s="55">
        <v>1126.43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1126.43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B1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183</v>
      </c>
      <c r="E11" s="27" t="s">
        <v>187</v>
      </c>
      <c r="F11" s="55">
        <v>3</v>
      </c>
      <c r="G11" s="55">
        <v>2</v>
      </c>
      <c r="H11" s="55">
        <v>5</v>
      </c>
      <c r="I11" s="55">
        <v>8.52</v>
      </c>
      <c r="J11" s="55">
        <f>H11*I11</f>
        <v>42.599999999999994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192</v>
      </c>
      <c r="E12" s="27" t="s">
        <v>191</v>
      </c>
      <c r="F12" s="55">
        <v>1</v>
      </c>
      <c r="G12" s="55">
        <v>1</v>
      </c>
      <c r="H12" s="55">
        <v>1</v>
      </c>
      <c r="I12" s="55">
        <v>21</v>
      </c>
      <c r="J12" s="55">
        <f t="shared" ref="J12:J17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177</v>
      </c>
      <c r="E13" s="27" t="s">
        <v>190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203</v>
      </c>
      <c r="D14" s="27" t="s">
        <v>177</v>
      </c>
      <c r="E14" s="27" t="s">
        <v>201</v>
      </c>
      <c r="F14" s="55">
        <v>2</v>
      </c>
      <c r="G14" s="55">
        <v>2</v>
      </c>
      <c r="H14" s="55">
        <v>4</v>
      </c>
      <c r="I14" s="55">
        <v>25.79</v>
      </c>
      <c r="J14" s="55">
        <f t="shared" si="0"/>
        <v>103.16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200</v>
      </c>
      <c r="D15" s="27" t="s">
        <v>177</v>
      </c>
      <c r="E15" s="27" t="s">
        <v>201</v>
      </c>
      <c r="F15" s="55">
        <v>1</v>
      </c>
      <c r="G15" s="55">
        <v>1</v>
      </c>
      <c r="H15" s="55">
        <v>1</v>
      </c>
      <c r="I15" s="55">
        <v>24.44</v>
      </c>
      <c r="J15" s="55">
        <f t="shared" si="0"/>
        <v>24.44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204</v>
      </c>
      <c r="D16" s="27" t="s">
        <v>178</v>
      </c>
      <c r="E16" s="27" t="s">
        <v>179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178</v>
      </c>
      <c r="E17" s="27" t="s">
        <v>179</v>
      </c>
      <c r="F17" s="55">
        <v>3</v>
      </c>
      <c r="G17" s="55">
        <v>7</v>
      </c>
      <c r="H17" s="55">
        <v>21</v>
      </c>
      <c r="I17" s="55">
        <v>2.87</v>
      </c>
      <c r="J17" s="55">
        <f t="shared" si="0"/>
        <v>60.27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37" sqref="D37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194</v>
      </c>
      <c r="D21" s="117" t="s">
        <v>176</v>
      </c>
      <c r="E21" s="116">
        <v>1</v>
      </c>
      <c r="F21" s="116">
        <v>14</v>
      </c>
      <c r="G21" s="116">
        <f>+E21*F21</f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193</v>
      </c>
      <c r="D22" s="117" t="s">
        <v>164</v>
      </c>
      <c r="E22" s="116">
        <v>2</v>
      </c>
      <c r="F22" s="116">
        <v>13.13</v>
      </c>
      <c r="G22" s="116">
        <f t="shared" ref="G22:G37" si="0">+E22*F22</f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206</v>
      </c>
      <c r="D23" s="117" t="s">
        <v>202</v>
      </c>
      <c r="E23" s="116">
        <v>1</v>
      </c>
      <c r="F23" s="116">
        <v>100</v>
      </c>
      <c r="G23" s="116">
        <f t="shared" si="0"/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171</v>
      </c>
      <c r="D24" s="117" t="s">
        <v>164</v>
      </c>
      <c r="E24" s="116">
        <v>9</v>
      </c>
      <c r="F24" s="116">
        <v>1.6</v>
      </c>
      <c r="G24" s="116">
        <f t="shared" si="0"/>
        <v>14.4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172</v>
      </c>
      <c r="D25" s="117" t="s">
        <v>164</v>
      </c>
      <c r="E25" s="116">
        <v>9</v>
      </c>
      <c r="F25" s="116">
        <v>5</v>
      </c>
      <c r="G25" s="116">
        <f t="shared" si="0"/>
        <v>45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205</v>
      </c>
      <c r="D26" s="117" t="s">
        <v>164</v>
      </c>
      <c r="E26" s="116">
        <v>1</v>
      </c>
      <c r="F26" s="116">
        <v>15.44</v>
      </c>
      <c r="G26" s="116">
        <f t="shared" si="0"/>
        <v>15.44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208</v>
      </c>
      <c r="D27" s="117" t="s">
        <v>164</v>
      </c>
      <c r="E27" s="116">
        <v>1</v>
      </c>
      <c r="F27" s="116">
        <v>27.75</v>
      </c>
      <c r="G27" s="116">
        <f t="shared" si="0"/>
        <v>27.75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198</v>
      </c>
      <c r="D28" s="117" t="s">
        <v>164</v>
      </c>
      <c r="E28" s="116">
        <v>1</v>
      </c>
      <c r="F28" s="116">
        <v>15.81</v>
      </c>
      <c r="G28" s="116">
        <f t="shared" si="0"/>
        <v>15.81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209</v>
      </c>
      <c r="D29" s="117" t="s">
        <v>164</v>
      </c>
      <c r="E29" s="116">
        <v>2</v>
      </c>
      <c r="F29" s="116">
        <v>20</v>
      </c>
      <c r="G29" s="116">
        <f t="shared" si="0"/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173</v>
      </c>
      <c r="D30" s="117" t="s">
        <v>164</v>
      </c>
      <c r="E30" s="116">
        <v>4</v>
      </c>
      <c r="F30" s="116">
        <v>2.77</v>
      </c>
      <c r="G30" s="116">
        <f t="shared" si="0"/>
        <v>11.08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185</v>
      </c>
      <c r="D31" s="117" t="s">
        <v>164</v>
      </c>
      <c r="E31" s="116">
        <v>2</v>
      </c>
      <c r="F31" s="116">
        <v>250</v>
      </c>
      <c r="G31" s="116">
        <f t="shared" si="0"/>
        <v>500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174</v>
      </c>
      <c r="D32" s="117" t="s">
        <v>164</v>
      </c>
      <c r="E32" s="116">
        <v>1</v>
      </c>
      <c r="F32" s="116">
        <v>3.25</v>
      </c>
      <c r="G32" s="116">
        <f t="shared" si="0"/>
        <v>3.25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13</v>
      </c>
      <c r="C33" s="27" t="s">
        <v>175</v>
      </c>
      <c r="D33" s="117" t="s">
        <v>164</v>
      </c>
      <c r="E33" s="116">
        <v>1</v>
      </c>
      <c r="F33" s="116">
        <v>5</v>
      </c>
      <c r="G33" s="116">
        <f t="shared" si="0"/>
        <v>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14</v>
      </c>
      <c r="C34" s="27" t="s">
        <v>199</v>
      </c>
      <c r="D34" s="117" t="s">
        <v>164</v>
      </c>
      <c r="E34" s="116">
        <v>3</v>
      </c>
      <c r="F34" s="116">
        <v>12</v>
      </c>
      <c r="G34" s="116">
        <f t="shared" si="0"/>
        <v>36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15</v>
      </c>
      <c r="C35" s="27" t="s">
        <v>169</v>
      </c>
      <c r="D35" s="117" t="s">
        <v>164</v>
      </c>
      <c r="E35" s="116">
        <v>1</v>
      </c>
      <c r="F35" s="116">
        <v>11.73</v>
      </c>
      <c r="G35" s="116">
        <f t="shared" si="0"/>
        <v>11.73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16</v>
      </c>
      <c r="C36" s="27" t="s">
        <v>170</v>
      </c>
      <c r="D36" s="117" t="s">
        <v>164</v>
      </c>
      <c r="E36" s="116">
        <v>4</v>
      </c>
      <c r="F36" s="116">
        <v>1.6</v>
      </c>
      <c r="G36" s="116">
        <f t="shared" si="0"/>
        <v>6.4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17</v>
      </c>
      <c r="C37" s="27" t="s">
        <v>184</v>
      </c>
      <c r="D37" s="117" t="s">
        <v>164</v>
      </c>
      <c r="E37" s="116">
        <v>1</v>
      </c>
      <c r="F37" s="116">
        <v>7.8</v>
      </c>
      <c r="G37" s="116">
        <f t="shared" si="0"/>
        <v>7.8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2018-06-04T07:31:37Z</dcterms:modified>
</cp:coreProperties>
</file>