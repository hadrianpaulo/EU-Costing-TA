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Supplies_Medical'!$C$15:$C$44</definedName>
    <definedName name="Drugs">'1.2 Drugs&amp;Med'!$C$11:$C$15</definedName>
    <definedName name="_xlnm.Print_Area" localSheetId="0">'1.1 Case data_general'!$B$1:$F$77</definedName>
    <definedName name="_xlnm.Print_Area" localSheetId="1">'1.2 Drugs&amp;Med'!$B$2:$J$22</definedName>
  </definedNames>
  <calcPr calcId="144525"/>
</workbook>
</file>

<file path=xl/calcChain.xml><?xml version="1.0" encoding="utf-8"?>
<calcChain xmlns="http://schemas.openxmlformats.org/spreadsheetml/2006/main">
  <c r="J21" i="2" l="1"/>
  <c r="J20" i="2"/>
  <c r="G33" i="9"/>
  <c r="G32" i="9" l="1"/>
  <c r="G31" i="9"/>
  <c r="J19" i="2"/>
  <c r="J18" i="2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<sst xmlns="http://schemas.openxmlformats.org/spreadsheetml/2006/main" count="527" uniqueCount="222">
  <si>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</si>
  <si>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</si>
  <si>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</si>
  <si>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</si>
  <si>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</si>
  <si>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</si>
  <si>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</si>
  <si>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</si>
  <si>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</si>
  <si>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</si>
  <si>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</si>
  <si>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</si>
  <si>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</si>
  <si>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</si>
  <si>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</si>
  <si>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</si>
  <si>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</si>
  <si>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</si>
  <si>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</si>
  <si>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</si>
  <si>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</si>
  <si>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</si>
  <si>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</si>
  <si>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</si>
  <si>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</si>
  <si>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</si>
  <si>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</si>
  <si>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</si>
  <si>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</si>
  <si>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</si>
  <si>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</si>
  <si>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</si>
  <si>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</si>
  <si>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</si>
  <si>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</si>
  <si>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</si>
  <si>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</si>
  <si>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</si>
  <si>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</si>
  <si>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</si>
  <si>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</si>
  <si>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</si>
  <si>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</si>
  <si>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</si>
  <si>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</si>
  <si>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</si>
  <si>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</si>
  <si>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</si>
  <si>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</si>
  <si>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</si>
  <si>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</si>
  <si>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</si>
  <si>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</si>
  <si>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</si>
  <si>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</si>
  <si>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</si>
  <si>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</si>
  <si>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</si>
  <si>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</si>
  <si>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</si>
  <si>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</si>
  <si>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</si>
  <si>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</si>
  <si>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</si>
  <si>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</si>
  <si>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</si>
  <si>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</si>
  <si>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</si>
  <si>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</si>
  <si>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</si>
  <si>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</si>
  <si>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</si>
  <si>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</si>
  <si>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</si>
  <si>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</si>
  <si>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</si>
  <si>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</si>
  <si>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</si>
  <si>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</si>
  <si>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</si>
  <si>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</si>
  <si>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</si>
  <si>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</si>
  <si>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</si>
  <si>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</si>
  <si>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</si>
  <si>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</si>
  <si>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</si>
  <si>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</si>
  <si>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</si>
  <si>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</si>
  <si>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</si>
  <si>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</si>
  <si>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</si>
  <si>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</si>
  <si>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</si>
  <si>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</si>
  <si>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</si>
  <si>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</si>
  <si>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</si>
  <si>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</si>
  <si>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</si>
  <si>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</si>
  <si>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</si>
  <si>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</si>
  <si>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</si>
  <si>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</si>
  <si>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</si>
  <si>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</si>
  <si>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</si>
  <si>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</si>
  <si>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</si>
  <si>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</si>
  <si>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</si>
  <si>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</si>
  <si>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</si>
  <si>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</si>
  <si>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</si>
  <si>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</si>
  <si>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</si>
  <si>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</si>
  <si>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</si>
  <si>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</si>
  <si>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</si>
  <si>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</si>
  <si>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</si>
  <si>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</si>
  <si>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</si>
  <si>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</si>
  <si>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</si>
  <si>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</si>
  <si>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</si>
  <si>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</si>
  <si>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</si>
  <si>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</si>
  <si>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</si>
  <si>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</si>
  <si>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</si>
  <si>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</si>
  <si>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</si>
  <si>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</si>
  <si>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</si>
  <si>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</si>
  <si>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</si>
  <si>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</si>
  <si>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</si>
  <si>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</si>
  <si>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</si>
  <si>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</si>
  <si>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</si>
  <si>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</si>
  <si>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</si>
  <si>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</si>
  <si>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</si>
  <si>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</si>
  <si>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</si>
  <si>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</si>
  <si>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</si>
  <si>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</si>
  <si>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</si>
  <si>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</si>
  <si>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</si>
  <si>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</si>
  <si>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</si>
  <si>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</si>
  <si>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</si>
  <si>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</si>
  <si>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</si>
  <si>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</si>
  <si>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</si>
  <si>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</si>
  <si>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</si>
  <si>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</si>
  <si>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</si>
  <si>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</si>
  <si>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</si>
  <si>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(D5LRS 1L) 5% DEXTROSE IN LACTATED RINGERS SOLUTION 1000ML (D5 LRS) X 12S</t>
  </si>
  <si>
    <t>VIAL</t>
  </si>
  <si>
    <t>CAPSULE</t>
  </si>
  <si>
    <t>1L</t>
  </si>
  <si>
    <t>500MG</t>
  </si>
  <si>
    <t>CASE RATE</t>
  </si>
  <si>
    <t>PF CASE</t>
  </si>
  <si>
    <t>AMPULE</t>
  </si>
  <si>
    <t>NGT 8 STRAIGHT, 40CM (CPR NEEDED)</t>
  </si>
  <si>
    <t>OXYTOCIN MALEATE 10MCG INJECTION 10 UNITS/ML-1ML</t>
  </si>
  <si>
    <t>10MCG</t>
  </si>
  <si>
    <t>METHYLERGOMETRINE MALEATE 200MCG AMP</t>
  </si>
  <si>
    <t>PHYTOMENADIONE ( VITAMIN K ) 10MG/1ML</t>
  </si>
  <si>
    <t>ERYTHROMYCIN  EYE OINTMENT 0.5%, 3.5G</t>
  </si>
  <si>
    <t>200MCG</t>
  </si>
  <si>
    <t>10MG</t>
  </si>
  <si>
    <t>3.5G</t>
  </si>
  <si>
    <t>TUBE</t>
  </si>
  <si>
    <t>FLUID</t>
  </si>
  <si>
    <t>ADULT DIAPER WITH HIGH LIQUID ABSORBENCY</t>
  </si>
  <si>
    <t>RAPID PLASMA REAGIN (RPR)</t>
  </si>
  <si>
    <t>BLOOD EXTRACTION FEE</t>
  </si>
  <si>
    <t>CARBOPROST 250MCG/ML-1ML</t>
  </si>
  <si>
    <t>250MCG</t>
  </si>
  <si>
    <t>PAID BY PATIENT</t>
  </si>
  <si>
    <t>CHEST PA ADULT</t>
  </si>
  <si>
    <t>NA (SODIUM)</t>
  </si>
  <si>
    <t>CREATININE (CREA)</t>
  </si>
  <si>
    <t>K (POTASSIUM)</t>
  </si>
  <si>
    <t>CL (CHLORIDE)</t>
  </si>
  <si>
    <t>BLOOD UREA NITROGEN (BUN)</t>
  </si>
  <si>
    <t>RANDOM BLOOD SUGAR (RBS)</t>
  </si>
  <si>
    <t>URINALYSIS (UA)</t>
  </si>
  <si>
    <t>DISPOSABLE HEAD CAP X 100S GARTERIZED</t>
  </si>
  <si>
    <t>CEFUROXIME 500MG IN BLISTER FOIL PACK</t>
  </si>
  <si>
    <t>20MG</t>
  </si>
  <si>
    <t>Z-FOLD PAPER FOR FETAL CHART 30-240BPM X 40S (152MM X 90MM X 150 SHEETS)</t>
  </si>
  <si>
    <t>ROLL</t>
  </si>
  <si>
    <t>HYOSCINE N-BUTYLBROMIDE 20MG/ML-1ML</t>
  </si>
  <si>
    <t>MEFENAMIC ACID 500MG IN BLISTER FOIL PACK</t>
  </si>
  <si>
    <t>METRONIDAZOLE 500MG IN BLISTER FOIL PACK</t>
  </si>
  <si>
    <t>321111/74400</t>
  </si>
  <si>
    <t>Z35.4</t>
  </si>
  <si>
    <t>OXYGEN NASAL CANNULA WITH THREAD CONNECTOR FOR ADULT (CURVED FLAIRED TIP)</t>
  </si>
  <si>
    <t>DISPOSABLE FACE MASK, EAR LOOP 3 FOLDS X 50S</t>
  </si>
  <si>
    <t>(PLAIN LRS 1L) LACTATED RINGER''''S SOLUTION 1000ML (PLAIN LRS 1L) X 12S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</si>
</sst>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28575</xdr:rowOff>
        </xdr:from>
        <xdr:to>
          <xdr:col>1</xdr:col>
          <xdr:colOff>771525</xdr:colOff>
          <xdr:row>34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34</xdr:row>
          <xdr:rowOff>28575</xdr:rowOff>
        </xdr:from>
        <xdr:to>
          <xdr:col>1</xdr:col>
          <xdr:colOff>1543050</xdr:colOff>
          <xdr:row>34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zoomScale="115" zoomScaleNormal="115" workbookViewId="0">
      <selection activeCell="C46" sqref="C4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218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57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57" t="s">
        <v>202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57" t="s">
        <v>203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57" t="s">
        <v>204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57" t="s">
        <v>205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57" t="s">
        <v>206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57" t="s">
        <v>196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57" t="s">
        <v>207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57" t="s">
        <v>197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57" t="s">
        <v>208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21" t="s">
        <v>19</v>
      </c>
      <c r="C44" s="122"/>
      <c r="D44" s="119"/>
      <c r="E44" s="122"/>
      <c r="F44" s="120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57" t="s">
        <v>201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21" t="s">
        <v>43</v>
      </c>
      <c r="C49" s="122"/>
      <c r="D49" s="119"/>
      <c r="E49" s="122"/>
      <c r="F49" s="120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44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52</v>
      </c>
      <c r="C51" s="119"/>
      <c r="D51" s="119"/>
      <c r="E51" s="119"/>
      <c r="F51" s="120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8" t="s">
        <v>20</v>
      </c>
      <c r="C56" s="119"/>
      <c r="D56" s="119"/>
      <c r="E56" s="119"/>
      <c r="F56" s="120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54</v>
      </c>
      <c r="C65" s="17" t="s">
        <v>50</v>
      </c>
      <c r="D65" s="17" t="s">
        <v>55</v>
      </c>
      <c r="E65" s="18" t="s">
        <v>56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181</v>
      </c>
      <c r="D66" s="55">
        <v>3000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182</v>
      </c>
      <c r="D67" s="55">
        <v>2000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200</v>
      </c>
      <c r="D68" s="55"/>
      <c r="E68" s="55"/>
      <c r="F68" s="55">
        <v>1902.41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5000</v>
      </c>
      <c r="E77" s="59">
        <f>SUM(E66:E76)</f>
        <v>0</v>
      </c>
      <c r="F77" s="59">
        <f>SUM(F66:F76)</f>
        <v>1902.41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E34:E43 D66:F75 C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2"/>
  <sheetViews>
    <sheetView topLeftCell="B1" workbookViewId="0">
      <selection activeCell="F22" sqref="F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221</v>
      </c>
      <c r="D11" s="27" t="s">
        <v>194</v>
      </c>
      <c r="E11" s="27" t="s">
        <v>179</v>
      </c>
      <c r="F11" s="55">
        <v>1</v>
      </c>
      <c r="G11" s="55">
        <v>2</v>
      </c>
      <c r="H11" s="55">
        <v>2</v>
      </c>
      <c r="I11" s="55">
        <v>49.33</v>
      </c>
      <c r="J11" s="55">
        <f>H11*I11</f>
        <v>98.66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183</v>
      </c>
      <c r="E12" s="27" t="s">
        <v>186</v>
      </c>
      <c r="F12" s="55">
        <v>1</v>
      </c>
      <c r="G12" s="55">
        <v>2</v>
      </c>
      <c r="H12" s="55">
        <v>2</v>
      </c>
      <c r="I12" s="55">
        <v>8.52</v>
      </c>
      <c r="J12" s="55">
        <f t="shared" ref="J12:J21" si="0">H12*I12</f>
        <v>17.04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214</v>
      </c>
      <c r="D13" s="27" t="s">
        <v>177</v>
      </c>
      <c r="E13" s="27" t="s">
        <v>211</v>
      </c>
      <c r="F13" s="55">
        <v>2</v>
      </c>
      <c r="G13" s="55">
        <v>3</v>
      </c>
      <c r="H13" s="55">
        <v>6</v>
      </c>
      <c r="I13" s="55">
        <v>25.79</v>
      </c>
      <c r="J13" s="55">
        <f t="shared" si="0"/>
        <v>154.74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194</v>
      </c>
      <c r="E14" s="27" t="s">
        <v>179</v>
      </c>
      <c r="F14" s="55">
        <v>1</v>
      </c>
      <c r="G14" s="55">
        <v>1</v>
      </c>
      <c r="H14" s="55">
        <v>1</v>
      </c>
      <c r="I14" s="55">
        <v>49.33</v>
      </c>
      <c r="J14" s="55">
        <f t="shared" si="0"/>
        <v>49.33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215</v>
      </c>
      <c r="D15" s="27" t="s">
        <v>178</v>
      </c>
      <c r="E15" s="27" t="s">
        <v>180</v>
      </c>
      <c r="F15" s="55">
        <v>3</v>
      </c>
      <c r="G15" s="55">
        <v>3</v>
      </c>
      <c r="H15" s="55">
        <v>9</v>
      </c>
      <c r="I15" s="55">
        <v>0.97</v>
      </c>
      <c r="J15" s="55">
        <f t="shared" si="0"/>
        <v>8.73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216</v>
      </c>
      <c r="D16" s="27" t="s">
        <v>178</v>
      </c>
      <c r="E16" s="27" t="s">
        <v>180</v>
      </c>
      <c r="F16" s="55">
        <v>3</v>
      </c>
      <c r="G16" s="55">
        <v>7</v>
      </c>
      <c r="H16" s="55">
        <v>21</v>
      </c>
      <c r="I16" s="55">
        <v>1.93</v>
      </c>
      <c r="J16" s="55">
        <f t="shared" si="0"/>
        <v>40.53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210</v>
      </c>
      <c r="D17" s="27" t="s">
        <v>178</v>
      </c>
      <c r="E17" s="27" t="s">
        <v>180</v>
      </c>
      <c r="F17" s="55">
        <v>2</v>
      </c>
      <c r="G17" s="55">
        <v>7</v>
      </c>
      <c r="H17" s="55">
        <v>14</v>
      </c>
      <c r="I17" s="55">
        <v>11.72</v>
      </c>
      <c r="J17" s="55">
        <f t="shared" si="0"/>
        <v>164.08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187</v>
      </c>
      <c r="D18" s="27" t="s">
        <v>183</v>
      </c>
      <c r="E18" s="27" t="s">
        <v>190</v>
      </c>
      <c r="F18" s="55">
        <v>1</v>
      </c>
      <c r="G18" s="55">
        <v>1</v>
      </c>
      <c r="H18" s="55">
        <v>1</v>
      </c>
      <c r="I18" s="55">
        <v>20</v>
      </c>
      <c r="J18" s="55">
        <f t="shared" si="0"/>
        <v>20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188</v>
      </c>
      <c r="D19" s="27" t="s">
        <v>177</v>
      </c>
      <c r="E19" s="27" t="s">
        <v>191</v>
      </c>
      <c r="F19" s="55">
        <v>1</v>
      </c>
      <c r="G19" s="55">
        <v>1</v>
      </c>
      <c r="H19" s="55">
        <v>1</v>
      </c>
      <c r="I19" s="55">
        <v>21.31</v>
      </c>
      <c r="J19" s="55">
        <f t="shared" si="0"/>
        <v>21.31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189</v>
      </c>
      <c r="D20" s="27" t="s">
        <v>193</v>
      </c>
      <c r="E20" s="27" t="s">
        <v>192</v>
      </c>
      <c r="F20" s="55">
        <v>1</v>
      </c>
      <c r="G20" s="55">
        <v>1</v>
      </c>
      <c r="H20" s="55">
        <v>1</v>
      </c>
      <c r="I20" s="55">
        <v>21</v>
      </c>
      <c r="J20" s="55">
        <f t="shared" si="0"/>
        <v>21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198</v>
      </c>
      <c r="D21" s="27" t="s">
        <v>183</v>
      </c>
      <c r="E21" s="27" t="s">
        <v>199</v>
      </c>
      <c r="F21" s="55">
        <v>1</v>
      </c>
      <c r="G21" s="55">
        <v>1</v>
      </c>
      <c r="H21" s="55">
        <v>1</v>
      </c>
      <c r="I21" s="55">
        <v>365.07</v>
      </c>
      <c r="J21" s="55">
        <f t="shared" si="0"/>
        <v>365.07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25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8"/>
  <sheetViews>
    <sheetView topLeftCell="A10" workbookViewId="0">
      <selection activeCell="D33" sqref="D3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13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184</v>
      </c>
      <c r="D21" s="117" t="s">
        <v>164</v>
      </c>
      <c r="E21" s="116">
        <v>2</v>
      </c>
      <c r="F21" s="116">
        <v>7.8</v>
      </c>
      <c r="G21" s="116">
        <f>+E21*F21</f>
        <v>15.6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212</v>
      </c>
      <c r="D22" s="117" t="s">
        <v>213</v>
      </c>
      <c r="E22" s="116">
        <v>1</v>
      </c>
      <c r="F22" s="116">
        <v>100</v>
      </c>
      <c r="G22" s="116">
        <f t="shared" ref="G22:G33" si="0">+E22*F22</f>
        <v>100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171</v>
      </c>
      <c r="D23" s="117" t="s">
        <v>164</v>
      </c>
      <c r="E23" s="116">
        <v>2</v>
      </c>
      <c r="F23" s="116">
        <v>1.6</v>
      </c>
      <c r="G23" s="116">
        <f t="shared" si="0"/>
        <v>3.2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172</v>
      </c>
      <c r="D24" s="117" t="s">
        <v>164</v>
      </c>
      <c r="E24" s="116">
        <v>2</v>
      </c>
      <c r="F24" s="116">
        <v>5</v>
      </c>
      <c r="G24" s="116">
        <f t="shared" si="0"/>
        <v>10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219</v>
      </c>
      <c r="D25" s="117" t="s">
        <v>164</v>
      </c>
      <c r="E25" s="116">
        <v>1</v>
      </c>
      <c r="F25" s="116">
        <v>15.44</v>
      </c>
      <c r="G25" s="116">
        <f t="shared" si="0"/>
        <v>15.44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174</v>
      </c>
      <c r="D26" s="117" t="s">
        <v>164</v>
      </c>
      <c r="E26" s="116">
        <v>1</v>
      </c>
      <c r="F26" s="116">
        <v>3.25</v>
      </c>
      <c r="G26" s="116">
        <f t="shared" si="0"/>
        <v>3.25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175</v>
      </c>
      <c r="D27" s="117" t="s">
        <v>164</v>
      </c>
      <c r="E27" s="116">
        <v>1</v>
      </c>
      <c r="F27" s="116">
        <v>5</v>
      </c>
      <c r="G27" s="116">
        <f t="shared" si="0"/>
        <v>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169</v>
      </c>
      <c r="D28" s="117" t="s">
        <v>164</v>
      </c>
      <c r="E28" s="116">
        <v>1</v>
      </c>
      <c r="F28" s="116">
        <v>11.73</v>
      </c>
      <c r="G28" s="116">
        <f t="shared" si="0"/>
        <v>11.73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170</v>
      </c>
      <c r="D29" s="117" t="s">
        <v>164</v>
      </c>
      <c r="E29" s="116">
        <v>1</v>
      </c>
      <c r="F29" s="116">
        <v>1.6</v>
      </c>
      <c r="G29" s="116">
        <f t="shared" si="0"/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173</v>
      </c>
      <c r="D30" s="117" t="s">
        <v>164</v>
      </c>
      <c r="E30" s="116">
        <v>1</v>
      </c>
      <c r="F30" s="116">
        <v>2.77</v>
      </c>
      <c r="G30" s="116">
        <f t="shared" si="0"/>
        <v>2.77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220</v>
      </c>
      <c r="D31" s="117" t="s">
        <v>164</v>
      </c>
      <c r="E31" s="116">
        <v>1</v>
      </c>
      <c r="F31" s="116">
        <v>1.0900000000000001</v>
      </c>
      <c r="G31" s="116">
        <f t="shared" si="0"/>
        <v>1.0900000000000001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209</v>
      </c>
      <c r="D32" s="117" t="s">
        <v>164</v>
      </c>
      <c r="E32" s="116">
        <v>1</v>
      </c>
      <c r="F32" s="116">
        <v>1.27</v>
      </c>
      <c r="G32" s="116">
        <f t="shared" si="0"/>
        <v>1.27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13</v>
      </c>
      <c r="C33" s="27" t="s">
        <v>195</v>
      </c>
      <c r="D33" s="117" t="s">
        <v>164</v>
      </c>
      <c r="E33" s="116">
        <v>1</v>
      </c>
      <c r="F33" s="116">
        <v>20.97</v>
      </c>
      <c r="G33" s="116">
        <f t="shared" si="0"/>
        <v>20.97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139" t="s">
        <v>29</v>
      </c>
      <c r="C34" s="140"/>
      <c r="D34" s="140"/>
      <c r="E34" s="140"/>
      <c r="F34" s="140"/>
      <c r="G34" s="141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1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2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3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4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5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6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7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8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9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10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4:G3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34</xdr:row>
                    <xdr:rowOff>28575</xdr:rowOff>
                  </from>
                  <to>
                    <xdr:col>1</xdr:col>
                    <xdr:colOff>771525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34</xdr:row>
                    <xdr:rowOff>28575</xdr:rowOff>
                  </from>
                  <to>
                    <xdr:col>1</xdr:col>
                    <xdr:colOff>1543050</xdr:colOff>
                    <xdr:row>34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28" sqref="C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2018-06-04T06:58:53Z</dcterms:modified>
</cp:coreProperties>
</file>