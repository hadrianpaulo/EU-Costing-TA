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Supplies_Medical'!$C$15:$C$39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Drugs&amp;Med'!$B$2:$J$15</definedName>
  </definedNames>
  <calcPr calcId="144525"/>
  <fileRecoveryPr repairLoad="1"/>
</workbook>
</file>

<file path=xl/calcChain.xml><?xml version="1.0" encoding="utf-8"?>
<calcChain xmlns="http://schemas.openxmlformats.org/spreadsheetml/2006/main">
  <c r="G28" i="9" l="1"/>
  <c r="G27" i="9"/>
  <c r="G26" i="9"/>
  <c r="G25" i="9"/>
  <c r="G24" i="9"/>
  <c r="G23" i="9"/>
  <c r="G22" i="9"/>
  <c r="G21" i="9"/>
  <c r="J12" i="2" l="1"/>
  <c r="J13" i="2"/>
  <c r="J14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<sst xmlns="http://schemas.openxmlformats.org/spreadsheetml/2006/main" count="487" uniqueCount="194">
  <si>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</si>
  <si>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</si>
  <si>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</si>
  <si>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</si>
  <si>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</si>
  <si>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</si>
  <si>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</si>
  <si>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</si>
  <si>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</si>
  <si>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</si>
  <si>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</si>
  <si>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</si>
  <si>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</si>
  <si>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</si>
  <si>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</si>
  <si>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</si>
  <si>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</si>
  <si>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</si>
  <si>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</si>
  <si>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</si>
  <si>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</si>
  <si>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</si>
  <si>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</si>
  <si>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</si>
  <si>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</si>
  <si>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</si>
  <si>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</si>
  <si>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</si>
  <si>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</si>
  <si>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</si>
  <si>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</si>
  <si>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</si>
  <si>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</si>
  <si>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</si>
  <si>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</si>
  <si>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</si>
  <si>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</si>
  <si>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</si>
  <si>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</si>
  <si>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</si>
  <si>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</si>
  <si>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</si>
  <si>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</si>
  <si>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</si>
  <si>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</si>
  <si>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</si>
  <si>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</si>
  <si>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</si>
  <si>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</si>
  <si>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</si>
  <si>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</si>
  <si>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</si>
  <si>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</si>
  <si>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</si>
  <si>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</si>
  <si>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</si>
  <si>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</si>
  <si>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</si>
  <si>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</si>
  <si>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</si>
  <si>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</si>
  <si>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</si>
  <si>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</si>
  <si>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</si>
  <si>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</si>
  <si>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</si>
  <si>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</si>
  <si>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</si>
  <si>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</si>
  <si>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</si>
  <si>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</si>
  <si>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</si>
  <si>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</si>
  <si>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</si>
  <si>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</si>
  <si>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</si>
  <si>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</si>
  <si>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</si>
  <si>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</si>
  <si>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</si>
  <si>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</si>
  <si>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</si>
  <si>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</si>
  <si>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</si>
  <si>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</si>
  <si>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</si>
  <si>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</si>
  <si>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</si>
  <si>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</si>
  <si>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</si>
  <si>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</si>
  <si>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</si>
  <si>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</si>
  <si>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</si>
  <si>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</si>
  <si>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</si>
  <si>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</si>
  <si>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</si>
  <si>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</si>
  <si>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</si>
  <si>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</si>
  <si>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</si>
  <si>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</si>
  <si>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</si>
  <si>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</si>
  <si>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</si>
  <si>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</si>
  <si>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</si>
  <si>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</si>
  <si>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</si>
  <si>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</si>
  <si>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</si>
  <si>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</si>
  <si>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</si>
  <si>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</si>
  <si>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</si>
  <si>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</si>
  <si>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</si>
  <si>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</si>
  <si>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</si>
  <si>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</si>
  <si>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</si>
  <si>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</si>
  <si>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</si>
  <si>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</si>
  <si>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</si>
  <si>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</si>
  <si>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</si>
  <si>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</si>
  <si>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</si>
  <si>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</si>
  <si>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</si>
  <si>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</si>
  <si>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</si>
  <si>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</si>
  <si>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</si>
  <si>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</si>
  <si>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</si>
  <si>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</si>
  <si>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</si>
  <si>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</si>
  <si>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</si>
  <si>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</si>
  <si>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</si>
  <si>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</si>
  <si>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</si>
  <si>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</si>
  <si>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</si>
  <si>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</si>
  <si>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</si>
  <si>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</si>
  <si>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</si>
  <si>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</si>
  <si>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</si>
  <si>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</si>
  <si>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</si>
  <si>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</si>
  <si>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</si>
  <si>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</si>
  <si>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</si>
  <si>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</si>
  <si>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</si>
  <si>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</si>
  <si>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</si>
  <si>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</si>
  <si>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</si>
  <si>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</si>
  <si>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</si>
  <si>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CASE RATE</t>
  </si>
  <si>
    <t>PF CASE</t>
  </si>
  <si>
    <t>RAPID PLASMA REAGIN (RPR)</t>
  </si>
  <si>
    <t>BLOOD EXTRACTION FEE</t>
  </si>
  <si>
    <t>NBB</t>
  </si>
  <si>
    <t>MATERNITY PAD  X 8</t>
  </si>
  <si>
    <t>DISPOSABLE SYRINGE 1ML G 25, W/ NEEDLE X 100S (CPR NEEDED)</t>
  </si>
  <si>
    <t>DISPOSABLE SYRINGE 3ML G 23, W/ NEEDLE X 100S (CPR NEEDED)</t>
  </si>
  <si>
    <t>DISPOSABLE SYRINGE 5ML G 23, W/ NEEDLE X 100S</t>
  </si>
  <si>
    <t>PC</t>
  </si>
  <si>
    <t>ERYTHROMYCIN  EYE OINTMENT 0.5%, 3.5G</t>
  </si>
  <si>
    <t>PHYTOMENADIONE ( VITAMIN K ) 10MG/1ML</t>
  </si>
  <si>
    <t>TUBE</t>
  </si>
  <si>
    <t>VIAL</t>
  </si>
  <si>
    <t>CAPSULE</t>
  </si>
  <si>
    <t>3.5G</t>
  </si>
  <si>
    <t>10MG</t>
  </si>
  <si>
    <t>500MG</t>
  </si>
  <si>
    <t>CORD CLAMP (UMBILICAL) X 100S, STERILE</t>
  </si>
  <si>
    <t>MEFENAMIC ACID 500MG IN BLISTER FOIL PACK</t>
  </si>
  <si>
    <t>CEFALEXIN MONOHYDRATE 500MG IN BLISTER FOIL PACK</t>
  </si>
  <si>
    <t>MEDICAL GLOVES W/ CUFF, STERILE LATEX, NATURAL RUBBER: BOX OF 50'S  WARD USE SIZE 6 1/2</t>
  </si>
  <si>
    <t>DISPOSABLE INSULIN SYRINGE 1CC G 30 0.3 X 8MM BOX OF 100'S ( SHORT NEEDLE ULTRAFINE ) (CPR NEEDED)</t>
  </si>
  <si>
    <t>CATGUT 2-0 ABSORBABLE SURGICAL SUTURE AT LEAST 75CM,  WITH AT LEAST 35-37MM X ½ CIRCLE ROUND TAPER NEEDLE</t>
  </si>
  <si>
    <t>PAIR</t>
  </si>
  <si>
    <t>361707/74638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</si>
</sst>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28575</xdr:rowOff>
        </xdr:from>
        <xdr:to>
          <xdr:col>1</xdr:col>
          <xdr:colOff>771525</xdr:colOff>
          <xdr:row>29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29</xdr:row>
          <xdr:rowOff>28575</xdr:rowOff>
        </xdr:from>
        <xdr:to>
          <xdr:col>1</xdr:col>
          <xdr:colOff>1543050</xdr:colOff>
          <xdr:row>29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="115" zoomScaleNormal="115" workbookViewId="0">
      <selection activeCell="B36" sqref="B36:F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164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170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1" t="s">
        <v>19</v>
      </c>
      <c r="C36" s="122"/>
      <c r="D36" s="119"/>
      <c r="E36" s="122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5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43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52</v>
      </c>
      <c r="C43" s="119"/>
      <c r="D43" s="119"/>
      <c r="E43" s="119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20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168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169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/>
      <c r="E60" s="55">
        <v>372.83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372.83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32:F32"/>
    <mergeCell ref="B27:F27"/>
    <mergeCell ref="B36:F36"/>
    <mergeCell ref="B43:F43"/>
  </mergeCells>
  <dataValidations count="1">
    <dataValidation type="decimal" operator="greaterThanOrEqual" allowBlank="1" showInputMessage="1" showErrorMessage="1" sqref="E31 E37:E40 E42 E22:F26 E44:F47 E49:F54 E33:E35 D58:F67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topLeftCell="B1" workbookViewId="0">
      <selection activeCell="F15" sqref="F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181</v>
      </c>
      <c r="E11" s="27" t="s">
        <v>184</v>
      </c>
      <c r="F11" s="55">
        <v>1</v>
      </c>
      <c r="G11" s="55">
        <v>1</v>
      </c>
      <c r="H11" s="55">
        <v>1</v>
      </c>
      <c r="I11" s="55">
        <v>21.31</v>
      </c>
      <c r="J11" s="55">
        <f>H11*I11</f>
        <v>21.31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180</v>
      </c>
      <c r="E12" s="27" t="s">
        <v>183</v>
      </c>
      <c r="F12" s="55">
        <v>1</v>
      </c>
      <c r="G12" s="55">
        <v>1</v>
      </c>
      <c r="H12" s="55">
        <v>1</v>
      </c>
      <c r="I12" s="55">
        <v>21</v>
      </c>
      <c r="J12" s="55">
        <f t="shared" ref="J12:J14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182</v>
      </c>
      <c r="E13" s="27" t="s">
        <v>185</v>
      </c>
      <c r="F13" s="55">
        <v>3</v>
      </c>
      <c r="G13" s="55">
        <v>3</v>
      </c>
      <c r="H13" s="55">
        <v>9</v>
      </c>
      <c r="I13" s="55">
        <v>0.97</v>
      </c>
      <c r="J13" s="55">
        <f t="shared" si="0"/>
        <v>8.73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182</v>
      </c>
      <c r="E14" s="27" t="s">
        <v>185</v>
      </c>
      <c r="F14" s="55">
        <v>3</v>
      </c>
      <c r="G14" s="55">
        <v>7</v>
      </c>
      <c r="H14" s="55">
        <v>21</v>
      </c>
      <c r="I14" s="55">
        <v>2.87</v>
      </c>
      <c r="J14" s="55">
        <f t="shared" si="0"/>
        <v>60.27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3"/>
  <sheetViews>
    <sheetView topLeftCell="A10" workbookViewId="0">
      <selection activeCell="B29" sqref="B29:G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173</v>
      </c>
      <c r="D21" s="117" t="s">
        <v>177</v>
      </c>
      <c r="E21" s="116">
        <v>2</v>
      </c>
      <c r="F21" s="116">
        <v>250</v>
      </c>
      <c r="G21" s="116">
        <f>+E21*F21</f>
        <v>500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186</v>
      </c>
      <c r="D22" s="117" t="s">
        <v>177</v>
      </c>
      <c r="E22" s="116">
        <v>1</v>
      </c>
      <c r="F22" s="116">
        <v>3.25</v>
      </c>
      <c r="G22" s="116">
        <f t="shared" ref="G22:G28" si="0">+E22*F22</f>
        <v>3.25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191</v>
      </c>
      <c r="D23" s="117" t="s">
        <v>177</v>
      </c>
      <c r="E23" s="116">
        <v>2</v>
      </c>
      <c r="F23" s="116">
        <v>118.67</v>
      </c>
      <c r="G23" s="116">
        <f t="shared" si="0"/>
        <v>237.34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190</v>
      </c>
      <c r="D24" s="117" t="s">
        <v>177</v>
      </c>
      <c r="E24" s="116">
        <v>1</v>
      </c>
      <c r="F24" s="116">
        <v>11.73</v>
      </c>
      <c r="G24" s="116">
        <f t="shared" si="0"/>
        <v>11.73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174</v>
      </c>
      <c r="D25" s="117" t="s">
        <v>177</v>
      </c>
      <c r="E25" s="116">
        <v>1</v>
      </c>
      <c r="F25" s="116">
        <v>1.6</v>
      </c>
      <c r="G25" s="116">
        <f t="shared" si="0"/>
        <v>1.6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175</v>
      </c>
      <c r="D26" s="117" t="s">
        <v>177</v>
      </c>
      <c r="E26" s="116">
        <v>1</v>
      </c>
      <c r="F26" s="116">
        <v>1.6</v>
      </c>
      <c r="G26" s="116">
        <f t="shared" si="0"/>
        <v>1.6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176</v>
      </c>
      <c r="D27" s="117" t="s">
        <v>177</v>
      </c>
      <c r="E27" s="116">
        <v>1</v>
      </c>
      <c r="F27" s="116">
        <v>5</v>
      </c>
      <c r="G27" s="116">
        <f t="shared" si="0"/>
        <v>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189</v>
      </c>
      <c r="D28" s="117" t="s">
        <v>192</v>
      </c>
      <c r="E28" s="116">
        <v>3</v>
      </c>
      <c r="F28" s="116">
        <v>12</v>
      </c>
      <c r="G28" s="116">
        <f t="shared" si="0"/>
        <v>36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139" t="s">
        <v>29</v>
      </c>
      <c r="C29" s="140"/>
      <c r="D29" s="140"/>
      <c r="E29" s="140"/>
      <c r="F29" s="140"/>
      <c r="G29" s="141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2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3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4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5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6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7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8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9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10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A40" s="44"/>
      <c r="B40" s="39"/>
      <c r="C40" s="44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A41" s="44"/>
      <c r="B41" s="39"/>
      <c r="C41" s="44"/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5.75" customHeight="1" x14ac:dyDescent="0.25"/>
    <row r="43" spans="1:16" ht="15.75" customHeight="1" x14ac:dyDescent="0.25"/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29:G2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3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29</xdr:row>
                    <xdr:rowOff>28575</xdr:rowOff>
                  </from>
                  <to>
                    <xdr:col>1</xdr:col>
                    <xdr:colOff>771525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29</xdr:row>
                    <xdr:rowOff>28575</xdr:rowOff>
                  </from>
                  <to>
                    <xdr:col>1</xdr:col>
                    <xdr:colOff>1543050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2018-06-04T08:54:29Z</dcterms:modified>
</cp:coreProperties>
</file>