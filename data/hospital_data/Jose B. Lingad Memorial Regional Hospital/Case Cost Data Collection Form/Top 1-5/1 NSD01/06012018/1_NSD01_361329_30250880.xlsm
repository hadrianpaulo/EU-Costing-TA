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Drugs&amp;Med'!$C$11:$C$15</definedName>
    <definedName name="_xlnm.Print_Area" localSheetId="0">'1.1 Case data_general'!$B$1:$F$68</definedName>
    <definedName name="_xlnm.Print_Area" localSheetId="1">'1.2 Drugs&amp;Med'!$B$2:$J$18</definedName>
  </definedNames>
  <calcPr calcId="144525"/>
  <fileRecoveryPr repairLoad="1"/>
</workbook>
</file>

<file path=xl/calcChain.xml><?xml version="1.0" encoding="utf-8"?>
<calcChain xmlns="http://schemas.openxmlformats.org/spreadsheetml/2006/main">
  <c r="G32" i="9" l="1"/>
  <c r="G31" i="9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<sst xmlns="http://schemas.openxmlformats.org/spreadsheetml/2006/main" count="503" uniqueCount="206">
  <si>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</si>
  <si>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</si>
  <si>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</si>
  <si>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</si>
  <si>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</si>
  <si>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</si>
  <si>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</si>
  <si>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</si>
  <si>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</si>
  <si>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</si>
  <si>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</si>
  <si>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</si>
  <si>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</si>
  <si>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</si>
  <si>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</si>
  <si>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</si>
  <si>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</si>
  <si>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</si>
  <si>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</si>
  <si>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</si>
  <si>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</si>
  <si>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</si>
  <si>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</si>
  <si>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</si>
  <si>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</si>
  <si>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</si>
  <si>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</si>
  <si>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</si>
  <si>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</si>
  <si>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</si>
  <si>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</si>
  <si>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</si>
  <si>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</si>
  <si>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</si>
  <si>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</si>
  <si>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</si>
  <si>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</si>
  <si>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</si>
  <si>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</si>
  <si>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</si>
  <si>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</si>
  <si>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</si>
  <si>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</si>
  <si>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</si>
  <si>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</si>
  <si>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</si>
  <si>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</si>
  <si>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</si>
  <si>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</si>
  <si>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</si>
  <si>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</si>
  <si>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</si>
  <si>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</si>
  <si>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</si>
  <si>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</si>
  <si>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</si>
  <si>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</si>
  <si>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</si>
  <si>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</si>
  <si>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</si>
  <si>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</si>
  <si>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</si>
  <si>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</si>
  <si>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</si>
  <si>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</si>
  <si>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</si>
  <si>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</si>
  <si>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</si>
  <si>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</si>
  <si>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</si>
  <si>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</si>
  <si>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</si>
  <si>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</si>
  <si>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</si>
  <si>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</si>
  <si>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</si>
  <si>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</si>
  <si>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</si>
  <si>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</si>
  <si>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</si>
  <si>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</si>
  <si>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</si>
  <si>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</si>
  <si>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</si>
  <si>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</si>
  <si>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</si>
  <si>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</si>
  <si>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</si>
  <si>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</si>
  <si>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</si>
  <si>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</si>
  <si>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</si>
  <si>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</si>
  <si>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</si>
  <si>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</si>
  <si>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</si>
  <si>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</si>
  <si>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</si>
  <si>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</si>
  <si>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</si>
  <si>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</si>
  <si>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</si>
  <si>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</si>
  <si>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</si>
  <si>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</si>
  <si>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</si>
  <si>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</si>
  <si>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</si>
  <si>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</si>
  <si>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</si>
  <si>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</si>
  <si>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</si>
  <si>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</si>
  <si>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</si>
  <si>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</si>
  <si>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</si>
  <si>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</si>
  <si>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</si>
  <si>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</si>
  <si>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</si>
  <si>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</si>
  <si>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</si>
  <si>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</si>
  <si>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</si>
  <si>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</si>
  <si>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</si>
  <si>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</si>
  <si>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</si>
  <si>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</si>
  <si>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</si>
  <si>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</si>
  <si>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</si>
  <si>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</si>
  <si>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</si>
  <si>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</si>
  <si>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</si>
  <si>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</si>
  <si>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</si>
  <si>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</si>
  <si>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</si>
  <si>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</si>
  <si>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</si>
  <si>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</si>
  <si>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</si>
  <si>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</si>
  <si>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</si>
  <si>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</si>
  <si>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</si>
  <si>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</si>
  <si>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</si>
  <si>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</si>
  <si>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</si>
  <si>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</si>
  <si>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</si>
  <si>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</si>
  <si>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</si>
  <si>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</si>
  <si>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</si>
  <si>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</si>
  <si>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</si>
  <si>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</si>
  <si>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</si>
  <si>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</si>
  <si>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</si>
  <si>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</si>
  <si>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</si>
  <si>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</si>
  <si>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</si>
  <si>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CASE RATE</t>
  </si>
  <si>
    <t>PF CASE</t>
  </si>
  <si>
    <t>RAPID PLASMA REAGIN (RPR)</t>
  </si>
  <si>
    <t>NBB</t>
  </si>
  <si>
    <t>IV SET W/ AIRWAY FOR IV PUSH, VACOSET/MACRODRIP, ADULT</t>
  </si>
  <si>
    <t>IV CATHETER GAUGE 18</t>
  </si>
  <si>
    <t>MATERNITY PAD  X 8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</si>
  <si>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</si>
  <si>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</si>
  <si>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</si>
  <si>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</si>
  <si>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SET</t>
  </si>
  <si>
    <t>PC</t>
  </si>
  <si>
    <t>(D5LRS 1L) 5% DEXTROSE IN LACTATED RINGERS SOLUTION 1000ML (D5 LRS) X 12S</t>
  </si>
  <si>
    <t>ERYTHROMYCIN  EYE OINTMENT 0.5%, 3.5G</t>
  </si>
  <si>
    <t>PHYTOMENADIONE ( VITAMIN K ) 10MG/1ML</t>
  </si>
  <si>
    <t>FERROUS SULFATE + FOLIC ACID 200MG./400MCG (DONATION)</t>
  </si>
  <si>
    <t>FLUID</t>
  </si>
  <si>
    <t>TUBE</t>
  </si>
  <si>
    <t>VIAL</t>
  </si>
  <si>
    <t>CAPSULE</t>
  </si>
  <si>
    <t>1L</t>
  </si>
  <si>
    <t>3.5G</t>
  </si>
  <si>
    <t>10MG</t>
  </si>
  <si>
    <t>500MG</t>
  </si>
  <si>
    <t>200MG</t>
  </si>
  <si>
    <t>CORD CLAMP (UMBILICAL) X 100S, STERILE</t>
  </si>
  <si>
    <t>NEONATE WRIST TAG (ID BRACELET)X 100 (PINK/BLUE)</t>
  </si>
  <si>
    <t>OXYTOCIN MALEATE 10MCG INJECTION 10 UNITS/ML-1ML</t>
  </si>
  <si>
    <t>MEFENAMIC ACID 500MG IN BLISTER FOIL PACK</t>
  </si>
  <si>
    <t>AMPULE</t>
  </si>
  <si>
    <t>10MCG</t>
  </si>
  <si>
    <t>361329/74515</t>
  </si>
  <si>
    <t>MEDICAL GLOVES W/ CUFF, STERILE LATEX, NATURAL RUBBER: BOX OF 50'S  WARD USE SIZE 6 1/2</t>
  </si>
  <si>
    <t>DISPOSABLE INSULIN SYRINGE 1CC G 30 0.3 X 8MM BOX OF 100'S ( SHORT NEEDLE ULTRAFINE ) (CPR NEEDED)</t>
  </si>
  <si>
    <t>CATGUT 2-0 ABSORBABLE SURGICAL SUTURE AT LEAST 75CM,  WITH AT LEAST 35-37MM X ½ CIRCLE ROUND TAPER NEEDLE</t>
  </si>
  <si>
    <t>PAIR</t>
  </si>
  <si>
    <t>CALCIUM CARBONATE 500MG BLISTER/FOIL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</si>
</sst>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="115" zoomScaleNormal="115" workbookViewId="0">
      <selection activeCell="B35" sqref="B35:F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170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5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168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169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171</v>
      </c>
      <c r="D59" s="55"/>
      <c r="E59" s="55">
        <v>607.37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607.37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topLeftCell="B1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185</v>
      </c>
      <c r="E11" s="27" t="s">
        <v>189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198</v>
      </c>
      <c r="E12" s="27" t="s">
        <v>199</v>
      </c>
      <c r="F12" s="55">
        <v>3</v>
      </c>
      <c r="G12" s="55">
        <v>2</v>
      </c>
      <c r="H12" s="55">
        <v>5</v>
      </c>
      <c r="I12" s="55">
        <v>8.52</v>
      </c>
      <c r="J12" s="55">
        <f t="shared" ref="J12:J17" si="0">H12*I12</f>
        <v>42.599999999999994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186</v>
      </c>
      <c r="E13" s="27" t="s">
        <v>190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187</v>
      </c>
      <c r="E14" s="27" t="s">
        <v>191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188</v>
      </c>
      <c r="E15" s="27" t="s">
        <v>192</v>
      </c>
      <c r="F15" s="55">
        <v>3</v>
      </c>
      <c r="G15" s="55">
        <v>3</v>
      </c>
      <c r="H15" s="55">
        <v>9</v>
      </c>
      <c r="I15" s="55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188</v>
      </c>
      <c r="E16" s="27" t="s">
        <v>193</v>
      </c>
      <c r="F16" s="55">
        <v>1</v>
      </c>
      <c r="G16" s="55">
        <v>100</v>
      </c>
      <c r="H16" s="55">
        <v>100</v>
      </c>
      <c r="I16" s="55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205</v>
      </c>
      <c r="D17" s="27" t="s">
        <v>188</v>
      </c>
      <c r="E17" s="27" t="s">
        <v>192</v>
      </c>
      <c r="F17" s="55">
        <v>3</v>
      </c>
      <c r="G17" s="55">
        <v>10</v>
      </c>
      <c r="H17" s="55">
        <v>30</v>
      </c>
      <c r="I17" s="55">
        <v>1.83</v>
      </c>
      <c r="J17" s="55">
        <f t="shared" si="0"/>
        <v>54.900000000000006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topLeftCell="A10" workbookViewId="0">
      <selection activeCell="D28" sqref="D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173</v>
      </c>
      <c r="D21" s="117" t="s">
        <v>180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172</v>
      </c>
      <c r="D22" s="117" t="s">
        <v>179</v>
      </c>
      <c r="E22" s="116">
        <v>1</v>
      </c>
      <c r="F22" s="116">
        <v>14</v>
      </c>
      <c r="G22" s="116">
        <f t="shared" ref="G22:G32" si="0">+E22*F22</f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178</v>
      </c>
      <c r="D23" s="117" t="s">
        <v>180</v>
      </c>
      <c r="E23" s="116">
        <v>5</v>
      </c>
      <c r="F23" s="116">
        <v>2.77</v>
      </c>
      <c r="G23" s="116">
        <f t="shared" si="0"/>
        <v>13.85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174</v>
      </c>
      <c r="D24" s="117" t="s">
        <v>180</v>
      </c>
      <c r="E24" s="116">
        <v>2</v>
      </c>
      <c r="F24" s="116">
        <v>250</v>
      </c>
      <c r="G24" s="116">
        <f t="shared" si="0"/>
        <v>500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194</v>
      </c>
      <c r="D25" s="117" t="s">
        <v>180</v>
      </c>
      <c r="E25" s="116">
        <v>1</v>
      </c>
      <c r="F25" s="116">
        <v>3.25</v>
      </c>
      <c r="G25" s="116">
        <f t="shared" si="0"/>
        <v>3.25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195</v>
      </c>
      <c r="D26" s="117" t="s">
        <v>180</v>
      </c>
      <c r="E26" s="116">
        <v>1</v>
      </c>
      <c r="F26" s="116">
        <v>5</v>
      </c>
      <c r="G26" s="116">
        <f t="shared" si="0"/>
        <v>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201</v>
      </c>
      <c r="D27" s="117" t="s">
        <v>204</v>
      </c>
      <c r="E27" s="116">
        <v>3</v>
      </c>
      <c r="F27" s="116">
        <v>12</v>
      </c>
      <c r="G27" s="116">
        <f t="shared" si="0"/>
        <v>36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202</v>
      </c>
      <c r="D28" s="117" t="s">
        <v>180</v>
      </c>
      <c r="E28" s="116">
        <v>1</v>
      </c>
      <c r="F28" s="116">
        <v>11.73</v>
      </c>
      <c r="G28" s="116">
        <f t="shared" si="0"/>
        <v>11.73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175</v>
      </c>
      <c r="D29" s="117" t="s">
        <v>180</v>
      </c>
      <c r="E29" s="116">
        <v>1</v>
      </c>
      <c r="F29" s="116">
        <v>1.6</v>
      </c>
      <c r="G29" s="116">
        <f t="shared" si="0"/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176</v>
      </c>
      <c r="D30" s="117" t="s">
        <v>180</v>
      </c>
      <c r="E30" s="116">
        <v>1</v>
      </c>
      <c r="F30" s="116">
        <v>1.6</v>
      </c>
      <c r="G30" s="116">
        <f t="shared" si="0"/>
        <v>1.6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177</v>
      </c>
      <c r="D31" s="117" t="s">
        <v>180</v>
      </c>
      <c r="E31" s="116">
        <v>1</v>
      </c>
      <c r="F31" s="116">
        <v>5</v>
      </c>
      <c r="G31" s="116">
        <f t="shared" si="0"/>
        <v>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203</v>
      </c>
      <c r="D32" s="117" t="s">
        <v>180</v>
      </c>
      <c r="E32" s="116">
        <v>2</v>
      </c>
      <c r="F32" s="116">
        <v>118.67</v>
      </c>
      <c r="G32" s="116">
        <f t="shared" si="0"/>
        <v>237.34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9" t="s">
        <v>29</v>
      </c>
      <c r="C33" s="140"/>
      <c r="D33" s="140"/>
      <c r="E33" s="140"/>
      <c r="F33" s="140"/>
      <c r="G33" s="141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2018-06-04T08:44:13Z</dcterms:modified>
</cp:coreProperties>
</file>