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Drugs&amp;Med'!$C$11:$C$15</definedName>
    <definedName name="_xlnm.Print_Area" localSheetId="0">'1.1 Case data_general'!$B$1:$F$84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G36" i="9" l="1"/>
  <c r="G35" i="9"/>
  <c r="G34" i="9"/>
  <c r="G33" i="9"/>
  <c r="G32" i="9" l="1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4" i="1"/>
  <c r="E84" i="1"/>
  <c r="D8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<sst xmlns="http://schemas.openxmlformats.org/spreadsheetml/2006/main" count="534" uniqueCount="231">
  <si>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</si>
  <si>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</si>
  <si>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</si>
  <si>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</si>
  <si>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</si>
  <si>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</si>
  <si>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</si>
  <si>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</si>
  <si>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</si>
  <si>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</si>
  <si>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</si>
  <si>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</si>
  <si>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</si>
  <si>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</si>
  <si>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</si>
  <si>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</si>
  <si>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</si>
  <si>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</si>
  <si>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</si>
  <si>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</si>
  <si>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</si>
  <si>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</si>
  <si>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</si>
  <si>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</si>
  <si>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</si>
  <si>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</si>
  <si>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</si>
  <si>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</si>
  <si>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</si>
  <si>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</si>
  <si>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</si>
  <si>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</si>
  <si>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</si>
  <si>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</si>
  <si>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</si>
  <si>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</si>
  <si>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</si>
  <si>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</si>
  <si>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</si>
  <si>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</si>
  <si>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</si>
  <si>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</si>
  <si>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</si>
  <si>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</si>
  <si>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</si>
  <si>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</si>
  <si>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</si>
  <si>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</si>
  <si>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</si>
  <si>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</si>
  <si>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</si>
  <si>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</si>
  <si>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</si>
  <si>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</si>
  <si>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</si>
  <si>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</si>
  <si>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</si>
  <si>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</si>
  <si>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</si>
  <si>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</si>
  <si>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</si>
  <si>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</si>
  <si>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</si>
  <si>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</si>
  <si>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</si>
  <si>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</si>
  <si>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</si>
  <si>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</si>
  <si>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</si>
  <si>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</si>
  <si>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</si>
  <si>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</si>
  <si>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</si>
  <si>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</si>
  <si>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</si>
  <si>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</si>
  <si>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</si>
  <si>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</si>
  <si>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</si>
  <si>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</si>
  <si>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</si>
  <si>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</si>
  <si>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</si>
  <si>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</si>
  <si>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</si>
  <si>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</si>
  <si>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</si>
  <si>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</si>
  <si>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</si>
  <si>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</si>
  <si>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</si>
  <si>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</si>
  <si>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</si>
  <si>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</si>
  <si>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</si>
  <si>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</si>
  <si>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</si>
  <si>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</si>
  <si>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</si>
  <si>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</si>
  <si>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</si>
  <si>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</si>
  <si>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</si>
  <si>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</si>
  <si>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</si>
  <si>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</si>
  <si>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</si>
  <si>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</si>
  <si>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</si>
  <si>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</si>
  <si>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</si>
  <si>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</si>
  <si>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</si>
  <si>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</si>
  <si>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</si>
  <si>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</si>
  <si>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</si>
  <si>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</si>
  <si>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</si>
  <si>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</si>
  <si>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</si>
  <si>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</si>
  <si>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</si>
  <si>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</si>
  <si>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</si>
  <si>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</si>
  <si>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</si>
  <si>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</si>
  <si>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</si>
  <si>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</si>
  <si>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</si>
  <si>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</si>
  <si>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</si>
  <si>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</si>
  <si>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</si>
  <si>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</si>
  <si>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</si>
  <si>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</si>
  <si>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</si>
  <si>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</si>
  <si>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</si>
  <si>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</si>
  <si>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</si>
  <si>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</si>
  <si>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</si>
  <si>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</si>
  <si>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</si>
  <si>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</si>
  <si>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</si>
  <si>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</si>
  <si>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</si>
  <si>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</si>
  <si>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</si>
  <si>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</si>
  <si>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</si>
  <si>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</si>
  <si>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</si>
  <si>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</si>
  <si>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</si>
  <si>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</si>
  <si>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</si>
  <si>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</si>
  <si>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</si>
  <si>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</si>
  <si>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</si>
  <si>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</si>
  <si>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</si>
  <si>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</si>
  <si>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</si>
  <si>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</si>
  <si>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</si>
  <si>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</si>
  <si>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</si>
  <si>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</si>
  <si>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</si>
  <si>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</si>
  <si>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</si>
  <si>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</si>
  <si>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</si>
  <si>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</si>
  <si>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</si>
  <si>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</si>
  <si>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</si>
  <si>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</si>
  <si>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</si>
  <si>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</si>
  <si>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AMPULE</t>
  </si>
  <si>
    <t>MATERNITY PAD  X 8</t>
  </si>
  <si>
    <t>PHYTOMENADIONE ( VITAMIN K ) 10MG/1ML</t>
  </si>
  <si>
    <t>ERYTHROMYCIN  EYE OINTMENT 0.5%, 3.5G</t>
  </si>
  <si>
    <t>10MG</t>
  </si>
  <si>
    <t>3.5G</t>
  </si>
  <si>
    <t>TUBE</t>
  </si>
  <si>
    <t>FLUID</t>
  </si>
  <si>
    <t>ADULT DIAPER WITH HIGH LIQUID ABSORBENCY</t>
  </si>
  <si>
    <t>IV CATHETER GAUGE 18</t>
  </si>
  <si>
    <t>IV SET W/ AIRWAY FOR IV PUSH, VACOSET/MACRODRIP, ADULT</t>
  </si>
  <si>
    <t>RAPID PLASMA REAGIN (RPR)</t>
  </si>
  <si>
    <t>BLOOD EXTRACTION FEE</t>
  </si>
  <si>
    <t>CARBOPROST 250MCG/ML-1ML</t>
  </si>
  <si>
    <t>250MCG</t>
  </si>
  <si>
    <t>360581/74242</t>
  </si>
  <si>
    <t>O14.1</t>
  </si>
  <si>
    <t>O70.0</t>
  </si>
  <si>
    <t>PAID BY PATIENT</t>
  </si>
  <si>
    <t>CHEST PA ADULT</t>
  </si>
  <si>
    <t>SGPT</t>
  </si>
  <si>
    <t>NA (SODIUM)</t>
  </si>
  <si>
    <t>SGOT</t>
  </si>
  <si>
    <t>CREATININE (CREA)</t>
  </si>
  <si>
    <t>K (POTASSIUM)</t>
  </si>
  <si>
    <t>LDH</t>
  </si>
  <si>
    <t>CL (CHLORIDE)</t>
  </si>
  <si>
    <t>BLOOD UREA NITROGEN (BUN)</t>
  </si>
  <si>
    <t>RANDOM BLOOD SUGAR (RBS)</t>
  </si>
  <si>
    <t>IONIZED CALCIUM (ICA)</t>
  </si>
  <si>
    <t>PT (PROTIME)</t>
  </si>
  <si>
    <t>MG (MAGNESIUM)</t>
  </si>
  <si>
    <t>URINALYSIS (UA)</t>
  </si>
  <si>
    <t>FOLEY CATHETER FR 14, 2 WAY, BOX OF 20</t>
  </si>
  <si>
    <t>URINE BAG, ADULT W/ DRAINAGE TUBE 2,000 ML</t>
  </si>
  <si>
    <t>FUROSEMIDE 20MG</t>
  </si>
  <si>
    <t>DISPOSABLE HEAD CAP X 100S GARTERIZED</t>
  </si>
  <si>
    <t>MEDICAL GLOVES W/ CUFF, STERILE LATEX, NATURAL RUBBER: BOX OF 50'S  WARD USE SIZE 6 1/2</t>
  </si>
  <si>
    <t>PAIR</t>
  </si>
  <si>
    <t>HYDRALAZINE HCI 20MG/ML-1ML</t>
  </si>
  <si>
    <t>DEXAMETHASONE SODIUM PHOSPHATE 4MG/ML-2ML</t>
  </si>
  <si>
    <t>NIFEDIPINE HCL 10MG BLISTER/FOIL PACK</t>
  </si>
  <si>
    <t>CEFUROXIME 500MG IN BLISTER FOIL PACK</t>
  </si>
  <si>
    <t>20MG</t>
  </si>
  <si>
    <t>4MG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</si>
</sst>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733425</xdr:colOff>
          <xdr:row>23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1504950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733425</xdr:colOff>
          <xdr:row>34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1504950</xdr:colOff>
          <xdr:row>34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19050</xdr:rowOff>
        </xdr:from>
        <xdr:to>
          <xdr:col>1</xdr:col>
          <xdr:colOff>733425</xdr:colOff>
          <xdr:row>72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72</xdr:row>
          <xdr:rowOff>19050</xdr:rowOff>
        </xdr:from>
        <xdr:to>
          <xdr:col>1</xdr:col>
          <xdr:colOff>1504950</xdr:colOff>
          <xdr:row>72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1"/>
  <sheetViews>
    <sheetView tabSelected="1" zoomScale="115" zoomScaleNormal="115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202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203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8" t="s">
        <v>51</v>
      </c>
      <c r="C23" s="119"/>
      <c r="D23" s="119"/>
      <c r="E23" s="119"/>
      <c r="F23" s="12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1</v>
      </c>
      <c r="C24" s="27" t="s">
        <v>165</v>
      </c>
      <c r="D24" s="29" t="s">
        <v>163</v>
      </c>
      <c r="E24" s="55">
        <v>1</v>
      </c>
      <c r="F24" s="55">
        <v>1.5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2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3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4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5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21" t="s">
        <v>42</v>
      </c>
      <c r="C29" s="122"/>
      <c r="D29" s="122"/>
      <c r="E29" s="122"/>
      <c r="F29" s="13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3" t="s">
        <v>162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159</v>
      </c>
      <c r="C31" s="114" t="s">
        <v>123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160</v>
      </c>
      <c r="C32" s="114" t="s">
        <v>140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6">
        <v>5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18" t="s">
        <v>18</v>
      </c>
      <c r="C34" s="119"/>
      <c r="D34" s="119"/>
      <c r="E34" s="119"/>
      <c r="F34" s="120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1</v>
      </c>
      <c r="C35" s="57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2</v>
      </c>
      <c r="C36" s="57" t="s">
        <v>206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3</v>
      </c>
      <c r="C37" s="57" t="s">
        <v>207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4</v>
      </c>
      <c r="C38" s="57" t="s">
        <v>208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5</v>
      </c>
      <c r="C39" s="57" t="s">
        <v>209</v>
      </c>
      <c r="D39" s="23"/>
      <c r="E39" s="55">
        <v>3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6</v>
      </c>
      <c r="C40" s="57" t="s">
        <v>210</v>
      </c>
      <c r="D40" s="23"/>
      <c r="E40" s="55">
        <v>2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7</v>
      </c>
      <c r="C41" s="57" t="s">
        <v>211</v>
      </c>
      <c r="D41" s="23"/>
      <c r="E41" s="55">
        <v>2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8</v>
      </c>
      <c r="C42" s="57" t="s">
        <v>212</v>
      </c>
      <c r="D42" s="23"/>
      <c r="E42" s="55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9</v>
      </c>
      <c r="C43" s="57" t="s">
        <v>213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10</v>
      </c>
      <c r="C44" s="57" t="s">
        <v>197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11</v>
      </c>
      <c r="C45" s="57" t="s">
        <v>214</v>
      </c>
      <c r="D45" s="23"/>
      <c r="E45" s="55">
        <v>2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12</v>
      </c>
      <c r="C46" s="57" t="s">
        <v>215</v>
      </c>
      <c r="D46" s="23"/>
      <c r="E46" s="55">
        <v>2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13</v>
      </c>
      <c r="C47" s="57" t="s">
        <v>216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14</v>
      </c>
      <c r="C48" s="57" t="s">
        <v>217</v>
      </c>
      <c r="D48" s="23"/>
      <c r="E48" s="55">
        <v>2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15</v>
      </c>
      <c r="C49" s="57" t="s">
        <v>218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16</v>
      </c>
      <c r="C50" s="57" t="s">
        <v>198</v>
      </c>
      <c r="D50" s="23"/>
      <c r="E50" s="55">
        <v>3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21" t="s">
        <v>19</v>
      </c>
      <c r="C51" s="122"/>
      <c r="D51" s="119"/>
      <c r="E51" s="122"/>
      <c r="F51" s="120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57" t="s">
        <v>205</v>
      </c>
      <c r="D52" s="23"/>
      <c r="E52" s="55">
        <v>1</v>
      </c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3"/>
      <c r="E53" s="55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3"/>
      <c r="E54" s="55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3"/>
      <c r="E55" s="55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21" t="s">
        <v>43</v>
      </c>
      <c r="C56" s="122"/>
      <c r="D56" s="119"/>
      <c r="E56" s="122"/>
      <c r="F56" s="120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4" t="s">
        <v>44</v>
      </c>
      <c r="C57" s="13"/>
      <c r="D57" s="13"/>
      <c r="E57" s="16"/>
      <c r="F57" s="13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8" t="s">
        <v>52</v>
      </c>
      <c r="C58" s="119"/>
      <c r="D58" s="119"/>
      <c r="E58" s="119"/>
      <c r="F58" s="120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30">
        <v>1</v>
      </c>
      <c r="C59" s="31"/>
      <c r="D59" s="32"/>
      <c r="E59" s="57"/>
      <c r="F59" s="5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20"/>
      <c r="B60" s="30">
        <v>2</v>
      </c>
      <c r="C60" s="31"/>
      <c r="D60" s="32"/>
      <c r="E60" s="57"/>
      <c r="F60" s="57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20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20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thickBot="1" x14ac:dyDescent="0.35">
      <c r="A63" s="1"/>
      <c r="B63" s="118" t="s">
        <v>20</v>
      </c>
      <c r="C63" s="119"/>
      <c r="D63" s="119"/>
      <c r="E63" s="119"/>
      <c r="F63" s="120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1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2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3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4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6">
        <v>5</v>
      </c>
      <c r="C68" s="27"/>
      <c r="D68" s="28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6">
        <v>6</v>
      </c>
      <c r="C69" s="27"/>
      <c r="D69" s="28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5"/>
      <c r="C70" s="25"/>
      <c r="D70" s="25"/>
      <c r="E70" s="25"/>
      <c r="F70" s="2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57.75" customHeight="1" thickBot="1" x14ac:dyDescent="0.35">
      <c r="A72" s="1"/>
      <c r="B72" s="17" t="s">
        <v>54</v>
      </c>
      <c r="C72" s="17" t="s">
        <v>50</v>
      </c>
      <c r="D72" s="17" t="s">
        <v>55</v>
      </c>
      <c r="E72" s="18" t="s">
        <v>56</v>
      </c>
      <c r="F72" s="19" t="s">
        <v>21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2">
        <v>1</v>
      </c>
      <c r="C73" s="27" t="s">
        <v>184</v>
      </c>
      <c r="D73" s="55">
        <v>3000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2</v>
      </c>
      <c r="C74" s="27" t="s">
        <v>185</v>
      </c>
      <c r="D74" s="55">
        <v>2000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3</v>
      </c>
      <c r="C75" s="27" t="s">
        <v>204</v>
      </c>
      <c r="D75" s="55"/>
      <c r="E75" s="55"/>
      <c r="F75" s="55">
        <v>5332.85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4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5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6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7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8</v>
      </c>
      <c r="C80" s="27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9</v>
      </c>
      <c r="C81" s="27"/>
      <c r="D81" s="55"/>
      <c r="E81" s="55"/>
      <c r="F81" s="5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10</v>
      </c>
      <c r="C82" s="27"/>
      <c r="D82" s="55"/>
      <c r="E82" s="55"/>
      <c r="F82" s="55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4.9000000000000004" customHeight="1" thickBot="1" x14ac:dyDescent="0.35">
      <c r="A83" s="1"/>
      <c r="B83" s="1"/>
      <c r="C83" s="1"/>
      <c r="D83" s="58"/>
      <c r="E83" s="58"/>
      <c r="F83" s="58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thickTop="1" x14ac:dyDescent="0.3">
      <c r="A84" s="1"/>
      <c r="B84" s="11"/>
      <c r="C84" s="4" t="s">
        <v>22</v>
      </c>
      <c r="D84" s="59">
        <f>SUM(D73:D83)</f>
        <v>5000</v>
      </c>
      <c r="E84" s="59">
        <f>SUM(E73:E83)</f>
        <v>0</v>
      </c>
      <c r="F84" s="59">
        <f>SUM(F73:F83)</f>
        <v>5332.85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</sheetData>
  <sheetProtection password="C2E9" sheet="1" objects="1" scenarios="1" formatColumns="0" formatRows="0" sort="0" autoFilter="0"/>
  <mergeCells count="12">
    <mergeCell ref="B63:F63"/>
    <mergeCell ref="B56:F56"/>
    <mergeCell ref="B12:F12"/>
    <mergeCell ref="B13:F13"/>
    <mergeCell ref="B14:F14"/>
    <mergeCell ref="B15:F15"/>
    <mergeCell ref="B18:F18"/>
    <mergeCell ref="B23:F23"/>
    <mergeCell ref="B34:F34"/>
    <mergeCell ref="B29:F29"/>
    <mergeCell ref="B51:F51"/>
    <mergeCell ref="B58:F58"/>
  </mergeCells>
  <dataValidations count="1">
    <dataValidation type="decimal" operator="greaterThanOrEqual" allowBlank="1" showInputMessage="1" showErrorMessage="1" sqref="E33 E52:E55 E57 E24:F28 E59:F62 E64:F69 E35:E50 D73:F82 C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733425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1504950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733425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1504950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72</xdr:row>
                    <xdr:rowOff>19050</xdr:rowOff>
                  </from>
                  <to>
                    <xdr:col>1</xdr:col>
                    <xdr:colOff>733425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72</xdr:row>
                    <xdr:rowOff>19050</xdr:rowOff>
                  </from>
                  <to>
                    <xdr:col>1</xdr:col>
                    <xdr:colOff>1504950</xdr:colOff>
                    <xdr:row>72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193</v>
      </c>
      <c r="E11" s="27" t="s">
        <v>181</v>
      </c>
      <c r="F11" s="55">
        <v>1</v>
      </c>
      <c r="G11" s="55">
        <v>2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225</v>
      </c>
      <c r="D12" s="27" t="s">
        <v>186</v>
      </c>
      <c r="E12" s="27" t="s">
        <v>229</v>
      </c>
      <c r="F12" s="55">
        <v>1</v>
      </c>
      <c r="G12" s="55">
        <v>1</v>
      </c>
      <c r="H12" s="55">
        <v>1</v>
      </c>
      <c r="I12" s="55">
        <v>24.44</v>
      </c>
      <c r="J12" s="55">
        <f t="shared" ref="J12:J19" si="0">H12*I12</f>
        <v>24.44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226</v>
      </c>
      <c r="D13" s="27" t="s">
        <v>179</v>
      </c>
      <c r="E13" s="27" t="s">
        <v>230</v>
      </c>
      <c r="F13" s="55">
        <v>1</v>
      </c>
      <c r="G13" s="55">
        <v>1</v>
      </c>
      <c r="H13" s="55">
        <v>1</v>
      </c>
      <c r="I13" s="55">
        <v>14.96</v>
      </c>
      <c r="J13" s="55">
        <f t="shared" si="0"/>
        <v>14.96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186</v>
      </c>
      <c r="E14" s="27" t="s">
        <v>200</v>
      </c>
      <c r="F14" s="55">
        <v>1</v>
      </c>
      <c r="G14" s="55">
        <v>1</v>
      </c>
      <c r="H14" s="55">
        <v>1</v>
      </c>
      <c r="I14" s="55">
        <v>365.07</v>
      </c>
      <c r="J14" s="55">
        <f t="shared" si="0"/>
        <v>365.07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179</v>
      </c>
      <c r="E15" s="27" t="s">
        <v>190</v>
      </c>
      <c r="F15" s="55">
        <v>1</v>
      </c>
      <c r="G15" s="55">
        <v>1</v>
      </c>
      <c r="H15" s="55">
        <v>1</v>
      </c>
      <c r="I15" s="55">
        <v>21.31</v>
      </c>
      <c r="J15" s="55">
        <f t="shared" si="0"/>
        <v>21.31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192</v>
      </c>
      <c r="E16" s="27" t="s">
        <v>191</v>
      </c>
      <c r="F16" s="55">
        <v>1</v>
      </c>
      <c r="G16" s="55">
        <v>1</v>
      </c>
      <c r="H16" s="55">
        <v>1</v>
      </c>
      <c r="I16" s="55">
        <v>21</v>
      </c>
      <c r="J16" s="55">
        <f t="shared" si="0"/>
        <v>21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227</v>
      </c>
      <c r="D17" s="27" t="s">
        <v>180</v>
      </c>
      <c r="E17" s="27" t="s">
        <v>190</v>
      </c>
      <c r="F17" s="55">
        <v>2</v>
      </c>
      <c r="G17" s="55">
        <v>10</v>
      </c>
      <c r="H17" s="55">
        <v>20</v>
      </c>
      <c r="I17" s="55">
        <v>5.04</v>
      </c>
      <c r="J17" s="55">
        <f t="shared" si="0"/>
        <v>100.8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178</v>
      </c>
      <c r="D18" s="27" t="s">
        <v>180</v>
      </c>
      <c r="E18" s="27" t="s">
        <v>183</v>
      </c>
      <c r="F18" s="55">
        <v>1</v>
      </c>
      <c r="G18" s="55">
        <v>100</v>
      </c>
      <c r="H18" s="55">
        <v>100</v>
      </c>
      <c r="I18" s="55">
        <v>1.27</v>
      </c>
      <c r="J18" s="55">
        <f t="shared" si="0"/>
        <v>127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228</v>
      </c>
      <c r="D19" s="27" t="s">
        <v>180</v>
      </c>
      <c r="E19" s="27" t="s">
        <v>182</v>
      </c>
      <c r="F19" s="55">
        <v>2</v>
      </c>
      <c r="G19" s="55">
        <v>7</v>
      </c>
      <c r="H19" s="55">
        <v>14</v>
      </c>
      <c r="I19" s="55">
        <v>11.72</v>
      </c>
      <c r="J19" s="55">
        <f t="shared" si="0"/>
        <v>164.08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0" workbookViewId="0">
      <selection activeCell="B37" sqref="B37:G37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16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195</v>
      </c>
      <c r="D21" s="117" t="s">
        <v>164</v>
      </c>
      <c r="E21" s="116">
        <v>1</v>
      </c>
      <c r="F21" s="116">
        <v>13.13</v>
      </c>
      <c r="G21" s="116">
        <f>+E21*F21</f>
        <v>13.13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196</v>
      </c>
      <c r="D22" s="117" t="s">
        <v>176</v>
      </c>
      <c r="E22" s="116">
        <v>1</v>
      </c>
      <c r="F22" s="116">
        <v>14</v>
      </c>
      <c r="G22" s="116">
        <f t="shared" ref="G22:G36" si="0">+E22*F22</f>
        <v>14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194</v>
      </c>
      <c r="D23" s="117" t="s">
        <v>164</v>
      </c>
      <c r="E23" s="116">
        <v>1</v>
      </c>
      <c r="F23" s="116">
        <v>20.97</v>
      </c>
      <c r="G23" s="116">
        <f t="shared" si="0"/>
        <v>20.97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171</v>
      </c>
      <c r="D24" s="117" t="s">
        <v>164</v>
      </c>
      <c r="E24" s="116">
        <v>2</v>
      </c>
      <c r="F24" s="116">
        <v>1.6</v>
      </c>
      <c r="G24" s="116">
        <f t="shared" si="0"/>
        <v>3.2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172</v>
      </c>
      <c r="D25" s="117" t="s">
        <v>164</v>
      </c>
      <c r="E25" s="116">
        <v>2</v>
      </c>
      <c r="F25" s="116">
        <v>5</v>
      </c>
      <c r="G25" s="116">
        <f t="shared" si="0"/>
        <v>10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219</v>
      </c>
      <c r="D26" s="117" t="s">
        <v>164</v>
      </c>
      <c r="E26" s="116">
        <v>2</v>
      </c>
      <c r="F26" s="116">
        <v>22</v>
      </c>
      <c r="G26" s="116">
        <f t="shared" si="0"/>
        <v>44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220</v>
      </c>
      <c r="D27" s="117" t="s">
        <v>164</v>
      </c>
      <c r="E27" s="116">
        <v>1</v>
      </c>
      <c r="F27" s="116">
        <v>15.81</v>
      </c>
      <c r="G27" s="116">
        <f t="shared" si="0"/>
        <v>15.81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221</v>
      </c>
      <c r="D28" s="117" t="s">
        <v>164</v>
      </c>
      <c r="E28" s="116">
        <v>4</v>
      </c>
      <c r="F28" s="116">
        <v>3.2</v>
      </c>
      <c r="G28" s="116">
        <f t="shared" si="0"/>
        <v>12.8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174</v>
      </c>
      <c r="D29" s="117" t="s">
        <v>164</v>
      </c>
      <c r="E29" s="116">
        <v>1</v>
      </c>
      <c r="F29" s="116">
        <v>3.25</v>
      </c>
      <c r="G29" s="116">
        <f t="shared" si="0"/>
        <v>3.25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187</v>
      </c>
      <c r="D30" s="117" t="s">
        <v>164</v>
      </c>
      <c r="E30" s="116">
        <v>1</v>
      </c>
      <c r="F30" s="116">
        <v>250</v>
      </c>
      <c r="G30" s="116">
        <f t="shared" si="0"/>
        <v>250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175</v>
      </c>
      <c r="D31" s="117" t="s">
        <v>164</v>
      </c>
      <c r="E31" s="116">
        <v>1</v>
      </c>
      <c r="F31" s="116">
        <v>5</v>
      </c>
      <c r="G31" s="116">
        <f t="shared" si="0"/>
        <v>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222</v>
      </c>
      <c r="D32" s="117" t="s">
        <v>164</v>
      </c>
      <c r="E32" s="116">
        <v>1</v>
      </c>
      <c r="F32" s="116">
        <v>1.27</v>
      </c>
      <c r="G32" s="116">
        <f t="shared" si="0"/>
        <v>1.27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13</v>
      </c>
      <c r="C33" s="27" t="s">
        <v>169</v>
      </c>
      <c r="D33" s="117" t="s">
        <v>164</v>
      </c>
      <c r="E33" s="116">
        <v>1</v>
      </c>
      <c r="F33" s="116">
        <v>11.73</v>
      </c>
      <c r="G33" s="116">
        <f t="shared" si="0"/>
        <v>11.73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14</v>
      </c>
      <c r="C34" s="27" t="s">
        <v>170</v>
      </c>
      <c r="D34" s="117" t="s">
        <v>164</v>
      </c>
      <c r="E34" s="116">
        <v>1</v>
      </c>
      <c r="F34" s="116">
        <v>1.6</v>
      </c>
      <c r="G34" s="116">
        <f t="shared" si="0"/>
        <v>1.6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15</v>
      </c>
      <c r="C35" s="27" t="s">
        <v>173</v>
      </c>
      <c r="D35" s="117" t="s">
        <v>164</v>
      </c>
      <c r="E35" s="116">
        <v>1</v>
      </c>
      <c r="F35" s="116">
        <v>2.77</v>
      </c>
      <c r="G35" s="116">
        <f t="shared" si="0"/>
        <v>2.77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16</v>
      </c>
      <c r="C36" s="27" t="s">
        <v>223</v>
      </c>
      <c r="D36" s="117" t="s">
        <v>224</v>
      </c>
      <c r="E36" s="116">
        <v>3</v>
      </c>
      <c r="F36" s="116">
        <v>12</v>
      </c>
      <c r="G36" s="116">
        <f t="shared" si="0"/>
        <v>36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9" t="s">
        <v>29</v>
      </c>
      <c r="C37" s="140"/>
      <c r="D37" s="140"/>
      <c r="E37" s="140"/>
      <c r="F37" s="140"/>
      <c r="G37" s="141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data_general'!$C$30</f>
        <v>Level II and III</v>
      </c>
      <c r="G1" s="112" t="str">
        <f>'1.1 Case data_general'!$C$31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2018-06-04T06:32:00Z</dcterms:modified>
</cp:coreProperties>
</file>