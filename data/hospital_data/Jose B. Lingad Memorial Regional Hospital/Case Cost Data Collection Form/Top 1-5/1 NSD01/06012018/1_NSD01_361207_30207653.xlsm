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60" windowWidth="15525" windowHeight="732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Supplies_Medical'!$C$15:$C$47</definedName>
    <definedName name="Drugs">'1.2 Drugs&amp;Med'!$C$11:$C$15</definedName>
    <definedName name="_xlnm.Print_Area" localSheetId="0">'1.1 Case data_general'!$B$1:$F$71</definedName>
    <definedName name="_xlnm.Print_Area" localSheetId="1">'1.2 Drugs&amp;Med'!$B$2:$J$21</definedName>
  </definedNames>
  <calcPr calcId="144525"/>
</workbook>
</file>

<file path=xl/calcChain.xml><?xml version="1.0" encoding="utf-8"?>
<calcChain xmlns="http://schemas.openxmlformats.org/spreadsheetml/2006/main">
  <c r="G36" i="9" l="1"/>
  <c r="G35" i="9"/>
  <c r="G34" i="9"/>
  <c r="J20" i="2"/>
  <c r="G33" i="9"/>
  <c r="G32" i="9" l="1"/>
  <c r="G31" i="9"/>
  <c r="J19" i="2"/>
  <c r="J18" i="2"/>
  <c r="J17" i="2"/>
  <c r="G30" i="9" l="1"/>
  <c r="G29" i="9"/>
  <c r="J16" i="2" l="1"/>
  <c r="G28" i="9" l="1"/>
  <c r="G27" i="9"/>
  <c r="G26" i="9"/>
  <c r="G25" i="9"/>
  <c r="G24" i="9"/>
  <c r="G23" i="9"/>
  <c r="G22" i="9"/>
  <c r="G21" i="9"/>
  <c r="J12" i="2" l="1"/>
  <c r="J13" i="2"/>
  <c r="J14" i="2"/>
  <c r="J15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<sst xmlns="http://schemas.openxmlformats.org/spreadsheetml/2006/main" count="523" uniqueCount="219">
  <si>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</si>
  <si>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</si>
  <si>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</si>
  <si>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</si>
  <si>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</si>
  <si>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</si>
  <si>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</si>
  <si>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</si>
  <si>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</si>
  <si>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</si>
  <si>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</si>
  <si>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</si>
  <si>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</si>
  <si>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</si>
  <si>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</si>
  <si>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</si>
  <si>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</si>
  <si>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</si>
  <si>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</si>
  <si>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</si>
  <si>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</si>
  <si>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</si>
  <si>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</si>
  <si>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</si>
  <si>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</si>
  <si>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</si>
  <si>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</si>
  <si>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</si>
  <si>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</si>
  <si>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</si>
  <si>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</si>
  <si>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</si>
  <si>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</si>
  <si>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</si>
  <si>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</si>
  <si>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</si>
  <si>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</si>
  <si>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</si>
  <si>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</si>
  <si>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</si>
  <si>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</si>
  <si>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</si>
  <si>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</si>
  <si>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</si>
  <si>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</si>
  <si>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</si>
  <si>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</si>
  <si>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</si>
  <si>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</si>
  <si>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</si>
  <si>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</si>
  <si>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</si>
  <si>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</si>
  <si>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</si>
  <si>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</si>
  <si>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</si>
  <si>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</si>
  <si>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</si>
  <si>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</si>
  <si>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</si>
  <si>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</si>
  <si>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</si>
  <si>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</si>
  <si>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</si>
  <si>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</si>
  <si>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</si>
  <si>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</si>
  <si>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</si>
  <si>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</si>
  <si>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</si>
  <si>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</si>
  <si>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</si>
  <si>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</si>
  <si>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</si>
  <si>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</si>
  <si>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</si>
  <si>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</si>
  <si>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</si>
  <si>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</si>
  <si>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</si>
  <si>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</si>
  <si>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</si>
  <si>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</si>
  <si>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</si>
  <si>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</si>
  <si>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</si>
  <si>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</si>
  <si>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</si>
  <si>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</si>
  <si>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</si>
  <si>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</si>
  <si>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</si>
  <si>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</si>
  <si>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</si>
  <si>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</si>
  <si>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</si>
  <si>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</si>
  <si>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</si>
  <si>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</si>
  <si>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</si>
  <si>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</si>
  <si>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</si>
  <si>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</si>
  <si>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</si>
  <si>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</si>
  <si>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</si>
  <si>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</si>
  <si>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</si>
  <si>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</si>
  <si>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</si>
  <si>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</si>
  <si>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</si>
  <si>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</si>
  <si>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</si>
  <si>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</si>
  <si>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</si>
  <si>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</si>
  <si>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</si>
  <si>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</si>
  <si>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</si>
  <si>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</si>
  <si>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</si>
  <si>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</si>
  <si>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</si>
  <si>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</si>
  <si>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</si>
  <si>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</si>
  <si>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</si>
  <si>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</si>
  <si>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</si>
  <si>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</si>
  <si>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</si>
  <si>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</si>
  <si>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</si>
  <si>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</si>
  <si>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</si>
  <si>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</si>
  <si>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</si>
  <si>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</si>
  <si>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</si>
  <si>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</si>
  <si>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</si>
  <si>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</si>
  <si>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</si>
  <si>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</si>
  <si>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</si>
  <si>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</si>
  <si>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</si>
  <si>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</si>
  <si>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</si>
  <si>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</si>
  <si>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</si>
  <si>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</si>
  <si>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</si>
  <si>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</si>
  <si>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</si>
  <si>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</si>
  <si>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</si>
  <si>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</si>
  <si>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</si>
  <si>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</si>
  <si>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</si>
  <si>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</si>
  <si>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MINOR</t>
  </si>
  <si>
    <t>PC</t>
  </si>
  <si>
    <t>NSD01</t>
  </si>
  <si>
    <t>O80.0</t>
  </si>
  <si>
    <t>Z37.0</t>
  </si>
  <si>
    <t>CBC, TYPING, HBSAG</t>
  </si>
  <si>
    <t>DISPOSABLE INSULIN SYRINGE 1CC G 30 0.3 X 8MM BOX OF 100'S ( SHORT NEEDLE ULTRAFINE ) (CPR NEEDED)</t>
  </si>
  <si>
    <t>DISPOSABLE SYRINGE 1ML G 25, W/ NEEDLE X 100S (CPR NEEDED)</t>
  </si>
  <si>
    <t>DISPOSABLE SYRINGE 3ML G 23, W/ NEEDLE X 100S (CPR NEEDED)</t>
  </si>
  <si>
    <t>DISPOSABLE SYRINGE 5ML G 23, W/ NEEDLE X 100S</t>
  </si>
  <si>
    <t>DISPOSABLE SYRINGE 10ML G 21, W/ NEEDLE X 100S (CPR NEEDED)</t>
  </si>
  <si>
    <t>CORD CLAMP (UMBILICAL) X 100S, STERILE</t>
  </si>
  <si>
    <t>NEONATE WRIST TAG (ID BRACELET)X 100 (PINK/BLUE)</t>
  </si>
  <si>
    <t>SET</t>
  </si>
  <si>
    <t>(D5LRS 1L) 5% DEXTROSE IN LACTATED RINGERS SOLUTION 1000ML (D5 LRS) X 12S</t>
  </si>
  <si>
    <t>FERROUS SULFATE + FOLIC ACID 200MG./400MCG (DONATION)</t>
  </si>
  <si>
    <t>VIAL</t>
  </si>
  <si>
    <t>CAPSULE</t>
  </si>
  <si>
    <t>1L</t>
  </si>
  <si>
    <t>500MG</t>
  </si>
  <si>
    <t>200MG</t>
  </si>
  <si>
    <t>CASE RATE</t>
  </si>
  <si>
    <t>PF CASE</t>
  </si>
  <si>
    <t>NGT 8 STRAIGHT, 40CM (CPR NEEDED)</t>
  </si>
  <si>
    <t>MATERNITY PAD  X 8</t>
  </si>
  <si>
    <t>PHYTOMENADIONE ( VITAMIN K ) 10MG/1ML</t>
  </si>
  <si>
    <t>ERYTHROMYCIN  EYE OINTMENT 0.5%, 3.5G</t>
  </si>
  <si>
    <t>10MG</t>
  </si>
  <si>
    <t>3.5G</t>
  </si>
  <si>
    <t>TUBE</t>
  </si>
  <si>
    <t>FLUID</t>
  </si>
  <si>
    <t>ADULT DIAPER WITH HIGH LIQUID ABSORBENCY</t>
  </si>
  <si>
    <t>IV CATHETER GAUGE 18</t>
  </si>
  <si>
    <t>IV SET W/ AIRWAY FOR IV PUSH, VACOSET/MACRODRIP, ADULT</t>
  </si>
  <si>
    <t>RAPID PLASMA REAGIN (RPR)</t>
  </si>
  <si>
    <t>BLOOD EXTRACTION FEE</t>
  </si>
  <si>
    <t>PAID BY PATIENT</t>
  </si>
  <si>
    <t>URINALYSIS (UA)</t>
  </si>
  <si>
    <t>MEDICAL GLOVES W/ CUFF, STERILE LATEX, NATURAL RUBBER: BOX OF 50'S  WARD USE SIZE 6 1/2</t>
  </si>
  <si>
    <t>PAIR</t>
  </si>
  <si>
    <t>CEFUROXIME 500MG IN BLISTER FOIL PACK</t>
  </si>
  <si>
    <t>20MG</t>
  </si>
  <si>
    <t>Z-FOLD PAPER FOR FETAL CHART 30-240BPM X 40S (152MM X 90MM X 150 SHEETS)</t>
  </si>
  <si>
    <t>ROLL</t>
  </si>
  <si>
    <t>LIDOCAINE HCI 2%-5ML PRESERVATIVE-FREE REGARDLESS OF CONTAINER</t>
  </si>
  <si>
    <t>HYOSCINE N-BUTYLBROMIDE 20MG/ML-1ML</t>
  </si>
  <si>
    <t>MEFENAMIC ACID 500MG IN BLISTER FOIL PACK</t>
  </si>
  <si>
    <t>METRONIDAZOLE 500MG IN BLISTER FOIL PACK</t>
  </si>
  <si>
    <t>2%-5ML</t>
  </si>
  <si>
    <t>POLYAMP</t>
  </si>
  <si>
    <t>(PLAIN LRS 1L) LACTATED RINGER''''S SOLUTION 1000ML (PLAIN LRS 1L) X 12S</t>
  </si>
  <si>
    <t>361207/74431</t>
  </si>
  <si>
    <t>O42.0</t>
  </si>
  <si>
    <t>ULTRASOUND PRINTING PAPER 110MM X 20MM (HIGH DENSITY) (DURICO TYPE 1)</t>
  </si>
  <si>
    <t>INDIVIDUAL IV KIT CONTENTS: 2 STERILE OS 2X2X2, 1 ALCOHOL PREP PAD ( 70% ISOPROPYL ALCOHOL, SIZE 1-1/4 X 1-1/2 INCHES), 1 POVIDONE-IODINE 10% PREP PAD, 1 TRANSPARENT FILM DRESSING, 1 ROLL ADHESIVE PLASTER, 1 TORNIQUET, 1 IV SITE TAG, BOX OF 25''''''''''''''''''''''''''''''''S/ BD IV START PAK/ USA</t>
  </si>
  <si>
    <t>KIT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</si>
</sst>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  <xf numFmtId="164" fontId="13" fillId="0" borderId="3" applyFont="0" applyFill="0" applyBorder="0" applyAlignment="0" applyProtection="0"/>
  </cellStyleXfs>
  <cellXfs count="153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164" fontId="10" fillId="5" borderId="21" xfId="4" applyFont="1" applyFill="1" applyBorder="1" applyProtection="1">
      <protection locked="0"/>
    </xf>
    <xf numFmtId="0" fontId="10" fillId="0" borderId="1" xfId="2" applyFont="1" applyBorder="1" applyAlignment="1" applyProtection="1">
      <alignment horizontal="center" wrapText="1"/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5">
    <cellStyle name="Comma" xfId="1" builtinId="3"/>
    <cellStyle name="Comma 2" xfId="4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20</xdr:row>
          <xdr:rowOff>28575</xdr:rowOff>
        </xdr:from>
        <xdr:to>
          <xdr:col>1</xdr:col>
          <xdr:colOff>762000</xdr:colOff>
          <xdr:row>20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20</xdr:row>
          <xdr:rowOff>28575</xdr:rowOff>
        </xdr:from>
        <xdr:to>
          <xdr:col>1</xdr:col>
          <xdr:colOff>1533525</xdr:colOff>
          <xdr:row>20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</xdr:row>
          <xdr:rowOff>28575</xdr:rowOff>
        </xdr:from>
        <xdr:to>
          <xdr:col>1</xdr:col>
          <xdr:colOff>771525</xdr:colOff>
          <xdr:row>37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37</xdr:row>
          <xdr:rowOff>28575</xdr:rowOff>
        </xdr:from>
        <xdr:to>
          <xdr:col>1</xdr:col>
          <xdr:colOff>1543050</xdr:colOff>
          <xdr:row>37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abSelected="1" zoomScale="115" zoomScaleNormal="115" workbookViewId="0">
      <selection activeCell="B2" sqref="B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3" t="s">
        <v>59</v>
      </c>
      <c r="C12" s="124"/>
      <c r="D12" s="124"/>
      <c r="E12" s="124"/>
      <c r="F12" s="125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6" t="s">
        <v>2</v>
      </c>
      <c r="C13" s="127"/>
      <c r="D13" s="127"/>
      <c r="E13" s="127"/>
      <c r="F13" s="128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6" t="s">
        <v>4</v>
      </c>
      <c r="C14" s="127"/>
      <c r="D14" s="127"/>
      <c r="E14" s="127"/>
      <c r="F14" s="128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9" t="s">
        <v>60</v>
      </c>
      <c r="C15" s="130"/>
      <c r="D15" s="130"/>
      <c r="E15" s="130"/>
      <c r="F15" s="13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214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8" t="s">
        <v>15</v>
      </c>
      <c r="C18" s="119"/>
      <c r="D18" s="119"/>
      <c r="E18" s="119"/>
      <c r="F18" s="120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166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167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 t="s">
        <v>215</v>
      </c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8" t="s">
        <v>51</v>
      </c>
      <c r="C22" s="119"/>
      <c r="D22" s="119"/>
      <c r="E22" s="119"/>
      <c r="F22" s="120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165</v>
      </c>
      <c r="D23" s="29" t="s">
        <v>163</v>
      </c>
      <c r="E23" s="55">
        <v>1</v>
      </c>
      <c r="F23" s="55">
        <v>1.6666666666666667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21" t="s">
        <v>42</v>
      </c>
      <c r="C28" s="122"/>
      <c r="D28" s="122"/>
      <c r="E28" s="122"/>
      <c r="F28" s="132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140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8" t="s">
        <v>18</v>
      </c>
      <c r="C33" s="119"/>
      <c r="D33" s="119"/>
      <c r="E33" s="119"/>
      <c r="F33" s="120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57" t="s">
        <v>168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57" t="s">
        <v>197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57" t="s">
        <v>200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57" t="s">
        <v>198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21" t="s">
        <v>19</v>
      </c>
      <c r="C38" s="122"/>
      <c r="D38" s="119"/>
      <c r="E38" s="122"/>
      <c r="F38" s="120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5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21" t="s">
        <v>43</v>
      </c>
      <c r="C43" s="122"/>
      <c r="D43" s="119"/>
      <c r="E43" s="122"/>
      <c r="F43" s="120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44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8" t="s">
        <v>52</v>
      </c>
      <c r="C45" s="119"/>
      <c r="D45" s="119"/>
      <c r="E45" s="119"/>
      <c r="F45" s="120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8" t="s">
        <v>20</v>
      </c>
      <c r="C50" s="119"/>
      <c r="D50" s="119"/>
      <c r="E50" s="119"/>
      <c r="F50" s="120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54</v>
      </c>
      <c r="C59" s="17" t="s">
        <v>50</v>
      </c>
      <c r="D59" s="17" t="s">
        <v>55</v>
      </c>
      <c r="E59" s="18" t="s">
        <v>56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184</v>
      </c>
      <c r="D60" s="55">
        <v>3000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185</v>
      </c>
      <c r="D61" s="55">
        <v>2000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199</v>
      </c>
      <c r="D62" s="55"/>
      <c r="E62" s="55"/>
      <c r="F62" s="55">
        <v>2131.4899999999998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5000</v>
      </c>
      <c r="E71" s="59">
        <f>SUM(E60:E70)</f>
        <v>0</v>
      </c>
      <c r="F71" s="59">
        <f>SUM(F60:F70)</f>
        <v>2131.4899999999998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password="C2E9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E34:E37 D60:F69 C34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1"/>
  <sheetViews>
    <sheetView topLeftCell="B1" workbookViewId="0">
      <selection activeCell="F21" sqref="F2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NSD01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10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3" t="s">
        <v>63</v>
      </c>
      <c r="C8" s="134"/>
      <c r="D8" s="134"/>
      <c r="E8" s="134"/>
      <c r="F8" s="134"/>
      <c r="G8" s="134"/>
      <c r="H8" s="134"/>
      <c r="I8" s="134"/>
      <c r="J8" s="135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213</v>
      </c>
      <c r="D11" s="27" t="s">
        <v>193</v>
      </c>
      <c r="E11" s="27" t="s">
        <v>181</v>
      </c>
      <c r="F11" s="55">
        <v>1</v>
      </c>
      <c r="G11" s="55">
        <v>2</v>
      </c>
      <c r="H11" s="55">
        <v>2</v>
      </c>
      <c r="I11" s="55">
        <v>49.33</v>
      </c>
      <c r="J11" s="55">
        <f>H11*I11</f>
        <v>98.66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177</v>
      </c>
      <c r="D12" s="27" t="s">
        <v>193</v>
      </c>
      <c r="E12" s="27" t="s">
        <v>181</v>
      </c>
      <c r="F12" s="55">
        <v>2</v>
      </c>
      <c r="G12" s="55">
        <v>2</v>
      </c>
      <c r="H12" s="55">
        <v>4</v>
      </c>
      <c r="I12" s="55">
        <v>49.33</v>
      </c>
      <c r="J12" s="55">
        <f t="shared" ref="J12:J20" si="0">H12*I12</f>
        <v>197.32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208</v>
      </c>
      <c r="D13" s="27" t="s">
        <v>179</v>
      </c>
      <c r="E13" s="27" t="s">
        <v>204</v>
      </c>
      <c r="F13" s="55">
        <v>5</v>
      </c>
      <c r="G13" s="55">
        <v>2</v>
      </c>
      <c r="H13" s="55">
        <v>10</v>
      </c>
      <c r="I13" s="55">
        <v>25.79</v>
      </c>
      <c r="J13" s="55">
        <f t="shared" si="0"/>
        <v>257.89999999999998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188</v>
      </c>
      <c r="D14" s="27" t="s">
        <v>179</v>
      </c>
      <c r="E14" s="27" t="s">
        <v>190</v>
      </c>
      <c r="F14" s="55">
        <v>1</v>
      </c>
      <c r="G14" s="55">
        <v>1</v>
      </c>
      <c r="H14" s="55">
        <v>1</v>
      </c>
      <c r="I14" s="55">
        <v>21.31</v>
      </c>
      <c r="J14" s="55">
        <f t="shared" si="0"/>
        <v>21.31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189</v>
      </c>
      <c r="D15" s="27" t="s">
        <v>192</v>
      </c>
      <c r="E15" s="27" t="s">
        <v>191</v>
      </c>
      <c r="F15" s="55">
        <v>1</v>
      </c>
      <c r="G15" s="55">
        <v>1</v>
      </c>
      <c r="H15" s="55">
        <v>1</v>
      </c>
      <c r="I15" s="55">
        <v>21</v>
      </c>
      <c r="J15" s="55">
        <f t="shared" si="0"/>
        <v>21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207</v>
      </c>
      <c r="D16" s="27" t="s">
        <v>212</v>
      </c>
      <c r="E16" s="27" t="s">
        <v>211</v>
      </c>
      <c r="F16" s="55">
        <v>1</v>
      </c>
      <c r="G16" s="55">
        <v>1</v>
      </c>
      <c r="H16" s="55">
        <v>1</v>
      </c>
      <c r="I16" s="55">
        <v>30.4</v>
      </c>
      <c r="J16" s="55">
        <f t="shared" si="0"/>
        <v>30.4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209</v>
      </c>
      <c r="D17" s="27" t="s">
        <v>180</v>
      </c>
      <c r="E17" s="27" t="s">
        <v>182</v>
      </c>
      <c r="F17" s="55">
        <v>3</v>
      </c>
      <c r="G17" s="55">
        <v>3</v>
      </c>
      <c r="H17" s="55">
        <v>9</v>
      </c>
      <c r="I17" s="55">
        <v>0.97</v>
      </c>
      <c r="J17" s="55">
        <f t="shared" si="0"/>
        <v>8.73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210</v>
      </c>
      <c r="D18" s="27" t="s">
        <v>180</v>
      </c>
      <c r="E18" s="27" t="s">
        <v>182</v>
      </c>
      <c r="F18" s="55">
        <v>3</v>
      </c>
      <c r="G18" s="55">
        <v>7</v>
      </c>
      <c r="H18" s="55">
        <v>21</v>
      </c>
      <c r="I18" s="55">
        <v>1.93</v>
      </c>
      <c r="J18" s="55">
        <f t="shared" si="0"/>
        <v>40.53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178</v>
      </c>
      <c r="D19" s="27" t="s">
        <v>180</v>
      </c>
      <c r="E19" s="27" t="s">
        <v>183</v>
      </c>
      <c r="F19" s="55">
        <v>1</v>
      </c>
      <c r="G19" s="55">
        <v>100</v>
      </c>
      <c r="H19" s="55">
        <v>100</v>
      </c>
      <c r="I19" s="55">
        <v>1.27</v>
      </c>
      <c r="J19" s="55">
        <f t="shared" si="0"/>
        <v>127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203</v>
      </c>
      <c r="D20" s="27" t="s">
        <v>180</v>
      </c>
      <c r="E20" s="27" t="s">
        <v>182</v>
      </c>
      <c r="F20" s="55">
        <v>2</v>
      </c>
      <c r="G20" s="55">
        <v>7</v>
      </c>
      <c r="H20" s="55">
        <v>14</v>
      </c>
      <c r="I20" s="55">
        <v>11.72</v>
      </c>
      <c r="J20" s="55">
        <f t="shared" si="0"/>
        <v>164.08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25">
      <c r="A21" s="33"/>
      <c r="B21" s="34"/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</row>
    <row r="22" spans="1:20" ht="15.75" customHeight="1" x14ac:dyDescent="0.25"/>
    <row r="23" spans="1:20" ht="15.75" customHeight="1" x14ac:dyDescent="0.25"/>
    <row r="24" spans="1:20" ht="15.75" customHeight="1" x14ac:dyDescent="0.25"/>
    <row r="25" spans="1:20" ht="15.75" customHeight="1" x14ac:dyDescent="0.25"/>
    <row r="26" spans="1:20" ht="15.75" customHeight="1" x14ac:dyDescent="0.25"/>
    <row r="27" spans="1:20" ht="15.75" customHeight="1" x14ac:dyDescent="0.25"/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</sheetData>
  <sheetProtection password="C2E9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0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1"/>
  <sheetViews>
    <sheetView topLeftCell="A10" workbookViewId="0">
      <selection activeCell="D35" sqref="D35"/>
    </sheetView>
  </sheetViews>
  <sheetFormatPr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9.1406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NSD01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4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16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6" t="s">
        <v>23</v>
      </c>
      <c r="C7" s="137"/>
      <c r="D7" s="137"/>
      <c r="E7" s="137"/>
      <c r="F7" s="137"/>
      <c r="G7" s="138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2" t="s">
        <v>24</v>
      </c>
      <c r="C8" s="143"/>
      <c r="D8" s="143"/>
      <c r="E8" s="143"/>
      <c r="F8" s="143"/>
      <c r="G8" s="144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2" t="s">
        <v>68</v>
      </c>
      <c r="C9" s="143"/>
      <c r="D9" s="143"/>
      <c r="E9" s="143"/>
      <c r="F9" s="143"/>
      <c r="G9" s="144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2" t="s">
        <v>25</v>
      </c>
      <c r="C10" s="143"/>
      <c r="D10" s="143"/>
      <c r="E10" s="143"/>
      <c r="F10" s="143"/>
      <c r="G10" s="144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2" t="s">
        <v>26</v>
      </c>
      <c r="C11" s="143"/>
      <c r="D11" s="143"/>
      <c r="E11" s="143"/>
      <c r="F11" s="143"/>
      <c r="G11" s="144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5" t="s">
        <v>27</v>
      </c>
      <c r="C12" s="146"/>
      <c r="D12" s="146"/>
      <c r="E12" s="146"/>
      <c r="F12" s="146"/>
      <c r="G12" s="147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9" t="s">
        <v>71</v>
      </c>
      <c r="C15" s="140"/>
      <c r="D15" s="140"/>
      <c r="E15" s="140"/>
      <c r="F15" s="140"/>
      <c r="G15" s="141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139" t="s">
        <v>75</v>
      </c>
      <c r="C20" s="140"/>
      <c r="D20" s="140"/>
      <c r="E20" s="140"/>
      <c r="F20" s="140"/>
      <c r="G20" s="141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1</v>
      </c>
      <c r="C21" s="27" t="s">
        <v>196</v>
      </c>
      <c r="D21" s="117" t="s">
        <v>176</v>
      </c>
      <c r="E21" s="116">
        <v>2</v>
      </c>
      <c r="F21" s="116">
        <v>14</v>
      </c>
      <c r="G21" s="116">
        <f>+E21*F21</f>
        <v>28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2</v>
      </c>
      <c r="C22" s="27" t="s">
        <v>195</v>
      </c>
      <c r="D22" s="117" t="s">
        <v>164</v>
      </c>
      <c r="E22" s="116">
        <v>2</v>
      </c>
      <c r="F22" s="116">
        <v>13.13</v>
      </c>
      <c r="G22" s="116">
        <f t="shared" ref="G22:G36" si="0">+E22*F22</f>
        <v>26.26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3</v>
      </c>
      <c r="C23" s="27" t="s">
        <v>216</v>
      </c>
      <c r="D23" s="117" t="s">
        <v>206</v>
      </c>
      <c r="E23" s="116">
        <v>1</v>
      </c>
      <c r="F23" s="116">
        <v>100</v>
      </c>
      <c r="G23" s="116">
        <f t="shared" si="0"/>
        <v>100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4</v>
      </c>
      <c r="C24" s="27" t="s">
        <v>194</v>
      </c>
      <c r="D24" s="117" t="s">
        <v>164</v>
      </c>
      <c r="E24" s="116">
        <v>2</v>
      </c>
      <c r="F24" s="116">
        <v>20.97</v>
      </c>
      <c r="G24" s="116">
        <f t="shared" si="0"/>
        <v>41.94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5</v>
      </c>
      <c r="C25" s="27" t="s">
        <v>217</v>
      </c>
      <c r="D25" s="117" t="s">
        <v>218</v>
      </c>
      <c r="E25" s="116">
        <v>1</v>
      </c>
      <c r="F25" s="116">
        <v>105.33</v>
      </c>
      <c r="G25" s="116">
        <f t="shared" si="0"/>
        <v>105.33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6</v>
      </c>
      <c r="C26" s="27" t="s">
        <v>172</v>
      </c>
      <c r="D26" s="117" t="s">
        <v>164</v>
      </c>
      <c r="E26" s="116">
        <v>12</v>
      </c>
      <c r="F26" s="116">
        <v>5</v>
      </c>
      <c r="G26" s="116">
        <f t="shared" si="0"/>
        <v>60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7</v>
      </c>
      <c r="C27" s="27" t="s">
        <v>173</v>
      </c>
      <c r="D27" s="117" t="s">
        <v>164</v>
      </c>
      <c r="E27" s="116">
        <v>5</v>
      </c>
      <c r="F27" s="116">
        <v>2.77</v>
      </c>
      <c r="G27" s="116">
        <f t="shared" si="0"/>
        <v>13.85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8</v>
      </c>
      <c r="C28" s="27" t="s">
        <v>205</v>
      </c>
      <c r="D28" s="117" t="s">
        <v>206</v>
      </c>
      <c r="E28" s="116">
        <v>2</v>
      </c>
      <c r="F28" s="116">
        <v>100</v>
      </c>
      <c r="G28" s="116">
        <f t="shared" si="0"/>
        <v>200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9</v>
      </c>
      <c r="C29" s="27" t="s">
        <v>171</v>
      </c>
      <c r="D29" s="117" t="s">
        <v>164</v>
      </c>
      <c r="E29" s="116">
        <v>10</v>
      </c>
      <c r="F29" s="116">
        <v>1.6</v>
      </c>
      <c r="G29" s="116">
        <f t="shared" si="0"/>
        <v>16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10</v>
      </c>
      <c r="C30" s="27" t="s">
        <v>186</v>
      </c>
      <c r="D30" s="117" t="s">
        <v>164</v>
      </c>
      <c r="E30" s="116">
        <v>2</v>
      </c>
      <c r="F30" s="116">
        <v>7.8</v>
      </c>
      <c r="G30" s="116">
        <f t="shared" si="0"/>
        <v>15.6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11</v>
      </c>
      <c r="C31" s="27" t="s">
        <v>187</v>
      </c>
      <c r="D31" s="117" t="s">
        <v>164</v>
      </c>
      <c r="E31" s="116">
        <v>2</v>
      </c>
      <c r="F31" s="116">
        <v>250</v>
      </c>
      <c r="G31" s="116">
        <f t="shared" si="0"/>
        <v>500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12</v>
      </c>
      <c r="C32" s="27" t="s">
        <v>174</v>
      </c>
      <c r="D32" s="117" t="s">
        <v>164</v>
      </c>
      <c r="E32" s="116">
        <v>1</v>
      </c>
      <c r="F32" s="116">
        <v>3.25</v>
      </c>
      <c r="G32" s="116">
        <f t="shared" si="0"/>
        <v>3.25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1:16" ht="14.25" customHeight="1" x14ac:dyDescent="0.3">
      <c r="B33" s="68">
        <v>13</v>
      </c>
      <c r="C33" s="27" t="s">
        <v>175</v>
      </c>
      <c r="D33" s="117" t="s">
        <v>164</v>
      </c>
      <c r="E33" s="116">
        <v>1</v>
      </c>
      <c r="F33" s="116">
        <v>5</v>
      </c>
      <c r="G33" s="116">
        <f t="shared" si="0"/>
        <v>5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1:16" ht="14.25" customHeight="1" x14ac:dyDescent="0.3">
      <c r="B34" s="68">
        <v>14</v>
      </c>
      <c r="C34" s="27" t="s">
        <v>201</v>
      </c>
      <c r="D34" s="117" t="s">
        <v>202</v>
      </c>
      <c r="E34" s="116">
        <v>3</v>
      </c>
      <c r="F34" s="116">
        <v>12</v>
      </c>
      <c r="G34" s="116">
        <f t="shared" si="0"/>
        <v>36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1:16" ht="14.25" customHeight="1" x14ac:dyDescent="0.3">
      <c r="B35" s="68">
        <v>15</v>
      </c>
      <c r="C35" s="27" t="s">
        <v>169</v>
      </c>
      <c r="D35" s="117" t="s">
        <v>164</v>
      </c>
      <c r="E35" s="116">
        <v>1</v>
      </c>
      <c r="F35" s="116">
        <v>11.73</v>
      </c>
      <c r="G35" s="116">
        <f t="shared" si="0"/>
        <v>11.73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1:16" ht="14.25" customHeight="1" x14ac:dyDescent="0.3">
      <c r="B36" s="68">
        <v>16</v>
      </c>
      <c r="C36" s="27" t="s">
        <v>170</v>
      </c>
      <c r="D36" s="117" t="s">
        <v>164</v>
      </c>
      <c r="E36" s="116">
        <v>1</v>
      </c>
      <c r="F36" s="116">
        <v>1.6</v>
      </c>
      <c r="G36" s="116">
        <f t="shared" si="0"/>
        <v>1.6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1:16" ht="14.25" customHeight="1" x14ac:dyDescent="0.3">
      <c r="B37" s="139" t="s">
        <v>29</v>
      </c>
      <c r="C37" s="140"/>
      <c r="D37" s="140"/>
      <c r="E37" s="140"/>
      <c r="F37" s="140"/>
      <c r="G37" s="141"/>
      <c r="H37" s="39"/>
      <c r="I37" s="39"/>
      <c r="J37" s="39"/>
      <c r="K37" s="39"/>
      <c r="L37" s="39"/>
      <c r="M37" s="39"/>
      <c r="N37" s="39"/>
      <c r="O37" s="39"/>
      <c r="P37" s="39"/>
    </row>
    <row r="38" spans="1:16" ht="14.25" customHeight="1" x14ac:dyDescent="0.3">
      <c r="B38" s="68">
        <v>1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1:16" ht="14.25" customHeight="1" x14ac:dyDescent="0.3">
      <c r="B39" s="68">
        <v>2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1:16" ht="14.25" customHeight="1" x14ac:dyDescent="0.3">
      <c r="B40" s="68">
        <v>3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1:16" ht="14.25" customHeight="1" x14ac:dyDescent="0.3">
      <c r="B41" s="68">
        <v>4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1:16" ht="14.25" customHeight="1" x14ac:dyDescent="0.3">
      <c r="B42" s="68">
        <v>5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1:16" ht="14.25" customHeight="1" x14ac:dyDescent="0.3">
      <c r="B43" s="68">
        <v>6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1:16" ht="14.25" customHeight="1" x14ac:dyDescent="0.3">
      <c r="B44" s="68">
        <v>7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1:16" ht="14.25" customHeight="1" x14ac:dyDescent="0.3">
      <c r="B45" s="68">
        <v>8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1:16" ht="14.25" customHeight="1" x14ac:dyDescent="0.3">
      <c r="B46" s="68">
        <v>9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1:16" ht="14.25" customHeight="1" x14ac:dyDescent="0.3">
      <c r="B47" s="68">
        <v>10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1:16" ht="14.25" customHeight="1" x14ac:dyDescent="0.3">
      <c r="A48" s="44"/>
      <c r="B48" s="39"/>
      <c r="C48" s="44"/>
      <c r="D48" s="39"/>
      <c r="E48" s="39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5.75" customHeight="1" x14ac:dyDescent="0.25"/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</sheetData>
  <sheetProtection password="C2E9" sheet="1" objects="1" scenarios="1" formatColumns="0" formatRows="0" sort="0" autoFilter="0"/>
  <mergeCells count="9">
    <mergeCell ref="B7:G7"/>
    <mergeCell ref="B20:G20"/>
    <mergeCell ref="B37:G37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7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20</xdr:row>
                    <xdr:rowOff>28575</xdr:rowOff>
                  </from>
                  <to>
                    <xdr:col>1</xdr:col>
                    <xdr:colOff>762000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20</xdr:row>
                    <xdr:rowOff>28575</xdr:rowOff>
                  </from>
                  <to>
                    <xdr:col>1</xdr:col>
                    <xdr:colOff>1533525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37</xdr:row>
                    <xdr:rowOff>28575</xdr:rowOff>
                  </from>
                  <to>
                    <xdr:col>1</xdr:col>
                    <xdr:colOff>771525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37</xdr:row>
                    <xdr:rowOff>28575</xdr:rowOff>
                  </from>
                  <to>
                    <xdr:col>1</xdr:col>
                    <xdr:colOff>1543050</xdr:colOff>
                    <xdr:row>37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C28" sqref="C28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NSD01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8" t="s">
        <v>32</v>
      </c>
      <c r="E11" s="149"/>
      <c r="F11" s="149"/>
      <c r="G11" s="149"/>
      <c r="H11" s="149"/>
      <c r="I11" s="149"/>
      <c r="J11" s="149"/>
      <c r="K11" s="149"/>
      <c r="L11" s="149"/>
      <c r="M11" s="149"/>
      <c r="N11" s="150"/>
      <c r="P11" s="151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2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PHIC-5</cp:lastModifiedBy>
  <dcterms:created xsi:type="dcterms:W3CDTF">2018-05-11T08:46:15Z</dcterms:created>
  <dcterms:modified xsi:type="dcterms:W3CDTF">2018-06-04T07:18:26Z</dcterms:modified>
</cp:coreProperties>
</file>