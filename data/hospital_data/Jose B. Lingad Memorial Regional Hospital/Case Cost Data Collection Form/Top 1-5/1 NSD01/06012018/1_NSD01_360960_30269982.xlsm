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Supplies_Medical'!$C$15:$C$55</definedName>
    <definedName name="Drugs">'1.2 Drugs&amp;Med'!$C$11:$C$16</definedName>
    <definedName name="_xlnm.Print_Area" localSheetId="0">'1.1 Case data_general'!$B$1:$F$80</definedName>
    <definedName name="_xlnm.Print_Area" localSheetId="1">'1.2 Drugs&amp;Med'!$B$2:$J$24</definedName>
  </definedNames>
  <calcPr calcId="144525"/>
</workbook>
</file>

<file path=xl/calcChain.xml><?xml version="1.0" encoding="utf-8"?>
<calcChain xmlns="http://schemas.openxmlformats.org/spreadsheetml/2006/main">
  <c r="J23" i="2" l="1"/>
  <c r="J22" i="2"/>
  <c r="J21" i="2"/>
  <c r="J20" i="2"/>
  <c r="J19" i="2"/>
  <c r="G44" i="9" l="1"/>
  <c r="G43" i="9"/>
  <c r="G42" i="9"/>
  <c r="G41" i="9"/>
  <c r="G40" i="9"/>
  <c r="G39" i="9"/>
  <c r="G38" i="9"/>
  <c r="G37" i="9"/>
  <c r="J18" i="2" l="1"/>
  <c r="J17" i="2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<sst xmlns="http://schemas.openxmlformats.org/spreadsheetml/2006/main" count="546" uniqueCount="233">
  <si>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</si>
  <si>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</si>
  <si>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</si>
  <si>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</si>
  <si>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</si>
  <si>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</si>
  <si>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</si>
  <si>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</si>
  <si>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</si>
  <si>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</si>
  <si>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</si>
  <si>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</si>
  <si>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</si>
  <si>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</si>
  <si>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</si>
  <si>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</si>
  <si>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</si>
  <si>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</si>
  <si>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</si>
  <si>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</si>
  <si>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</si>
  <si>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</si>
  <si>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</si>
  <si>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</si>
  <si>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</si>
  <si>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</si>
  <si>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</si>
  <si>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</si>
  <si>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</si>
  <si>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</si>
  <si>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</si>
  <si>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</si>
  <si>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</si>
  <si>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</si>
  <si>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</si>
  <si>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</si>
  <si>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</si>
  <si>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</si>
  <si>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</si>
  <si>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</si>
  <si>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</si>
  <si>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</si>
  <si>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</si>
  <si>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</si>
  <si>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</si>
  <si>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</si>
  <si>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</si>
  <si>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</si>
  <si>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</si>
  <si>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</si>
  <si>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</si>
  <si>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</si>
  <si>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</si>
  <si>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</si>
  <si>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</si>
  <si>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</si>
  <si>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</si>
  <si>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</si>
  <si>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</si>
  <si>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</si>
  <si>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</si>
  <si>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</si>
  <si>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</si>
  <si>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</si>
  <si>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</si>
  <si>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</si>
  <si>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</si>
  <si>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</si>
  <si>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</si>
  <si>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</si>
  <si>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</si>
  <si>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</si>
  <si>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</si>
  <si>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</si>
  <si>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</si>
  <si>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</si>
  <si>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</si>
  <si>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</si>
  <si>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</si>
  <si>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</si>
  <si>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</si>
  <si>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</si>
  <si>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</si>
  <si>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</si>
  <si>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</si>
  <si>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</si>
  <si>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</si>
  <si>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</si>
  <si>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</si>
  <si>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</si>
  <si>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</si>
  <si>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</si>
  <si>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</si>
  <si>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</si>
  <si>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</si>
  <si>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</si>
  <si>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</si>
  <si>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</si>
  <si>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</si>
  <si>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</si>
  <si>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</si>
  <si>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</si>
  <si>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</si>
  <si>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</si>
  <si>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</si>
  <si>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</si>
  <si>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</si>
  <si>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</si>
  <si>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</si>
  <si>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</si>
  <si>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</si>
  <si>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</si>
  <si>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</si>
  <si>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</si>
  <si>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</si>
  <si>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</si>
  <si>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</si>
  <si>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</si>
  <si>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</si>
  <si>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</si>
  <si>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</si>
  <si>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</si>
  <si>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</si>
  <si>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</si>
  <si>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</si>
  <si>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</si>
  <si>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</si>
  <si>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</si>
  <si>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</si>
  <si>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</si>
  <si>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</si>
  <si>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</si>
  <si>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</si>
  <si>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</si>
  <si>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</si>
  <si>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</si>
  <si>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</si>
  <si>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</si>
  <si>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</si>
  <si>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</si>
  <si>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</si>
  <si>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</si>
  <si>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</si>
  <si>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</si>
  <si>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</si>
  <si>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</si>
  <si>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</si>
  <si>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</si>
  <si>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</si>
  <si>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</si>
  <si>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</si>
  <si>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</si>
  <si>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</si>
  <si>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</si>
  <si>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</si>
  <si>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</si>
  <si>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</si>
  <si>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</si>
  <si>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</si>
  <si>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</si>
  <si>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</si>
  <si>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</si>
  <si>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</si>
  <si>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</si>
  <si>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</si>
  <si>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</si>
  <si>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</si>
  <si>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</si>
  <si>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</si>
  <si>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</si>
  <si>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</si>
  <si>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</si>
  <si>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</si>
  <si>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</si>
  <si>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</si>
  <si>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</si>
  <si>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</si>
  <si>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</si>
  <si>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</si>
  <si>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</si>
  <si>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SET</t>
  </si>
  <si>
    <t>(D5LRS 1L) 5% DEXTROSE IN LACTATED RINGERS SOLUTION 1000ML (D5 LRS) X 12S</t>
  </si>
  <si>
    <t>PHYTOMENADIONE ( VITAMIN K ) 10MG/1ML</t>
  </si>
  <si>
    <t>ERYTHROMYCIN  EYE OINTMENT 0.5%, 3.5G</t>
  </si>
  <si>
    <t>FERROUS SULFATE + FOLIC ACID 200MG./400MCG (DONATION)</t>
  </si>
  <si>
    <t>VIAL</t>
  </si>
  <si>
    <t>FLUID</t>
  </si>
  <si>
    <t>TUBE</t>
  </si>
  <si>
    <t>CAPSULE</t>
  </si>
  <si>
    <t>1L</t>
  </si>
  <si>
    <t>10MG</t>
  </si>
  <si>
    <t>3.5G</t>
  </si>
  <si>
    <t>500MG</t>
  </si>
  <si>
    <t>200MG</t>
  </si>
  <si>
    <t>ROLL</t>
  </si>
  <si>
    <t>ULTRASOUND PRINTING PAPER 110MM X 20MM (HIGH DENSITY) (DURICO TYPE 1)</t>
  </si>
  <si>
    <t>CASE RATE</t>
  </si>
  <si>
    <t>PF CASE</t>
  </si>
  <si>
    <t>MATERNITY PAD  X 8</t>
  </si>
  <si>
    <t>AMPULE</t>
  </si>
  <si>
    <t>HYOSCINE N-BUTYLBROMIDE 20MG/ML-1ML</t>
  </si>
  <si>
    <t>20MG</t>
  </si>
  <si>
    <t>IV CATHETER GAUGE 20</t>
  </si>
  <si>
    <t>360960/74337</t>
  </si>
  <si>
    <t>O14.1</t>
  </si>
  <si>
    <t>CHEST PA ADULT</t>
  </si>
  <si>
    <t>SGPT</t>
  </si>
  <si>
    <t>NA (SODIUM)</t>
  </si>
  <si>
    <t>SGOT</t>
  </si>
  <si>
    <t>CREATININE (CREA)</t>
  </si>
  <si>
    <t>K (POTASSIUM)</t>
  </si>
  <si>
    <t>LDH</t>
  </si>
  <si>
    <t>CL (CHLORIDE)</t>
  </si>
  <si>
    <t>BLOOD UREA NITROGEN (BUN)</t>
  </si>
  <si>
    <t>RANDOM BLOOD SUGAR (RBS)</t>
  </si>
  <si>
    <t>URINALYSIS (UA)</t>
  </si>
  <si>
    <t>NBB</t>
  </si>
  <si>
    <t>IV CATHETER GAUGE 18</t>
  </si>
  <si>
    <t>FOLEY CATHETER FR 14, 2 WAY, BOX OF 20</t>
  </si>
  <si>
    <t>URINE BAG, ADULT W/ DRAINAGE TUBE 2,000 ML</t>
  </si>
  <si>
    <t>ECG PAPER, UNWAXED,  50MM X 30M GREEN NON-GLOSSY</t>
  </si>
  <si>
    <t>STERILE WATER FOR INJECTION, 10ML (SWFI)</t>
  </si>
  <si>
    <t>IV SET FOR PEDIA W/ BURETTE FOR DOSIFICATION VENTS W/ FILTER, SOLUSET</t>
  </si>
  <si>
    <t>PLAIN NSS 1L  (X 12S)</t>
  </si>
  <si>
    <t>MAGNESIUM SULFATE 500MG/ML-2ML AMP</t>
  </si>
  <si>
    <t>AMPICILLIN SODIUM 500MG</t>
  </si>
  <si>
    <t>FUROSEMIDE 20MG</t>
  </si>
  <si>
    <t>LOSARTAN (AS POTASSIUM SALT) 50MG</t>
  </si>
  <si>
    <t>METRONIDAZOLE 500MG IN BLISTER FOIL PACK</t>
  </si>
  <si>
    <t>AMLODIPINE BESYLATE 10MG IN BLISTER/FOIL PACK</t>
  </si>
  <si>
    <t>CALCIUM CARBONATE 500MG BLISTER/FOIL PACK</t>
  </si>
  <si>
    <t>50MG</t>
  </si>
  <si>
    <t>TABLET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</si>
</sst>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28575</xdr:rowOff>
        </xdr:from>
        <xdr:to>
          <xdr:col>1</xdr:col>
          <xdr:colOff>771525</xdr:colOff>
          <xdr:row>45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45</xdr:row>
          <xdr:rowOff>28575</xdr:rowOff>
        </xdr:from>
        <xdr:to>
          <xdr:col>1</xdr:col>
          <xdr:colOff>1543050</xdr:colOff>
          <xdr:row>45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204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206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207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208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209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210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211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212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213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169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214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 t="s">
        <v>215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 t="s">
        <v>170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21" t="s">
        <v>19</v>
      </c>
      <c r="C47" s="122"/>
      <c r="D47" s="119"/>
      <c r="E47" s="122"/>
      <c r="F47" s="12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205</v>
      </c>
      <c r="D48" s="23"/>
      <c r="E48" s="55">
        <v>1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21" t="s">
        <v>43</v>
      </c>
      <c r="C52" s="122"/>
      <c r="D52" s="119"/>
      <c r="E52" s="122"/>
      <c r="F52" s="120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44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8" t="s">
        <v>52</v>
      </c>
      <c r="C54" s="119"/>
      <c r="D54" s="119"/>
      <c r="E54" s="119"/>
      <c r="F54" s="120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8" t="s">
        <v>20</v>
      </c>
      <c r="C59" s="119"/>
      <c r="D59" s="119"/>
      <c r="E59" s="119"/>
      <c r="F59" s="120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54</v>
      </c>
      <c r="C68" s="17" t="s">
        <v>50</v>
      </c>
      <c r="D68" s="17" t="s">
        <v>55</v>
      </c>
      <c r="E68" s="18" t="s">
        <v>56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196</v>
      </c>
      <c r="D69" s="55">
        <v>3000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197</v>
      </c>
      <c r="D70" s="55">
        <v>2000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216</v>
      </c>
      <c r="D71" s="55"/>
      <c r="E71" s="55">
        <v>7886.99</v>
      </c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58"/>
      <c r="E79" s="58"/>
      <c r="F79" s="5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9">
        <f>SUM(D69:D79)</f>
        <v>5000</v>
      </c>
      <c r="E80" s="59">
        <f>SUM(E69:E79)</f>
        <v>7886.99</v>
      </c>
      <c r="F80" s="59">
        <f>SUM(F69:F79)</f>
        <v>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password="C2E9" sheet="1" objects="1" scenarios="1"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E34:E46 D69:F7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4"/>
  <sheetViews>
    <sheetView topLeftCell="B1" workbookViewId="0">
      <selection activeCell="F24" sqref="F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13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31" t="s">
        <v>223</v>
      </c>
      <c r="D11" s="27" t="s">
        <v>186</v>
      </c>
      <c r="E11" s="27" t="s">
        <v>189</v>
      </c>
      <c r="F11" s="55">
        <v>1</v>
      </c>
      <c r="G11" s="55">
        <v>2</v>
      </c>
      <c r="H11" s="55">
        <v>2</v>
      </c>
      <c r="I11" s="55">
        <v>50.67</v>
      </c>
      <c r="J11" s="55">
        <f>H11*I11</f>
        <v>101.34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31" t="s">
        <v>224</v>
      </c>
      <c r="D12" s="27" t="s">
        <v>199</v>
      </c>
      <c r="E12" s="27" t="s">
        <v>192</v>
      </c>
      <c r="F12" s="55">
        <v>14</v>
      </c>
      <c r="G12" s="55">
        <v>4</v>
      </c>
      <c r="H12" s="55">
        <v>55</v>
      </c>
      <c r="I12" s="55">
        <v>72</v>
      </c>
      <c r="J12" s="55">
        <f t="shared" ref="J12:J23" si="0">H12*I12</f>
        <v>3960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31" t="s">
        <v>225</v>
      </c>
      <c r="D13" s="27" t="s">
        <v>199</v>
      </c>
      <c r="E13" s="27" t="s">
        <v>192</v>
      </c>
      <c r="F13" s="55">
        <v>5</v>
      </c>
      <c r="G13" s="55">
        <v>4</v>
      </c>
      <c r="H13" s="55">
        <v>20</v>
      </c>
      <c r="I13" s="55">
        <v>10.92</v>
      </c>
      <c r="J13" s="55">
        <f t="shared" si="0"/>
        <v>218.4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31" t="s">
        <v>182</v>
      </c>
      <c r="D14" s="27" t="s">
        <v>185</v>
      </c>
      <c r="E14" s="27" t="s">
        <v>190</v>
      </c>
      <c r="F14" s="55">
        <v>1</v>
      </c>
      <c r="G14" s="55">
        <v>1</v>
      </c>
      <c r="H14" s="55">
        <v>1</v>
      </c>
      <c r="I14" s="55">
        <v>21.31</v>
      </c>
      <c r="J14" s="55">
        <f t="shared" si="0"/>
        <v>21.31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31" t="s">
        <v>183</v>
      </c>
      <c r="D15" s="27" t="s">
        <v>187</v>
      </c>
      <c r="E15" s="27" t="s">
        <v>191</v>
      </c>
      <c r="F15" s="55">
        <v>1</v>
      </c>
      <c r="G15" s="55">
        <v>1</v>
      </c>
      <c r="H15" s="55">
        <v>1</v>
      </c>
      <c r="I15" s="55">
        <v>21</v>
      </c>
      <c r="J15" s="55">
        <f t="shared" si="0"/>
        <v>21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31" t="s">
        <v>226</v>
      </c>
      <c r="D16" s="27" t="s">
        <v>199</v>
      </c>
      <c r="E16" s="27" t="s">
        <v>201</v>
      </c>
      <c r="F16" s="55">
        <v>1</v>
      </c>
      <c r="G16" s="55">
        <v>2</v>
      </c>
      <c r="H16" s="55">
        <v>2</v>
      </c>
      <c r="I16" s="55">
        <v>3.2</v>
      </c>
      <c r="J16" s="55">
        <f t="shared" si="0"/>
        <v>6.4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31" t="s">
        <v>227</v>
      </c>
      <c r="D17" s="27" t="s">
        <v>232</v>
      </c>
      <c r="E17" s="27" t="s">
        <v>231</v>
      </c>
      <c r="F17" s="55">
        <v>2</v>
      </c>
      <c r="G17" s="55">
        <v>7</v>
      </c>
      <c r="H17" s="55">
        <v>14</v>
      </c>
      <c r="I17" s="55">
        <v>0.75</v>
      </c>
      <c r="J17" s="55">
        <f t="shared" si="0"/>
        <v>10.5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31" t="s">
        <v>228</v>
      </c>
      <c r="D18" s="27" t="s">
        <v>188</v>
      </c>
      <c r="E18" s="27" t="s">
        <v>192</v>
      </c>
      <c r="F18" s="55">
        <v>3</v>
      </c>
      <c r="G18" s="55">
        <v>7</v>
      </c>
      <c r="H18" s="55">
        <v>21</v>
      </c>
      <c r="I18" s="55">
        <v>1.93</v>
      </c>
      <c r="J18" s="55">
        <f t="shared" si="0"/>
        <v>40.53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31" t="s">
        <v>229</v>
      </c>
      <c r="D19" s="27" t="s">
        <v>188</v>
      </c>
      <c r="E19" s="27" t="s">
        <v>190</v>
      </c>
      <c r="F19" s="55">
        <v>2</v>
      </c>
      <c r="G19" s="55">
        <v>5</v>
      </c>
      <c r="H19" s="55">
        <v>10</v>
      </c>
      <c r="I19" s="55">
        <v>5.07</v>
      </c>
      <c r="J19" s="55">
        <f t="shared" si="0"/>
        <v>50.7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31" t="s">
        <v>184</v>
      </c>
      <c r="D20" s="27" t="s">
        <v>188</v>
      </c>
      <c r="E20" s="27" t="s">
        <v>193</v>
      </c>
      <c r="F20" s="55">
        <v>1</v>
      </c>
      <c r="G20" s="55">
        <v>100</v>
      </c>
      <c r="H20" s="55">
        <v>100</v>
      </c>
      <c r="I20" s="55">
        <v>1.27</v>
      </c>
      <c r="J20" s="55">
        <f t="shared" si="0"/>
        <v>127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31" t="s">
        <v>230</v>
      </c>
      <c r="D21" s="27" t="s">
        <v>188</v>
      </c>
      <c r="E21" s="27" t="s">
        <v>192</v>
      </c>
      <c r="F21" s="55">
        <v>4</v>
      </c>
      <c r="G21" s="55">
        <v>5</v>
      </c>
      <c r="H21" s="55">
        <v>20</v>
      </c>
      <c r="I21" s="55">
        <v>1.83</v>
      </c>
      <c r="J21" s="55">
        <f t="shared" si="0"/>
        <v>36.6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31" t="s">
        <v>200</v>
      </c>
      <c r="D22" s="27" t="s">
        <v>185</v>
      </c>
      <c r="E22" s="27" t="s">
        <v>201</v>
      </c>
      <c r="F22" s="55">
        <v>1</v>
      </c>
      <c r="G22" s="55">
        <v>4</v>
      </c>
      <c r="H22" s="55">
        <v>4</v>
      </c>
      <c r="I22" s="55">
        <v>25.79</v>
      </c>
      <c r="J22" s="55">
        <f t="shared" si="0"/>
        <v>103.16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31" t="s">
        <v>181</v>
      </c>
      <c r="D23" s="27" t="s">
        <v>186</v>
      </c>
      <c r="E23" s="27" t="s">
        <v>189</v>
      </c>
      <c r="F23" s="55">
        <v>1</v>
      </c>
      <c r="G23" s="55">
        <v>1</v>
      </c>
      <c r="H23" s="55">
        <v>1</v>
      </c>
      <c r="I23" s="55">
        <v>49.33</v>
      </c>
      <c r="J23" s="55">
        <f t="shared" si="0"/>
        <v>49.33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25">
      <c r="A24" s="33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</row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8">
    <cfRule type="duplicateValues" dxfId="21" priority="26"/>
  </conditionalFormatting>
  <conditionalFormatting sqref="C19">
    <cfRule type="duplicateValues" dxfId="20" priority="5"/>
  </conditionalFormatting>
  <conditionalFormatting sqref="C20">
    <cfRule type="duplicateValues" dxfId="19" priority="4"/>
  </conditionalFormatting>
  <conditionalFormatting sqref="C21">
    <cfRule type="duplicateValues" dxfId="18" priority="3"/>
  </conditionalFormatting>
  <conditionalFormatting sqref="C22">
    <cfRule type="duplicateValues" dxfId="17" priority="2"/>
  </conditionalFormatting>
  <conditionalFormatting sqref="C23">
    <cfRule type="duplicateValues" dxfId="0" priority="1"/>
  </conditionalFormatting>
  <dataValidations count="1">
    <dataValidation type="decimal" operator="greaterThanOrEqual" allowBlank="1" showInputMessage="1" showErrorMessage="1" sqref="F11:J23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9"/>
  <sheetViews>
    <sheetView topLeftCell="A12" workbookViewId="0">
      <selection activeCell="D44" sqref="D44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17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217</v>
      </c>
      <c r="D28" s="117" t="s">
        <v>164</v>
      </c>
      <c r="E28" s="116">
        <v>1</v>
      </c>
      <c r="F28" s="116">
        <v>13.13</v>
      </c>
      <c r="G28" s="116">
        <f>+E28*F28</f>
        <v>13.13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31" t="s">
        <v>218</v>
      </c>
      <c r="D29" s="117" t="s">
        <v>164</v>
      </c>
      <c r="E29" s="116">
        <v>2</v>
      </c>
      <c r="F29" s="116">
        <v>22</v>
      </c>
      <c r="G29" s="116">
        <f t="shared" ref="G29:G44" si="0">+E29*F29</f>
        <v>44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31" t="s">
        <v>219</v>
      </c>
      <c r="D30" s="117" t="s">
        <v>164</v>
      </c>
      <c r="E30" s="116">
        <v>1</v>
      </c>
      <c r="F30" s="116">
        <v>15.81</v>
      </c>
      <c r="G30" s="116">
        <f t="shared" si="0"/>
        <v>15.81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31" t="s">
        <v>220</v>
      </c>
      <c r="D31" s="117" t="s">
        <v>194</v>
      </c>
      <c r="E31" s="116">
        <v>1</v>
      </c>
      <c r="F31" s="116">
        <v>100</v>
      </c>
      <c r="G31" s="116">
        <f t="shared" si="0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31" t="s">
        <v>195</v>
      </c>
      <c r="D32" s="117" t="s">
        <v>194</v>
      </c>
      <c r="E32" s="116">
        <v>1</v>
      </c>
      <c r="F32" s="116">
        <v>100</v>
      </c>
      <c r="G32" s="116">
        <f t="shared" si="0"/>
        <v>100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31" t="s">
        <v>172</v>
      </c>
      <c r="D33" s="117" t="s">
        <v>164</v>
      </c>
      <c r="E33" s="116">
        <v>3</v>
      </c>
      <c r="F33" s="116">
        <v>11.73</v>
      </c>
      <c r="G33" s="116">
        <f t="shared" si="0"/>
        <v>35.19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31" t="s">
        <v>173</v>
      </c>
      <c r="D34" s="117" t="s">
        <v>164</v>
      </c>
      <c r="E34" s="116">
        <v>6</v>
      </c>
      <c r="F34" s="116">
        <v>1.6</v>
      </c>
      <c r="G34" s="116">
        <f t="shared" si="0"/>
        <v>9.6000000000000014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31" t="s">
        <v>174</v>
      </c>
      <c r="D35" s="117" t="s">
        <v>164</v>
      </c>
      <c r="E35" s="116">
        <v>7</v>
      </c>
      <c r="F35" s="116">
        <v>1.6</v>
      </c>
      <c r="G35" s="116">
        <f t="shared" si="0"/>
        <v>11.200000000000001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31" t="s">
        <v>175</v>
      </c>
      <c r="D36" s="117" t="s">
        <v>164</v>
      </c>
      <c r="E36" s="116">
        <v>7</v>
      </c>
      <c r="F36" s="116">
        <v>5</v>
      </c>
      <c r="G36" s="116">
        <f t="shared" si="0"/>
        <v>35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31" t="s">
        <v>176</v>
      </c>
      <c r="D37" s="117" t="s">
        <v>164</v>
      </c>
      <c r="E37" s="116">
        <v>2</v>
      </c>
      <c r="F37" s="116">
        <v>2.77</v>
      </c>
      <c r="G37" s="116">
        <f t="shared" si="0"/>
        <v>5.54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31" t="s">
        <v>221</v>
      </c>
      <c r="D38" s="117" t="s">
        <v>164</v>
      </c>
      <c r="E38" s="116">
        <v>1</v>
      </c>
      <c r="F38" s="116">
        <v>25</v>
      </c>
      <c r="G38" s="116">
        <f t="shared" si="0"/>
        <v>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31" t="s">
        <v>171</v>
      </c>
      <c r="D39" s="117" t="s">
        <v>164</v>
      </c>
      <c r="E39" s="116">
        <v>2</v>
      </c>
      <c r="F39" s="116">
        <v>20.97</v>
      </c>
      <c r="G39" s="116">
        <f t="shared" si="0"/>
        <v>41.94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31" t="s">
        <v>177</v>
      </c>
      <c r="D40" s="117" t="s">
        <v>164</v>
      </c>
      <c r="E40" s="116">
        <v>1</v>
      </c>
      <c r="F40" s="116">
        <v>3.25</v>
      </c>
      <c r="G40" s="116">
        <f t="shared" si="0"/>
        <v>3.25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31" t="s">
        <v>178</v>
      </c>
      <c r="D41" s="117" t="s">
        <v>164</v>
      </c>
      <c r="E41" s="116">
        <v>1</v>
      </c>
      <c r="F41" s="116">
        <v>5</v>
      </c>
      <c r="G41" s="116">
        <f t="shared" si="0"/>
        <v>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31" t="s">
        <v>198</v>
      </c>
      <c r="D42" s="117" t="s">
        <v>164</v>
      </c>
      <c r="E42" s="116">
        <v>2</v>
      </c>
      <c r="F42" s="116">
        <v>250</v>
      </c>
      <c r="G42" s="116">
        <f t="shared" si="0"/>
        <v>500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31" t="s">
        <v>222</v>
      </c>
      <c r="D43" s="117" t="s">
        <v>180</v>
      </c>
      <c r="E43" s="116">
        <v>1</v>
      </c>
      <c r="F43" s="116">
        <v>116.67</v>
      </c>
      <c r="G43" s="116">
        <f t="shared" si="0"/>
        <v>116.67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31" t="s">
        <v>202</v>
      </c>
      <c r="D44" s="117" t="s">
        <v>164</v>
      </c>
      <c r="E44" s="116">
        <v>3</v>
      </c>
      <c r="F44" s="116">
        <v>13.13</v>
      </c>
      <c r="G44" s="116">
        <f t="shared" si="0"/>
        <v>39.39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139" t="s">
        <v>29</v>
      </c>
      <c r="C45" s="140"/>
      <c r="D45" s="140"/>
      <c r="E45" s="140"/>
      <c r="F45" s="140"/>
      <c r="G45" s="141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3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4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5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6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7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8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9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10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5:G45"/>
    <mergeCell ref="B8:G8"/>
    <mergeCell ref="B9:G9"/>
    <mergeCell ref="B10:G10"/>
    <mergeCell ref="B11:G11"/>
    <mergeCell ref="B12:G12"/>
    <mergeCell ref="B15:G15"/>
  </mergeCells>
  <conditionalFormatting sqref="C29">
    <cfRule type="duplicateValues" dxfId="16" priority="25"/>
  </conditionalFormatting>
  <conditionalFormatting sqref="C30">
    <cfRule type="duplicateValues" dxfId="15" priority="24"/>
  </conditionalFormatting>
  <conditionalFormatting sqref="C31">
    <cfRule type="duplicateValues" dxfId="14" priority="23"/>
  </conditionalFormatting>
  <conditionalFormatting sqref="C32">
    <cfRule type="duplicateValues" dxfId="13" priority="22"/>
  </conditionalFormatting>
  <conditionalFormatting sqref="C33">
    <cfRule type="duplicateValues" dxfId="12" priority="21"/>
  </conditionalFormatting>
  <conditionalFormatting sqref="C34">
    <cfRule type="duplicateValues" dxfId="11" priority="20"/>
  </conditionalFormatting>
  <conditionalFormatting sqref="C35">
    <cfRule type="duplicateValues" dxfId="10" priority="19"/>
  </conditionalFormatting>
  <conditionalFormatting sqref="C36">
    <cfRule type="duplicateValues" dxfId="9" priority="18"/>
  </conditionalFormatting>
  <conditionalFormatting sqref="C37">
    <cfRule type="duplicateValues" dxfId="8" priority="9"/>
  </conditionalFormatting>
  <conditionalFormatting sqref="C38">
    <cfRule type="duplicateValues" dxfId="7" priority="8"/>
  </conditionalFormatting>
  <conditionalFormatting sqref="C39">
    <cfRule type="duplicateValues" dxfId="6" priority="7"/>
  </conditionalFormatting>
  <conditionalFormatting sqref="C40">
    <cfRule type="duplicateValues" dxfId="5" priority="6"/>
  </conditionalFormatting>
  <conditionalFormatting sqref="C41">
    <cfRule type="duplicateValues" dxfId="4" priority="5"/>
  </conditionalFormatting>
  <conditionalFormatting sqref="C42">
    <cfRule type="duplicateValues" dxfId="3" priority="4"/>
  </conditionalFormatting>
  <conditionalFormatting sqref="C43">
    <cfRule type="duplicateValues" dxfId="2" priority="3"/>
  </conditionalFormatting>
  <conditionalFormatting sqref="C44">
    <cfRule type="duplicateValues" dxfId="1" priority="2"/>
  </conditionalFormatting>
  <dataValidations count="1">
    <dataValidation type="decimal" operator="greaterThanOrEqual" allowBlank="1" showInputMessage="1" showErrorMessage="1" sqref="E16:G5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45</xdr:row>
                    <xdr:rowOff>28575</xdr:rowOff>
                  </from>
                  <to>
                    <xdr:col>1</xdr:col>
                    <xdr:colOff>771525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45</xdr:row>
                    <xdr:rowOff>28575</xdr:rowOff>
                  </from>
                  <to>
                    <xdr:col>1</xdr:col>
                    <xdr:colOff>1543050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2" workbookViewId="0">
      <selection activeCell="B48" sqref="B4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180</v>
      </c>
      <c r="E28" s="55"/>
      <c r="F28" s="55"/>
      <c r="G28" s="55" t="s">
        <v>179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2018-06-04T05:26:45Z</dcterms:modified>
</cp:coreProperties>
</file>