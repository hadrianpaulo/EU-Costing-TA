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60" windowWidth="15525" windowHeight="732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Supplies_Medical'!$C$15:$C$41</definedName>
    <definedName name="Drugs">'1.2 Drugs&amp;Med'!$C$11:$C$15</definedName>
    <definedName name="_xlnm.Print_Area" localSheetId="0">'1.1 Case data_general'!$B$1:$F$74</definedName>
    <definedName name="_xlnm.Print_Area" localSheetId="1">'1.2 Drugs&amp;Med'!$B$2:$J$17</definedName>
  </definedNames>
  <calcPr calcId="144525"/>
  <fileRecoveryPr repairLoad="1"/>
</workbook>
</file>

<file path=xl/calcChain.xml><?xml version="1.0" encoding="utf-8"?>
<calcChain xmlns="http://schemas.openxmlformats.org/spreadsheetml/2006/main">
  <c r="G30" i="9" l="1"/>
  <c r="G29" i="9"/>
  <c r="J16" i="2" l="1"/>
  <c r="G28" i="9" l="1"/>
  <c r="G27" i="9"/>
  <c r="G26" i="9"/>
  <c r="G25" i="9"/>
  <c r="G24" i="9"/>
  <c r="G23" i="9"/>
  <c r="G22" i="9"/>
  <c r="G21" i="9"/>
  <c r="J12" i="2" l="1"/>
  <c r="J13" i="2"/>
  <c r="J14" i="2"/>
  <c r="J15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<sst xmlns="http://schemas.openxmlformats.org/spreadsheetml/2006/main" count="502" uniqueCount="207">
  <si>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</si>
  <si>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</si>
  <si>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</si>
  <si>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</si>
  <si>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</si>
  <si>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</si>
  <si>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</si>
  <si>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</si>
  <si>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</si>
  <si>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</si>
  <si>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</si>
  <si>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</si>
  <si>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</si>
  <si>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</si>
  <si>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</si>
  <si>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</si>
  <si>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</si>
  <si>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</si>
  <si>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</si>
  <si>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</si>
  <si>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</si>
  <si>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</si>
  <si>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</si>
  <si>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</si>
  <si>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</si>
  <si>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</si>
  <si>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</si>
  <si>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</si>
  <si>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</si>
  <si>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</si>
  <si>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</si>
  <si>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</si>
  <si>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</si>
  <si>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</si>
  <si>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</si>
  <si>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</si>
  <si>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</si>
  <si>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</si>
  <si>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</si>
  <si>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</si>
  <si>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</si>
  <si>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</si>
  <si>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</si>
  <si>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</si>
  <si>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</si>
  <si>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</si>
  <si>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</si>
  <si>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</si>
  <si>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</si>
  <si>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</si>
  <si>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</si>
  <si>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</si>
  <si>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</si>
  <si>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</si>
  <si>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</si>
  <si>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</si>
  <si>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</si>
  <si>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</si>
  <si>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</si>
  <si>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</si>
  <si>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</si>
  <si>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</si>
  <si>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</si>
  <si>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</si>
  <si>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</si>
  <si>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</si>
  <si>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</si>
  <si>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</si>
  <si>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</si>
  <si>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</si>
  <si>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</si>
  <si>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</si>
  <si>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</si>
  <si>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</si>
  <si>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</si>
  <si>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</si>
  <si>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</si>
  <si>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</si>
  <si>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</si>
  <si>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</si>
  <si>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</si>
  <si>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</si>
  <si>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</si>
  <si>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</si>
  <si>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</si>
  <si>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</si>
  <si>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</si>
  <si>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</si>
  <si>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</si>
  <si>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</si>
  <si>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</si>
  <si>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</si>
  <si>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</si>
  <si>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</si>
  <si>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</si>
  <si>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</si>
  <si>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</si>
  <si>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</si>
  <si>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</si>
  <si>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</si>
  <si>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</si>
  <si>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</si>
  <si>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</si>
  <si>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</si>
  <si>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</si>
  <si>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</si>
  <si>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</si>
  <si>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</si>
  <si>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</si>
  <si>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</si>
  <si>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</si>
  <si>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</si>
  <si>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</si>
  <si>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</si>
  <si>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</si>
  <si>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</si>
  <si>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</si>
  <si>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</si>
  <si>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</si>
  <si>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</si>
  <si>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</si>
  <si>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</si>
  <si>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</si>
  <si>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</si>
  <si>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</si>
  <si>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</si>
  <si>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</si>
  <si>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</si>
  <si>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</si>
  <si>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</si>
  <si>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</si>
  <si>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</si>
  <si>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</si>
  <si>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</si>
  <si>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</si>
  <si>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</si>
  <si>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</si>
  <si>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</si>
  <si>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</si>
  <si>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</si>
  <si>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</si>
  <si>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</si>
  <si>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</si>
  <si>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</si>
  <si>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</si>
  <si>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</si>
  <si>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</si>
  <si>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</si>
  <si>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</si>
  <si>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</si>
  <si>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</si>
  <si>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</si>
  <si>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</si>
  <si>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</si>
  <si>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</si>
  <si>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</si>
  <si>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</si>
  <si>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</si>
  <si>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</si>
  <si>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</si>
  <si>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</si>
  <si>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</si>
  <si>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</si>
  <si>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MINOR</t>
  </si>
  <si>
    <t>NSD01</t>
  </si>
  <si>
    <t>O80.0</t>
  </si>
  <si>
    <t>Z37.0</t>
  </si>
  <si>
    <t>CBC, TYPING, HBSAG</t>
  </si>
  <si>
    <t>CASE RATE</t>
  </si>
  <si>
    <t>PF CASE</t>
  </si>
  <si>
    <t>RAPID PLASMA REAGIN (RPR)</t>
  </si>
  <si>
    <t>BLOOD EXTRACTION FEE</t>
  </si>
  <si>
    <t>NBB</t>
  </si>
  <si>
    <t>43696/74534</t>
  </si>
  <si>
    <t>NA (SODIUM)</t>
  </si>
  <si>
    <t>CREATININE (CREA)</t>
  </si>
  <si>
    <t>K (POTASSIUM)</t>
  </si>
  <si>
    <t>CL (CHLORIDE)</t>
  </si>
  <si>
    <t>BLOOD UREA NITROGEN (BUN)</t>
  </si>
  <si>
    <t>IV SET W/ AIRWAY FOR IV PUSH, VACOSET/MACRODRIP, ADULT</t>
  </si>
  <si>
    <t>IV CATHETER GAUGE 18</t>
  </si>
  <si>
    <t>ULTRASOUND PRINTING PAPER 110MM X 20MM (HIGH DENSITY) (DURICO TYPE 1)</t>
  </si>
  <si>
    <t>ADULT DIAPER WITH HIGH LIQUID ABSORBENCY</t>
  </si>
  <si>
    <t>MATERNITY PAD  X 8</t>
  </si>
  <si>
    <t>DISPOSABLE SYRINGE 1ML G 25, W/ NEEDLE X 100S (CPR NEEDED)</t>
  </si>
  <si>
    <t>DISPOSABLE SYRINGE 3ML G 23, W/ NEEDLE X 100S (CPR NEEDED)</t>
  </si>
  <si>
    <t>DISPOSABLE SYRINGE 5ML G 23, W/ NEEDLE X 100S</t>
  </si>
  <si>
    <t>DISPOSABLE SYRINGE 10ML G 21, W/ NEEDLE X 100S (CPR NEEDED)</t>
  </si>
  <si>
    <t>NGT 8 STRAIGHT, 40CM (CPR NEEDED)</t>
  </si>
  <si>
    <t>SET</t>
  </si>
  <si>
    <t>PC</t>
  </si>
  <si>
    <t>ROLL</t>
  </si>
  <si>
    <t>(D5LRS 1L) 5% DEXTROSE IN LACTATED RINGERS SOLUTION 1000ML (D5 LRS) X 12S</t>
  </si>
  <si>
    <t>ERYTHROMYCIN  EYE OINTMENT 0.5%, 3.5G</t>
  </si>
  <si>
    <t>PHYTOMENADIONE ( VITAMIN K ) 10MG/1ML</t>
  </si>
  <si>
    <t>METRONIDAZOLE 500MG IN BLISTER FOIL PACK</t>
  </si>
  <si>
    <t>FERROUS SULFATE + FOLIC ACID 200MG./400MCG (DONATION)</t>
  </si>
  <si>
    <t>CEFUROXIME 500MG IN BLISTER FOIL PACK</t>
  </si>
  <si>
    <t>FLUID</t>
  </si>
  <si>
    <t>TUBE</t>
  </si>
  <si>
    <t>VIAL</t>
  </si>
  <si>
    <t>CAPSULE</t>
  </si>
  <si>
    <t>1L</t>
  </si>
  <si>
    <t>3.5G</t>
  </si>
  <si>
    <t>10MG</t>
  </si>
  <si>
    <t>500MG</t>
  </si>
  <si>
    <t>200MG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</si>
</sst>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  <xf numFmtId="164" fontId="13" fillId="0" borderId="3" applyFont="0" applyFill="0" applyBorder="0" applyAlignment="0" applyProtection="0"/>
  </cellStyleXfs>
  <cellXfs count="153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164" fontId="10" fillId="5" borderId="21" xfId="4" applyFont="1" applyFill="1" applyBorder="1" applyProtection="1">
      <protection locked="0"/>
    </xf>
    <xf numFmtId="0" fontId="10" fillId="0" borderId="1" xfId="2" applyFont="1" applyBorder="1" applyAlignment="1" applyProtection="1">
      <alignment horizontal="center" wrapText="1"/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5">
    <cellStyle name="Comma" xfId="1" builtinId="3"/>
    <cellStyle name="Comma 2" xfId="4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20</xdr:row>
          <xdr:rowOff>28575</xdr:rowOff>
        </xdr:from>
        <xdr:to>
          <xdr:col>1</xdr:col>
          <xdr:colOff>762000</xdr:colOff>
          <xdr:row>20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20</xdr:row>
          <xdr:rowOff>28575</xdr:rowOff>
        </xdr:from>
        <xdr:to>
          <xdr:col>1</xdr:col>
          <xdr:colOff>1533525</xdr:colOff>
          <xdr:row>20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28575</xdr:rowOff>
        </xdr:from>
        <xdr:to>
          <xdr:col>1</xdr:col>
          <xdr:colOff>771525</xdr:colOff>
          <xdr:row>31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31</xdr:row>
          <xdr:rowOff>28575</xdr:rowOff>
        </xdr:from>
        <xdr:to>
          <xdr:col>1</xdr:col>
          <xdr:colOff>1543050</xdr:colOff>
          <xdr:row>31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="115" zoomScaleNormal="115" workbookViewId="0"/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8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3" t="s">
        <v>59</v>
      </c>
      <c r="C12" s="124"/>
      <c r="D12" s="124"/>
      <c r="E12" s="124"/>
      <c r="F12" s="125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6" t="s">
        <v>2</v>
      </c>
      <c r="C13" s="127"/>
      <c r="D13" s="127"/>
      <c r="E13" s="127"/>
      <c r="F13" s="128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6" t="s">
        <v>4</v>
      </c>
      <c r="C14" s="127"/>
      <c r="D14" s="127"/>
      <c r="E14" s="127"/>
      <c r="F14" s="128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9" t="s">
        <v>60</v>
      </c>
      <c r="C15" s="130"/>
      <c r="D15" s="130"/>
      <c r="E15" s="130"/>
      <c r="F15" s="13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173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8" t="s">
        <v>15</v>
      </c>
      <c r="C18" s="119"/>
      <c r="D18" s="119"/>
      <c r="E18" s="119"/>
      <c r="F18" s="120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165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166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8" t="s">
        <v>51</v>
      </c>
      <c r="C21" s="119"/>
      <c r="D21" s="119"/>
      <c r="E21" s="119"/>
      <c r="F21" s="120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 t="s">
        <v>164</v>
      </c>
      <c r="D22" s="29" t="s">
        <v>163</v>
      </c>
      <c r="E22" s="55">
        <v>1</v>
      </c>
      <c r="F22" s="55">
        <v>1.5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21" t="s">
        <v>42</v>
      </c>
      <c r="C27" s="122"/>
      <c r="D27" s="122"/>
      <c r="E27" s="122"/>
      <c r="F27" s="13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140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8" t="s">
        <v>18</v>
      </c>
      <c r="C32" s="119"/>
      <c r="D32" s="119"/>
      <c r="E32" s="119"/>
      <c r="F32" s="120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57" t="s">
        <v>167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57" t="s">
        <v>174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57" t="s">
        <v>175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57" t="s">
        <v>176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57" t="s">
        <v>177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57" t="s">
        <v>178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5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8</v>
      </c>
      <c r="C40" s="57" t="s">
        <v>171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21" t="s">
        <v>19</v>
      </c>
      <c r="C41" s="122"/>
      <c r="D41" s="119"/>
      <c r="E41" s="122"/>
      <c r="F41" s="120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5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21" t="s">
        <v>43</v>
      </c>
      <c r="C46" s="122"/>
      <c r="D46" s="119"/>
      <c r="E46" s="122"/>
      <c r="F46" s="120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8" t="s">
        <v>52</v>
      </c>
      <c r="C48" s="119"/>
      <c r="D48" s="119"/>
      <c r="E48" s="119"/>
      <c r="F48" s="120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8" t="s">
        <v>20</v>
      </c>
      <c r="C53" s="119"/>
      <c r="D53" s="119"/>
      <c r="E53" s="119"/>
      <c r="F53" s="120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168</v>
      </c>
      <c r="D63" s="55">
        <v>3000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169</v>
      </c>
      <c r="D64" s="55">
        <v>2000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172</v>
      </c>
      <c r="D65" s="55"/>
      <c r="E65" s="55">
        <v>1145.8900000000001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5000</v>
      </c>
      <c r="E74" s="59">
        <f>SUM(E63:E73)</f>
        <v>1145.8900000000001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password="C2E9" sheet="1" objects="1" scenarios="1"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1:F21"/>
    <mergeCell ref="B32:F32"/>
    <mergeCell ref="B27:F27"/>
    <mergeCell ref="B41:F41"/>
    <mergeCell ref="B48:F48"/>
  </mergeCells>
  <dataValidations count="1">
    <dataValidation type="decimal" operator="greaterThanOrEqual" allowBlank="1" showInputMessage="1" showErrorMessage="1" sqref="E31 E42:E45 E47 E22:F26 E49:F52 E54:F59 E33:E40 D63:F72 C33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7"/>
  <sheetViews>
    <sheetView topLeftCell="B1" workbookViewId="0">
      <selection activeCell="F17" sqref="F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NSD01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3" t="s">
        <v>63</v>
      </c>
      <c r="C8" s="134"/>
      <c r="D8" s="134"/>
      <c r="E8" s="134"/>
      <c r="F8" s="134"/>
      <c r="G8" s="134"/>
      <c r="H8" s="134"/>
      <c r="I8" s="134"/>
      <c r="J8" s="135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192</v>
      </c>
      <c r="D11" s="27" t="s">
        <v>198</v>
      </c>
      <c r="E11" s="27" t="s">
        <v>202</v>
      </c>
      <c r="F11" s="55">
        <v>1</v>
      </c>
      <c r="G11" s="55">
        <v>1</v>
      </c>
      <c r="H11" s="55">
        <v>1</v>
      </c>
      <c r="I11" s="55">
        <v>49.33</v>
      </c>
      <c r="J11" s="55">
        <f>H11*I11</f>
        <v>49.33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193</v>
      </c>
      <c r="D12" s="27" t="s">
        <v>199</v>
      </c>
      <c r="E12" s="27" t="s">
        <v>203</v>
      </c>
      <c r="F12" s="55">
        <v>1</v>
      </c>
      <c r="G12" s="55">
        <v>1</v>
      </c>
      <c r="H12" s="55">
        <v>1</v>
      </c>
      <c r="I12" s="55">
        <v>21</v>
      </c>
      <c r="J12" s="55">
        <f t="shared" ref="J12:J16" si="0">H12*I12</f>
        <v>21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194</v>
      </c>
      <c r="D13" s="27" t="s">
        <v>200</v>
      </c>
      <c r="E13" s="27" t="s">
        <v>204</v>
      </c>
      <c r="F13" s="55">
        <v>1</v>
      </c>
      <c r="G13" s="55">
        <v>1</v>
      </c>
      <c r="H13" s="55">
        <v>1</v>
      </c>
      <c r="I13" s="55">
        <v>21.31</v>
      </c>
      <c r="J13" s="55">
        <f t="shared" si="0"/>
        <v>21.31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195</v>
      </c>
      <c r="D14" s="27" t="s">
        <v>201</v>
      </c>
      <c r="E14" s="27" t="s">
        <v>205</v>
      </c>
      <c r="F14" s="55">
        <v>3</v>
      </c>
      <c r="G14" s="55">
        <v>7</v>
      </c>
      <c r="H14" s="55">
        <v>21</v>
      </c>
      <c r="I14" s="55">
        <v>1.93</v>
      </c>
      <c r="J14" s="55">
        <f t="shared" si="0"/>
        <v>40.53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196</v>
      </c>
      <c r="D15" s="27" t="s">
        <v>201</v>
      </c>
      <c r="E15" s="27" t="s">
        <v>206</v>
      </c>
      <c r="F15" s="55">
        <v>1</v>
      </c>
      <c r="G15" s="55">
        <v>100</v>
      </c>
      <c r="H15" s="55">
        <v>100</v>
      </c>
      <c r="I15" s="55">
        <v>1.27</v>
      </c>
      <c r="J15" s="55">
        <f t="shared" si="0"/>
        <v>127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197</v>
      </c>
      <c r="D16" s="27" t="s">
        <v>201</v>
      </c>
      <c r="E16" s="27" t="s">
        <v>205</v>
      </c>
      <c r="F16" s="55">
        <v>2</v>
      </c>
      <c r="G16" s="55">
        <v>7</v>
      </c>
      <c r="H16" s="55">
        <v>14</v>
      </c>
      <c r="I16" s="55">
        <v>11.72</v>
      </c>
      <c r="J16" s="55">
        <f t="shared" si="0"/>
        <v>164.08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19" ht="12.75" customHeight="1" x14ac:dyDescent="0.25">
      <c r="A17" s="33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ht="15.75" customHeight="1" x14ac:dyDescent="0.25"/>
    <row r="19" spans="1:19" ht="15.75" customHeight="1" x14ac:dyDescent="0.25"/>
    <row r="20" spans="1:19" ht="15.75" customHeight="1" x14ac:dyDescent="0.25"/>
    <row r="21" spans="1:19" ht="15.75" customHeight="1" x14ac:dyDescent="0.25"/>
    <row r="22" spans="1:19" ht="15.75" customHeight="1" x14ac:dyDescent="0.25"/>
    <row r="23" spans="1:19" ht="15.75" customHeight="1" x14ac:dyDescent="0.25"/>
    <row r="24" spans="1:19" ht="15.75" customHeight="1" x14ac:dyDescent="0.25"/>
    <row r="25" spans="1:19" ht="15.75" customHeight="1" x14ac:dyDescent="0.25"/>
    <row r="26" spans="1:19" ht="15.75" customHeight="1" x14ac:dyDescent="0.25"/>
    <row r="27" spans="1:19" ht="15.75" customHeight="1" x14ac:dyDescent="0.25"/>
    <row r="28" spans="1:19" ht="15.75" customHeight="1" x14ac:dyDescent="0.25"/>
    <row r="29" spans="1:19" ht="15.75" customHeight="1" x14ac:dyDescent="0.25"/>
    <row r="30" spans="1:19" ht="15.75" customHeight="1" x14ac:dyDescent="0.25"/>
    <row r="31" spans="1:19" ht="15.75" customHeight="1" x14ac:dyDescent="0.25"/>
    <row r="32" spans="1:19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password="C2E9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5"/>
  <sheetViews>
    <sheetView topLeftCell="A10" workbookViewId="0">
      <selection activeCell="D26" sqref="D26"/>
    </sheetView>
  </sheetViews>
  <sheetFormatPr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9.1406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4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6" t="s">
        <v>23</v>
      </c>
      <c r="C7" s="137"/>
      <c r="D7" s="137"/>
      <c r="E7" s="137"/>
      <c r="F7" s="137"/>
      <c r="G7" s="138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2" t="s">
        <v>24</v>
      </c>
      <c r="C8" s="143"/>
      <c r="D8" s="143"/>
      <c r="E8" s="143"/>
      <c r="F8" s="143"/>
      <c r="G8" s="144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2" t="s">
        <v>68</v>
      </c>
      <c r="C9" s="143"/>
      <c r="D9" s="143"/>
      <c r="E9" s="143"/>
      <c r="F9" s="143"/>
      <c r="G9" s="144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2" t="s">
        <v>25</v>
      </c>
      <c r="C10" s="143"/>
      <c r="D10" s="143"/>
      <c r="E10" s="143"/>
      <c r="F10" s="143"/>
      <c r="G10" s="144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2" t="s">
        <v>26</v>
      </c>
      <c r="C11" s="143"/>
      <c r="D11" s="143"/>
      <c r="E11" s="143"/>
      <c r="F11" s="143"/>
      <c r="G11" s="144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5" t="s">
        <v>27</v>
      </c>
      <c r="C12" s="146"/>
      <c r="D12" s="146"/>
      <c r="E12" s="146"/>
      <c r="F12" s="146"/>
      <c r="G12" s="147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9" t="s">
        <v>71</v>
      </c>
      <c r="C15" s="140"/>
      <c r="D15" s="140"/>
      <c r="E15" s="140"/>
      <c r="F15" s="140"/>
      <c r="G15" s="141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/>
      <c r="D16" s="70"/>
      <c r="E16" s="55"/>
      <c r="F16" s="55"/>
      <c r="G16" s="55"/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/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/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139" t="s">
        <v>75</v>
      </c>
      <c r="C20" s="140"/>
      <c r="D20" s="140"/>
      <c r="E20" s="140"/>
      <c r="F20" s="140"/>
      <c r="G20" s="141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1</v>
      </c>
      <c r="C21" s="27" t="s">
        <v>179</v>
      </c>
      <c r="D21" s="117" t="s">
        <v>189</v>
      </c>
      <c r="E21" s="116">
        <v>1</v>
      </c>
      <c r="F21" s="116">
        <v>14</v>
      </c>
      <c r="G21" s="116">
        <f>+E21*F21</f>
        <v>14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2</v>
      </c>
      <c r="C22" s="27" t="s">
        <v>180</v>
      </c>
      <c r="D22" s="117" t="s">
        <v>190</v>
      </c>
      <c r="E22" s="116">
        <v>1</v>
      </c>
      <c r="F22" s="116">
        <v>13.13</v>
      </c>
      <c r="G22" s="116">
        <f t="shared" ref="G22:G30" si="0">+E22*F22</f>
        <v>13.13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3</v>
      </c>
      <c r="C23" s="27" t="s">
        <v>181</v>
      </c>
      <c r="D23" s="117" t="s">
        <v>191</v>
      </c>
      <c r="E23" s="116">
        <v>1</v>
      </c>
      <c r="F23" s="116">
        <v>100</v>
      </c>
      <c r="G23" s="116">
        <f t="shared" si="0"/>
        <v>100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4</v>
      </c>
      <c r="C24" s="27" t="s">
        <v>182</v>
      </c>
      <c r="D24" s="117" t="s">
        <v>190</v>
      </c>
      <c r="E24" s="116">
        <v>1</v>
      </c>
      <c r="F24" s="116">
        <v>20.97</v>
      </c>
      <c r="G24" s="116">
        <f t="shared" si="0"/>
        <v>20.97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5</v>
      </c>
      <c r="C25" s="27" t="s">
        <v>183</v>
      </c>
      <c r="D25" s="117" t="s">
        <v>190</v>
      </c>
      <c r="E25" s="116">
        <v>2</v>
      </c>
      <c r="F25" s="116">
        <v>250</v>
      </c>
      <c r="G25" s="116">
        <f t="shared" si="0"/>
        <v>500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6</v>
      </c>
      <c r="C26" s="27" t="s">
        <v>184</v>
      </c>
      <c r="D26" s="117" t="s">
        <v>190</v>
      </c>
      <c r="E26" s="116">
        <v>2</v>
      </c>
      <c r="F26" s="116">
        <v>1.6</v>
      </c>
      <c r="G26" s="116">
        <f t="shared" si="0"/>
        <v>3.2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7</v>
      </c>
      <c r="C27" s="27" t="s">
        <v>185</v>
      </c>
      <c r="D27" s="117" t="s">
        <v>190</v>
      </c>
      <c r="E27" s="116">
        <v>5</v>
      </c>
      <c r="F27" s="116">
        <v>1.6</v>
      </c>
      <c r="G27" s="116">
        <f t="shared" si="0"/>
        <v>8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8</v>
      </c>
      <c r="C28" s="27" t="s">
        <v>186</v>
      </c>
      <c r="D28" s="117" t="s">
        <v>190</v>
      </c>
      <c r="E28" s="116">
        <v>5</v>
      </c>
      <c r="F28" s="116">
        <v>5</v>
      </c>
      <c r="G28" s="116">
        <f t="shared" si="0"/>
        <v>25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9</v>
      </c>
      <c r="C29" s="27" t="s">
        <v>187</v>
      </c>
      <c r="D29" s="117" t="s">
        <v>190</v>
      </c>
      <c r="E29" s="116">
        <v>2</v>
      </c>
      <c r="F29" s="116">
        <v>2.77</v>
      </c>
      <c r="G29" s="116">
        <f t="shared" si="0"/>
        <v>5.54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10</v>
      </c>
      <c r="C30" s="27" t="s">
        <v>188</v>
      </c>
      <c r="D30" s="117" t="s">
        <v>190</v>
      </c>
      <c r="E30" s="116">
        <v>1</v>
      </c>
      <c r="F30" s="116">
        <v>7.8</v>
      </c>
      <c r="G30" s="116">
        <f t="shared" si="0"/>
        <v>7.8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139" t="s">
        <v>29</v>
      </c>
      <c r="C31" s="140"/>
      <c r="D31" s="140"/>
      <c r="E31" s="140"/>
      <c r="F31" s="140"/>
      <c r="G31" s="141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68">
        <v>2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3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4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5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6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7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8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9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10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A42" s="44"/>
      <c r="B42" s="39"/>
      <c r="C42" s="44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A43" s="44"/>
      <c r="B43" s="39"/>
      <c r="C43" s="44"/>
      <c r="D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5.75" customHeight="1" x14ac:dyDescent="0.25"/>
    <row r="45" spans="1:16" ht="15.75" customHeight="1" x14ac:dyDescent="0.25"/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</sheetData>
  <sheetProtection password="C2E9" sheet="1" objects="1" scenarios="1" formatColumns="0" formatRows="0" sort="0" autoFilter="0"/>
  <mergeCells count="9">
    <mergeCell ref="B7:G7"/>
    <mergeCell ref="B20:G20"/>
    <mergeCell ref="B31:G31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1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20</xdr:row>
                    <xdr:rowOff>28575</xdr:rowOff>
                  </from>
                  <to>
                    <xdr:col>1</xdr:col>
                    <xdr:colOff>762000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20</xdr:row>
                    <xdr:rowOff>28575</xdr:rowOff>
                  </from>
                  <to>
                    <xdr:col>1</xdr:col>
                    <xdr:colOff>1533525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31</xdr:row>
                    <xdr:rowOff>28575</xdr:rowOff>
                  </from>
                  <to>
                    <xdr:col>1</xdr:col>
                    <xdr:colOff>771525</xdr:colOff>
                    <xdr:row>31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31</xdr:row>
                    <xdr:rowOff>28575</xdr:rowOff>
                  </from>
                  <to>
                    <xdr:col>1</xdr:col>
                    <xdr:colOff>1543050</xdr:colOff>
                    <xdr:row>31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C28" sqref="C28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NSD01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8" t="s">
        <v>32</v>
      </c>
      <c r="E11" s="149"/>
      <c r="F11" s="149"/>
      <c r="G11" s="149"/>
      <c r="H11" s="149"/>
      <c r="I11" s="149"/>
      <c r="J11" s="149"/>
      <c r="K11" s="149"/>
      <c r="L11" s="149"/>
      <c r="M11" s="149"/>
      <c r="N11" s="150"/>
      <c r="P11" s="151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2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PHIC-5</cp:lastModifiedBy>
  <dcterms:created xsi:type="dcterms:W3CDTF">2018-05-11T08:46:15Z</dcterms:created>
  <dcterms:modified xsi:type="dcterms:W3CDTF">2018-06-04T08:17:11Z</dcterms:modified>
</cp:coreProperties>
</file>