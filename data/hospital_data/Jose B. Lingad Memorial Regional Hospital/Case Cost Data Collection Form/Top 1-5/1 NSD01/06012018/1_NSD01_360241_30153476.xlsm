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data_general'!$B$1:$F$84</definedName>
    <definedName name="_xlnm.Print_Area" localSheetId="1">'1.2 Drugs&amp;Med'!$B$2:$J$26</definedName>
  </definedNames>
  <calcPr calcId="144525"/>
  <fileRecoveryPr repairLoad="1"/>
</workbook>
</file>

<file path=xl/calcChain.xml><?xml version="1.0" encoding="utf-8"?>
<calcChain xmlns="http://schemas.openxmlformats.org/spreadsheetml/2006/main">
  <c r="J25" i="2" l="1"/>
  <c r="J24" i="2"/>
  <c r="J23" i="2"/>
  <c r="J22" i="2"/>
  <c r="J21" i="2"/>
  <c r="J20" i="2"/>
  <c r="J19" i="2"/>
  <c r="J18" i="2"/>
  <c r="J17" i="2"/>
  <c r="J16" i="2"/>
  <c r="J15" i="2"/>
  <c r="G37" i="9"/>
  <c r="G36" i="9"/>
  <c r="G35" i="9"/>
  <c r="G34" i="9"/>
  <c r="G33" i="9"/>
  <c r="G32" i="9"/>
  <c r="G31" i="9"/>
  <c r="G30" i="9"/>
  <c r="G29" i="9"/>
  <c r="G28" i="9" l="1"/>
  <c r="G27" i="9"/>
  <c r="G26" i="9"/>
  <c r="G25" i="9"/>
  <c r="G24" i="9"/>
  <c r="G23" i="9"/>
  <c r="G22" i="9"/>
  <c r="G21" i="9"/>
  <c r="J12" i="2" l="1"/>
  <c r="J13" i="2"/>
  <c r="J14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4" i="1"/>
  <c r="E84" i="1"/>
  <c r="D8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<sst xmlns="http://schemas.openxmlformats.org/spreadsheetml/2006/main" count="554" uniqueCount="242">
  <si>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</si>
  <si>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</si>
  <si>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</si>
  <si>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</si>
  <si>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</si>
  <si>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</si>
  <si>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</si>
  <si>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</si>
  <si>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</si>
  <si>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</si>
  <si>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</si>
  <si>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</si>
  <si>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</si>
  <si>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</si>
  <si>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</si>
  <si>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</si>
  <si>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</si>
  <si>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</si>
  <si>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</si>
  <si>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</si>
  <si>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</si>
  <si>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</si>
  <si>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</si>
  <si>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</si>
  <si>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</si>
  <si>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</si>
  <si>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</si>
  <si>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</si>
  <si>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</si>
  <si>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</si>
  <si>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</si>
  <si>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</si>
  <si>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</si>
  <si>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</si>
  <si>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</si>
  <si>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</si>
  <si>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</si>
  <si>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</si>
  <si>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</si>
  <si>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</si>
  <si>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</si>
  <si>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</si>
  <si>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</si>
  <si>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</si>
  <si>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</si>
  <si>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</si>
  <si>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</si>
  <si>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</si>
  <si>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</si>
  <si>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</si>
  <si>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</si>
  <si>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</si>
  <si>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</si>
  <si>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</si>
  <si>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</si>
  <si>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</si>
  <si>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</si>
  <si>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</si>
  <si>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</si>
  <si>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</si>
  <si>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</si>
  <si>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</si>
  <si>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</si>
  <si>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</si>
  <si>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</si>
  <si>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</si>
  <si>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</si>
  <si>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</si>
  <si>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</si>
  <si>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</si>
  <si>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</si>
  <si>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</si>
  <si>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</si>
  <si>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</si>
  <si>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</si>
  <si>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</si>
  <si>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</si>
  <si>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</si>
  <si>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</si>
  <si>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</si>
  <si>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</si>
  <si>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</si>
  <si>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</si>
  <si>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</si>
  <si>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</si>
  <si>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</si>
  <si>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</si>
  <si>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</si>
  <si>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</si>
  <si>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</si>
  <si>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</si>
  <si>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</si>
  <si>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</si>
  <si>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</si>
  <si>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</si>
  <si>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</si>
  <si>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</si>
  <si>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</si>
  <si>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</si>
  <si>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</si>
  <si>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</si>
  <si>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</si>
  <si>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</si>
  <si>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</si>
  <si>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</si>
  <si>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</si>
  <si>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</si>
  <si>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</si>
  <si>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</si>
  <si>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</si>
  <si>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</si>
  <si>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</si>
  <si>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</si>
  <si>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</si>
  <si>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</si>
  <si>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</si>
  <si>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</si>
  <si>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</si>
  <si>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</si>
  <si>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</si>
  <si>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</si>
  <si>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</si>
  <si>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</si>
  <si>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</si>
  <si>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</si>
  <si>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</si>
  <si>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</si>
  <si>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</si>
  <si>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</si>
  <si>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</si>
  <si>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</si>
  <si>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</si>
  <si>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</si>
  <si>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</si>
  <si>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</si>
  <si>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</si>
  <si>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</si>
  <si>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</si>
  <si>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</si>
  <si>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</si>
  <si>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</si>
  <si>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</si>
  <si>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</si>
  <si>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</si>
  <si>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</si>
  <si>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</si>
  <si>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</si>
  <si>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</si>
  <si>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</si>
  <si>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</si>
  <si>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</si>
  <si>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</si>
  <si>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</si>
  <si>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</si>
  <si>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</si>
  <si>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</si>
  <si>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</si>
  <si>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</si>
  <si>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</si>
  <si>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</si>
  <si>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</si>
  <si>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</si>
  <si>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</si>
  <si>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</si>
  <si>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NSD01</t>
  </si>
  <si>
    <t>O80.0</t>
  </si>
  <si>
    <t>Z37.0</t>
  </si>
  <si>
    <t>CASE RATE</t>
  </si>
  <si>
    <t>PF CASE</t>
  </si>
  <si>
    <t>RAPID PLASMA REAGIN (RPR)</t>
  </si>
  <si>
    <t>BLOOD EXTRACTION FEE</t>
  </si>
  <si>
    <t>NA (SODIUM)</t>
  </si>
  <si>
    <t>CREATININE (CREA)</t>
  </si>
  <si>
    <t>K (POTASSIUM)</t>
  </si>
  <si>
    <t>CL (CHLORIDE)</t>
  </si>
  <si>
    <t>BLOOD UREA NITROGEN (BUN)</t>
  </si>
  <si>
    <t>IV SET W/ AIRWAY FOR IV PUSH, VACOSET/MACRODRIP, ADULT</t>
  </si>
  <si>
    <t>IV CATHETER GAUGE 18</t>
  </si>
  <si>
    <t>MATERNITY PAD  X 8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</si>
  <si>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</si>
  <si>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</si>
  <si>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</si>
  <si>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</si>
  <si>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NGT 8 STRAIGHT, 40CM (CPR NEEDED)</t>
  </si>
  <si>
    <t>SET</t>
  </si>
  <si>
    <t>PC</t>
  </si>
  <si>
    <t>ROLL</t>
  </si>
  <si>
    <t>(D5LRS 1L) 5% DEXTROSE IN LACTATED RINGERS SOLUTION 1000ML (D5 LRS) X 12S</t>
  </si>
  <si>
    <t>ERYTHROMYCIN  EYE OINTMENT 0.5%, 3.5G</t>
  </si>
  <si>
    <t>PHYTOMENADIONE ( VITAMIN K ) 10MG/1ML</t>
  </si>
  <si>
    <t>FERROUS SULFATE + FOLIC ACID 200MG./400MCG (DONATION)</t>
  </si>
  <si>
    <t>FLUID</t>
  </si>
  <si>
    <t>TUBE</t>
  </si>
  <si>
    <t>VIAL</t>
  </si>
  <si>
    <t>CAPSULE</t>
  </si>
  <si>
    <t>1L</t>
  </si>
  <si>
    <t>3.5G</t>
  </si>
  <si>
    <t>10MG</t>
  </si>
  <si>
    <t>500MG</t>
  </si>
  <si>
    <t>200MG</t>
  </si>
  <si>
    <t>PAID BY PATIENT</t>
  </si>
  <si>
    <t>RANDOM BLOOD SUGAR (RBS)</t>
  </si>
  <si>
    <t>CORD CLAMP (UMBILICAL) X 100S, STERILE</t>
  </si>
  <si>
    <t>NEONATE WRIST TAG (ID BRACELET)X 100 (PINK/BLUE)</t>
  </si>
  <si>
    <t>OXYTOCIN MALEATE 10MCG INJECTION 10 UNITS/ML-1ML</t>
  </si>
  <si>
    <t>CEFALEXIN MONOHYDRATE 500MG IN BLISTER FOIL PACK</t>
  </si>
  <si>
    <t>AMPULE</t>
  </si>
  <si>
    <t>10MCG</t>
  </si>
  <si>
    <t>DISPOSABLE INSULIN SYRINGE 1CC G 30 0.3 X 8MM BOX OF 100'S ( SHORT NEEDLE ULTRAFINE ) (CPR NEEDED)</t>
  </si>
  <si>
    <t>CATGUT 2-0 ABSORBABLE SURGICAL SUTURE AT LEAST 75CM,  WITH AT LEAST 35-37MM X ½ CIRCLE ROUND TAPER NEEDLE</t>
  </si>
  <si>
    <t>CALCIUM CARBONATE 500MG BLISTER/FOIL PACK</t>
  </si>
  <si>
    <t>360241/74054</t>
  </si>
  <si>
    <t>CHEST PA ADULT</t>
  </si>
  <si>
    <t>SGPT</t>
  </si>
  <si>
    <t>SGOT</t>
  </si>
  <si>
    <t>LDH</t>
  </si>
  <si>
    <t>IONIZED CALCIUM (ICA)</t>
  </si>
  <si>
    <t>CBC, PC</t>
  </si>
  <si>
    <t>PT (PROTIME)</t>
  </si>
  <si>
    <t>MG (MAGNESIUM)</t>
  </si>
  <si>
    <t>URINALYSIS (UA)</t>
  </si>
  <si>
    <t>ABO/RH TYPING FULLY AUTOMATED (ADULT)</t>
  </si>
  <si>
    <t>HBSAG (RAPID) HEPATITIS B</t>
  </si>
  <si>
    <t>FOLEY CATHETER FR 14, 2 WAY, BOX OF 20</t>
  </si>
  <si>
    <t>URINE BAG, ADULT W/ DRAINAGE TUBE 2,000 ML</t>
  </si>
  <si>
    <t>STERILE WATER FOR INJECTION, 10ML (SWFI)</t>
  </si>
  <si>
    <t>Z-FOLD PAPER FOR FETAL CHART 30-240BPM X 40S (152MM X 90MM X 150 SHEETS)</t>
  </si>
  <si>
    <t>VOLUMETRIC BLOOD TRANSFUSION SET, DRIPPING RATE 60 DROPS=1ML, SPIKE TYPE: PLASTIC TYPE, TUBING MATERIAL: POLYBUTADIENNE (PVC)-FREE), CONNECTOR TYPE: LUER SLIP, WITH ELASTY BALL, WITH AIRWAY NEEDLE</t>
  </si>
  <si>
    <t>BOTTLE</t>
  </si>
  <si>
    <t>MAGNESIUM SULFATE 500MG/ML-2ML AMP</t>
  </si>
  <si>
    <t>METHYLDOPA 250MG BLISTER/FOIL PACK</t>
  </si>
  <si>
    <t>HYOSCINE N-BUTYLBROMIDE 20MG/ML-1ML</t>
  </si>
  <si>
    <t>LIDOCAINE HCI 2%-5ML PRESERVATIVE-FREE REGARDLESS OF CONTAINER</t>
  </si>
  <si>
    <t>POTASSIUM CHLORIDE 2MEQ/ML-20ML</t>
  </si>
  <si>
    <t>(PLAIN LRS 1L) LACTATED RINGER''''S SOLUTION 1000ML (PLAIN LRS 1L) X 12S</t>
  </si>
  <si>
    <t>PARACETAMOL (ACETAMINOPHEN) 500MG IN BLISTER FOIL PACK</t>
  </si>
  <si>
    <t>PLAIN NSS 1L  (X 12S)</t>
  </si>
  <si>
    <t>POLYAMP</t>
  </si>
  <si>
    <t>250MG</t>
  </si>
  <si>
    <t>20MG</t>
  </si>
  <si>
    <t>2%-5ML</t>
  </si>
  <si>
    <t>2MEQ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</si>
</sst>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72</xdr:row>
          <xdr:rowOff>19050</xdr:rowOff>
        </xdr:from>
        <xdr:to>
          <xdr:col>1</xdr:col>
          <xdr:colOff>733425</xdr:colOff>
          <xdr:row>72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72</xdr:row>
          <xdr:rowOff>19050</xdr:rowOff>
        </xdr:from>
        <xdr:to>
          <xdr:col>1</xdr:col>
          <xdr:colOff>1504950</xdr:colOff>
          <xdr:row>72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21"/>
  <sheetViews>
    <sheetView tabSelected="1" zoomScale="115" zoomScaleNormal="115" workbookViewId="0">
      <selection activeCell="C65" sqref="C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164</v>
      </c>
      <c r="D22" s="29" t="s">
        <v>163</v>
      </c>
      <c r="E22" s="55">
        <v>1</v>
      </c>
      <c r="F22" s="55">
        <v>2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6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57" t="s">
        <v>213</v>
      </c>
      <c r="D33" s="23"/>
      <c r="E33" s="57">
        <v>2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57" t="s">
        <v>171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57" t="s">
        <v>214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5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5</v>
      </c>
      <c r="C37" s="57" t="s">
        <v>173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6</v>
      </c>
      <c r="C38" s="57" t="s">
        <v>215</v>
      </c>
      <c r="D38" s="23"/>
      <c r="E38" s="55">
        <v>2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7</v>
      </c>
      <c r="C39" s="57" t="s">
        <v>174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8</v>
      </c>
      <c r="C40" s="57" t="s">
        <v>175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9</v>
      </c>
      <c r="C41" s="57" t="s">
        <v>169</v>
      </c>
      <c r="D41" s="23"/>
      <c r="E41" s="55">
        <v>2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10</v>
      </c>
      <c r="C42" s="57" t="s">
        <v>201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11</v>
      </c>
      <c r="C43" s="57" t="s">
        <v>216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12</v>
      </c>
      <c r="C44" s="57" t="s">
        <v>217</v>
      </c>
      <c r="D44" s="23"/>
      <c r="E44" s="55">
        <v>2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13</v>
      </c>
      <c r="C45" s="57" t="s">
        <v>218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14</v>
      </c>
      <c r="C46" s="57" t="s">
        <v>219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15</v>
      </c>
      <c r="C47" s="57" t="s">
        <v>220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16</v>
      </c>
      <c r="C48" s="57" t="s">
        <v>170</v>
      </c>
      <c r="D48" s="23"/>
      <c r="E48" s="55">
        <v>3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17</v>
      </c>
      <c r="C49" s="57" t="s">
        <v>221</v>
      </c>
      <c r="D49" s="23"/>
      <c r="E49" s="55">
        <v>1</v>
      </c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18</v>
      </c>
      <c r="C50" s="57" t="s">
        <v>222</v>
      </c>
      <c r="D50" s="23"/>
      <c r="E50" s="55">
        <v>1</v>
      </c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21" t="s">
        <v>19</v>
      </c>
      <c r="C51" s="122"/>
      <c r="D51" s="119"/>
      <c r="E51" s="122"/>
      <c r="F51" s="120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57" t="s">
        <v>212</v>
      </c>
      <c r="D52" s="23"/>
      <c r="E52" s="55">
        <v>1</v>
      </c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3"/>
      <c r="E53" s="55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3"/>
      <c r="E54" s="55"/>
      <c r="F54" s="2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3"/>
      <c r="E55" s="55"/>
      <c r="F55" s="2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21" t="s">
        <v>43</v>
      </c>
      <c r="C56" s="122"/>
      <c r="D56" s="119"/>
      <c r="E56" s="122"/>
      <c r="F56" s="120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4" t="s">
        <v>44</v>
      </c>
      <c r="C57" s="13"/>
      <c r="D57" s="13"/>
      <c r="E57" s="16"/>
      <c r="F57" s="13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8" t="s">
        <v>52</v>
      </c>
      <c r="C58" s="119"/>
      <c r="D58" s="119"/>
      <c r="E58" s="119"/>
      <c r="F58" s="120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20"/>
      <c r="B59" s="30">
        <v>1</v>
      </c>
      <c r="C59" s="31"/>
      <c r="D59" s="32"/>
      <c r="E59" s="57"/>
      <c r="F59" s="57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20"/>
      <c r="B60" s="30">
        <v>2</v>
      </c>
      <c r="C60" s="31"/>
      <c r="D60" s="32"/>
      <c r="E60" s="57"/>
      <c r="F60" s="57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20"/>
      <c r="B61" s="26">
        <v>3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20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thickBot="1" x14ac:dyDescent="0.35">
      <c r="A63" s="1"/>
      <c r="B63" s="118" t="s">
        <v>20</v>
      </c>
      <c r="C63" s="119"/>
      <c r="D63" s="119"/>
      <c r="E63" s="119"/>
      <c r="F63" s="120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1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2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6">
        <v>3</v>
      </c>
      <c r="C66" s="27"/>
      <c r="D66" s="28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6">
        <v>4</v>
      </c>
      <c r="C67" s="27"/>
      <c r="D67" s="28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6">
        <v>5</v>
      </c>
      <c r="C68" s="27"/>
      <c r="D68" s="28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26">
        <v>6</v>
      </c>
      <c r="C69" s="27"/>
      <c r="D69" s="28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25"/>
      <c r="C70" s="25"/>
      <c r="D70" s="25"/>
      <c r="E70" s="25"/>
      <c r="F70" s="2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57.75" customHeight="1" thickBot="1" x14ac:dyDescent="0.35">
      <c r="A72" s="1"/>
      <c r="B72" s="17" t="s">
        <v>54</v>
      </c>
      <c r="C72" s="17" t="s">
        <v>50</v>
      </c>
      <c r="D72" s="17" t="s">
        <v>55</v>
      </c>
      <c r="E72" s="18" t="s">
        <v>56</v>
      </c>
      <c r="F72" s="19" t="s">
        <v>21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2">
        <v>1</v>
      </c>
      <c r="C73" s="27" t="s">
        <v>167</v>
      </c>
      <c r="D73" s="55">
        <v>3000</v>
      </c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2</v>
      </c>
      <c r="C74" s="27" t="s">
        <v>168</v>
      </c>
      <c r="D74" s="55">
        <v>2000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3</v>
      </c>
      <c r="C75" s="27" t="s">
        <v>200</v>
      </c>
      <c r="D75" s="55"/>
      <c r="E75" s="55"/>
      <c r="F75" s="55">
        <v>10316.370000000001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4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5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6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7</v>
      </c>
      <c r="C79" s="27"/>
      <c r="D79" s="55"/>
      <c r="E79" s="55"/>
      <c r="F79" s="5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8</v>
      </c>
      <c r="C80" s="27"/>
      <c r="D80" s="55"/>
      <c r="E80" s="55"/>
      <c r="F80" s="55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0">
        <v>9</v>
      </c>
      <c r="C81" s="27"/>
      <c r="D81" s="55"/>
      <c r="E81" s="55"/>
      <c r="F81" s="55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0">
        <v>10</v>
      </c>
      <c r="C82" s="27"/>
      <c r="D82" s="55"/>
      <c r="E82" s="55"/>
      <c r="F82" s="55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4.9000000000000004" customHeight="1" thickBot="1" x14ac:dyDescent="0.35">
      <c r="A83" s="1"/>
      <c r="B83" s="1"/>
      <c r="C83" s="1"/>
      <c r="D83" s="58"/>
      <c r="E83" s="58"/>
      <c r="F83" s="58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thickTop="1" x14ac:dyDescent="0.3">
      <c r="A84" s="1"/>
      <c r="B84" s="11"/>
      <c r="C84" s="4" t="s">
        <v>22</v>
      </c>
      <c r="D84" s="59">
        <f>SUM(D73:D83)</f>
        <v>5000</v>
      </c>
      <c r="E84" s="59">
        <f>SUM(E73:E83)</f>
        <v>0</v>
      </c>
      <c r="F84" s="59">
        <f>SUM(F73:F83)</f>
        <v>10316.370000000001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1:25" ht="13.5" customHeight="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1:25" ht="13.5" customHeight="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</sheetData>
  <sheetProtection password="C2E9" sheet="1" objects="1" scenarios="1" formatColumns="0" formatRows="0" sort="0" autoFilter="0"/>
  <mergeCells count="12">
    <mergeCell ref="B63:F63"/>
    <mergeCell ref="B56:F56"/>
    <mergeCell ref="B12:F12"/>
    <mergeCell ref="B13:F13"/>
    <mergeCell ref="B14:F14"/>
    <mergeCell ref="B15:F15"/>
    <mergeCell ref="B18:F18"/>
    <mergeCell ref="B21:F21"/>
    <mergeCell ref="B32:F32"/>
    <mergeCell ref="B27:F27"/>
    <mergeCell ref="B51:F51"/>
    <mergeCell ref="B58:F58"/>
  </mergeCells>
  <dataValidations count="1">
    <dataValidation type="decimal" operator="greaterThanOrEqual" allowBlank="1" showInputMessage="1" showErrorMessage="1" sqref="E31 E52:E55 E57 E22:F26 E59:F62 E64:F69 E33:E50 D73:F82 C3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7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72</xdr:row>
                    <xdr:rowOff>19050</xdr:rowOff>
                  </from>
                  <to>
                    <xdr:col>1</xdr:col>
                    <xdr:colOff>733425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72</xdr:row>
                    <xdr:rowOff>19050</xdr:rowOff>
                  </from>
                  <to>
                    <xdr:col>1</xdr:col>
                    <xdr:colOff>1504950</xdr:colOff>
                    <xdr:row>72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6"/>
  <sheetViews>
    <sheetView topLeftCell="B1" workbookViewId="0">
      <selection activeCell="F26" sqref="F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191</v>
      </c>
      <c r="E11" s="27" t="s">
        <v>195</v>
      </c>
      <c r="F11" s="55">
        <v>1</v>
      </c>
      <c r="G11" s="55">
        <v>6</v>
      </c>
      <c r="H11" s="55">
        <v>6</v>
      </c>
      <c r="I11" s="55">
        <v>49.33</v>
      </c>
      <c r="J11" s="55">
        <f>H11*I11</f>
        <v>295.98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229</v>
      </c>
      <c r="D12" s="27" t="s">
        <v>206</v>
      </c>
      <c r="E12" s="27" t="s">
        <v>198</v>
      </c>
      <c r="F12" s="55">
        <v>9</v>
      </c>
      <c r="G12" s="55">
        <v>6</v>
      </c>
      <c r="H12" s="55">
        <v>54</v>
      </c>
      <c r="I12" s="55">
        <v>72</v>
      </c>
      <c r="J12" s="55">
        <f t="shared" ref="J12:J25" si="0">H12*I12</f>
        <v>3888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230</v>
      </c>
      <c r="D13" s="27" t="s">
        <v>194</v>
      </c>
      <c r="E13" s="27" t="s">
        <v>238</v>
      </c>
      <c r="F13" s="55">
        <v>4</v>
      </c>
      <c r="G13" s="55">
        <v>5</v>
      </c>
      <c r="H13" s="55">
        <v>20</v>
      </c>
      <c r="I13" s="55">
        <v>13</v>
      </c>
      <c r="J13" s="55">
        <f t="shared" si="0"/>
        <v>260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231</v>
      </c>
      <c r="D14" s="27" t="s">
        <v>193</v>
      </c>
      <c r="E14" s="27" t="s">
        <v>239</v>
      </c>
      <c r="F14" s="55">
        <v>1</v>
      </c>
      <c r="G14" s="55">
        <v>3</v>
      </c>
      <c r="H14" s="55">
        <v>3</v>
      </c>
      <c r="I14" s="55">
        <v>25.79</v>
      </c>
      <c r="J14" s="55">
        <f t="shared" si="0"/>
        <v>77.37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204</v>
      </c>
      <c r="D15" s="27" t="s">
        <v>206</v>
      </c>
      <c r="E15" s="27" t="s">
        <v>207</v>
      </c>
      <c r="F15" s="55">
        <v>2</v>
      </c>
      <c r="G15" s="55">
        <v>3</v>
      </c>
      <c r="H15" s="55">
        <v>7</v>
      </c>
      <c r="I15" s="55">
        <v>8.52</v>
      </c>
      <c r="J15" s="55">
        <f t="shared" si="0"/>
        <v>59.64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193</v>
      </c>
      <c r="E16" s="27" t="s">
        <v>197</v>
      </c>
      <c r="F16" s="55">
        <v>1</v>
      </c>
      <c r="G16" s="55">
        <v>1</v>
      </c>
      <c r="H16" s="55">
        <v>1</v>
      </c>
      <c r="I16" s="55">
        <v>21.31</v>
      </c>
      <c r="J16" s="55">
        <f t="shared" si="0"/>
        <v>21.31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188</v>
      </c>
      <c r="D17" s="27" t="s">
        <v>192</v>
      </c>
      <c r="E17" s="27" t="s">
        <v>196</v>
      </c>
      <c r="F17" s="55">
        <v>1</v>
      </c>
      <c r="G17" s="55">
        <v>1</v>
      </c>
      <c r="H17" s="55">
        <v>1</v>
      </c>
      <c r="I17" s="55">
        <v>21</v>
      </c>
      <c r="J17" s="55">
        <f t="shared" si="0"/>
        <v>21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232</v>
      </c>
      <c r="D18" s="27" t="s">
        <v>237</v>
      </c>
      <c r="E18" s="27" t="s">
        <v>240</v>
      </c>
      <c r="F18" s="55">
        <v>1</v>
      </c>
      <c r="G18" s="55">
        <v>2</v>
      </c>
      <c r="H18" s="55">
        <v>2</v>
      </c>
      <c r="I18" s="55">
        <v>30.4</v>
      </c>
      <c r="J18" s="55">
        <f t="shared" si="0"/>
        <v>60.8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233</v>
      </c>
      <c r="D19" s="27" t="s">
        <v>193</v>
      </c>
      <c r="E19" s="27" t="s">
        <v>241</v>
      </c>
      <c r="F19" s="55">
        <v>1</v>
      </c>
      <c r="G19" s="55">
        <v>1</v>
      </c>
      <c r="H19" s="55">
        <v>1</v>
      </c>
      <c r="I19" s="55">
        <v>28.57</v>
      </c>
      <c r="J19" s="55">
        <f t="shared" si="0"/>
        <v>28.57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234</v>
      </c>
      <c r="D20" s="27" t="s">
        <v>191</v>
      </c>
      <c r="E20" s="27" t="s">
        <v>195</v>
      </c>
      <c r="F20" s="55">
        <v>1</v>
      </c>
      <c r="G20" s="55">
        <v>1</v>
      </c>
      <c r="H20" s="55">
        <v>1</v>
      </c>
      <c r="I20" s="55">
        <v>49.33</v>
      </c>
      <c r="J20" s="55">
        <f t="shared" si="0"/>
        <v>49.33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235</v>
      </c>
      <c r="D21" s="27" t="s">
        <v>194</v>
      </c>
      <c r="E21" s="27" t="s">
        <v>198</v>
      </c>
      <c r="F21" s="55">
        <v>3</v>
      </c>
      <c r="G21" s="55">
        <v>5</v>
      </c>
      <c r="H21" s="55">
        <v>15</v>
      </c>
      <c r="I21" s="55">
        <v>0.31</v>
      </c>
      <c r="J21" s="55">
        <f t="shared" si="0"/>
        <v>4.6500000000000004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210</v>
      </c>
      <c r="D22" s="27" t="s">
        <v>194</v>
      </c>
      <c r="E22" s="27" t="s">
        <v>198</v>
      </c>
      <c r="F22" s="55">
        <v>2</v>
      </c>
      <c r="G22" s="55">
        <v>7</v>
      </c>
      <c r="H22" s="55">
        <v>14</v>
      </c>
      <c r="I22" s="55">
        <v>1.83</v>
      </c>
      <c r="J22" s="55">
        <f t="shared" si="0"/>
        <v>25.62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205</v>
      </c>
      <c r="D23" s="27" t="s">
        <v>194</v>
      </c>
      <c r="E23" s="27" t="s">
        <v>198</v>
      </c>
      <c r="F23" s="55">
        <v>3</v>
      </c>
      <c r="G23" s="55">
        <v>7</v>
      </c>
      <c r="H23" s="55">
        <v>21</v>
      </c>
      <c r="I23" s="55">
        <v>2.87</v>
      </c>
      <c r="J23" s="55">
        <f t="shared" si="0"/>
        <v>60.27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190</v>
      </c>
      <c r="D24" s="27" t="s">
        <v>194</v>
      </c>
      <c r="E24" s="27" t="s">
        <v>199</v>
      </c>
      <c r="F24" s="55">
        <v>1</v>
      </c>
      <c r="G24" s="55">
        <v>100</v>
      </c>
      <c r="H24" s="55">
        <v>100</v>
      </c>
      <c r="I24" s="55">
        <v>1.27</v>
      </c>
      <c r="J24" s="55">
        <f t="shared" si="0"/>
        <v>127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236</v>
      </c>
      <c r="D25" s="27" t="s">
        <v>191</v>
      </c>
      <c r="E25" s="27" t="s">
        <v>195</v>
      </c>
      <c r="F25" s="55">
        <v>1</v>
      </c>
      <c r="G25" s="55">
        <v>2</v>
      </c>
      <c r="H25" s="55">
        <v>2</v>
      </c>
      <c r="I25" s="55">
        <v>50.67</v>
      </c>
      <c r="J25" s="55">
        <f t="shared" si="0"/>
        <v>101.34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25">
      <c r="A26" s="33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</row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B38" sqref="B38:G3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17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177</v>
      </c>
      <c r="D21" s="117" t="s">
        <v>185</v>
      </c>
      <c r="E21" s="116">
        <v>2</v>
      </c>
      <c r="F21" s="116">
        <v>13.13</v>
      </c>
      <c r="G21" s="116">
        <f>+E21*F21</f>
        <v>26.26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176</v>
      </c>
      <c r="D22" s="117" t="s">
        <v>184</v>
      </c>
      <c r="E22" s="116">
        <v>1</v>
      </c>
      <c r="F22" s="116">
        <v>14</v>
      </c>
      <c r="G22" s="116">
        <f t="shared" ref="G22:G37" si="0">+E22*F22</f>
        <v>14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223</v>
      </c>
      <c r="D23" s="117" t="s">
        <v>185</v>
      </c>
      <c r="E23" s="116">
        <v>2</v>
      </c>
      <c r="F23" s="116">
        <v>22</v>
      </c>
      <c r="G23" s="116">
        <f t="shared" si="0"/>
        <v>44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224</v>
      </c>
      <c r="D24" s="117" t="s">
        <v>185</v>
      </c>
      <c r="E24" s="116">
        <v>1</v>
      </c>
      <c r="F24" s="116">
        <v>15.81</v>
      </c>
      <c r="G24" s="116">
        <f t="shared" si="0"/>
        <v>15.81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225</v>
      </c>
      <c r="D25" s="117" t="s">
        <v>228</v>
      </c>
      <c r="E25" s="116">
        <v>1</v>
      </c>
      <c r="F25" s="116">
        <v>25</v>
      </c>
      <c r="G25" s="116">
        <f t="shared" si="0"/>
        <v>25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179</v>
      </c>
      <c r="D26" s="117" t="s">
        <v>185</v>
      </c>
      <c r="E26" s="116">
        <v>28</v>
      </c>
      <c r="F26" s="116">
        <v>1.6</v>
      </c>
      <c r="G26" s="116">
        <f t="shared" si="0"/>
        <v>44.800000000000004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182</v>
      </c>
      <c r="D27" s="117" t="s">
        <v>185</v>
      </c>
      <c r="E27" s="116">
        <v>32</v>
      </c>
      <c r="F27" s="116">
        <v>2.77</v>
      </c>
      <c r="G27" s="116">
        <f t="shared" si="0"/>
        <v>88.64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226</v>
      </c>
      <c r="D28" s="117" t="s">
        <v>186</v>
      </c>
      <c r="E28" s="116">
        <v>1</v>
      </c>
      <c r="F28" s="116">
        <v>100</v>
      </c>
      <c r="G28" s="116">
        <f t="shared" si="0"/>
        <v>100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180</v>
      </c>
      <c r="D29" s="117" t="s">
        <v>185</v>
      </c>
      <c r="E29" s="116">
        <v>28</v>
      </c>
      <c r="F29" s="116">
        <v>1.6</v>
      </c>
      <c r="G29" s="116">
        <f t="shared" si="0"/>
        <v>44.800000000000004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181</v>
      </c>
      <c r="D30" s="117" t="s">
        <v>185</v>
      </c>
      <c r="E30" s="116">
        <v>28</v>
      </c>
      <c r="F30" s="116">
        <v>5</v>
      </c>
      <c r="G30" s="116">
        <f t="shared" si="0"/>
        <v>140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227</v>
      </c>
      <c r="D31" s="117" t="s">
        <v>184</v>
      </c>
      <c r="E31" s="116">
        <v>1</v>
      </c>
      <c r="F31" s="116">
        <v>385.33</v>
      </c>
      <c r="G31" s="116">
        <f t="shared" si="0"/>
        <v>385.33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209</v>
      </c>
      <c r="D32" s="117" t="s">
        <v>185</v>
      </c>
      <c r="E32" s="116">
        <v>2</v>
      </c>
      <c r="F32" s="116">
        <v>118.67</v>
      </c>
      <c r="G32" s="116">
        <f t="shared" si="0"/>
        <v>237.34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13</v>
      </c>
      <c r="C33" s="27" t="s">
        <v>178</v>
      </c>
      <c r="D33" s="117" t="s">
        <v>185</v>
      </c>
      <c r="E33" s="116">
        <v>1</v>
      </c>
      <c r="F33" s="116">
        <v>250</v>
      </c>
      <c r="G33" s="116">
        <f t="shared" si="0"/>
        <v>250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14</v>
      </c>
      <c r="C34" s="27" t="s">
        <v>202</v>
      </c>
      <c r="D34" s="117" t="s">
        <v>185</v>
      </c>
      <c r="E34" s="116">
        <v>1</v>
      </c>
      <c r="F34" s="116">
        <v>3.25</v>
      </c>
      <c r="G34" s="116">
        <f t="shared" si="0"/>
        <v>3.25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15</v>
      </c>
      <c r="C35" s="27" t="s">
        <v>203</v>
      </c>
      <c r="D35" s="117" t="s">
        <v>185</v>
      </c>
      <c r="E35" s="116">
        <v>1</v>
      </c>
      <c r="F35" s="116">
        <v>5</v>
      </c>
      <c r="G35" s="116">
        <f t="shared" si="0"/>
        <v>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16</v>
      </c>
      <c r="C36" s="27" t="s">
        <v>183</v>
      </c>
      <c r="D36" s="117" t="s">
        <v>185</v>
      </c>
      <c r="E36" s="116">
        <v>1</v>
      </c>
      <c r="F36" s="116">
        <v>7.8</v>
      </c>
      <c r="G36" s="116">
        <f t="shared" si="0"/>
        <v>7.8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17</v>
      </c>
      <c r="C37" s="27" t="s">
        <v>208</v>
      </c>
      <c r="D37" s="117" t="s">
        <v>185</v>
      </c>
      <c r="E37" s="116">
        <v>2</v>
      </c>
      <c r="F37" s="116">
        <v>11.73</v>
      </c>
      <c r="G37" s="116">
        <f t="shared" si="0"/>
        <v>23.46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28" sqref="C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2018-06-04T09:28:11Z</dcterms:modified>
</cp:coreProperties>
</file>