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Drugs&amp;Med'!$C$11:$C$15</definedName>
    <definedName name="_xlnm.Print_Area" localSheetId="0">'1.1 Case data_general'!$B$1:$F$69</definedName>
    <definedName name="_xlnm.Print_Area" localSheetId="1">'1.2 Drugs&amp;Med'!$B$2:$J$19</definedName>
  </definedNames>
  <calcPr calcId="144525"/>
</workbook>
</file>

<file path=xl/calcChain.xml><?xml version="1.0" encoding="utf-8"?>
<calcChain xmlns="http://schemas.openxmlformats.org/spreadsheetml/2006/main">
  <c r="G39" i="9" l="1"/>
  <c r="G38" i="9"/>
  <c r="G37" i="9"/>
  <c r="G36" i="9"/>
  <c r="J18" i="2" l="1"/>
  <c r="J17" i="2"/>
  <c r="J16" i="2"/>
  <c r="G35" i="9" l="1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<sst xmlns="http://schemas.openxmlformats.org/spreadsheetml/2006/main" count="508" uniqueCount="208">
  <si>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</si>
  <si>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</si>
  <si>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</si>
  <si>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</si>
  <si>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</si>
  <si>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</si>
  <si>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</si>
  <si>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</si>
  <si>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</si>
  <si>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</si>
  <si>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</si>
  <si>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</si>
  <si>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</si>
  <si>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</si>
  <si>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</si>
  <si>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</si>
  <si>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</si>
  <si>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</si>
  <si>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</si>
  <si>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</si>
  <si>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</si>
  <si>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</si>
  <si>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</si>
  <si>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</si>
  <si>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</si>
  <si>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</si>
  <si>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</si>
  <si>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</si>
  <si>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</si>
  <si>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</si>
  <si>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</si>
  <si>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</si>
  <si>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</si>
  <si>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</si>
  <si>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</si>
  <si>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</si>
  <si>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</si>
  <si>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</si>
  <si>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</si>
  <si>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</si>
  <si>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</si>
  <si>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</si>
  <si>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</si>
  <si>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</si>
  <si>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</si>
  <si>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</si>
  <si>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</si>
  <si>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</si>
  <si>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</si>
  <si>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</si>
  <si>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</si>
  <si>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</si>
  <si>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</si>
  <si>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</si>
  <si>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</si>
  <si>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</si>
  <si>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</si>
  <si>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</si>
  <si>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</si>
  <si>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</si>
  <si>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</si>
  <si>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</si>
  <si>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</si>
  <si>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</si>
  <si>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</si>
  <si>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</si>
  <si>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</si>
  <si>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</si>
  <si>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</si>
  <si>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</si>
  <si>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</si>
  <si>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</si>
  <si>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</si>
  <si>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</si>
  <si>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</si>
  <si>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</si>
  <si>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</si>
  <si>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</si>
  <si>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</si>
  <si>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</si>
  <si>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</si>
  <si>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</si>
  <si>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</si>
  <si>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</si>
  <si>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</si>
  <si>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</si>
  <si>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</si>
  <si>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</si>
  <si>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</si>
  <si>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</si>
  <si>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</si>
  <si>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</si>
  <si>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</si>
  <si>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</si>
  <si>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</si>
  <si>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</si>
  <si>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</si>
  <si>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</si>
  <si>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</si>
  <si>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</si>
  <si>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</si>
  <si>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</si>
  <si>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</si>
  <si>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</si>
  <si>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</si>
  <si>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</si>
  <si>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</si>
  <si>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</si>
  <si>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</si>
  <si>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</si>
  <si>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</si>
  <si>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</si>
  <si>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</si>
  <si>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</si>
  <si>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</si>
  <si>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</si>
  <si>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</si>
  <si>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</si>
  <si>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</si>
  <si>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</si>
  <si>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</si>
  <si>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</si>
  <si>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</si>
  <si>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</si>
  <si>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</si>
  <si>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</si>
  <si>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</si>
  <si>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</si>
  <si>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</si>
  <si>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</si>
  <si>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</si>
  <si>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</si>
  <si>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</si>
  <si>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</si>
  <si>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</si>
  <si>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</si>
  <si>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</si>
  <si>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</si>
  <si>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</si>
  <si>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</si>
  <si>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</si>
  <si>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</si>
  <si>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</si>
  <si>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</si>
  <si>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</si>
  <si>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</si>
  <si>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</si>
  <si>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</si>
  <si>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</si>
  <si>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</si>
  <si>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</si>
  <si>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</si>
  <si>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</si>
  <si>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</si>
  <si>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</si>
  <si>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</si>
  <si>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</si>
  <si>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</si>
  <si>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</si>
  <si>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</si>
  <si>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</si>
  <si>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</si>
  <si>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</si>
  <si>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</si>
  <si>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</si>
  <si>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</si>
  <si>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</si>
  <si>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</si>
  <si>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</si>
  <si>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</si>
  <si>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IV SET W/ AIRWAY FOR IV PUSH, VACOSET/MACRODRIP, ADULT</t>
  </si>
  <si>
    <t>IV CATHETER GAUGE 18</t>
  </si>
  <si>
    <t>ADULT DIAPER WITH HIGH LIQUID ABSORBENCY</t>
  </si>
  <si>
    <t>DISPOSABLE SYRINGE 1ML G 25, W/ NEEDLE X 100S (CPR NEEDED)</t>
  </si>
  <si>
    <t>DISPOSABLE SYRINGE 3ML G 23, W/ NEEDLE X 100S (CPR NEEDED)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</si>
  <si>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</si>
  <si>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</si>
  <si>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</si>
  <si>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</si>
  <si>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</si>
  <si>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</si>
  <si>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</si>
  <si>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</si>
  <si>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</si>
  <si>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</si>
  <si>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</si>
  <si>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TUBE</t>
  </si>
  <si>
    <t>CAPSULE</t>
  </si>
  <si>
    <t>1L</t>
  </si>
  <si>
    <t>10MG</t>
  </si>
  <si>
    <t>3.5G</t>
  </si>
  <si>
    <t>500MG</t>
  </si>
  <si>
    <t>200MG</t>
  </si>
  <si>
    <t>CALCIUM CARBONATE 500MG BLISTER/FOIL PACK</t>
  </si>
  <si>
    <t>ROLL</t>
  </si>
  <si>
    <t>ULTRASOUND PRINTING PAPER 110MM X 20MM (HIGH DENSITY) (DURICO TYPE 1)</t>
  </si>
  <si>
    <t>CASE RATE</t>
  </si>
  <si>
    <t>PF CASE</t>
  </si>
  <si>
    <t>CEFALEXIN MONOHYDRATE 500MG IN BLISTER FOIL PACK</t>
  </si>
  <si>
    <t>BOTTLE</t>
  </si>
  <si>
    <t>AMPULE</t>
  </si>
  <si>
    <t>NGT 8 STRAIGHT, 40CM (CPR NEEDED)</t>
  </si>
  <si>
    <t>MATERNITY PAD  X 8</t>
  </si>
  <si>
    <t>FOLEY CATHETER FR 14, 2 WAY, BOX OF 20</t>
  </si>
  <si>
    <t>360489/74189</t>
  </si>
  <si>
    <t>PAID BY PATIENT</t>
  </si>
  <si>
    <t>CARBOPROST 250MCG/ML-1ML</t>
  </si>
  <si>
    <t>250MCG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</si>
</sst>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6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topLeftCell="A3" zoomScaleNormal="100" workbookViewId="0">
      <selection activeCell="D37" sqref="D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1.6666666666666667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57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55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23" t="s">
        <v>19</v>
      </c>
      <c r="C36" s="124"/>
      <c r="D36" s="121"/>
      <c r="E36" s="124"/>
      <c r="F36" s="12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155"/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43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>
        <v>0</v>
      </c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0" t="s">
        <v>52</v>
      </c>
      <c r="C43" s="121"/>
      <c r="D43" s="121"/>
      <c r="E43" s="121"/>
      <c r="F43" s="12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20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196</v>
      </c>
      <c r="D58" s="55">
        <v>3000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197</v>
      </c>
      <c r="D59" s="55">
        <v>2000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205</v>
      </c>
      <c r="D60" s="55"/>
      <c r="E60" s="55"/>
      <c r="F60" s="55">
        <v>1367.76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0</v>
      </c>
      <c r="F69" s="59">
        <f>SUM(F58:F68)</f>
        <v>1367.76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E34:E35 D58:F67 C34:C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topLeftCell="B1" workbookViewId="0">
      <selection activeCell="G22" sqref="G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180</v>
      </c>
      <c r="D11" s="27" t="s">
        <v>199</v>
      </c>
      <c r="E11" s="27" t="s">
        <v>188</v>
      </c>
      <c r="F11" s="118">
        <v>1</v>
      </c>
      <c r="G11" s="55">
        <v>1</v>
      </c>
      <c r="H11" s="118">
        <v>1</v>
      </c>
      <c r="I11" s="119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181</v>
      </c>
      <c r="D12" s="27" t="s">
        <v>185</v>
      </c>
      <c r="E12" s="27" t="s">
        <v>189</v>
      </c>
      <c r="F12" s="118">
        <v>1</v>
      </c>
      <c r="G12" s="55">
        <v>1</v>
      </c>
      <c r="H12" s="118">
        <v>1</v>
      </c>
      <c r="I12" s="119">
        <v>21.31</v>
      </c>
      <c r="J12" s="55">
        <f t="shared" ref="J12:J18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182</v>
      </c>
      <c r="D13" s="27" t="s">
        <v>186</v>
      </c>
      <c r="E13" s="27" t="s">
        <v>190</v>
      </c>
      <c r="F13" s="118">
        <v>1</v>
      </c>
      <c r="G13" s="55">
        <v>1</v>
      </c>
      <c r="H13" s="118">
        <v>1</v>
      </c>
      <c r="I13" s="119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206</v>
      </c>
      <c r="D14" s="27" t="s">
        <v>200</v>
      </c>
      <c r="E14" s="27" t="s">
        <v>207</v>
      </c>
      <c r="F14" s="118">
        <v>1</v>
      </c>
      <c r="G14" s="55">
        <v>1</v>
      </c>
      <c r="H14" s="118">
        <v>1</v>
      </c>
      <c r="I14" s="119">
        <v>365.07</v>
      </c>
      <c r="J14" s="55">
        <f t="shared" si="0"/>
        <v>365.07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183</v>
      </c>
      <c r="D15" s="27" t="s">
        <v>187</v>
      </c>
      <c r="E15" s="27" t="s">
        <v>191</v>
      </c>
      <c r="F15" s="118">
        <v>3</v>
      </c>
      <c r="G15" s="55">
        <v>3</v>
      </c>
      <c r="H15" s="118">
        <v>9</v>
      </c>
      <c r="I15" s="119">
        <v>0.97</v>
      </c>
      <c r="J15" s="55">
        <f t="shared" si="0"/>
        <v>8.73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184</v>
      </c>
      <c r="D16" s="27" t="s">
        <v>187</v>
      </c>
      <c r="E16" s="27" t="s">
        <v>192</v>
      </c>
      <c r="F16" s="118">
        <v>1</v>
      </c>
      <c r="G16" s="55">
        <v>100</v>
      </c>
      <c r="H16" s="118">
        <v>100</v>
      </c>
      <c r="I16" s="119">
        <v>1.27</v>
      </c>
      <c r="J16" s="55">
        <f t="shared" si="0"/>
        <v>127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193</v>
      </c>
      <c r="D17" s="27" t="s">
        <v>187</v>
      </c>
      <c r="E17" s="27" t="s">
        <v>191</v>
      </c>
      <c r="F17" s="118">
        <v>3</v>
      </c>
      <c r="G17" s="55">
        <v>10</v>
      </c>
      <c r="H17" s="118">
        <v>30</v>
      </c>
      <c r="I17" s="119">
        <v>1.83</v>
      </c>
      <c r="J17" s="55">
        <f t="shared" si="0"/>
        <v>54.900000000000006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198</v>
      </c>
      <c r="D18" s="27" t="s">
        <v>187</v>
      </c>
      <c r="E18" s="27" t="s">
        <v>191</v>
      </c>
      <c r="F18" s="118">
        <v>3</v>
      </c>
      <c r="G18" s="55">
        <v>7</v>
      </c>
      <c r="H18" s="118">
        <v>21</v>
      </c>
      <c r="I18" s="119">
        <v>2.87</v>
      </c>
      <c r="J18" s="55">
        <f t="shared" si="0"/>
        <v>60.27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8">
    <cfRule type="duplicateValues" dxfId="1" priority="1"/>
  </conditionalFormatting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topLeftCell="A10" workbookViewId="0">
      <selection activeCell="C33" sqref="C3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170</v>
      </c>
      <c r="D28" s="117" t="s">
        <v>179</v>
      </c>
      <c r="E28" s="118">
        <v>2</v>
      </c>
      <c r="F28" s="119">
        <v>14</v>
      </c>
      <c r="G28" s="116">
        <f>+E28*F28</f>
        <v>28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172</v>
      </c>
      <c r="D29" s="117" t="s">
        <v>164</v>
      </c>
      <c r="E29" s="118">
        <v>1</v>
      </c>
      <c r="F29" s="119">
        <v>20.97</v>
      </c>
      <c r="G29" s="116">
        <f t="shared" ref="G29:G39" si="0">+E29*F29</f>
        <v>20.97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171</v>
      </c>
      <c r="D30" s="117" t="s">
        <v>164</v>
      </c>
      <c r="E30" s="118">
        <v>3</v>
      </c>
      <c r="F30" s="119">
        <v>13.13</v>
      </c>
      <c r="G30" s="116">
        <f t="shared" si="0"/>
        <v>39.39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195</v>
      </c>
      <c r="D31" s="117" t="s">
        <v>194</v>
      </c>
      <c r="E31" s="118">
        <v>1</v>
      </c>
      <c r="F31" s="119">
        <v>100</v>
      </c>
      <c r="G31" s="116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203</v>
      </c>
      <c r="D32" s="117" t="s">
        <v>164</v>
      </c>
      <c r="E32" s="118">
        <v>1</v>
      </c>
      <c r="F32" s="119">
        <v>22</v>
      </c>
      <c r="G32" s="116">
        <f t="shared" si="0"/>
        <v>22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202</v>
      </c>
      <c r="D33" s="117" t="s">
        <v>164</v>
      </c>
      <c r="E33" s="118">
        <v>1</v>
      </c>
      <c r="F33" s="119">
        <v>250</v>
      </c>
      <c r="G33" s="116">
        <f t="shared" si="0"/>
        <v>250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178</v>
      </c>
      <c r="D34" s="117" t="s">
        <v>164</v>
      </c>
      <c r="E34" s="118">
        <v>2</v>
      </c>
      <c r="F34" s="119">
        <v>118.67</v>
      </c>
      <c r="G34" s="116">
        <f t="shared" si="0"/>
        <v>237.34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201</v>
      </c>
      <c r="D35" s="117" t="s">
        <v>164</v>
      </c>
      <c r="E35" s="118">
        <v>1</v>
      </c>
      <c r="F35" s="119">
        <v>7.8</v>
      </c>
      <c r="G35" s="116">
        <f t="shared" si="0"/>
        <v>7.8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173</v>
      </c>
      <c r="D36" s="117" t="s">
        <v>164</v>
      </c>
      <c r="E36" s="118">
        <v>2</v>
      </c>
      <c r="F36" s="119">
        <v>1.6</v>
      </c>
      <c r="G36" s="116">
        <f t="shared" si="0"/>
        <v>3.2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174</v>
      </c>
      <c r="D37" s="117" t="s">
        <v>164</v>
      </c>
      <c r="E37" s="118">
        <v>2</v>
      </c>
      <c r="F37" s="119">
        <v>1.6</v>
      </c>
      <c r="G37" s="116">
        <f t="shared" si="0"/>
        <v>3.2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175</v>
      </c>
      <c r="D38" s="117" t="s">
        <v>164</v>
      </c>
      <c r="E38" s="118">
        <v>1</v>
      </c>
      <c r="F38" s="119">
        <v>3.25</v>
      </c>
      <c r="G38" s="116">
        <f t="shared" si="0"/>
        <v>3.25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176</v>
      </c>
      <c r="D39" s="117" t="s">
        <v>164</v>
      </c>
      <c r="E39" s="118">
        <v>1</v>
      </c>
      <c r="F39" s="119">
        <v>5</v>
      </c>
      <c r="G39" s="116">
        <f t="shared" si="0"/>
        <v>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41" t="s">
        <v>29</v>
      </c>
      <c r="C40" s="142"/>
      <c r="D40" s="142"/>
      <c r="E40" s="142"/>
      <c r="F40" s="142"/>
      <c r="G40" s="143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0:G40"/>
    <mergeCell ref="B8:G8"/>
    <mergeCell ref="B9:G9"/>
    <mergeCell ref="B10:G10"/>
    <mergeCell ref="B11:G11"/>
    <mergeCell ref="B12:G12"/>
    <mergeCell ref="B15:G15"/>
  </mergeCells>
  <conditionalFormatting sqref="C28:C39">
    <cfRule type="duplicateValues" dxfId="0" priority="1"/>
  </conditionalFormatting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179</v>
      </c>
      <c r="E28" s="55"/>
      <c r="F28" s="55"/>
      <c r="G28" s="55" t="s">
        <v>177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2018-05-30T08:17:15Z</dcterms:modified>
</cp:coreProperties>
</file>