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Supplies_Medical'!$C$15:$C$58</definedName>
    <definedName name="Drugs">'1.2 Drugs&amp;Med'!$C$11:$C$15</definedName>
    <definedName name="_xlnm.Print_Area" localSheetId="0">'1.1 Case data_general'!$B$1:$F$82</definedName>
    <definedName name="_xlnm.Print_Area" localSheetId="1">'1.2 Drugs&amp;Med'!$B$2:$J$22</definedName>
  </definedNames>
  <calcPr calcId="144525"/>
</workbook>
</file>

<file path=xl/calcChain.xml><?xml version="1.0" encoding="utf-8"?>
<calcChain xmlns="http://schemas.openxmlformats.org/spreadsheetml/2006/main">
  <c r="G47" i="9" l="1"/>
  <c r="G46" i="9"/>
  <c r="G45" i="9"/>
  <c r="G44" i="9"/>
  <c r="G43" i="9"/>
  <c r="G42" i="9"/>
  <c r="G41" i="9"/>
  <c r="G40" i="9"/>
  <c r="G39" i="9"/>
  <c r="G38" i="9"/>
  <c r="G37" i="9"/>
  <c r="G36" i="9"/>
  <c r="J21" i="2"/>
  <c r="J20" i="2"/>
  <c r="J19" i="2"/>
  <c r="J18" i="2" l="1"/>
  <c r="J17" i="2"/>
  <c r="J16" i="2"/>
  <c r="G35" i="9" l="1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2" i="1"/>
  <c r="E82" i="1"/>
  <c r="D82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<sst xmlns="http://schemas.openxmlformats.org/spreadsheetml/2006/main" count="548" uniqueCount="237">
  <si>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</si>
  <si>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</si>
  <si>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</si>
  <si>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</si>
  <si>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</si>
  <si>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</si>
  <si>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</si>
  <si>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</si>
  <si>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</si>
  <si>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</si>
  <si>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</si>
  <si>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</si>
  <si>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</si>
  <si>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</si>
  <si>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</si>
  <si>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</si>
  <si>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</si>
  <si>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</si>
  <si>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</si>
  <si>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</si>
  <si>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</si>
  <si>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</si>
  <si>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</si>
  <si>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</si>
  <si>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</si>
  <si>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</si>
  <si>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</si>
  <si>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</si>
  <si>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</si>
  <si>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</si>
  <si>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</si>
  <si>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</si>
  <si>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</si>
  <si>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</si>
  <si>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</si>
  <si>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</si>
  <si>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</si>
  <si>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</si>
  <si>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</si>
  <si>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</si>
  <si>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</si>
  <si>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</si>
  <si>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</si>
  <si>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</si>
  <si>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</si>
  <si>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</si>
  <si>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</si>
  <si>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</si>
  <si>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</si>
  <si>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</si>
  <si>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</si>
  <si>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</si>
  <si>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</si>
  <si>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</si>
  <si>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</si>
  <si>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</si>
  <si>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</si>
  <si>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</si>
  <si>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</si>
  <si>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</si>
  <si>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</si>
  <si>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</si>
  <si>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</si>
  <si>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</si>
  <si>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</si>
  <si>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</si>
  <si>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</si>
  <si>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</si>
  <si>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</si>
  <si>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</si>
  <si>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</si>
  <si>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</si>
  <si>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</si>
  <si>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</si>
  <si>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</si>
  <si>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</si>
  <si>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</si>
  <si>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</si>
  <si>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</si>
  <si>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</si>
  <si>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</si>
  <si>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</si>
  <si>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</si>
  <si>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</si>
  <si>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</si>
  <si>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</si>
  <si>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</si>
  <si>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</si>
  <si>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</si>
  <si>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</si>
  <si>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</si>
  <si>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</si>
  <si>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</si>
  <si>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</si>
  <si>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</si>
  <si>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</si>
  <si>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</si>
  <si>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</si>
  <si>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</si>
  <si>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</si>
  <si>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</si>
  <si>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</si>
  <si>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</si>
  <si>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</si>
  <si>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</si>
  <si>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</si>
  <si>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</si>
  <si>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</si>
  <si>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</si>
  <si>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</si>
  <si>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</si>
  <si>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</si>
  <si>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</si>
  <si>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</si>
  <si>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</si>
  <si>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</si>
  <si>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</si>
  <si>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</si>
  <si>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</si>
  <si>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</si>
  <si>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</si>
  <si>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</si>
  <si>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</si>
  <si>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</si>
  <si>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</si>
  <si>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</si>
  <si>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</si>
  <si>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</si>
  <si>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</si>
  <si>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</si>
  <si>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</si>
  <si>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</si>
  <si>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</si>
  <si>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</si>
  <si>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</si>
  <si>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</si>
  <si>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</si>
  <si>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</si>
  <si>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</si>
  <si>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</si>
  <si>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</si>
  <si>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</si>
  <si>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</si>
  <si>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</si>
  <si>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</si>
  <si>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</si>
  <si>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</si>
  <si>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</si>
  <si>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</si>
  <si>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</si>
  <si>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</si>
  <si>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</si>
  <si>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</si>
  <si>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</si>
  <si>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</si>
  <si>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</si>
  <si>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</si>
  <si>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</si>
  <si>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</si>
  <si>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</si>
  <si>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</si>
  <si>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</si>
  <si>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</si>
  <si>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</si>
  <si>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</si>
  <si>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</si>
  <si>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</si>
  <si>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</si>
  <si>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</si>
  <si>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</si>
  <si>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IV SET W/ AIRWAY FOR IV PUSH, VACOSET/MACRODRIP, ADULT</t>
  </si>
  <si>
    <t>IV CATHETER GAUGE 18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</si>
  <si>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</si>
  <si>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</si>
  <si>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</si>
  <si>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</si>
  <si>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</si>
  <si>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</si>
  <si>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</si>
  <si>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</si>
  <si>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CATGUT 2-0 ABSORBABLE SURGICAL SUTURE AT LEAST 75CM,  WITH AT LEAST 35-37MM X ½ CIRCLE ROUND TAPER NEEDLE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</si>
  <si>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</si>
  <si>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</si>
  <si>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</si>
  <si>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</si>
  <si>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FERROUS SULFATE + FOLIC ACID 200MG./400MCG (DONATION)</t>
  </si>
  <si>
    <t>VIAL</t>
  </si>
  <si>
    <t>TUBE</t>
  </si>
  <si>
    <t>CAPSULE</t>
  </si>
  <si>
    <t>1L</t>
  </si>
  <si>
    <t>10MG</t>
  </si>
  <si>
    <t>3.5G</t>
  </si>
  <si>
    <t>500MG</t>
  </si>
  <si>
    <t>200MG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</si>
  <si>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</si>
  <si>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KIT</t>
  </si>
  <si>
    <t>CALCIUM CARBONATE 500MG BLISTER/FOIL PACK</t>
  </si>
  <si>
    <t>ROLL</t>
  </si>
  <si>
    <t>ULTRASOUND PRINTING PAPER 110MM X 20MM (HIGH DENSITY) (DURICO TYPE 1)</t>
  </si>
  <si>
    <t>MEDICAL GLOVES W/ CUFF, STERILE LATEX, NATURAL RUBBER: BOX OF 50'S  WARD USE SIZE 6 1/2</t>
  </si>
  <si>
    <t>PAIR</t>
  </si>
  <si>
    <t>NIFEDIPINE HCL 10MG BLISTER/FOIL PACK</t>
  </si>
  <si>
    <t>CASE RATE</t>
  </si>
  <si>
    <t>PF CASE</t>
  </si>
  <si>
    <t>NBB</t>
  </si>
  <si>
    <t>CEFALEXIN MONOHYDRATE 500MG IN BLISTER FOIL PACK</t>
  </si>
  <si>
    <t>BOTTLE</t>
  </si>
  <si>
    <t>AMPULE</t>
  </si>
  <si>
    <t>MATERNITY PAD  X 8</t>
  </si>
  <si>
    <t>OXYTOCIN MALEATE 10MCG INJECTION 10 UNITS/ML-1ML</t>
  </si>
  <si>
    <t>10MCG</t>
  </si>
  <si>
    <t>OXYGEN NASAL CANNULA WITH THREAD CONNECTOR FOR ADULT (CURVED FLAIRED TIP)</t>
  </si>
  <si>
    <t>360295/74086</t>
  </si>
  <si>
    <t>O14.1</t>
  </si>
  <si>
    <t>SGPT</t>
  </si>
  <si>
    <t>NA (SODIUM)</t>
  </si>
  <si>
    <t>SGOT</t>
  </si>
  <si>
    <t>CREATININE (CREA)</t>
  </si>
  <si>
    <t>K (POTASSIUM)</t>
  </si>
  <si>
    <t>LDH</t>
  </si>
  <si>
    <t>BLOOD UREA NITROGEN (BUN)</t>
  </si>
  <si>
    <t>RANDOM BLOOD SUGAR (RBS)</t>
  </si>
  <si>
    <t>IONIZED CALCIUM (ICA)</t>
  </si>
  <si>
    <t>PT (PROTIME)</t>
  </si>
  <si>
    <t>MG (MAGNESIUM)</t>
  </si>
  <si>
    <t>URINALYSIS (UA)</t>
  </si>
  <si>
    <t>APTT</t>
  </si>
  <si>
    <t>CHEST PA ADULT (1 VIEW)</t>
  </si>
  <si>
    <t>FUROSEMIDE 20MG</t>
  </si>
  <si>
    <t>PARACETAMOL (ACETAMINOPHEN) 500MG IN BLISTER FOIL PACK</t>
  </si>
  <si>
    <t>MAGNESIUM SULFATE 500MG/ML-2ML AMP</t>
  </si>
  <si>
    <t>20MG</t>
  </si>
  <si>
    <t>FOLEY CATHETER FR 16, 2 WAY, BOX OF 20 (CPR NEEDED)</t>
  </si>
  <si>
    <t>MEDICAL GLOVES W/ CUFF, STERILE LATEX, NATURAL RUBBER: BOX OF 50''S  WARD USE SIZE 7 1/2</t>
  </si>
  <si>
    <t>FOLEY CATHETER FR 14, 2 WAY, BOX OF 20</t>
  </si>
  <si>
    <t>URINE BAG, ADULT W/ DRAINAGE TUBE 2,000 ML</t>
  </si>
  <si>
    <t>STERILE WATER FOR INJECTION, 10ML (SWFI)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</si>
</sst>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6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19050</xdr:rowOff>
        </xdr:from>
        <xdr:to>
          <xdr:col>1</xdr:col>
          <xdr:colOff>733425</xdr:colOff>
          <xdr:row>70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70</xdr:row>
          <xdr:rowOff>19050</xdr:rowOff>
        </xdr:from>
        <xdr:to>
          <xdr:col>1</xdr:col>
          <xdr:colOff>1504950</xdr:colOff>
          <xdr:row>70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28575</xdr:rowOff>
        </xdr:from>
        <xdr:to>
          <xdr:col>1</xdr:col>
          <xdr:colOff>771525</xdr:colOff>
          <xdr:row>48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48</xdr:row>
          <xdr:rowOff>28575</xdr:rowOff>
        </xdr:from>
        <xdr:to>
          <xdr:col>1</xdr:col>
          <xdr:colOff>1543050</xdr:colOff>
          <xdr:row>48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9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213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155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155" t="s">
        <v>214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155" t="s">
        <v>215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155" t="s">
        <v>216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155" t="s">
        <v>217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155" t="s">
        <v>218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155" t="s">
        <v>219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155" t="s">
        <v>220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155" t="s">
        <v>169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155" t="s">
        <v>221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155" t="s">
        <v>222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155" t="s">
        <v>223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155" t="s">
        <v>224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14</v>
      </c>
      <c r="C47" s="155" t="s">
        <v>225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15</v>
      </c>
      <c r="C48" s="155" t="s">
        <v>226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23" t="s">
        <v>19</v>
      </c>
      <c r="C49" s="124"/>
      <c r="D49" s="121"/>
      <c r="E49" s="124"/>
      <c r="F49" s="12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155" t="s">
        <v>227</v>
      </c>
      <c r="D50" s="23"/>
      <c r="E50" s="55">
        <v>1</v>
      </c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3"/>
      <c r="E52" s="55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3"/>
      <c r="E53" s="55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23" t="s">
        <v>43</v>
      </c>
      <c r="C54" s="124"/>
      <c r="D54" s="121"/>
      <c r="E54" s="124"/>
      <c r="F54" s="122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4" t="s">
        <v>44</v>
      </c>
      <c r="C55" s="13"/>
      <c r="D55" s="13"/>
      <c r="E55" s="16">
        <v>0</v>
      </c>
      <c r="F55" s="1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20" t="s">
        <v>52</v>
      </c>
      <c r="C56" s="121"/>
      <c r="D56" s="121"/>
      <c r="E56" s="121"/>
      <c r="F56" s="122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30">
        <v>1</v>
      </c>
      <c r="C57" s="31"/>
      <c r="D57" s="32"/>
      <c r="E57" s="57"/>
      <c r="F57" s="5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30">
        <v>2</v>
      </c>
      <c r="C58" s="31"/>
      <c r="D58" s="32"/>
      <c r="E58" s="57"/>
      <c r="F58" s="5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20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20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Bot="1" x14ac:dyDescent="0.35">
      <c r="A61" s="1"/>
      <c r="B61" s="120" t="s">
        <v>20</v>
      </c>
      <c r="C61" s="121"/>
      <c r="D61" s="121"/>
      <c r="E61" s="121"/>
      <c r="F61" s="122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1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2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3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4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5</v>
      </c>
      <c r="C66" s="27"/>
      <c r="D66" s="28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6</v>
      </c>
      <c r="C67" s="27"/>
      <c r="D67" s="28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5"/>
      <c r="C68" s="25"/>
      <c r="D68" s="25"/>
      <c r="E68" s="25"/>
      <c r="F68" s="2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57.75" customHeight="1" thickBot="1" x14ac:dyDescent="0.35">
      <c r="A70" s="1"/>
      <c r="B70" s="17" t="s">
        <v>54</v>
      </c>
      <c r="C70" s="17" t="s">
        <v>50</v>
      </c>
      <c r="D70" s="17" t="s">
        <v>55</v>
      </c>
      <c r="E70" s="18" t="s">
        <v>56</v>
      </c>
      <c r="F70" s="19" t="s">
        <v>21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2">
        <v>1</v>
      </c>
      <c r="C71" s="27" t="s">
        <v>202</v>
      </c>
      <c r="D71" s="55">
        <v>3000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2</v>
      </c>
      <c r="C72" s="27" t="s">
        <v>203</v>
      </c>
      <c r="D72" s="55">
        <v>2000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3</v>
      </c>
      <c r="C73" s="27" t="s">
        <v>204</v>
      </c>
      <c r="D73" s="55"/>
      <c r="E73" s="55">
        <v>6145.37</v>
      </c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6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7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8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9</v>
      </c>
      <c r="C79" s="27"/>
      <c r="D79" s="55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10</v>
      </c>
      <c r="C80" s="27"/>
      <c r="D80" s="55"/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4.9000000000000004" customHeight="1" thickBot="1" x14ac:dyDescent="0.35">
      <c r="A81" s="1"/>
      <c r="B81" s="1"/>
      <c r="C81" s="1"/>
      <c r="D81" s="58"/>
      <c r="E81" s="58"/>
      <c r="F81" s="58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thickTop="1" x14ac:dyDescent="0.3">
      <c r="A82" s="1"/>
      <c r="B82" s="11"/>
      <c r="C82" s="4" t="s">
        <v>22</v>
      </c>
      <c r="D82" s="59">
        <f>SUM(D71:D81)</f>
        <v>5000</v>
      </c>
      <c r="E82" s="59">
        <f>SUM(E71:E81)</f>
        <v>6145.37</v>
      </c>
      <c r="F82" s="59">
        <f>SUM(F71:F81)</f>
        <v>0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</sheetData>
  <sheetProtection password="C2E9" sheet="1" objects="1" scenarios="1" formatColumns="0" formatRows="0" sort="0" autoFilter="0"/>
  <mergeCells count="12">
    <mergeCell ref="B61:F61"/>
    <mergeCell ref="B54:F54"/>
    <mergeCell ref="B12:F12"/>
    <mergeCell ref="B13:F13"/>
    <mergeCell ref="B14:F14"/>
    <mergeCell ref="B15:F15"/>
    <mergeCell ref="B18:F18"/>
    <mergeCell ref="B22:F22"/>
    <mergeCell ref="B33:F33"/>
    <mergeCell ref="B28:F28"/>
    <mergeCell ref="B49:F49"/>
    <mergeCell ref="B56:F56"/>
  </mergeCells>
  <dataValidations count="1">
    <dataValidation type="decimal" operator="greaterThanOrEqual" allowBlank="1" showInputMessage="1" showErrorMessage="1" sqref="E32 E50:E53 E55 E23:F27 E57:F60 E62:F67 E34:E48 D71:F8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70</xdr:row>
                    <xdr:rowOff>19050</xdr:rowOff>
                  </from>
                  <to>
                    <xdr:col>1</xdr:col>
                    <xdr:colOff>733425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70</xdr:row>
                    <xdr:rowOff>19050</xdr:rowOff>
                  </from>
                  <to>
                    <xdr:col>1</xdr:col>
                    <xdr:colOff>1504950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2"/>
  <sheetViews>
    <sheetView topLeftCell="B1" workbookViewId="0">
      <selection activeCell="J22" sqref="J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182</v>
      </c>
      <c r="D11" s="27" t="s">
        <v>206</v>
      </c>
      <c r="E11" s="27" t="s">
        <v>189</v>
      </c>
      <c r="F11" s="118">
        <v>1</v>
      </c>
      <c r="G11" s="55">
        <v>2</v>
      </c>
      <c r="H11" s="118">
        <v>2</v>
      </c>
      <c r="I11" s="119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184</v>
      </c>
      <c r="D12" s="27" t="s">
        <v>187</v>
      </c>
      <c r="E12" s="27" t="s">
        <v>191</v>
      </c>
      <c r="F12" s="118">
        <v>1</v>
      </c>
      <c r="G12" s="55">
        <v>1</v>
      </c>
      <c r="H12" s="118">
        <v>1</v>
      </c>
      <c r="I12" s="119">
        <v>21</v>
      </c>
      <c r="J12" s="55">
        <f t="shared" ref="J12:J21" si="0">H12*I12</f>
        <v>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183</v>
      </c>
      <c r="D13" s="27" t="s">
        <v>186</v>
      </c>
      <c r="E13" s="27" t="s">
        <v>190</v>
      </c>
      <c r="F13" s="118">
        <v>1</v>
      </c>
      <c r="G13" s="55">
        <v>1</v>
      </c>
      <c r="H13" s="118">
        <v>1</v>
      </c>
      <c r="I13" s="119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228</v>
      </c>
      <c r="D14" s="27" t="s">
        <v>207</v>
      </c>
      <c r="E14" s="27" t="s">
        <v>231</v>
      </c>
      <c r="F14" s="118">
        <v>1</v>
      </c>
      <c r="G14" s="55">
        <v>2</v>
      </c>
      <c r="H14" s="118">
        <v>2</v>
      </c>
      <c r="I14" s="119">
        <v>3.2</v>
      </c>
      <c r="J14" s="55">
        <f t="shared" si="0"/>
        <v>6.4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209</v>
      </c>
      <c r="D15" s="27" t="s">
        <v>207</v>
      </c>
      <c r="E15" s="27" t="s">
        <v>210</v>
      </c>
      <c r="F15" s="118">
        <v>3</v>
      </c>
      <c r="G15" s="55">
        <v>2</v>
      </c>
      <c r="H15" s="118">
        <v>5</v>
      </c>
      <c r="I15" s="119">
        <v>8.52</v>
      </c>
      <c r="J15" s="55">
        <f t="shared" si="0"/>
        <v>42.599999999999994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201</v>
      </c>
      <c r="D16" s="27" t="s">
        <v>188</v>
      </c>
      <c r="E16" s="27" t="s">
        <v>190</v>
      </c>
      <c r="F16" s="118">
        <v>3</v>
      </c>
      <c r="G16" s="55">
        <v>7</v>
      </c>
      <c r="H16" s="118">
        <v>21</v>
      </c>
      <c r="I16" s="119">
        <v>5.04</v>
      </c>
      <c r="J16" s="55">
        <f t="shared" si="0"/>
        <v>105.84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229</v>
      </c>
      <c r="D17" s="27" t="s">
        <v>188</v>
      </c>
      <c r="E17" s="27" t="s">
        <v>192</v>
      </c>
      <c r="F17" s="118">
        <v>2</v>
      </c>
      <c r="G17" s="55">
        <v>10</v>
      </c>
      <c r="H17" s="118">
        <v>20</v>
      </c>
      <c r="I17" s="119">
        <v>0.31</v>
      </c>
      <c r="J17" s="55">
        <f t="shared" si="0"/>
        <v>6.2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185</v>
      </c>
      <c r="D18" s="27" t="s">
        <v>188</v>
      </c>
      <c r="E18" s="27" t="s">
        <v>193</v>
      </c>
      <c r="F18" s="118">
        <v>1</v>
      </c>
      <c r="G18" s="55">
        <v>100</v>
      </c>
      <c r="H18" s="118">
        <v>100</v>
      </c>
      <c r="I18" s="119">
        <v>1.27</v>
      </c>
      <c r="J18" s="55">
        <f t="shared" si="0"/>
        <v>127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 t="s">
        <v>196</v>
      </c>
      <c r="D19" s="27" t="s">
        <v>188</v>
      </c>
      <c r="E19" s="27" t="s">
        <v>192</v>
      </c>
      <c r="F19" s="118">
        <v>3</v>
      </c>
      <c r="G19" s="55">
        <v>10</v>
      </c>
      <c r="H19" s="118">
        <v>30</v>
      </c>
      <c r="I19" s="119">
        <v>1.83</v>
      </c>
      <c r="J19" s="55">
        <f t="shared" si="0"/>
        <v>54.900000000000006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118" t="s">
        <v>205</v>
      </c>
      <c r="D20" s="27" t="s">
        <v>188</v>
      </c>
      <c r="E20" s="27" t="s">
        <v>192</v>
      </c>
      <c r="F20" s="118">
        <v>3</v>
      </c>
      <c r="G20" s="55">
        <v>7</v>
      </c>
      <c r="H20" s="118">
        <v>21</v>
      </c>
      <c r="I20" s="119">
        <v>2.87</v>
      </c>
      <c r="J20" s="55">
        <f t="shared" si="0"/>
        <v>60.27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118" t="s">
        <v>230</v>
      </c>
      <c r="D21" s="27" t="s">
        <v>207</v>
      </c>
      <c r="E21" s="27" t="s">
        <v>192</v>
      </c>
      <c r="F21" s="118">
        <v>3</v>
      </c>
      <c r="G21" s="55">
        <v>10</v>
      </c>
      <c r="H21" s="118">
        <v>30</v>
      </c>
      <c r="I21" s="119">
        <v>72</v>
      </c>
      <c r="J21" s="55">
        <f t="shared" si="0"/>
        <v>2160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25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21">
    <cfRule type="duplicateValues" dxfId="28" priority="1"/>
  </conditionalFormatting>
  <dataValidations count="1">
    <dataValidation type="decimal" operator="greaterThanOrEqual" allowBlank="1" showInputMessage="1" showErrorMessage="1" sqref="F11:J2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2"/>
  <sheetViews>
    <sheetView topLeftCell="A10" workbookViewId="0">
      <selection activeCell="D44" sqref="D44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20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171</v>
      </c>
      <c r="D28" s="117" t="s">
        <v>164</v>
      </c>
      <c r="E28" s="118">
        <v>3</v>
      </c>
      <c r="F28" s="119">
        <v>13.13</v>
      </c>
      <c r="G28" s="116">
        <f>+E28*F28</f>
        <v>39.39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170</v>
      </c>
      <c r="D29" s="117" t="s">
        <v>181</v>
      </c>
      <c r="E29" s="118">
        <v>2</v>
      </c>
      <c r="F29" s="119">
        <v>14</v>
      </c>
      <c r="G29" s="116">
        <f t="shared" ref="G29:G47" si="0">+E29*F29</f>
        <v>28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194</v>
      </c>
      <c r="D30" s="117" t="s">
        <v>195</v>
      </c>
      <c r="E30" s="118">
        <v>1</v>
      </c>
      <c r="F30" s="119">
        <v>105.33</v>
      </c>
      <c r="G30" s="116">
        <f t="shared" si="0"/>
        <v>105.33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198</v>
      </c>
      <c r="D31" s="117" t="s">
        <v>197</v>
      </c>
      <c r="E31" s="118">
        <v>1</v>
      </c>
      <c r="F31" s="119">
        <v>100</v>
      </c>
      <c r="G31" s="116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232</v>
      </c>
      <c r="D32" s="117" t="s">
        <v>164</v>
      </c>
      <c r="E32" s="118">
        <v>1</v>
      </c>
      <c r="F32" s="119">
        <v>27.75</v>
      </c>
      <c r="G32" s="116">
        <f t="shared" si="0"/>
        <v>27.75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173</v>
      </c>
      <c r="D33" s="117" t="s">
        <v>164</v>
      </c>
      <c r="E33" s="118">
        <v>2</v>
      </c>
      <c r="F33" s="119">
        <v>1.6</v>
      </c>
      <c r="G33" s="116">
        <f t="shared" si="0"/>
        <v>3.2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174</v>
      </c>
      <c r="D34" s="117" t="s">
        <v>164</v>
      </c>
      <c r="E34" s="118">
        <v>2</v>
      </c>
      <c r="F34" s="119">
        <v>1.6</v>
      </c>
      <c r="G34" s="116">
        <f t="shared" si="0"/>
        <v>3.2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176</v>
      </c>
      <c r="D35" s="117" t="s">
        <v>164</v>
      </c>
      <c r="E35" s="118">
        <v>4</v>
      </c>
      <c r="F35" s="119">
        <v>2.77</v>
      </c>
      <c r="G35" s="116">
        <f t="shared" si="0"/>
        <v>11.08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208</v>
      </c>
      <c r="D36" s="117" t="s">
        <v>164</v>
      </c>
      <c r="E36" s="118">
        <v>2</v>
      </c>
      <c r="F36" s="119">
        <v>250</v>
      </c>
      <c r="G36" s="116">
        <f t="shared" si="0"/>
        <v>500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175</v>
      </c>
      <c r="D37" s="117" t="s">
        <v>164</v>
      </c>
      <c r="E37" s="118">
        <v>1</v>
      </c>
      <c r="F37" s="119">
        <v>5</v>
      </c>
      <c r="G37" s="116">
        <f t="shared" si="0"/>
        <v>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180</v>
      </c>
      <c r="D38" s="117" t="s">
        <v>164</v>
      </c>
      <c r="E38" s="118">
        <v>2</v>
      </c>
      <c r="F38" s="119">
        <v>118.67</v>
      </c>
      <c r="G38" s="116">
        <f t="shared" si="0"/>
        <v>237.34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177</v>
      </c>
      <c r="D39" s="117" t="s">
        <v>164</v>
      </c>
      <c r="E39" s="118">
        <v>1</v>
      </c>
      <c r="F39" s="119">
        <v>3.25</v>
      </c>
      <c r="G39" s="116">
        <f t="shared" si="0"/>
        <v>3.25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178</v>
      </c>
      <c r="D40" s="117" t="s">
        <v>164</v>
      </c>
      <c r="E40" s="118">
        <v>1</v>
      </c>
      <c r="F40" s="119">
        <v>5</v>
      </c>
      <c r="G40" s="116">
        <f t="shared" si="0"/>
        <v>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199</v>
      </c>
      <c r="D41" s="117" t="s">
        <v>200</v>
      </c>
      <c r="E41" s="118">
        <v>1</v>
      </c>
      <c r="F41" s="119">
        <v>12</v>
      </c>
      <c r="G41" s="116">
        <f t="shared" si="0"/>
        <v>12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118" t="s">
        <v>233</v>
      </c>
      <c r="D42" s="117" t="s">
        <v>200</v>
      </c>
      <c r="E42" s="118">
        <v>1</v>
      </c>
      <c r="F42" s="119">
        <v>10.67</v>
      </c>
      <c r="G42" s="116">
        <f t="shared" si="0"/>
        <v>10.67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118" t="s">
        <v>172</v>
      </c>
      <c r="D43" s="117" t="s">
        <v>164</v>
      </c>
      <c r="E43" s="118">
        <v>1</v>
      </c>
      <c r="F43" s="119">
        <v>11.73</v>
      </c>
      <c r="G43" s="116">
        <f t="shared" si="0"/>
        <v>11.73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118" t="s">
        <v>234</v>
      </c>
      <c r="D44" s="117" t="s">
        <v>164</v>
      </c>
      <c r="E44" s="118">
        <v>1</v>
      </c>
      <c r="F44" s="119">
        <v>22</v>
      </c>
      <c r="G44" s="116">
        <f t="shared" si="0"/>
        <v>22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118" t="s">
        <v>235</v>
      </c>
      <c r="D45" s="117" t="s">
        <v>164</v>
      </c>
      <c r="E45" s="118">
        <v>1</v>
      </c>
      <c r="F45" s="119">
        <v>15.81</v>
      </c>
      <c r="G45" s="116">
        <f t="shared" si="0"/>
        <v>15.81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118" t="s">
        <v>236</v>
      </c>
      <c r="D46" s="117" t="s">
        <v>164</v>
      </c>
      <c r="E46" s="118">
        <v>1</v>
      </c>
      <c r="F46" s="119">
        <v>25</v>
      </c>
      <c r="G46" s="116">
        <f t="shared" si="0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118" t="s">
        <v>211</v>
      </c>
      <c r="D47" s="117" t="s">
        <v>164</v>
      </c>
      <c r="E47" s="118">
        <v>1</v>
      </c>
      <c r="F47" s="119">
        <v>15.44</v>
      </c>
      <c r="G47" s="116">
        <f t="shared" si="0"/>
        <v>15.44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141" t="s">
        <v>29</v>
      </c>
      <c r="C48" s="142"/>
      <c r="D48" s="142"/>
      <c r="E48" s="142"/>
      <c r="F48" s="142"/>
      <c r="G48" s="143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2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3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4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5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6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7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8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9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10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A59" s="44"/>
      <c r="B59" s="39"/>
      <c r="C59" s="44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A60" s="44"/>
      <c r="B60" s="39"/>
      <c r="C60" s="44"/>
      <c r="D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8:G48"/>
    <mergeCell ref="B8:G8"/>
    <mergeCell ref="B9:G9"/>
    <mergeCell ref="B10:G10"/>
    <mergeCell ref="B11:G11"/>
    <mergeCell ref="B12:G12"/>
    <mergeCell ref="B15:G15"/>
  </mergeCells>
  <conditionalFormatting sqref="C28:C47">
    <cfRule type="duplicateValues" dxfId="1" priority="1"/>
  </conditionalFormatting>
  <dataValidations count="1">
    <dataValidation type="decimal" operator="greaterThanOrEqual" allowBlank="1" showInputMessage="1" showErrorMessage="1" sqref="E16:G5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48</xdr:row>
                    <xdr:rowOff>28575</xdr:rowOff>
                  </from>
                  <to>
                    <xdr:col>1</xdr:col>
                    <xdr:colOff>771525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48</xdr:row>
                    <xdr:rowOff>28575</xdr:rowOff>
                  </from>
                  <to>
                    <xdr:col>1</xdr:col>
                    <xdr:colOff>1543050</xdr:colOff>
                    <xdr:row>48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181</v>
      </c>
      <c r="E28" s="55"/>
      <c r="F28" s="55"/>
      <c r="G28" s="55" t="s">
        <v>179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2018-05-30T07:55:52Z</dcterms:modified>
</cp:coreProperties>
</file>