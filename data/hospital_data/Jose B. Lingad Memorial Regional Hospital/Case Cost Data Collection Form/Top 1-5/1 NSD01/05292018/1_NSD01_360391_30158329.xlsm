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Supplies_Medical'!$C$15:$C$46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J20" i="2" l="1"/>
  <c r="J19" i="2"/>
  <c r="J18" i="2" l="1"/>
  <c r="J17" i="2"/>
  <c r="J16" i="2"/>
  <c r="G35" i="9" l="1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<sst xmlns="http://schemas.openxmlformats.org/spreadsheetml/2006/main" count="507" uniqueCount="209">
  <si>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</si>
  <si>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</si>
  <si>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</si>
  <si>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</si>
  <si>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</si>
  <si>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</si>
  <si>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</si>
  <si>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</si>
  <si>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</si>
  <si>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</si>
  <si>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</si>
  <si>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</si>
  <si>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</si>
  <si>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</si>
  <si>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</si>
  <si>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</si>
  <si>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</si>
  <si>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</si>
  <si>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</si>
  <si>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</si>
  <si>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</si>
  <si>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</si>
  <si>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</si>
  <si>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</si>
  <si>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</si>
  <si>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</si>
  <si>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</si>
  <si>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</si>
  <si>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</si>
  <si>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</si>
  <si>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</si>
  <si>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</si>
  <si>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</si>
  <si>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</si>
  <si>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</si>
  <si>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</si>
  <si>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</si>
  <si>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</si>
  <si>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</si>
  <si>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</si>
  <si>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</si>
  <si>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</si>
  <si>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</si>
  <si>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</si>
  <si>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</si>
  <si>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</si>
  <si>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</si>
  <si>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</si>
  <si>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</si>
  <si>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</si>
  <si>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</si>
  <si>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</si>
  <si>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</si>
  <si>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</si>
  <si>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</si>
  <si>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</si>
  <si>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</si>
  <si>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</si>
  <si>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</si>
  <si>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</si>
  <si>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</si>
  <si>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</si>
  <si>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</si>
  <si>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</si>
  <si>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</si>
  <si>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</si>
  <si>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</si>
  <si>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</si>
  <si>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</si>
  <si>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</si>
  <si>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</si>
  <si>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</si>
  <si>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</si>
  <si>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</si>
  <si>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</si>
  <si>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</si>
  <si>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</si>
  <si>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</si>
  <si>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</si>
  <si>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</si>
  <si>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</si>
  <si>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</si>
  <si>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</si>
  <si>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</si>
  <si>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</si>
  <si>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</si>
  <si>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</si>
  <si>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</si>
  <si>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</si>
  <si>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</si>
  <si>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</si>
  <si>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</si>
  <si>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</si>
  <si>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</si>
  <si>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</si>
  <si>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</si>
  <si>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</si>
  <si>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</si>
  <si>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</si>
  <si>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</si>
  <si>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</si>
  <si>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</si>
  <si>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</si>
  <si>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</si>
  <si>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</si>
  <si>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</si>
  <si>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</si>
  <si>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</si>
  <si>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</si>
  <si>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</si>
  <si>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</si>
  <si>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</si>
  <si>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</si>
  <si>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</si>
  <si>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</si>
  <si>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</si>
  <si>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</si>
  <si>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</si>
  <si>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</si>
  <si>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</si>
  <si>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</si>
  <si>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</si>
  <si>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</si>
  <si>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</si>
  <si>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</si>
  <si>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</si>
  <si>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</si>
  <si>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</si>
  <si>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</si>
  <si>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</si>
  <si>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</si>
  <si>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</si>
  <si>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</si>
  <si>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</si>
  <si>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</si>
  <si>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</si>
  <si>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</si>
  <si>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</si>
  <si>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</si>
  <si>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</si>
  <si>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</si>
  <si>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</si>
  <si>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</si>
  <si>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</si>
  <si>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</si>
  <si>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</si>
  <si>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</si>
  <si>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</si>
  <si>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</si>
  <si>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</si>
  <si>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</si>
  <si>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</si>
  <si>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</si>
  <si>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</si>
  <si>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</si>
  <si>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</si>
  <si>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</si>
  <si>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</si>
  <si>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</si>
  <si>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</si>
  <si>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</si>
  <si>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</si>
  <si>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</si>
  <si>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</si>
  <si>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</si>
  <si>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</si>
  <si>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</si>
  <si>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</si>
  <si>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</si>
  <si>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</si>
  <si>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</si>
  <si>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</si>
  <si>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</si>
  <si>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</si>
  <si>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</si>
  <si>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5ML G 23, W/ NEEDLE X 100S</t>
  </si>
  <si>
    <t>CORD CLAMP (UMBILICAL) X 100S, STERILE</t>
  </si>
  <si>
    <t>+RC[-2]*RC[-1]</t>
  </si>
  <si>
    <t>CATGUT 2-0 ABSORBABLE SURGICAL SUTURE AT LEAST 75CM,  WITH AT LEAST 35-37MM X ½ CIRCLE ROUND TAPER NEEDLE</t>
  </si>
  <si>
    <t>SET</t>
  </si>
  <si>
    <t>LIDOCAINE HCI 2%-5ML PRESERVATIVE-FREE REGARDLESS OF CONTAINER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</si>
  <si>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</si>
  <si>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</si>
  <si>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</si>
  <si>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</si>
  <si>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</si>
  <si>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</si>
  <si>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TUBE</t>
  </si>
  <si>
    <t>CAPSULE</t>
  </si>
  <si>
    <t>1L</t>
  </si>
  <si>
    <t>POLYAMP</t>
  </si>
  <si>
    <t>CASE RATE</t>
  </si>
  <si>
    <t>PF CASE</t>
  </si>
  <si>
    <t>NBB</t>
  </si>
  <si>
    <t>CEFALEXIN MONOHYDRATE 500MG IN BLISTER FOIL PACK</t>
  </si>
  <si>
    <t>BOTTLE</t>
  </si>
  <si>
    <t>AMPULE</t>
  </si>
  <si>
    <t>MATERNITY PAD  X 8</t>
  </si>
  <si>
    <t>OXYTOCIN MALEATE 10MCG INJECTION 10 UNITS/ML-1ML</t>
  </si>
  <si>
    <t>360391/74132</t>
  </si>
  <si>
    <t>HYOSCINE N-BUTYLBROMIDE 20MG/ML-1ML</t>
  </si>
  <si>
    <t>PLAIN NSS 1L  (X 12S)</t>
  </si>
  <si>
    <t>3.5g</t>
  </si>
  <si>
    <t>10mg</t>
  </si>
  <si>
    <t>10mcg</t>
  </si>
  <si>
    <t>20mg</t>
  </si>
  <si>
    <t>500mg</t>
  </si>
  <si>
    <t>2%-5mL</t>
  </si>
  <si>
    <t>200mg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</si>
</sst>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28575</xdr:rowOff>
        </xdr:from>
        <xdr:to>
          <xdr:col>1</xdr:col>
          <xdr:colOff>771525</xdr:colOff>
          <xdr:row>36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36</xdr:row>
          <xdr:rowOff>28575</xdr:rowOff>
        </xdr:from>
        <xdr:to>
          <xdr:col>1</xdr:col>
          <xdr:colOff>1543050</xdr:colOff>
          <xdr:row>36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191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192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193</v>
      </c>
      <c r="D65" s="55"/>
      <c r="E65" s="55">
        <v>356.17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356.17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181</v>
      </c>
      <c r="D11" s="27" t="s">
        <v>195</v>
      </c>
      <c r="E11" s="27" t="s">
        <v>189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183</v>
      </c>
      <c r="D12" s="27" t="s">
        <v>187</v>
      </c>
      <c r="E12" s="27" t="s">
        <v>202</v>
      </c>
      <c r="F12" s="118">
        <v>1</v>
      </c>
      <c r="G12" s="55">
        <v>1</v>
      </c>
      <c r="H12" s="118">
        <v>1</v>
      </c>
      <c r="I12" s="119">
        <v>21</v>
      </c>
      <c r="J12" s="55">
        <f t="shared" ref="J12:J20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182</v>
      </c>
      <c r="D13" s="27" t="s">
        <v>186</v>
      </c>
      <c r="E13" s="27" t="s">
        <v>203</v>
      </c>
      <c r="F13" s="118">
        <v>1</v>
      </c>
      <c r="G13" s="55">
        <v>1</v>
      </c>
      <c r="H13" s="118">
        <v>1</v>
      </c>
      <c r="I13" s="119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198</v>
      </c>
      <c r="D14" s="27" t="s">
        <v>196</v>
      </c>
      <c r="E14" s="27" t="s">
        <v>204</v>
      </c>
      <c r="F14" s="118">
        <v>1</v>
      </c>
      <c r="G14" s="55">
        <v>3</v>
      </c>
      <c r="H14" s="118">
        <v>3</v>
      </c>
      <c r="I14" s="119">
        <v>8.52</v>
      </c>
      <c r="J14" s="55">
        <f t="shared" si="0"/>
        <v>25.56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200</v>
      </c>
      <c r="D15" s="27" t="s">
        <v>186</v>
      </c>
      <c r="E15" s="27" t="s">
        <v>205</v>
      </c>
      <c r="F15" s="118">
        <v>1</v>
      </c>
      <c r="G15" s="55">
        <v>2</v>
      </c>
      <c r="H15" s="118">
        <v>2</v>
      </c>
      <c r="I15" s="119">
        <v>25.79</v>
      </c>
      <c r="J15" s="55">
        <f t="shared" si="0"/>
        <v>51.58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180</v>
      </c>
      <c r="D16" s="27" t="s">
        <v>190</v>
      </c>
      <c r="E16" s="27" t="s">
        <v>207</v>
      </c>
      <c r="F16" s="118">
        <v>1</v>
      </c>
      <c r="G16" s="55">
        <v>1</v>
      </c>
      <c r="H16" s="118">
        <v>1</v>
      </c>
      <c r="I16" s="119">
        <v>30.4</v>
      </c>
      <c r="J16" s="55">
        <f t="shared" si="0"/>
        <v>30.4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201</v>
      </c>
      <c r="D17" s="27" t="s">
        <v>195</v>
      </c>
      <c r="E17" s="27" t="s">
        <v>189</v>
      </c>
      <c r="F17" s="118">
        <v>1</v>
      </c>
      <c r="G17" s="55">
        <v>1</v>
      </c>
      <c r="H17" s="118">
        <v>1</v>
      </c>
      <c r="I17" s="119">
        <v>50.67</v>
      </c>
      <c r="J17" s="55">
        <f t="shared" si="0"/>
        <v>50.67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184</v>
      </c>
      <c r="D18" s="27" t="s">
        <v>188</v>
      </c>
      <c r="E18" s="27" t="s">
        <v>206</v>
      </c>
      <c r="F18" s="118">
        <v>3</v>
      </c>
      <c r="G18" s="55">
        <v>3</v>
      </c>
      <c r="H18" s="118">
        <v>9</v>
      </c>
      <c r="I18" s="119">
        <v>0.97</v>
      </c>
      <c r="J18" s="55">
        <f t="shared" si="0"/>
        <v>8.73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185</v>
      </c>
      <c r="D19" s="27" t="s">
        <v>188</v>
      </c>
      <c r="E19" s="27" t="s">
        <v>208</v>
      </c>
      <c r="F19" s="118">
        <v>1</v>
      </c>
      <c r="G19" s="55">
        <v>100</v>
      </c>
      <c r="H19" s="118">
        <v>100</v>
      </c>
      <c r="I19" s="119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8" t="s">
        <v>194</v>
      </c>
      <c r="D20" s="27" t="s">
        <v>188</v>
      </c>
      <c r="E20" s="27" t="s">
        <v>206</v>
      </c>
      <c r="F20" s="118">
        <v>3</v>
      </c>
      <c r="G20" s="55">
        <v>7</v>
      </c>
      <c r="H20" s="118">
        <v>21</v>
      </c>
      <c r="I20" s="119">
        <v>2.87</v>
      </c>
      <c r="J20" s="55">
        <f t="shared" si="0"/>
        <v>60.27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0">
    <cfRule type="duplicateValues" dxfId="3" priority="1"/>
    <cfRule type="duplicateValues" dxfId="2" priority="2"/>
  </conditionalFormatting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0"/>
  <sheetViews>
    <sheetView topLeftCell="A10" workbookViewId="0">
      <selection activeCell="C29" sqref="C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164</v>
      </c>
      <c r="E28" s="118">
        <v>1</v>
      </c>
      <c r="F28" s="119">
        <v>13.13</v>
      </c>
      <c r="G28" s="116">
        <f>+E28*F28</f>
        <v>13.13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176</v>
      </c>
      <c r="D29" s="117" t="s">
        <v>164</v>
      </c>
      <c r="E29" s="118">
        <v>1</v>
      </c>
      <c r="F29" s="119">
        <v>3.25</v>
      </c>
      <c r="G29" s="116">
        <f t="shared" ref="G29:G35" si="0">+E29*F29</f>
        <v>3.25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197</v>
      </c>
      <c r="D30" s="117" t="s">
        <v>164</v>
      </c>
      <c r="E30" s="118">
        <v>1</v>
      </c>
      <c r="F30" s="119">
        <v>250</v>
      </c>
      <c r="G30" s="116">
        <f t="shared" si="0"/>
        <v>250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173</v>
      </c>
      <c r="D31" s="117" t="s">
        <v>164</v>
      </c>
      <c r="E31" s="118">
        <v>1</v>
      </c>
      <c r="F31" s="119">
        <v>11.73</v>
      </c>
      <c r="G31" s="116">
        <f t="shared" si="0"/>
        <v>11.73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174</v>
      </c>
      <c r="D32" s="117" t="s">
        <v>164</v>
      </c>
      <c r="E32" s="118">
        <v>1</v>
      </c>
      <c r="F32" s="119">
        <v>1.6</v>
      </c>
      <c r="G32" s="116">
        <f t="shared" si="0"/>
        <v>1.6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118" t="s">
        <v>175</v>
      </c>
      <c r="D33" s="117" t="s">
        <v>164</v>
      </c>
      <c r="E33" s="118">
        <v>1</v>
      </c>
      <c r="F33" s="119">
        <v>5</v>
      </c>
      <c r="G33" s="116">
        <f t="shared" si="0"/>
        <v>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118" t="s">
        <v>178</v>
      </c>
      <c r="D34" s="117" t="s">
        <v>164</v>
      </c>
      <c r="E34" s="118">
        <v>1</v>
      </c>
      <c r="F34" s="119">
        <v>118.67</v>
      </c>
      <c r="G34" s="116">
        <f t="shared" si="0"/>
        <v>118.67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118" t="s">
        <v>172</v>
      </c>
      <c r="D35" s="117" t="s">
        <v>164</v>
      </c>
      <c r="E35" s="118">
        <v>2</v>
      </c>
      <c r="F35" s="119">
        <v>20.97</v>
      </c>
      <c r="G35" s="116">
        <f t="shared" si="0"/>
        <v>41.94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141" t="s">
        <v>29</v>
      </c>
      <c r="C36" s="142"/>
      <c r="D36" s="142"/>
      <c r="E36" s="142"/>
      <c r="F36" s="142"/>
      <c r="G36" s="143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1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2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3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4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5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6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7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8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9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10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6:G36"/>
    <mergeCell ref="B8:G8"/>
    <mergeCell ref="B9:G9"/>
    <mergeCell ref="B10:G10"/>
    <mergeCell ref="B11:G11"/>
    <mergeCell ref="B12:G12"/>
    <mergeCell ref="B15:G15"/>
  </mergeCells>
  <conditionalFormatting sqref="C28:C35">
    <cfRule type="duplicateValues" dxfId="1" priority="1"/>
    <cfRule type="duplicateValues" dxfId="0" priority="2"/>
  </conditionalFormatting>
  <dataValidations count="1">
    <dataValidation type="decimal" operator="greaterThanOrEqual" allowBlank="1" showInputMessage="1" showErrorMessage="1" sqref="E16:G4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36</xdr:row>
                    <xdr:rowOff>28575</xdr:rowOff>
                  </from>
                  <to>
                    <xdr:col>1</xdr:col>
                    <xdr:colOff>771525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36</xdr:row>
                    <xdr:rowOff>28575</xdr:rowOff>
                  </from>
                  <to>
                    <xdr:col>1</xdr:col>
                    <xdr:colOff>1543050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179</v>
      </c>
      <c r="E28" s="55"/>
      <c r="F28" s="55"/>
      <c r="G28" s="55" t="s">
        <v>177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2018-05-30T07:10:45Z</dcterms:modified>
</cp:coreProperties>
</file>