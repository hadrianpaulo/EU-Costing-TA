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2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3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drawings/drawing4.xml" ContentType="application/vnd.openxmlformats-officedocument.drawing+xml"/>
  <Override PartName="/xl/ctrlProps/ctrlProp23.xml" ContentType="application/vnd.ms-excel.controlproperties+xml"/>
  <Override PartName="/xl/ctrlProps/ctrlProp2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/>
  <workbookProtection workbookAlgorithmName="SHA-512" workbookHashValue="iNgtGBdIkA0kArRPYND1HKFMluniu4ndpMdPPg4qKL7DDKj2AC5ckUg9XA8Yzons05KrT0krWZNbQmtt+yWF/g==" workbookSaltValue="UoJo2+5XzMpGOZ38prjuog==" workbookSpinCount="100000" lockStructure="1"/>
  <bookViews>
    <workbookView xWindow="0" yWindow="60" windowWidth="15525" windowHeight="7320"/>
  </bookViews>
  <sheets>
    <sheet name="1.1 Case data_general" sheetId="1" r:id="rId1"/>
    <sheet name="1.2 Drugs&amp;Med" sheetId="2" r:id="rId2"/>
    <sheet name="1.3 Supplies_Medical" sheetId="9" r:id="rId3"/>
    <sheet name="1.4 Staff time_Clinical service" sheetId="10" r:id="rId4"/>
    <sheet name="Depts" sheetId="11" state="hidden" r:id="rId5"/>
  </sheets>
  <definedNames>
    <definedName name="Drugs" localSheetId="2">'1.3 Supplies_Medical'!$C$15:$C$53</definedName>
    <definedName name="Drugs">'1.2 Drugs&amp;Med'!$C$11:$C$15</definedName>
    <definedName name="_xlnm.Print_Area" localSheetId="0">'1.1 Case data_general'!$B$1:$F$70</definedName>
    <definedName name="_xlnm.Print_Area" localSheetId="1">'1.2 Drugs&amp;Med'!$B$2:$J$21</definedName>
  </definedNames>
  <calcPr calcId="144525"/>
</workbook>
</file>

<file path=xl/calcChain.xml><?xml version="1.0" encoding="utf-8"?>
<calcChain xmlns="http://schemas.openxmlformats.org/spreadsheetml/2006/main">
  <c r="G42" i="9" l="1"/>
  <c r="G41" i="9"/>
  <c r="G40" i="9"/>
  <c r="J20" i="2"/>
  <c r="J19" i="2"/>
  <c r="G39" i="9"/>
  <c r="G38" i="9"/>
  <c r="G37" i="9"/>
  <c r="G36" i="9"/>
  <c r="J18" i="2" l="1"/>
  <c r="J17" i="2"/>
  <c r="J16" i="2"/>
  <c r="G35" i="9" l="1"/>
  <c r="G34" i="9"/>
  <c r="G33" i="9"/>
  <c r="G32" i="9"/>
  <c r="G31" i="9"/>
  <c r="G30" i="9"/>
  <c r="G29" i="9"/>
  <c r="G28" i="9"/>
  <c r="J12" i="2" l="1"/>
  <c r="J13" i="2"/>
  <c r="J14" i="2"/>
  <c r="J15" i="2"/>
  <c r="G1" i="11" l="1"/>
  <c r="F1" i="11"/>
  <c r="E3" i="11" a="1"/>
  <c r="E3" i="11" s="1"/>
  <c r="E4" i="11" s="1" a="1"/>
  <c r="E4" i="11" s="1"/>
  <c r="G3" i="11" l="1" a="1"/>
  <c r="G3" i="11" s="1"/>
  <c r="G4" i="11" s="1" a="1"/>
  <c r="G4" i="11" s="1"/>
  <c r="F3" i="11" a="1"/>
  <c r="F3" i="11" s="1"/>
  <c r="F4" i="11" s="1" a="1"/>
  <c r="F4" i="11" s="1"/>
  <c r="G5" i="11" l="1" a="1"/>
  <c r="G5" i="11" s="1"/>
  <c r="G6" i="11" s="1" a="1"/>
  <c r="G6" i="11" s="1"/>
  <c r="F5" i="11" a="1"/>
  <c r="F5" i="11" s="1"/>
  <c r="G7" i="11" l="1" a="1"/>
  <c r="G7" i="11" s="1"/>
  <c r="G8" i="11" s="1" a="1"/>
  <c r="G8" i="11" s="1"/>
  <c r="F6" i="11" a="1"/>
  <c r="F6" i="11" s="1"/>
  <c r="N30" i="10"/>
  <c r="M30" i="10"/>
  <c r="L30" i="10"/>
  <c r="K30" i="10"/>
  <c r="J30" i="10"/>
  <c r="I30" i="10"/>
  <c r="H30" i="10"/>
  <c r="G30" i="10"/>
  <c r="F30" i="10"/>
  <c r="E30" i="10"/>
  <c r="D30" i="10"/>
  <c r="P22" i="10"/>
  <c r="P21" i="10"/>
  <c r="P20" i="10"/>
  <c r="P19" i="10"/>
  <c r="P18" i="10"/>
  <c r="P17" i="10"/>
  <c r="P16" i="10"/>
  <c r="P15" i="10"/>
  <c r="P14" i="10"/>
  <c r="P13" i="10"/>
  <c r="D2" i="10"/>
  <c r="D2" i="9"/>
  <c r="D2" i="2"/>
  <c r="P30" i="10" l="1"/>
  <c r="G9" i="11" a="1"/>
  <c r="G9" i="11" s="1"/>
  <c r="G10" i="11" s="1" a="1"/>
  <c r="G10" i="11" s="1"/>
  <c r="F7" i="11" a="1"/>
  <c r="F7" i="11" s="1"/>
  <c r="F70" i="1"/>
  <c r="E70" i="1"/>
  <c r="D70" i="1"/>
  <c r="G11" i="11" l="1" a="1"/>
  <c r="G11" i="11" s="1"/>
  <c r="G12" i="11" s="1" a="1"/>
  <c r="G12" i="11" s="1"/>
  <c r="F8" i="11" a="1"/>
  <c r="F8" i="11" s="1"/>
  <c r="F9" i="11" s="1" a="1"/>
  <c r="F9" i="11" s="1"/>
  <c r="J11" i="2"/>
  <c r="G13" i="11" l="1" a="1"/>
  <c r="G13" i="11" s="1"/>
  <c r="G14" i="11" s="1" a="1"/>
  <c r="G14" i="11" s="1"/>
  <c r="F10" i="11" a="1"/>
  <c r="F10" i="11" s="1"/>
  <c r="F11" i="11" s="1" a="1"/>
  <c r="F11" i="11" s="1"/>
  <c r="G15" i="11" l="1" a="1"/>
  <c r="G15" i="11" s="1"/>
  <c r="G16" i="11" s="1" a="1"/>
  <c r="G16" i="11" s="1"/>
  <c r="F12" i="11" a="1"/>
  <c r="F12" i="11" s="1"/>
  <c r="F13" i="11" s="1" a="1"/>
  <c r="F13" i="11" s="1"/>
  <c r="E7" i="11"/>
  <c r="G17" i="11" l="1" a="1"/>
  <c r="G17" i="11" s="1"/>
  <c r="F14" i="11" a="1"/>
  <c r="F14" i="11" s="1"/>
  <c r="F15" i="11" s="1" a="1"/>
  <c r="F15" i="11" s="1"/>
  <c r="F16" i="11" s="1" a="1"/>
  <c r="F16" i="11" s="1"/>
  <c r="F17" i="11" s="1" a="1"/>
  <c r="F17" i="11" s="1"/>
  <c r="F18" i="11" s="1" a="1"/>
  <c r="F18" i="11" s="1"/>
  <c r="G18" i="11" l="1" a="1"/>
  <c r="G18" i="11" s="1"/>
  <c r="G19" i="11" s="1" a="1"/>
  <c r="G19" i="11" s="1"/>
  <c r="G20" i="11" s="1" a="1"/>
  <c r="G20" i="11" s="1"/>
  <c r="G21" i="11" s="1" a="1"/>
  <c r="G21" i="11" s="1"/>
  <c r="G22" i="11" s="1" a="1"/>
  <c r="G22" i="11" s="1"/>
  <c r="G23" i="11" s="1" a="1"/>
  <c r="G23" i="11" s="1"/>
  <c r="G24" i="11" s="1" a="1"/>
  <c r="G24" i="11" s="1"/>
  <c r="G25" i="11" s="1" a="1"/>
  <c r="G25" i="11" s="1"/>
  <c r="G26" i="11" s="1" a="1"/>
  <c r="G26" i="11" s="1"/>
  <c r="G27" i="11" s="1" a="1"/>
  <c r="G27" i="11" s="1"/>
  <c r="F19" i="11" a="1"/>
  <c r="F19" i="11" s="1"/>
  <c r="F20" i="11" s="1" a="1"/>
  <c r="F20" i="11" s="1"/>
  <c r="F21" i="11" l="1" a="1"/>
  <c r="F21" i="11" s="1"/>
  <c r="F22" i="11" s="1" a="1"/>
  <c r="F22" i="11" s="1"/>
  <c r="F23" i="11" s="1" a="1"/>
  <c r="F23" i="11" s="1"/>
  <c r="F24" i="11" s="1" a="1"/>
  <c r="F24" i="11" s="1"/>
  <c r="F25" i="11" s="1" a="1"/>
  <c r="F25" i="11" s="1"/>
  <c r="F26" i="11" s="1" a="1"/>
  <c r="F26" i="11" s="1"/>
  <c r="F27" i="11" s="1" a="1"/>
  <c r="F27" i="11" s="1"/>
</calcChain>
</file>

<file path=xl/sharedStrings.xml><?xml version="1.0" encoding="utf-8"?>
<sst xmlns="http://schemas.openxmlformats.org/spreadsheetml/2006/main" count="521" uniqueCount="217">
  <si>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drug and medicine administered to and taken by the patient treated for the specified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</si>
  <si>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 and Pharmacist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</si>
  <si>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clerk/Ward Nurse</t>
    </r>
  </si>
  <si>
    <t>Number of times per day</t>
  </si>
  <si>
    <r>
      <rPr>
        <b/>
        <sz val="11"/>
        <color rgb="FF000000"/>
        <rFont val="Arial Narrow"/>
        <family val="2"/>
      </rPr>
      <t>Source Documents:</t>
    </r>
    <r>
      <rPr>
        <sz val="11"/>
        <color rgb="FF000000"/>
        <rFont val="Arial Narrow"/>
        <family val="2"/>
      </rPr>
      <t>Patient charts/Claims</t>
    </r>
  </si>
  <si>
    <t>#</t>
  </si>
  <si>
    <t>Diagnoses and Services</t>
  </si>
  <si>
    <t>Generic name of medicines and drugs (Brand name)</t>
  </si>
  <si>
    <t>Name  (when applicable)</t>
  </si>
  <si>
    <t>Dosage strength and measures</t>
  </si>
  <si>
    <t>Number of days / cycles</t>
  </si>
  <si>
    <t>Unit Cost</t>
  </si>
  <si>
    <t>Type (when applicable)</t>
  </si>
  <si>
    <t>Number (when applicable)</t>
  </si>
  <si>
    <t>Hours (when applicable)</t>
  </si>
  <si>
    <t>Discharge Diagnoses in ICD 10:</t>
  </si>
  <si>
    <t>Total cost per course of treatment</t>
  </si>
  <si>
    <t>Length of stays:</t>
  </si>
  <si>
    <t>Lab tests (names and numbers):</t>
  </si>
  <si>
    <t>Diagnostic imaging examinations (names and numbers):</t>
  </si>
  <si>
    <t>Other procedures and services (names and numbers):</t>
  </si>
  <si>
    <t>Paid by the Patient</t>
  </si>
  <si>
    <t>Total</t>
  </si>
  <si>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medical supplies and consumables used for care and treatment of specified patient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</si>
  <si>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</si>
  <si>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medicines and supplies supplied by different units/sections (CSO, pharmacy etc.,) in the hospital and from outside</t>
    </r>
  </si>
  <si>
    <t>This list includes medical supplies and consumables used in wards, ICU, OR/DR, and Dialysis Unit to be recorded separately.</t>
  </si>
  <si>
    <t>If Patient purchased medical supplies and consumables outside of the hospital, respective item shall be recorded and added below.</t>
  </si>
  <si>
    <t xml:space="preserve">Quantity </t>
  </si>
  <si>
    <t>ICU</t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</si>
  <si>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Ward Nurse</t>
    </r>
  </si>
  <si>
    <r>
      <rPr>
        <b/>
        <sz val="11"/>
        <color rgb="FF000000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Patient charts </t>
    </r>
  </si>
  <si>
    <t>Time of service delivery staff (in Minutes) per category of personnel</t>
  </si>
  <si>
    <t>Total time (minutes)</t>
  </si>
  <si>
    <t>Activities/Services</t>
  </si>
  <si>
    <t>Medical specialists</t>
  </si>
  <si>
    <t>Medical officer</t>
  </si>
  <si>
    <t>Other Medical doctors (Including residents)</t>
  </si>
  <si>
    <t>Nurses</t>
  </si>
  <si>
    <t xml:space="preserve">Nursung Attendtant         </t>
  </si>
  <si>
    <t xml:space="preserve">Physical Therapist     </t>
  </si>
  <si>
    <t>Total time</t>
  </si>
  <si>
    <t>Hospitalisation:</t>
  </si>
  <si>
    <t>Blood bank:</t>
  </si>
  <si>
    <t>Number of units used:</t>
  </si>
  <si>
    <t>General information on the Case</t>
  </si>
  <si>
    <t># Surgical procedures</t>
  </si>
  <si>
    <t># Lab tests</t>
  </si>
  <si>
    <t># Diagnostic tests</t>
  </si>
  <si>
    <t># Other</t>
  </si>
  <si>
    <t>Description (diagnostics, drugs, supplies, services, professional fees)</t>
  </si>
  <si>
    <t>Surgical procedures (name, type, number, hours):</t>
  </si>
  <si>
    <t>Physical therapy / rehabilitation procedures (names and numbers of sessions):</t>
  </si>
  <si>
    <t># Physical therapy sessions</t>
  </si>
  <si>
    <t>Paid / Reimbursed Items</t>
  </si>
  <si>
    <t>Paid / Reimbursed by Philhealth</t>
  </si>
  <si>
    <t>Paid by others (LGU…)</t>
  </si>
  <si>
    <t># Paid items</t>
  </si>
  <si>
    <t># Diagnoses</t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</si>
  <si>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Obtain necessary information on diagnoses and services provided directly to the  patient treated for the specified case and their charges and costs paid</t>
    </r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</si>
  <si>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The name of the Case and the Number of Patient Charts to be studied shall be listed for you in advance. </t>
    </r>
  </si>
  <si>
    <t>Drugs and Medicines</t>
  </si>
  <si>
    <r>
      <rPr>
        <b/>
        <sz val="11"/>
        <rFont val="Arial Narrow"/>
        <family val="2"/>
      </rPr>
      <t>Source Documents:</t>
    </r>
    <r>
      <rPr>
        <sz val="11"/>
        <color rgb="FF000000"/>
        <rFont val="Arial Narrow"/>
        <family val="2"/>
      </rPr>
      <t xml:space="preserve"> Itemized/Breakdown of the Statement of Accounts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</si>
  <si>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drugs and medicines administered to and/or taken by the hospital's formulary and from outside. If Patient purchased medicines and drugs outside of the hospital, respective item shall be recorded and added.</t>
    </r>
  </si>
  <si>
    <t>Dosage form / route of administration</t>
  </si>
  <si>
    <t>Quantity taken / Total units</t>
  </si>
  <si>
    <t># Drugs</t>
  </si>
  <si>
    <t>Medical Supplies and Consumables</t>
  </si>
  <si>
    <r>
      <rPr>
        <b/>
        <sz val="11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Itemized/Breakdown of the Statement of accounts and billing charges</t>
    </r>
  </si>
  <si>
    <t>Packaging / Unit of Measure</t>
  </si>
  <si>
    <t>Supply and consumable name / Item Description</t>
  </si>
  <si>
    <t>Ward / Dialysis</t>
  </si>
  <si>
    <t># AtWards</t>
  </si>
  <si>
    <t># AtICU</t>
  </si>
  <si>
    <t># AtOR</t>
  </si>
  <si>
    <t>Operating room and Recovery room / Delivery Room</t>
  </si>
  <si>
    <t>Service delivery staff time</t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</si>
  <si>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This list includes medical personnel provided services and precedures to the patient in wards, ICU, OR/DR, and other clinical service departments that have serviced the patient </t>
    </r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</si>
  <si>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sz val="11"/>
        <rFont val="Arial Narrow"/>
        <family val="2"/>
      </rPr>
      <t xml:space="preserve">minutes / hours spent </t>
    </r>
    <r>
      <rPr>
        <sz val="11"/>
        <color rgb="FF000000"/>
        <rFont val="Arial Narrow"/>
        <family val="2"/>
      </rPr>
      <t>by medical personnel (doctors and specialists as well as all nurses and others)</t>
    </r>
    <r>
      <rPr>
        <b/>
        <sz val="11"/>
        <rFont val="Arial Narrow"/>
        <family val="2"/>
      </rPr>
      <t xml:space="preserve"> </t>
    </r>
    <r>
      <rPr>
        <sz val="11"/>
        <color rgb="FF000000"/>
        <rFont val="Arial Narrow"/>
        <family val="2"/>
      </rPr>
      <t>for care and treatment of specified patient case</t>
    </r>
  </si>
  <si>
    <r>
      <rPr>
        <b/>
        <sz val="11"/>
        <color rgb="FF000000"/>
        <rFont val="Arial Narrow"/>
        <family val="2"/>
      </rPr>
      <t xml:space="preserve">Department / Unit / Ward: </t>
    </r>
    <r>
      <rPr>
        <sz val="11"/>
        <color rgb="FF000000"/>
        <rFont val="Arial Narrow"/>
        <family val="2"/>
      </rPr>
      <t>Medical ward</t>
    </r>
  </si>
  <si>
    <t># Time</t>
  </si>
  <si>
    <t>Nut. Dietitian</t>
  </si>
  <si>
    <t>Pulmonary / Respiratory Therapist</t>
  </si>
  <si>
    <t>Midwife</t>
  </si>
  <si>
    <t>(open position 1)</t>
  </si>
  <si>
    <t>(open position 2)</t>
  </si>
  <si>
    <t>Administrative/Overhead services</t>
  </si>
  <si>
    <t>Office of the Medical Center Chief</t>
  </si>
  <si>
    <t>IT Departments</t>
  </si>
  <si>
    <t>Office of the Administrative Officer</t>
  </si>
  <si>
    <t>Human Resource Management</t>
  </si>
  <si>
    <t>Procurement</t>
  </si>
  <si>
    <t>Materials Management</t>
  </si>
  <si>
    <t>Engineering and Facilities Management</t>
  </si>
  <si>
    <t>Housekeeping</t>
  </si>
  <si>
    <t>Budget and Accounting</t>
  </si>
  <si>
    <t>Medical Social Work</t>
  </si>
  <si>
    <t>Office of the Chief Nurse</t>
  </si>
  <si>
    <t>Health Info Mgt (Admitting)</t>
  </si>
  <si>
    <t>Central Supply Office</t>
  </si>
  <si>
    <t>Billing and Claims</t>
  </si>
  <si>
    <t>Cash Operations</t>
  </si>
  <si>
    <t>Security</t>
  </si>
  <si>
    <t>Office of the Chief of Medical Professional Staff</t>
  </si>
  <si>
    <t>Others</t>
  </si>
  <si>
    <t>Ancillary services/Support services</t>
  </si>
  <si>
    <t>Laundry</t>
  </si>
  <si>
    <t>Nutrition and Dietetics</t>
  </si>
  <si>
    <t>Sterilization</t>
  </si>
  <si>
    <t>Pharmacy</t>
  </si>
  <si>
    <t>Blood Bank</t>
  </si>
  <si>
    <t>Laboratory</t>
  </si>
  <si>
    <t>Radiology / Diagnostic Imaging (CT Scan, MRI, ECG, Mammography, Endoscopy)</t>
  </si>
  <si>
    <t>Physiotherapy / Rehabilitation</t>
  </si>
  <si>
    <t>Delivery Room</t>
  </si>
  <si>
    <t>Operating Room / Aneasthesiology / PACU / Recovery Room</t>
  </si>
  <si>
    <t>Respiratory Unit</t>
  </si>
  <si>
    <t>Medical ICU</t>
  </si>
  <si>
    <t>Neonatal ICU*</t>
  </si>
  <si>
    <t>Surgical ICU*</t>
  </si>
  <si>
    <t>Pediatric ICU*</t>
  </si>
  <si>
    <t>Burn Unit</t>
  </si>
  <si>
    <t>Morgue</t>
  </si>
  <si>
    <t>Clinical/Medical services</t>
  </si>
  <si>
    <t>Outpatient Department (general)</t>
  </si>
  <si>
    <t>Animal Bite Center</t>
  </si>
  <si>
    <t>TB Dots</t>
  </si>
  <si>
    <t>HIV Aids</t>
  </si>
  <si>
    <t>Family Planning Unit</t>
  </si>
  <si>
    <t>Smoking Cessation</t>
  </si>
  <si>
    <t>Malaria</t>
  </si>
  <si>
    <t xml:space="preserve">Diabetes </t>
  </si>
  <si>
    <t>Hypertension</t>
  </si>
  <si>
    <t>Emergency Medicine Department</t>
  </si>
  <si>
    <t>Dialysis Unit</t>
  </si>
  <si>
    <t>Radiation Oncology Unit*</t>
  </si>
  <si>
    <t>Dental</t>
  </si>
  <si>
    <t>Internal Medicine Ward</t>
  </si>
  <si>
    <t>Pediatric Ward</t>
  </si>
  <si>
    <t>Surgical Ward</t>
  </si>
  <si>
    <t>Ob/Gyne Ward</t>
  </si>
  <si>
    <t>Private Ward</t>
  </si>
  <si>
    <t>IT Department</t>
  </si>
  <si>
    <t xml:space="preserve">Housekeeping </t>
  </si>
  <si>
    <t>Office of the Chief of Medical Professional Staff / Chief of Clinics</t>
  </si>
  <si>
    <t>Heart Station</t>
  </si>
  <si>
    <t>Outpatient Department</t>
  </si>
  <si>
    <t>Diabetes MAP</t>
  </si>
  <si>
    <t>Hypertension MAP</t>
  </si>
  <si>
    <t>Nuclear Medicine</t>
  </si>
  <si>
    <t>Endoscopy Unit</t>
  </si>
  <si>
    <t>Neurosurgery Ward*</t>
  </si>
  <si>
    <t>Orthopedic Ward*</t>
  </si>
  <si>
    <t>Psychiatric Ward*</t>
  </si>
  <si>
    <t>ENT Ward*</t>
  </si>
  <si>
    <t>Level 1</t>
  </si>
  <si>
    <t>Level 2</t>
  </si>
  <si>
    <t>Level 3</t>
  </si>
  <si>
    <t>Level of care:</t>
  </si>
  <si>
    <t>Classification of Departments:</t>
  </si>
  <si>
    <r>
      <t xml:space="preserve">Ward / Department </t>
    </r>
    <r>
      <rPr>
        <b/>
        <sz val="11"/>
        <color rgb="FFFF0000"/>
        <rFont val="Arial Narrow"/>
        <family val="2"/>
      </rPr>
      <t>(always update)</t>
    </r>
    <r>
      <rPr>
        <b/>
        <sz val="11"/>
        <color rgb="FF000000"/>
        <rFont val="Arial Narrow"/>
        <family val="2"/>
      </rPr>
      <t>:</t>
    </r>
  </si>
  <si>
    <t>Level I</t>
  </si>
  <si>
    <t>Level II and III</t>
  </si>
  <si>
    <t>MINOR</t>
  </si>
  <si>
    <t>PC</t>
  </si>
  <si>
    <t>NSD01</t>
  </si>
  <si>
    <t>O80.0</t>
  </si>
  <si>
    <t>Z37.0</t>
  </si>
  <si>
    <t>CBC, TYPING, HBSAG</t>
  </si>
  <si>
    <t>RAPID PLASMA REAGIN (RPR)</t>
  </si>
  <si>
    <t>BLOOD EXTRACTION FEE</t>
  </si>
  <si>
    <t>ADULT DIAPER WITH HIGH LIQUID ABSORBENCY</t>
  </si>
  <si>
    <t>DISPOSABLE INSULIN SYRINGE 1CC G 30 0.3 X 8MM BOX OF 100'S ( SHORT NEEDLE ULTRAFINE ) (CPR NEEDED)</t>
  </si>
  <si>
    <t>DISPOSABLE SYRINGE 1ML G 25, W/ NEEDLE X 100S (CPR NEEDED)</t>
  </si>
  <si>
    <t>DISPOSABLE SYRINGE 3ML G 23, W/ NEEDLE X 100S (CPR NEEDED)</t>
  </si>
  <si>
    <t>DISPOSABLE SYRINGE 5ML G 23, W/ NEEDLE X 100S</t>
  </si>
  <si>
    <t>CORD CLAMP (UMBILICAL) X 100S, STERILE</t>
  </si>
  <si>
    <t>NEONATE WRIST TAG (ID BRACELET)X 100 (PINK/BLUE)</t>
  </si>
  <si>
    <t>+RC[-2]*RC[-1]</t>
  </si>
  <si>
    <t>CATGUT 2-0 ABSORBABLE SURGICAL SUTURE AT LEAST 75CM,  WITH AT LEAST 35-37MM X ½ CIRCLE ROUND TAPER NEEDLE</t>
  </si>
  <si>
    <t>SET</t>
  </si>
  <si>
    <t>(D5LRS 1L) 5% DEXTROSE IN LACTATED RINGERS SOLUTION 1000ML (D5 LRS) X 12S</t>
  </si>
  <si>
    <t>PHYTOMENADIONE ( VITAMIN K ) 10MG/1ML</t>
  </si>
  <si>
    <t>ERYTHROMYCIN  EYE OINTMENT 0.5%, 3.5G</t>
  </si>
  <si>
    <t>FERROUS SULFATE + FOLIC ACID 200MG./400MCG (DONATION)</t>
  </si>
  <si>
    <t>VIAL</t>
  </si>
  <si>
    <t>TUBE</t>
  </si>
  <si>
    <t>CAPSULE</t>
  </si>
  <si>
    <t>1L</t>
  </si>
  <si>
    <t>10MG</t>
  </si>
  <si>
    <t>3.5G</t>
  </si>
  <si>
    <t>500MG</t>
  </si>
  <si>
    <t>200MG</t>
  </si>
  <si>
    <t>ROLL</t>
  </si>
  <si>
    <t>PAIR</t>
  </si>
  <si>
    <t>CASE RATE</t>
  </si>
  <si>
    <t>PF CASE</t>
  </si>
  <si>
    <t>CEFALEXIN MONOHYDRATE 500MG IN BLISTER FOIL PACK</t>
  </si>
  <si>
    <t>BOTTLE</t>
  </si>
  <si>
    <t>AMPULE</t>
  </si>
  <si>
    <t>NGT 8 STRAIGHT, 40CM (CPR NEEDED)</t>
  </si>
  <si>
    <t>MATERNITY PAD  X 8</t>
  </si>
  <si>
    <t>OXYTOCIN MALEATE 10MCG INJECTION 10 UNITS/ML-1ML</t>
  </si>
  <si>
    <t>10MCG</t>
  </si>
  <si>
    <t>HYOSCINE N-BUTYLBROMIDE 20MG/ML-1ML</t>
  </si>
  <si>
    <t>20MG</t>
  </si>
  <si>
    <t>360246/74056</t>
  </si>
  <si>
    <t>Z30.1</t>
  </si>
  <si>
    <t>PHYTOMENADIONE (VITAMIN K) 10MG/1ML</t>
  </si>
  <si>
    <t>(SAFETY FILTER)   BLOOD ADMINISTRATION SET W/ FILTER</t>
  </si>
  <si>
    <t>HYOSCINE N-BUTYLBROMIDE 10MG IN BLISTER FOIL PACK</t>
  </si>
  <si>
    <t>OMEPRAZOLE 40MG BLISTER/FOIL PACK</t>
  </si>
  <si>
    <t>40MG</t>
  </si>
  <si>
    <t>HEPARIN LOCK BOX OF 100''''''''''''''''S</t>
  </si>
  <si>
    <t>EXAMINING GLOVES SIZE MEDIUM UNSTERILE (DONATION)</t>
  </si>
  <si>
    <t>Z-FOLD PAPER FOR FETAL CHART 30-240BPM X 40S (152MM X 90MM X 150 SHEETS)</t>
  </si>
  <si>
    <t>CATGUT 2-0 ABSORBABLE SURGICAL SUTURE AT LEAST 150CM, WITH AT LEAST 35-37MM X 1/2 CIRCLE ROUND TAPER DOUBLE ARM NEEDLE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</si>
</sst>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_-* #,##0.00_-;\-* #,##0.00_-;_-* &quot;-&quot;??_-;_-@_-"/>
  </numFmts>
  <fonts count="20" x14ac:knownFonts="1">
    <font>
      <sz val="11"/>
      <color rgb="FF000000"/>
      <name val="Calibri"/>
    </font>
    <font>
      <sz val="11"/>
      <color rgb="FF000000"/>
      <name val="Arial Narrow"/>
      <family val="2"/>
    </font>
    <font>
      <sz val="10"/>
      <color rgb="FF000000"/>
      <name val="Arial Narrow"/>
      <family val="2"/>
    </font>
    <font>
      <b/>
      <sz val="11"/>
      <color rgb="FF000000"/>
      <name val="Arial Narrow"/>
      <family val="2"/>
    </font>
    <font>
      <b/>
      <sz val="10"/>
      <color rgb="FF000000"/>
      <name val="Arial Narrow"/>
      <family val="2"/>
    </font>
    <font>
      <b/>
      <sz val="12"/>
      <color rgb="FF000000"/>
      <name val="Arial Narrow"/>
      <family val="2"/>
    </font>
    <font>
      <b/>
      <sz val="12"/>
      <name val="Arial Narrow"/>
      <family val="2"/>
    </font>
    <font>
      <sz val="11"/>
      <color rgb="FF4A86E8"/>
      <name val="Arial Narrow"/>
      <family val="2"/>
    </font>
    <font>
      <i/>
      <sz val="11"/>
      <color rgb="FF000000"/>
      <name val="Arial Narrow"/>
      <family val="2"/>
    </font>
    <font>
      <b/>
      <u/>
      <sz val="11"/>
      <color rgb="FF000000"/>
      <name val="Arial Narrow"/>
      <family val="2"/>
    </font>
    <font>
      <sz val="11"/>
      <color rgb="FF0070C0"/>
      <name val="Arial Narrow"/>
      <family val="2"/>
    </font>
    <font>
      <sz val="8"/>
      <color rgb="FF008000"/>
      <name val="Calibri"/>
      <family val="2"/>
    </font>
    <font>
      <sz val="8"/>
      <color rgb="FF800000"/>
      <name val="Calibri"/>
      <family val="2"/>
    </font>
    <font>
      <sz val="11"/>
      <color rgb="FF000000"/>
      <name val="Calibri"/>
      <family val="2"/>
    </font>
    <font>
      <b/>
      <sz val="11"/>
      <name val="Arial Narrow"/>
      <family val="2"/>
    </font>
    <font>
      <b/>
      <sz val="11"/>
      <color rgb="FF0070C0"/>
      <name val="Arial Narrow"/>
      <family val="2"/>
    </font>
    <font>
      <sz val="11"/>
      <name val="Arial Narrow"/>
      <family val="2"/>
    </font>
    <font>
      <sz val="11"/>
      <name val="Calibri"/>
      <family val="2"/>
    </font>
    <font>
      <sz val="11"/>
      <color rgb="FFFA7D00"/>
      <name val="Calibri"/>
      <family val="2"/>
      <scheme val="minor"/>
    </font>
    <font>
      <b/>
      <sz val="11"/>
      <color rgb="FFFF0000"/>
      <name val="Arial Narrow"/>
      <family val="2"/>
    </font>
  </fonts>
  <fills count="10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rgb="FF4A86E8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rgb="FFFFFFFF"/>
      </patternFill>
    </fill>
    <fill>
      <patternFill patternType="solid">
        <fgColor theme="4" tint="0.79998168889431442"/>
        <bgColor indexed="64"/>
      </patternFill>
    </fill>
  </fills>
  <borders count="38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/>
      <top style="thin">
        <color rgb="FF000000"/>
      </top>
      <bottom style="medium">
        <color indexed="64"/>
      </bottom>
      <diagonal/>
    </border>
    <border>
      <left/>
      <right/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rgb="FF000000"/>
      </right>
      <top/>
      <bottom style="medium">
        <color indexed="64"/>
      </bottom>
      <diagonal/>
    </border>
    <border>
      <left/>
      <right/>
      <top style="thin">
        <color rgb="FF000000"/>
      </top>
      <bottom style="double">
        <color indexed="64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/>
      <right/>
      <top/>
      <bottom style="double">
        <color rgb="FFFF800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5">
    <xf numFmtId="0" fontId="0" fillId="0" borderId="0"/>
    <xf numFmtId="164" fontId="13" fillId="0" borderId="0" applyFont="0" applyFill="0" applyBorder="0" applyAlignment="0" applyProtection="0"/>
    <xf numFmtId="0" fontId="13" fillId="0" borderId="3"/>
    <xf numFmtId="0" fontId="18" fillId="0" borderId="30" applyNumberFormat="0" applyFill="0" applyAlignment="0" applyProtection="0"/>
    <xf numFmtId="164" fontId="13" fillId="0" borderId="3" applyFont="0" applyFill="0" applyBorder="0" applyAlignment="0" applyProtection="0"/>
  </cellStyleXfs>
  <cellXfs count="156">
    <xf numFmtId="0" fontId="0" fillId="0" borderId="0" xfId="0" applyFont="1" applyAlignment="1"/>
    <xf numFmtId="0" fontId="1" fillId="0" borderId="0" xfId="0" applyFont="1"/>
    <xf numFmtId="0" fontId="1" fillId="0" borderId="0" xfId="0" applyFont="1" applyAlignment="1">
      <alignment horizontal="center"/>
    </xf>
    <xf numFmtId="0" fontId="8" fillId="0" borderId="0" xfId="0" applyFont="1"/>
    <xf numFmtId="0" fontId="5" fillId="3" borderId="1" xfId="0" applyFont="1" applyFill="1" applyBorder="1" applyAlignment="1">
      <alignment horizontal="center"/>
    </xf>
    <xf numFmtId="0" fontId="6" fillId="4" borderId="1" xfId="0" applyFont="1" applyFill="1" applyBorder="1" applyAlignment="1"/>
    <xf numFmtId="0" fontId="5" fillId="4" borderId="1" xfId="0" applyFont="1" applyFill="1" applyBorder="1" applyAlignment="1">
      <alignment horizontal="center"/>
    </xf>
    <xf numFmtId="0" fontId="1" fillId="6" borderId="1" xfId="0" applyFont="1" applyFill="1" applyBorder="1"/>
    <xf numFmtId="0" fontId="5" fillId="7" borderId="0" xfId="0" applyFont="1" applyFill="1"/>
    <xf numFmtId="0" fontId="1" fillId="7" borderId="0" xfId="0" applyFont="1" applyFill="1"/>
    <xf numFmtId="0" fontId="1" fillId="5" borderId="1" xfId="0" applyFont="1" applyFill="1" applyBorder="1" applyAlignment="1">
      <alignment horizontal="right" vertical="center"/>
    </xf>
    <xf numFmtId="0" fontId="1" fillId="3" borderId="1" xfId="0" applyFont="1" applyFill="1" applyBorder="1" applyAlignment="1">
      <alignment horizontal="right" vertical="center"/>
    </xf>
    <xf numFmtId="0" fontId="1" fillId="5" borderId="7" xfId="0" applyFont="1" applyFill="1" applyBorder="1" applyAlignment="1">
      <alignment horizontal="right" vertical="center"/>
    </xf>
    <xf numFmtId="0" fontId="1" fillId="6" borderId="7" xfId="0" applyFont="1" applyFill="1" applyBorder="1"/>
    <xf numFmtId="0" fontId="3" fillId="3" borderId="7" xfId="0" applyFont="1" applyFill="1" applyBorder="1" applyAlignment="1">
      <alignment horizontal="left" vertical="center"/>
    </xf>
    <xf numFmtId="0" fontId="3" fillId="3" borderId="1" xfId="0" applyFont="1" applyFill="1" applyBorder="1" applyAlignment="1">
      <alignment horizontal="left" vertical="center"/>
    </xf>
    <xf numFmtId="0" fontId="1" fillId="0" borderId="7" xfId="0" applyFont="1" applyBorder="1" applyProtection="1">
      <protection locked="0"/>
    </xf>
    <xf numFmtId="0" fontId="5" fillId="3" borderId="16" xfId="0" applyFont="1" applyFill="1" applyBorder="1" applyAlignment="1">
      <alignment horizontal="center" vertical="center" wrapText="1"/>
    </xf>
    <xf numFmtId="0" fontId="6" fillId="3" borderId="16" xfId="0" applyFont="1" applyFill="1" applyBorder="1" applyAlignment="1">
      <alignment horizontal="center" vertical="center"/>
    </xf>
    <xf numFmtId="0" fontId="5" fillId="3" borderId="16" xfId="0" applyFont="1" applyFill="1" applyBorder="1" applyAlignment="1">
      <alignment horizontal="center" vertical="center"/>
    </xf>
    <xf numFmtId="0" fontId="1" fillId="0" borderId="0" xfId="0" applyFont="1" applyFill="1"/>
    <xf numFmtId="0" fontId="7" fillId="6" borderId="3" xfId="0" applyFont="1" applyFill="1" applyBorder="1"/>
    <xf numFmtId="0" fontId="7" fillId="6" borderId="20" xfId="0" applyFont="1" applyFill="1" applyBorder="1"/>
    <xf numFmtId="0" fontId="1" fillId="6" borderId="3" xfId="0" applyFont="1" applyFill="1" applyBorder="1"/>
    <xf numFmtId="0" fontId="1" fillId="6" borderId="20" xfId="0" applyFont="1" applyFill="1" applyBorder="1"/>
    <xf numFmtId="0" fontId="1" fillId="0" borderId="9" xfId="0" applyFont="1" applyBorder="1"/>
    <xf numFmtId="0" fontId="1" fillId="5" borderId="21" xfId="0" applyFont="1" applyFill="1" applyBorder="1" applyAlignment="1">
      <alignment horizontal="right" vertical="center"/>
    </xf>
    <xf numFmtId="0" fontId="10" fillId="5" borderId="21" xfId="0" applyFont="1" applyFill="1" applyBorder="1" applyAlignment="1" applyProtection="1">
      <alignment wrapText="1"/>
      <protection locked="0"/>
    </xf>
    <xf numFmtId="0" fontId="1" fillId="6" borderId="21" xfId="0" applyFont="1" applyFill="1" applyBorder="1"/>
    <xf numFmtId="0" fontId="10" fillId="5" borderId="21" xfId="0" applyFont="1" applyFill="1" applyBorder="1" applyProtection="1">
      <protection locked="0"/>
    </xf>
    <xf numFmtId="0" fontId="1" fillId="5" borderId="22" xfId="0" applyFont="1" applyFill="1" applyBorder="1" applyAlignment="1">
      <alignment horizontal="right" vertical="center"/>
    </xf>
    <xf numFmtId="0" fontId="10" fillId="5" borderId="22" xfId="0" applyFont="1" applyFill="1" applyBorder="1" applyAlignment="1" applyProtection="1">
      <alignment wrapText="1"/>
      <protection locked="0"/>
    </xf>
    <xf numFmtId="0" fontId="1" fillId="6" borderId="22" xfId="0" applyFont="1" applyFill="1" applyBorder="1"/>
    <xf numFmtId="0" fontId="2" fillId="0" borderId="0" xfId="0" applyFont="1" applyAlignment="1" applyProtection="1">
      <alignment horizontal="center"/>
    </xf>
    <xf numFmtId="0" fontId="2" fillId="0" borderId="0" xfId="0" applyFont="1" applyProtection="1"/>
    <xf numFmtId="0" fontId="0" fillId="0" borderId="0" xfId="0" applyFont="1" applyAlignment="1" applyProtection="1"/>
    <xf numFmtId="0" fontId="5" fillId="7" borderId="0" xfId="0" applyFont="1" applyFill="1" applyProtection="1"/>
    <xf numFmtId="0" fontId="1" fillId="7" borderId="0" xfId="0" applyFont="1" applyFill="1" applyProtection="1"/>
    <xf numFmtId="0" fontId="4" fillId="0" borderId="0" xfId="0" applyFont="1" applyProtection="1"/>
    <xf numFmtId="0" fontId="1" fillId="0" borderId="0" xfId="0" applyFont="1" applyProtection="1"/>
    <xf numFmtId="0" fontId="1" fillId="0" borderId="0" xfId="0" applyFont="1" applyAlignment="1" applyProtection="1"/>
    <xf numFmtId="0" fontId="3" fillId="0" borderId="1" xfId="0" applyFont="1" applyBorder="1" applyAlignment="1" applyProtection="1">
      <alignment horizontal="center" vertical="center" wrapText="1"/>
    </xf>
    <xf numFmtId="0" fontId="2" fillId="0" borderId="1" xfId="0" applyFont="1" applyBorder="1" applyProtection="1"/>
    <xf numFmtId="0" fontId="1" fillId="0" borderId="1" xfId="0" applyFont="1" applyBorder="1" applyProtection="1"/>
    <xf numFmtId="0" fontId="1" fillId="0" borderId="0" xfId="0" applyFont="1" applyAlignment="1" applyProtection="1">
      <alignment horizontal="center"/>
    </xf>
    <xf numFmtId="0" fontId="1" fillId="3" borderId="8" xfId="0" applyFont="1" applyFill="1" applyBorder="1" applyProtection="1"/>
    <xf numFmtId="0" fontId="2" fillId="3" borderId="9" xfId="0" applyFont="1" applyFill="1" applyBorder="1" applyProtection="1"/>
    <xf numFmtId="0" fontId="2" fillId="3" borderId="10" xfId="0" applyFont="1" applyFill="1" applyBorder="1" applyProtection="1"/>
    <xf numFmtId="0" fontId="1" fillId="3" borderId="11" xfId="0" applyFont="1" applyFill="1" applyBorder="1" applyProtection="1"/>
    <xf numFmtId="0" fontId="2" fillId="3" borderId="3" xfId="0" applyFont="1" applyFill="1" applyBorder="1" applyProtection="1"/>
    <xf numFmtId="0" fontId="2" fillId="3" borderId="12" xfId="0" applyFont="1" applyFill="1" applyBorder="1" applyProtection="1"/>
    <xf numFmtId="0" fontId="1" fillId="3" borderId="11" xfId="0" applyFont="1" applyFill="1" applyBorder="1" applyAlignment="1" applyProtection="1"/>
    <xf numFmtId="0" fontId="4" fillId="3" borderId="1" xfId="0" applyFont="1" applyFill="1" applyBorder="1" applyAlignment="1" applyProtection="1">
      <alignment horizontal="center" vertical="center"/>
    </xf>
    <xf numFmtId="0" fontId="3" fillId="3" borderId="1" xfId="0" applyFont="1" applyFill="1" applyBorder="1" applyAlignment="1" applyProtection="1">
      <alignment horizontal="center" vertical="center" wrapText="1"/>
    </xf>
    <xf numFmtId="0" fontId="3" fillId="3" borderId="1" xfId="0" applyFont="1" applyFill="1" applyBorder="1" applyAlignment="1" applyProtection="1">
      <alignment horizontal="left" vertical="center" wrapText="1"/>
    </xf>
    <xf numFmtId="164" fontId="10" fillId="5" borderId="21" xfId="1" applyFont="1" applyFill="1" applyBorder="1" applyProtection="1">
      <protection locked="0"/>
    </xf>
    <xf numFmtId="164" fontId="10" fillId="5" borderId="1" xfId="1" applyFont="1" applyFill="1" applyBorder="1" applyProtection="1">
      <protection locked="0"/>
    </xf>
    <xf numFmtId="164" fontId="10" fillId="5" borderId="22" xfId="1" applyFont="1" applyFill="1" applyBorder="1" applyProtection="1">
      <protection locked="0"/>
    </xf>
    <xf numFmtId="164" fontId="1" fillId="0" borderId="26" xfId="1" applyFont="1" applyBorder="1"/>
    <xf numFmtId="164" fontId="5" fillId="3" borderId="7" xfId="1" applyFont="1" applyFill="1" applyBorder="1" applyAlignment="1">
      <alignment horizontal="center"/>
    </xf>
    <xf numFmtId="0" fontId="3" fillId="0" borderId="0" xfId="0" applyFont="1" applyAlignment="1" applyProtection="1">
      <alignment horizontal="center"/>
      <protection locked="0"/>
    </xf>
    <xf numFmtId="0" fontId="15" fillId="0" borderId="0" xfId="0" applyFont="1" applyAlignment="1" applyProtection="1">
      <alignment horizontal="center"/>
      <protection locked="0"/>
    </xf>
    <xf numFmtId="0" fontId="3" fillId="0" borderId="0" xfId="0" applyFont="1" applyAlignment="1" applyProtection="1">
      <alignment horizontal="center"/>
    </xf>
    <xf numFmtId="0" fontId="8" fillId="0" borderId="0" xfId="0" applyFont="1" applyProtection="1"/>
    <xf numFmtId="0" fontId="3" fillId="7" borderId="1" xfId="0" applyFont="1" applyFill="1" applyBorder="1" applyAlignment="1" applyProtection="1">
      <alignment horizontal="center" vertical="center"/>
    </xf>
    <xf numFmtId="0" fontId="3" fillId="7" borderId="1" xfId="0" applyFont="1" applyFill="1" applyBorder="1" applyAlignment="1" applyProtection="1">
      <alignment horizontal="left" vertical="center"/>
    </xf>
    <xf numFmtId="0" fontId="3" fillId="7" borderId="1" xfId="0" applyFont="1" applyFill="1" applyBorder="1" applyAlignment="1" applyProtection="1">
      <alignment horizontal="center" vertical="center" wrapText="1"/>
    </xf>
    <xf numFmtId="0" fontId="1" fillId="2" borderId="3" xfId="0" applyFont="1" applyFill="1" applyBorder="1" applyProtection="1"/>
    <xf numFmtId="0" fontId="1" fillId="0" borderId="1" xfId="0" applyFont="1" applyBorder="1" applyAlignment="1" applyProtection="1">
      <alignment horizontal="right"/>
    </xf>
    <xf numFmtId="0" fontId="10" fillId="0" borderId="1" xfId="0" applyFont="1" applyBorder="1" applyAlignment="1" applyProtection="1">
      <alignment wrapText="1"/>
      <protection locked="0"/>
    </xf>
    <xf numFmtId="0" fontId="10" fillId="0" borderId="1" xfId="0" applyFont="1" applyBorder="1" applyAlignment="1" applyProtection="1">
      <alignment horizontal="center" wrapText="1"/>
      <protection locked="0"/>
    </xf>
    <xf numFmtId="0" fontId="1" fillId="3" borderId="8" xfId="0" applyFont="1" applyFill="1" applyBorder="1" applyAlignment="1" applyProtection="1"/>
    <xf numFmtId="0" fontId="1" fillId="3" borderId="3" xfId="0" applyFont="1" applyFill="1" applyBorder="1" applyAlignment="1" applyProtection="1">
      <alignment horizontal="center"/>
    </xf>
    <xf numFmtId="0" fontId="1" fillId="3" borderId="3" xfId="0" applyFont="1" applyFill="1" applyBorder="1" applyProtection="1"/>
    <xf numFmtId="0" fontId="1" fillId="3" borderId="12" xfId="0" applyFont="1" applyFill="1" applyBorder="1" applyProtection="1"/>
    <xf numFmtId="0" fontId="1" fillId="3" borderId="13" xfId="0" applyFont="1" applyFill="1" applyBorder="1" applyAlignment="1" applyProtection="1"/>
    <xf numFmtId="0" fontId="1" fillId="3" borderId="9" xfId="0" applyFont="1" applyFill="1" applyBorder="1" applyAlignment="1" applyProtection="1"/>
    <xf numFmtId="0" fontId="1" fillId="3" borderId="3" xfId="0" applyFont="1" applyFill="1" applyBorder="1" applyAlignment="1" applyProtection="1"/>
    <xf numFmtId="0" fontId="1" fillId="3" borderId="14" xfId="0" applyFont="1" applyFill="1" applyBorder="1" applyAlignment="1" applyProtection="1"/>
    <xf numFmtId="0" fontId="3" fillId="7" borderId="0" xfId="0" applyFont="1" applyFill="1" applyProtection="1"/>
    <xf numFmtId="0" fontId="1" fillId="3" borderId="9" xfId="0" applyFont="1" applyFill="1" applyBorder="1" applyProtection="1"/>
    <xf numFmtId="0" fontId="1" fillId="3" borderId="10" xfId="0" applyFont="1" applyFill="1" applyBorder="1" applyProtection="1"/>
    <xf numFmtId="0" fontId="1" fillId="3" borderId="14" xfId="0" applyFont="1" applyFill="1" applyBorder="1" applyProtection="1"/>
    <xf numFmtId="0" fontId="1" fillId="3" borderId="15" xfId="0" applyFont="1" applyFill="1" applyBorder="1" applyProtection="1"/>
    <xf numFmtId="0" fontId="1" fillId="0" borderId="0" xfId="0" applyFont="1" applyAlignment="1" applyProtection="1">
      <alignment vertical="center" wrapText="1"/>
    </xf>
    <xf numFmtId="0" fontId="14" fillId="8" borderId="1" xfId="0" applyFont="1" applyFill="1" applyBorder="1" applyAlignment="1" applyProtection="1">
      <alignment horizontal="center" vertical="center" wrapText="1"/>
    </xf>
    <xf numFmtId="0" fontId="14" fillId="8" borderId="1" xfId="0" applyFont="1" applyFill="1" applyBorder="1" applyAlignment="1" applyProtection="1">
      <alignment horizontal="center" vertical="center"/>
    </xf>
    <xf numFmtId="0" fontId="3" fillId="4" borderId="1" xfId="0" applyFont="1" applyFill="1" applyBorder="1" applyProtection="1"/>
    <xf numFmtId="164" fontId="1" fillId="0" borderId="1" xfId="1" applyFont="1" applyBorder="1" applyProtection="1"/>
    <xf numFmtId="164" fontId="3" fillId="0" borderId="1" xfId="1" applyFont="1" applyBorder="1" applyProtection="1"/>
    <xf numFmtId="0" fontId="15" fillId="3" borderId="1" xfId="0" applyFont="1" applyFill="1" applyBorder="1" applyAlignment="1" applyProtection="1">
      <alignment horizontal="center" vertical="center" wrapText="1"/>
      <protection locked="0"/>
    </xf>
    <xf numFmtId="0" fontId="13" fillId="0" borderId="0" xfId="0" applyFont="1" applyAlignment="1"/>
    <xf numFmtId="0" fontId="1" fillId="0" borderId="3" xfId="2" applyFont="1" applyBorder="1" applyAlignment="1"/>
    <xf numFmtId="0" fontId="13" fillId="0" borderId="3" xfId="0" applyFont="1" applyBorder="1" applyAlignment="1"/>
    <xf numFmtId="0" fontId="1" fillId="0" borderId="3" xfId="2" applyFont="1" applyBorder="1" applyAlignment="1">
      <alignment vertical="center"/>
    </xf>
    <xf numFmtId="0" fontId="0" fillId="0" borderId="3" xfId="0" applyFont="1" applyBorder="1" applyAlignment="1"/>
    <xf numFmtId="0" fontId="16" fillId="0" borderId="3" xfId="2" applyFont="1" applyBorder="1" applyAlignment="1"/>
    <xf numFmtId="0" fontId="1" fillId="0" borderId="3" xfId="2" applyFont="1" applyBorder="1"/>
    <xf numFmtId="0" fontId="1" fillId="0" borderId="3" xfId="2" applyFont="1" applyBorder="1" applyAlignment="1">
      <alignment vertical="center" wrapText="1"/>
    </xf>
    <xf numFmtId="0" fontId="17" fillId="0" borderId="3" xfId="2" applyFont="1" applyBorder="1" applyAlignment="1"/>
    <xf numFmtId="0" fontId="13" fillId="9" borderId="31" xfId="0" applyFont="1" applyFill="1" applyBorder="1" applyAlignment="1"/>
    <xf numFmtId="0" fontId="13" fillId="9" borderId="32" xfId="0" applyFont="1" applyFill="1" applyBorder="1" applyAlignment="1"/>
    <xf numFmtId="0" fontId="13" fillId="9" borderId="33" xfId="0" applyFont="1" applyFill="1" applyBorder="1" applyAlignment="1"/>
    <xf numFmtId="0" fontId="13" fillId="9" borderId="34" xfId="0" applyFont="1" applyFill="1" applyBorder="1" applyAlignment="1"/>
    <xf numFmtId="0" fontId="13" fillId="9" borderId="3" xfId="0" applyFont="1" applyFill="1" applyBorder="1" applyAlignment="1"/>
    <xf numFmtId="0" fontId="13" fillId="9" borderId="35" xfId="0" applyFont="1" applyFill="1" applyBorder="1" applyAlignment="1"/>
    <xf numFmtId="0" fontId="0" fillId="9" borderId="34" xfId="0" applyFont="1" applyFill="1" applyBorder="1" applyAlignment="1"/>
    <xf numFmtId="0" fontId="0" fillId="9" borderId="36" xfId="0" applyFont="1" applyFill="1" applyBorder="1" applyAlignment="1"/>
    <xf numFmtId="0" fontId="13" fillId="9" borderId="24" xfId="0" applyFont="1" applyFill="1" applyBorder="1" applyAlignment="1"/>
    <xf numFmtId="0" fontId="13" fillId="9" borderId="37" xfId="0" applyFont="1" applyFill="1" applyBorder="1" applyAlignment="1"/>
    <xf numFmtId="0" fontId="1" fillId="3" borderId="7" xfId="0" applyFont="1" applyFill="1" applyBorder="1" applyAlignment="1">
      <alignment horizontal="left" vertical="center"/>
    </xf>
    <xf numFmtId="0" fontId="18" fillId="0" borderId="30" xfId="3" applyAlignment="1"/>
    <xf numFmtId="0" fontId="18" fillId="0" borderId="30" xfId="3" applyAlignment="1">
      <alignment vertical="center"/>
    </xf>
    <xf numFmtId="0" fontId="10" fillId="9" borderId="21" xfId="0" applyFont="1" applyFill="1" applyBorder="1" applyProtection="1">
      <protection locked="0"/>
    </xf>
    <xf numFmtId="0" fontId="10" fillId="9" borderId="3" xfId="0" applyFont="1" applyFill="1" applyBorder="1" applyProtection="1">
      <protection locked="0"/>
    </xf>
    <xf numFmtId="0" fontId="1" fillId="0" borderId="0" xfId="0" quotePrefix="1" applyFont="1" applyAlignment="1">
      <alignment horizontal="center" vertical="center"/>
    </xf>
    <xf numFmtId="164" fontId="10" fillId="5" borderId="21" xfId="4" applyFont="1" applyFill="1" applyBorder="1" applyProtection="1">
      <protection locked="0"/>
    </xf>
    <xf numFmtId="0" fontId="10" fillId="0" borderId="1" xfId="2" applyFont="1" applyBorder="1" applyAlignment="1" applyProtection="1">
      <alignment horizontal="center" wrapText="1"/>
      <protection locked="0"/>
    </xf>
    <xf numFmtId="0" fontId="0" fillId="0" borderId="21" xfId="0" applyBorder="1" applyProtection="1">
      <protection locked="0"/>
    </xf>
    <xf numFmtId="164" fontId="0" fillId="0" borderId="21" xfId="1" applyFont="1" applyBorder="1" applyProtection="1">
      <protection locked="0"/>
    </xf>
    <xf numFmtId="0" fontId="3" fillId="3" borderId="17" xfId="0" applyFont="1" applyFill="1" applyBorder="1" applyAlignment="1">
      <alignment horizontal="left" vertical="center"/>
    </xf>
    <xf numFmtId="0" fontId="3" fillId="3" borderId="18" xfId="0" applyFont="1" applyFill="1" applyBorder="1" applyAlignment="1">
      <alignment horizontal="left" vertical="center"/>
    </xf>
    <xf numFmtId="0" fontId="3" fillId="3" borderId="19" xfId="0" applyFont="1" applyFill="1" applyBorder="1" applyAlignment="1">
      <alignment horizontal="left" vertical="center"/>
    </xf>
    <xf numFmtId="0" fontId="3" fillId="3" borderId="23" xfId="0" applyFont="1" applyFill="1" applyBorder="1" applyAlignment="1">
      <alignment horizontal="left" vertical="center"/>
    </xf>
    <xf numFmtId="0" fontId="3" fillId="3" borderId="24" xfId="0" applyFont="1" applyFill="1" applyBorder="1" applyAlignment="1">
      <alignment horizontal="left" vertical="center"/>
    </xf>
    <xf numFmtId="0" fontId="1" fillId="3" borderId="8" xfId="0" applyFont="1" applyFill="1" applyBorder="1" applyAlignment="1">
      <alignment horizontal="left" wrapText="1"/>
    </xf>
    <xf numFmtId="0" fontId="1" fillId="3" borderId="9" xfId="0" applyFont="1" applyFill="1" applyBorder="1" applyAlignment="1">
      <alignment horizontal="left" wrapText="1"/>
    </xf>
    <xf numFmtId="0" fontId="1" fillId="3" borderId="10" xfId="0" applyFont="1" applyFill="1" applyBorder="1" applyAlignment="1">
      <alignment horizontal="left" wrapText="1"/>
    </xf>
    <xf numFmtId="0" fontId="1" fillId="3" borderId="11" xfId="0" applyFont="1" applyFill="1" applyBorder="1" applyAlignment="1">
      <alignment horizontal="left" wrapText="1"/>
    </xf>
    <xf numFmtId="0" fontId="1" fillId="3" borderId="3" xfId="0" applyFont="1" applyFill="1" applyBorder="1" applyAlignment="1">
      <alignment horizontal="left" wrapText="1"/>
    </xf>
    <xf numFmtId="0" fontId="1" fillId="3" borderId="12" xfId="0" applyFont="1" applyFill="1" applyBorder="1" applyAlignment="1">
      <alignment horizontal="left" wrapText="1"/>
    </xf>
    <xf numFmtId="0" fontId="1" fillId="3" borderId="13" xfId="0" applyFont="1" applyFill="1" applyBorder="1" applyAlignment="1">
      <alignment horizontal="left" wrapText="1"/>
    </xf>
    <xf numFmtId="0" fontId="1" fillId="3" borderId="14" xfId="0" applyFont="1" applyFill="1" applyBorder="1" applyAlignment="1">
      <alignment horizontal="left" wrapText="1"/>
    </xf>
    <xf numFmtId="0" fontId="1" fillId="3" borderId="15" xfId="0" applyFont="1" applyFill="1" applyBorder="1" applyAlignment="1">
      <alignment horizontal="left" wrapText="1"/>
    </xf>
    <xf numFmtId="0" fontId="3" fillId="3" borderId="25" xfId="0" applyFont="1" applyFill="1" applyBorder="1" applyAlignment="1">
      <alignment horizontal="left" vertical="center"/>
    </xf>
    <xf numFmtId="0" fontId="1" fillId="3" borderId="13" xfId="0" applyFont="1" applyFill="1" applyBorder="1" applyAlignment="1" applyProtection="1">
      <alignment horizontal="left" wrapText="1"/>
    </xf>
    <xf numFmtId="0" fontId="1" fillId="3" borderId="14" xfId="0" applyFont="1" applyFill="1" applyBorder="1" applyAlignment="1" applyProtection="1">
      <alignment horizontal="left" wrapText="1"/>
    </xf>
    <xf numFmtId="0" fontId="1" fillId="3" borderId="15" xfId="0" applyFont="1" applyFill="1" applyBorder="1" applyAlignment="1" applyProtection="1">
      <alignment horizontal="left" wrapText="1"/>
    </xf>
    <xf numFmtId="0" fontId="1" fillId="3" borderId="8" xfId="0" applyFont="1" applyFill="1" applyBorder="1" applyAlignment="1" applyProtection="1">
      <alignment horizontal="left"/>
    </xf>
    <xf numFmtId="0" fontId="1" fillId="3" borderId="9" xfId="0" applyFont="1" applyFill="1" applyBorder="1" applyAlignment="1" applyProtection="1">
      <alignment horizontal="left"/>
    </xf>
    <xf numFmtId="0" fontId="1" fillId="3" borderId="10" xfId="0" applyFont="1" applyFill="1" applyBorder="1" applyAlignment="1" applyProtection="1">
      <alignment horizontal="left"/>
    </xf>
    <xf numFmtId="0" fontId="3" fillId="3" borderId="27" xfId="0" applyFont="1" applyFill="1" applyBorder="1" applyAlignment="1" applyProtection="1">
      <alignment horizontal="left"/>
    </xf>
    <xf numFmtId="0" fontId="3" fillId="3" borderId="28" xfId="0" applyFont="1" applyFill="1" applyBorder="1" applyAlignment="1" applyProtection="1">
      <alignment horizontal="left"/>
    </xf>
    <xf numFmtId="0" fontId="3" fillId="3" borderId="29" xfId="0" applyFont="1" applyFill="1" applyBorder="1" applyAlignment="1" applyProtection="1">
      <alignment horizontal="left"/>
    </xf>
    <xf numFmtId="0" fontId="1" fillId="3" borderId="11" xfId="0" applyFont="1" applyFill="1" applyBorder="1" applyAlignment="1" applyProtection="1">
      <alignment horizontal="left"/>
    </xf>
    <xf numFmtId="0" fontId="1" fillId="3" borderId="3" xfId="0" applyFont="1" applyFill="1" applyBorder="1" applyAlignment="1" applyProtection="1">
      <alignment horizontal="left"/>
    </xf>
    <xf numFmtId="0" fontId="1" fillId="3" borderId="12" xfId="0" applyFont="1" applyFill="1" applyBorder="1" applyAlignment="1" applyProtection="1">
      <alignment horizontal="left"/>
    </xf>
    <xf numFmtId="0" fontId="1" fillId="3" borderId="13" xfId="0" applyFont="1" applyFill="1" applyBorder="1" applyAlignment="1" applyProtection="1">
      <alignment horizontal="left"/>
    </xf>
    <xf numFmtId="0" fontId="1" fillId="3" borderId="14" xfId="0" applyFont="1" applyFill="1" applyBorder="1" applyAlignment="1" applyProtection="1">
      <alignment horizontal="left"/>
    </xf>
    <xf numFmtId="0" fontId="1" fillId="3" borderId="15" xfId="0" applyFont="1" applyFill="1" applyBorder="1" applyAlignment="1" applyProtection="1">
      <alignment horizontal="left"/>
    </xf>
    <xf numFmtId="0" fontId="3" fillId="4" borderId="4" xfId="0" applyFont="1" applyFill="1" applyBorder="1" applyAlignment="1" applyProtection="1">
      <alignment horizontal="center" vertical="center"/>
    </xf>
    <xf numFmtId="0" fontId="16" fillId="4" borderId="5" xfId="0" applyFont="1" applyFill="1" applyBorder="1" applyProtection="1"/>
    <xf numFmtId="0" fontId="16" fillId="4" borderId="2" xfId="0" applyFont="1" applyFill="1" applyBorder="1" applyProtection="1"/>
    <xf numFmtId="0" fontId="3" fillId="4" borderId="6" xfId="0" applyFont="1" applyFill="1" applyBorder="1" applyAlignment="1" applyProtection="1">
      <alignment horizontal="center" vertical="center" wrapText="1"/>
    </xf>
    <xf numFmtId="0" fontId="16" fillId="4" borderId="7" xfId="0" applyFont="1" applyFill="1" applyBorder="1" applyProtection="1"/>
    <xf numFmtId="0" fontId="0" fillId="0" borderId="0" xfId="0" applyProtection="1">
      <protection locked="0"/>
    </xf>
  </cellXfs>
  <cellStyles count="5">
    <cellStyle name="Comma" xfId="1" builtinId="3"/>
    <cellStyle name="Comma 2" xfId="4"/>
    <cellStyle name="Linked Cell" xfId="3" builtinId="24"/>
    <cellStyle name="Normal" xfId="0" builtinId="0"/>
    <cellStyle name="Normal 2" xfId="2"/>
  </cellStyles>
  <dxfs count="7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18</xdr:row>
          <xdr:rowOff>19050</xdr:rowOff>
        </xdr:from>
        <xdr:to>
          <xdr:col>1</xdr:col>
          <xdr:colOff>733425</xdr:colOff>
          <xdr:row>18</xdr:row>
          <xdr:rowOff>161925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18</xdr:row>
          <xdr:rowOff>19050</xdr:rowOff>
        </xdr:from>
        <xdr:to>
          <xdr:col>1</xdr:col>
          <xdr:colOff>1504950</xdr:colOff>
          <xdr:row>18</xdr:row>
          <xdr:rowOff>161925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22</xdr:row>
          <xdr:rowOff>19050</xdr:rowOff>
        </xdr:from>
        <xdr:to>
          <xdr:col>1</xdr:col>
          <xdr:colOff>733425</xdr:colOff>
          <xdr:row>22</xdr:row>
          <xdr:rowOff>161925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22</xdr:row>
          <xdr:rowOff>19050</xdr:rowOff>
        </xdr:from>
        <xdr:to>
          <xdr:col>1</xdr:col>
          <xdr:colOff>1504950</xdr:colOff>
          <xdr:row>22</xdr:row>
          <xdr:rowOff>161925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33</xdr:row>
          <xdr:rowOff>19050</xdr:rowOff>
        </xdr:from>
        <xdr:to>
          <xdr:col>1</xdr:col>
          <xdr:colOff>733425</xdr:colOff>
          <xdr:row>33</xdr:row>
          <xdr:rowOff>161925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33</xdr:row>
          <xdr:rowOff>19050</xdr:rowOff>
        </xdr:from>
        <xdr:to>
          <xdr:col>1</xdr:col>
          <xdr:colOff>1504950</xdr:colOff>
          <xdr:row>33</xdr:row>
          <xdr:rowOff>161925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37</xdr:row>
          <xdr:rowOff>19050</xdr:rowOff>
        </xdr:from>
        <xdr:to>
          <xdr:col>1</xdr:col>
          <xdr:colOff>733425</xdr:colOff>
          <xdr:row>37</xdr:row>
          <xdr:rowOff>161925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37</xdr:row>
          <xdr:rowOff>19050</xdr:rowOff>
        </xdr:from>
        <xdr:to>
          <xdr:col>1</xdr:col>
          <xdr:colOff>1504950</xdr:colOff>
          <xdr:row>37</xdr:row>
          <xdr:rowOff>161925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44</xdr:row>
          <xdr:rowOff>19050</xdr:rowOff>
        </xdr:from>
        <xdr:to>
          <xdr:col>1</xdr:col>
          <xdr:colOff>733425</xdr:colOff>
          <xdr:row>44</xdr:row>
          <xdr:rowOff>161925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44</xdr:row>
          <xdr:rowOff>19050</xdr:rowOff>
        </xdr:from>
        <xdr:to>
          <xdr:col>1</xdr:col>
          <xdr:colOff>1504950</xdr:colOff>
          <xdr:row>44</xdr:row>
          <xdr:rowOff>161925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49</xdr:row>
          <xdr:rowOff>19050</xdr:rowOff>
        </xdr:from>
        <xdr:to>
          <xdr:col>1</xdr:col>
          <xdr:colOff>733425</xdr:colOff>
          <xdr:row>49</xdr:row>
          <xdr:rowOff>161925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49</xdr:row>
          <xdr:rowOff>19050</xdr:rowOff>
        </xdr:from>
        <xdr:to>
          <xdr:col>1</xdr:col>
          <xdr:colOff>1504950</xdr:colOff>
          <xdr:row>49</xdr:row>
          <xdr:rowOff>161925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58</xdr:row>
          <xdr:rowOff>19050</xdr:rowOff>
        </xdr:from>
        <xdr:to>
          <xdr:col>1</xdr:col>
          <xdr:colOff>733425</xdr:colOff>
          <xdr:row>58</xdr:row>
          <xdr:rowOff>161925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58</xdr:row>
          <xdr:rowOff>19050</xdr:rowOff>
        </xdr:from>
        <xdr:to>
          <xdr:col>1</xdr:col>
          <xdr:colOff>1504950</xdr:colOff>
          <xdr:row>58</xdr:row>
          <xdr:rowOff>161925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10</xdr:row>
          <xdr:rowOff>9525</xdr:rowOff>
        </xdr:from>
        <xdr:to>
          <xdr:col>1</xdr:col>
          <xdr:colOff>733425</xdr:colOff>
          <xdr:row>11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771525</xdr:colOff>
          <xdr:row>10</xdr:row>
          <xdr:rowOff>9525</xdr:rowOff>
        </xdr:from>
        <xdr:to>
          <xdr:col>1</xdr:col>
          <xdr:colOff>1495425</xdr:colOff>
          <xdr:row>11</xdr:row>
          <xdr:rowOff>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15</xdr:row>
          <xdr:rowOff>28575</xdr:rowOff>
        </xdr:from>
        <xdr:to>
          <xdr:col>1</xdr:col>
          <xdr:colOff>771525</xdr:colOff>
          <xdr:row>15</xdr:row>
          <xdr:rowOff>171450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15</xdr:row>
          <xdr:rowOff>28575</xdr:rowOff>
        </xdr:from>
        <xdr:to>
          <xdr:col>1</xdr:col>
          <xdr:colOff>1543050</xdr:colOff>
          <xdr:row>15</xdr:row>
          <xdr:rowOff>171450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27</xdr:row>
          <xdr:rowOff>28575</xdr:rowOff>
        </xdr:from>
        <xdr:to>
          <xdr:col>1</xdr:col>
          <xdr:colOff>762000</xdr:colOff>
          <xdr:row>27</xdr:row>
          <xdr:rowOff>161925</xdr:rowOff>
        </xdr:to>
        <xdr:sp macro="" textlink="">
          <xdr:nvSpPr>
            <xdr:cNvPr id="9219" name="Button 3" hidden="1">
              <a:extLst>
                <a:ext uri="{63B3BB69-23CF-44E3-9099-C40C66FF867C}">
                  <a14:compatExt spid="_x0000_s92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809625</xdr:colOff>
          <xdr:row>27</xdr:row>
          <xdr:rowOff>28575</xdr:rowOff>
        </xdr:from>
        <xdr:to>
          <xdr:col>1</xdr:col>
          <xdr:colOff>1533525</xdr:colOff>
          <xdr:row>27</xdr:row>
          <xdr:rowOff>161925</xdr:rowOff>
        </xdr:to>
        <xdr:sp macro="" textlink="">
          <xdr:nvSpPr>
            <xdr:cNvPr id="9220" name="Button 4" hidden="1">
              <a:extLst>
                <a:ext uri="{63B3BB69-23CF-44E3-9099-C40C66FF867C}">
                  <a14:compatExt spid="_x0000_s92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43</xdr:row>
          <xdr:rowOff>28575</xdr:rowOff>
        </xdr:from>
        <xdr:to>
          <xdr:col>1</xdr:col>
          <xdr:colOff>771525</xdr:colOff>
          <xdr:row>43</xdr:row>
          <xdr:rowOff>171450</xdr:rowOff>
        </xdr:to>
        <xdr:sp macro="" textlink="">
          <xdr:nvSpPr>
            <xdr:cNvPr id="9227" name="Button 11" hidden="1">
              <a:extLst>
                <a:ext uri="{63B3BB69-23CF-44E3-9099-C40C66FF867C}">
                  <a14:compatExt spid="_x0000_s92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43</xdr:row>
          <xdr:rowOff>28575</xdr:rowOff>
        </xdr:from>
        <xdr:to>
          <xdr:col>1</xdr:col>
          <xdr:colOff>1543050</xdr:colOff>
          <xdr:row>43</xdr:row>
          <xdr:rowOff>171450</xdr:rowOff>
        </xdr:to>
        <xdr:sp macro="" textlink="">
          <xdr:nvSpPr>
            <xdr:cNvPr id="9228" name="Button 12" hidden="1">
              <a:extLst>
                <a:ext uri="{63B3BB69-23CF-44E3-9099-C40C66FF867C}">
                  <a14:compatExt spid="_x0000_s92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12</xdr:row>
          <xdr:rowOff>9525</xdr:rowOff>
        </xdr:from>
        <xdr:to>
          <xdr:col>1</xdr:col>
          <xdr:colOff>752475</xdr:colOff>
          <xdr:row>12</xdr:row>
          <xdr:rowOff>161925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790575</xdr:colOff>
          <xdr:row>12</xdr:row>
          <xdr:rowOff>9525</xdr:rowOff>
        </xdr:from>
        <xdr:to>
          <xdr:col>1</xdr:col>
          <xdr:colOff>1514475</xdr:colOff>
          <xdr:row>12</xdr:row>
          <xdr:rowOff>161925</xdr:rowOff>
        </xdr:to>
        <xdr:sp macro="" textlink="">
          <xdr:nvSpPr>
            <xdr:cNvPr id="10242" name="Button 2" hidden="1">
              <a:extLst>
                <a:ext uri="{63B3BB69-23CF-44E3-9099-C40C66FF867C}">
                  <a14:compatExt spid="_x0000_s102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16.xml"/><Relationship Id="rId4" Type="http://schemas.openxmlformats.org/officeDocument/2006/relationships/ctrlProp" Target="../ctrlProps/ctrlProp15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2.xml"/><Relationship Id="rId3" Type="http://schemas.openxmlformats.org/officeDocument/2006/relationships/ctrlProp" Target="../ctrlProps/ctrlProp17.xml"/><Relationship Id="rId7" Type="http://schemas.openxmlformats.org/officeDocument/2006/relationships/ctrlProp" Target="../ctrlProps/ctrlProp2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20.xml"/><Relationship Id="rId5" Type="http://schemas.openxmlformats.org/officeDocument/2006/relationships/ctrlProp" Target="../ctrlProps/ctrlProp19.xml"/><Relationship Id="rId4" Type="http://schemas.openxmlformats.org/officeDocument/2006/relationships/ctrlProp" Target="../ctrlProps/ctrlProp18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3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2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0070C0"/>
  </sheetPr>
  <dimension ref="A1:Y1007"/>
  <sheetViews>
    <sheetView tabSelected="1" zoomScaleNormal="100" workbookViewId="0">
      <selection activeCell="C61" sqref="C61"/>
    </sheetView>
  </sheetViews>
  <sheetFormatPr defaultColWidth="14.42578125" defaultRowHeight="15" customHeight="1" outlineLevelRow="1" x14ac:dyDescent="0.25"/>
  <cols>
    <col min="1" max="1" width="3.140625" customWidth="1"/>
    <col min="2" max="2" width="28.28515625" customWidth="1"/>
    <col min="3" max="3" width="29.140625" customWidth="1"/>
    <col min="4" max="5" width="23" customWidth="1"/>
    <col min="6" max="6" width="21" customWidth="1"/>
    <col min="7" max="25" width="9.140625" customWidth="1"/>
  </cols>
  <sheetData>
    <row r="1" spans="1:25" ht="13.5" customHeight="1" x14ac:dyDescent="0.3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</row>
    <row r="2" spans="1:25" ht="13.5" customHeight="1" x14ac:dyDescent="0.3">
      <c r="A2" s="1"/>
      <c r="B2" s="8" t="s">
        <v>45</v>
      </c>
      <c r="C2" s="9"/>
      <c r="D2" s="61" t="s">
        <v>165</v>
      </c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</row>
    <row r="3" spans="1:25" ht="13.5" customHeight="1" x14ac:dyDescent="0.3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</row>
    <row r="4" spans="1:25" ht="13.5" hidden="1" customHeight="1" outlineLevel="1" x14ac:dyDescent="0.3">
      <c r="A4" s="1"/>
      <c r="B4" s="3" t="s">
        <v>58</v>
      </c>
      <c r="C4" s="2">
        <v>3</v>
      </c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</row>
    <row r="5" spans="1:25" ht="13.5" hidden="1" customHeight="1" outlineLevel="1" x14ac:dyDescent="0.3">
      <c r="A5" s="1"/>
      <c r="B5" s="1" t="s">
        <v>46</v>
      </c>
      <c r="C5" s="2">
        <v>5</v>
      </c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</row>
    <row r="6" spans="1:25" ht="13.5" hidden="1" customHeight="1" outlineLevel="1" x14ac:dyDescent="0.3">
      <c r="A6" s="1"/>
      <c r="B6" s="1" t="s">
        <v>47</v>
      </c>
      <c r="C6" s="2">
        <v>3</v>
      </c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</row>
    <row r="7" spans="1:25" ht="13.5" hidden="1" customHeight="1" outlineLevel="1" x14ac:dyDescent="0.3">
      <c r="A7" s="1"/>
      <c r="B7" s="1" t="s">
        <v>48</v>
      </c>
      <c r="C7" s="2">
        <v>4</v>
      </c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</row>
    <row r="8" spans="1:25" ht="13.5" hidden="1" customHeight="1" outlineLevel="1" x14ac:dyDescent="0.3">
      <c r="A8" s="1"/>
      <c r="B8" s="1" t="s">
        <v>53</v>
      </c>
      <c r="C8" s="2">
        <v>4</v>
      </c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</row>
    <row r="9" spans="1:25" ht="13.5" hidden="1" customHeight="1" outlineLevel="1" x14ac:dyDescent="0.3">
      <c r="A9" s="1"/>
      <c r="B9" s="1" t="s">
        <v>49</v>
      </c>
      <c r="C9" s="2">
        <v>6</v>
      </c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</row>
    <row r="10" spans="1:25" ht="13.5" hidden="1" customHeight="1" outlineLevel="1" x14ac:dyDescent="0.3">
      <c r="A10" s="1"/>
      <c r="B10" s="1" t="s">
        <v>57</v>
      </c>
      <c r="C10" s="2">
        <v>10</v>
      </c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</row>
    <row r="11" spans="1:25" ht="13.5" hidden="1" customHeight="1" outlineLevel="1" x14ac:dyDescent="0.3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</row>
    <row r="12" spans="1:25" ht="27" customHeight="1" collapsed="1" x14ac:dyDescent="0.3">
      <c r="A12" s="1"/>
      <c r="B12" s="125" t="s">
        <v>59</v>
      </c>
      <c r="C12" s="126"/>
      <c r="D12" s="126"/>
      <c r="E12" s="126"/>
      <c r="F12" s="127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</row>
    <row r="13" spans="1:25" ht="13.5" customHeight="1" x14ac:dyDescent="0.3">
      <c r="A13" s="1"/>
      <c r="B13" s="128" t="s">
        <v>2</v>
      </c>
      <c r="C13" s="129"/>
      <c r="D13" s="129"/>
      <c r="E13" s="129"/>
      <c r="F13" s="130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</row>
    <row r="14" spans="1:25" ht="13.5" customHeight="1" x14ac:dyDescent="0.3">
      <c r="A14" s="1"/>
      <c r="B14" s="128" t="s">
        <v>4</v>
      </c>
      <c r="C14" s="129"/>
      <c r="D14" s="129"/>
      <c r="E14" s="129"/>
      <c r="F14" s="130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</row>
    <row r="15" spans="1:25" ht="13.5" customHeight="1" x14ac:dyDescent="0.3">
      <c r="A15" s="1"/>
      <c r="B15" s="131" t="s">
        <v>60</v>
      </c>
      <c r="C15" s="132"/>
      <c r="D15" s="132"/>
      <c r="E15" s="132"/>
      <c r="F15" s="133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</row>
    <row r="16" spans="1:25" ht="13.5" customHeight="1" x14ac:dyDescent="0.3">
      <c r="A16" s="1"/>
      <c r="B16" s="1"/>
      <c r="C16" s="115" t="s">
        <v>206</v>
      </c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</row>
    <row r="17" spans="1:25" ht="13.5" customHeight="1" x14ac:dyDescent="0.3">
      <c r="A17" s="1"/>
      <c r="B17" s="5" t="s">
        <v>6</v>
      </c>
      <c r="C17" s="6" t="s">
        <v>8</v>
      </c>
      <c r="D17" s="6" t="s">
        <v>12</v>
      </c>
      <c r="E17" s="6" t="s">
        <v>13</v>
      </c>
      <c r="F17" s="6" t="s">
        <v>14</v>
      </c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</row>
    <row r="18" spans="1:25" ht="13.5" customHeight="1" thickBot="1" x14ac:dyDescent="0.35">
      <c r="A18" s="1"/>
      <c r="B18" s="120" t="s">
        <v>15</v>
      </c>
      <c r="C18" s="121"/>
      <c r="D18" s="121"/>
      <c r="E18" s="121"/>
      <c r="F18" s="122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</row>
    <row r="19" spans="1:25" ht="13.5" customHeight="1" x14ac:dyDescent="0.3">
      <c r="A19" s="1"/>
      <c r="B19" s="30">
        <v>1</v>
      </c>
      <c r="C19" s="31" t="s">
        <v>166</v>
      </c>
      <c r="D19" s="21"/>
      <c r="E19" s="21"/>
      <c r="F19" s="22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</row>
    <row r="20" spans="1:25" ht="13.5" customHeight="1" x14ac:dyDescent="0.3">
      <c r="A20" s="1"/>
      <c r="B20" s="30">
        <v>2</v>
      </c>
      <c r="C20" s="31" t="s">
        <v>167</v>
      </c>
      <c r="D20" s="21"/>
      <c r="E20" s="21"/>
      <c r="F20" s="22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</row>
    <row r="21" spans="1:25" ht="13.5" customHeight="1" x14ac:dyDescent="0.3">
      <c r="A21" s="1"/>
      <c r="B21" s="30">
        <v>3</v>
      </c>
      <c r="C21" s="31" t="s">
        <v>207</v>
      </c>
      <c r="D21" s="21"/>
      <c r="E21" s="21"/>
      <c r="F21" s="22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</row>
    <row r="22" spans="1:25" ht="13.5" customHeight="1" thickBot="1" x14ac:dyDescent="0.35">
      <c r="A22" s="1"/>
      <c r="B22" s="120" t="s">
        <v>51</v>
      </c>
      <c r="C22" s="121"/>
      <c r="D22" s="121"/>
      <c r="E22" s="121"/>
      <c r="F22" s="122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</row>
    <row r="23" spans="1:25" ht="13.5" customHeight="1" x14ac:dyDescent="0.3">
      <c r="A23" s="1"/>
      <c r="B23" s="26">
        <v>1</v>
      </c>
      <c r="C23" s="27" t="s">
        <v>165</v>
      </c>
      <c r="D23" s="29" t="s">
        <v>163</v>
      </c>
      <c r="E23" s="55">
        <v>1</v>
      </c>
      <c r="F23" s="55">
        <v>2</v>
      </c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</row>
    <row r="24" spans="1:25" ht="13.5" customHeight="1" x14ac:dyDescent="0.3">
      <c r="A24" s="1"/>
      <c r="B24" s="26">
        <v>2</v>
      </c>
      <c r="C24" s="27"/>
      <c r="D24" s="29"/>
      <c r="E24" s="55"/>
      <c r="F24" s="55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</row>
    <row r="25" spans="1:25" ht="13.5" customHeight="1" x14ac:dyDescent="0.3">
      <c r="A25" s="1"/>
      <c r="B25" s="26">
        <v>3</v>
      </c>
      <c r="C25" s="27"/>
      <c r="D25" s="29"/>
      <c r="E25" s="55"/>
      <c r="F25" s="55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</row>
    <row r="26" spans="1:25" ht="13.5" customHeight="1" x14ac:dyDescent="0.3">
      <c r="A26" s="1"/>
      <c r="B26" s="26">
        <v>4</v>
      </c>
      <c r="C26" s="27"/>
      <c r="D26" s="29"/>
      <c r="E26" s="55"/>
      <c r="F26" s="55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</row>
    <row r="27" spans="1:25" ht="13.5" customHeight="1" x14ac:dyDescent="0.3">
      <c r="A27" s="1"/>
      <c r="B27" s="26">
        <v>5</v>
      </c>
      <c r="C27" s="27"/>
      <c r="D27" s="29"/>
      <c r="E27" s="55"/>
      <c r="F27" s="55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</row>
    <row r="28" spans="1:25" ht="13.5" customHeight="1" thickBot="1" x14ac:dyDescent="0.35">
      <c r="A28" s="1"/>
      <c r="B28" s="123" t="s">
        <v>42</v>
      </c>
      <c r="C28" s="124"/>
      <c r="D28" s="124"/>
      <c r="E28" s="124"/>
      <c r="F28" s="134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</row>
    <row r="29" spans="1:25" ht="13.5" customHeight="1" x14ac:dyDescent="0.3">
      <c r="A29" s="1"/>
      <c r="B29" s="110" t="s">
        <v>158</v>
      </c>
      <c r="C29" s="113" t="s">
        <v>162</v>
      </c>
      <c r="D29" s="13"/>
      <c r="E29" s="13"/>
      <c r="F29" s="13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</row>
    <row r="30" spans="1:25" ht="13.5" customHeight="1" x14ac:dyDescent="0.3">
      <c r="A30" s="1"/>
      <c r="B30" s="110" t="s">
        <v>159</v>
      </c>
      <c r="C30" s="114" t="s">
        <v>123</v>
      </c>
      <c r="D30" s="13"/>
      <c r="E30" s="13"/>
      <c r="F30" s="13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</row>
    <row r="31" spans="1:25" ht="13.5" customHeight="1" x14ac:dyDescent="0.3">
      <c r="A31" s="1"/>
      <c r="B31" s="14" t="s">
        <v>160</v>
      </c>
      <c r="C31" s="114" t="s">
        <v>140</v>
      </c>
      <c r="D31" s="13"/>
      <c r="E31" s="13"/>
      <c r="F31" s="13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</row>
    <row r="32" spans="1:25" ht="13.5" customHeight="1" x14ac:dyDescent="0.3">
      <c r="A32" s="1"/>
      <c r="B32" s="15" t="s">
        <v>17</v>
      </c>
      <c r="C32" s="7"/>
      <c r="D32" s="7"/>
      <c r="E32" s="56">
        <v>1</v>
      </c>
      <c r="F32" s="7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</row>
    <row r="33" spans="1:25" ht="13.5" customHeight="1" thickBot="1" x14ac:dyDescent="0.35">
      <c r="A33" s="1"/>
      <c r="B33" s="120" t="s">
        <v>18</v>
      </c>
      <c r="C33" s="121"/>
      <c r="D33" s="121"/>
      <c r="E33" s="121"/>
      <c r="F33" s="122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</row>
    <row r="34" spans="1:25" ht="13.5" customHeight="1" x14ac:dyDescent="0.3">
      <c r="A34" s="1"/>
      <c r="B34" s="30">
        <v>1</v>
      </c>
      <c r="C34" s="57" t="s">
        <v>168</v>
      </c>
      <c r="D34" s="23"/>
      <c r="E34" s="57">
        <v>1</v>
      </c>
      <c r="F34" s="24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</row>
    <row r="35" spans="1:25" ht="13.5" customHeight="1" x14ac:dyDescent="0.3">
      <c r="A35" s="1"/>
      <c r="B35" s="26">
        <v>2</v>
      </c>
      <c r="C35" s="55" t="s">
        <v>169</v>
      </c>
      <c r="D35" s="23"/>
      <c r="E35" s="55">
        <v>1</v>
      </c>
      <c r="F35" s="24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</row>
    <row r="36" spans="1:25" ht="13.5" customHeight="1" x14ac:dyDescent="0.3">
      <c r="A36" s="1"/>
      <c r="B36" s="26">
        <v>3</v>
      </c>
      <c r="C36" s="55" t="s">
        <v>170</v>
      </c>
      <c r="D36" s="23"/>
      <c r="E36" s="55">
        <v>1</v>
      </c>
      <c r="F36" s="24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</row>
    <row r="37" spans="1:25" ht="13.5" customHeight="1" thickBot="1" x14ac:dyDescent="0.35">
      <c r="A37" s="1"/>
      <c r="B37" s="123" t="s">
        <v>19</v>
      </c>
      <c r="C37" s="124"/>
      <c r="D37" s="121"/>
      <c r="E37" s="124"/>
      <c r="F37" s="122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</row>
    <row r="38" spans="1:25" ht="13.5" customHeight="1" x14ac:dyDescent="0.3">
      <c r="A38" s="1"/>
      <c r="B38" s="26">
        <v>1</v>
      </c>
      <c r="C38" s="155"/>
      <c r="D38" s="23"/>
      <c r="E38" s="55"/>
      <c r="F38" s="24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</row>
    <row r="39" spans="1:25" ht="13.5" customHeight="1" x14ac:dyDescent="0.3">
      <c r="A39" s="1"/>
      <c r="B39" s="26">
        <v>2</v>
      </c>
      <c r="C39" s="27"/>
      <c r="D39" s="23"/>
      <c r="E39" s="55"/>
      <c r="F39" s="24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</row>
    <row r="40" spans="1:25" ht="13.5" customHeight="1" x14ac:dyDescent="0.3">
      <c r="A40" s="1"/>
      <c r="B40" s="26">
        <v>3</v>
      </c>
      <c r="C40" s="27"/>
      <c r="D40" s="23"/>
      <c r="E40" s="55"/>
      <c r="F40" s="24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</row>
    <row r="41" spans="1:25" ht="13.5" customHeight="1" x14ac:dyDescent="0.3">
      <c r="A41" s="1"/>
      <c r="B41" s="26">
        <v>4</v>
      </c>
      <c r="C41" s="27"/>
      <c r="D41" s="23"/>
      <c r="E41" s="55"/>
      <c r="F41" s="24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</row>
    <row r="42" spans="1:25" ht="13.5" customHeight="1" thickBot="1" x14ac:dyDescent="0.35">
      <c r="A42" s="1"/>
      <c r="B42" s="123" t="s">
        <v>43</v>
      </c>
      <c r="C42" s="124"/>
      <c r="D42" s="121"/>
      <c r="E42" s="124"/>
      <c r="F42" s="122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</row>
    <row r="43" spans="1:25" ht="13.5" customHeight="1" x14ac:dyDescent="0.3">
      <c r="A43" s="1"/>
      <c r="B43" s="14" t="s">
        <v>44</v>
      </c>
      <c r="C43" s="13"/>
      <c r="D43" s="13"/>
      <c r="E43" s="16">
        <v>0</v>
      </c>
      <c r="F43" s="13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</row>
    <row r="44" spans="1:25" ht="13.5" customHeight="1" thickBot="1" x14ac:dyDescent="0.35">
      <c r="A44" s="1"/>
      <c r="B44" s="120" t="s">
        <v>52</v>
      </c>
      <c r="C44" s="121"/>
      <c r="D44" s="121"/>
      <c r="E44" s="121"/>
      <c r="F44" s="122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</row>
    <row r="45" spans="1:25" ht="13.5" customHeight="1" x14ac:dyDescent="0.3">
      <c r="A45" s="20"/>
      <c r="B45" s="30">
        <v>1</v>
      </c>
      <c r="C45" s="31"/>
      <c r="D45" s="32"/>
      <c r="E45" s="57"/>
      <c r="F45" s="57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</row>
    <row r="46" spans="1:25" ht="13.5" customHeight="1" x14ac:dyDescent="0.3">
      <c r="A46" s="20"/>
      <c r="B46" s="30">
        <v>2</v>
      </c>
      <c r="C46" s="31"/>
      <c r="D46" s="32"/>
      <c r="E46" s="57"/>
      <c r="F46" s="57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</row>
    <row r="47" spans="1:25" ht="13.5" customHeight="1" x14ac:dyDescent="0.3">
      <c r="A47" s="20"/>
      <c r="B47" s="26">
        <v>3</v>
      </c>
      <c r="C47" s="27"/>
      <c r="D47" s="28"/>
      <c r="E47" s="55"/>
      <c r="F47" s="55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</row>
    <row r="48" spans="1:25" ht="13.5" customHeight="1" x14ac:dyDescent="0.3">
      <c r="A48" s="20"/>
      <c r="B48" s="26">
        <v>4</v>
      </c>
      <c r="C48" s="27"/>
      <c r="D48" s="28"/>
      <c r="E48" s="55"/>
      <c r="F48" s="55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</row>
    <row r="49" spans="1:25" ht="13.5" customHeight="1" thickBot="1" x14ac:dyDescent="0.35">
      <c r="A49" s="1"/>
      <c r="B49" s="120" t="s">
        <v>20</v>
      </c>
      <c r="C49" s="121"/>
      <c r="D49" s="121"/>
      <c r="E49" s="121"/>
      <c r="F49" s="122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</row>
    <row r="50" spans="1:25" ht="13.5" customHeight="1" x14ac:dyDescent="0.3">
      <c r="A50" s="1"/>
      <c r="B50" s="26">
        <v>1</v>
      </c>
      <c r="C50" s="27">
        <v>58300</v>
      </c>
      <c r="D50" s="28"/>
      <c r="E50" s="55">
        <v>1</v>
      </c>
      <c r="F50" s="55">
        <v>0.16666666666666666</v>
      </c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</row>
    <row r="51" spans="1:25" ht="13.5" customHeight="1" x14ac:dyDescent="0.3">
      <c r="A51" s="1"/>
      <c r="B51" s="26">
        <v>2</v>
      </c>
      <c r="C51" s="27"/>
      <c r="D51" s="28"/>
      <c r="E51" s="55"/>
      <c r="F51" s="55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</row>
    <row r="52" spans="1:25" ht="13.5" customHeight="1" x14ac:dyDescent="0.3">
      <c r="A52" s="1"/>
      <c r="B52" s="26">
        <v>3</v>
      </c>
      <c r="C52" s="27"/>
      <c r="D52" s="28"/>
      <c r="E52" s="55"/>
      <c r="F52" s="55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</row>
    <row r="53" spans="1:25" ht="13.5" customHeight="1" x14ac:dyDescent="0.3">
      <c r="A53" s="1"/>
      <c r="B53" s="26">
        <v>4</v>
      </c>
      <c r="C53" s="27"/>
      <c r="D53" s="28"/>
      <c r="E53" s="55"/>
      <c r="F53" s="55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</row>
    <row r="54" spans="1:25" ht="13.5" customHeight="1" x14ac:dyDescent="0.3">
      <c r="A54" s="1"/>
      <c r="B54" s="26">
        <v>5</v>
      </c>
      <c r="C54" s="27"/>
      <c r="D54" s="28"/>
      <c r="E54" s="55"/>
      <c r="F54" s="55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</row>
    <row r="55" spans="1:25" ht="13.5" customHeight="1" x14ac:dyDescent="0.3">
      <c r="A55" s="1"/>
      <c r="B55" s="26">
        <v>6</v>
      </c>
      <c r="C55" s="27"/>
      <c r="D55" s="28"/>
      <c r="E55" s="55"/>
      <c r="F55" s="55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</row>
    <row r="56" spans="1:25" ht="13.5" customHeight="1" x14ac:dyDescent="0.3">
      <c r="A56" s="1"/>
      <c r="B56" s="25"/>
      <c r="C56" s="25"/>
      <c r="D56" s="25"/>
      <c r="E56" s="25"/>
      <c r="F56" s="25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</row>
    <row r="57" spans="1:25" ht="13.5" customHeight="1" x14ac:dyDescent="0.3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</row>
    <row r="58" spans="1:25" ht="57.75" customHeight="1" thickBot="1" x14ac:dyDescent="0.35">
      <c r="A58" s="1"/>
      <c r="B58" s="17" t="s">
        <v>54</v>
      </c>
      <c r="C58" s="17" t="s">
        <v>50</v>
      </c>
      <c r="D58" s="17" t="s">
        <v>55</v>
      </c>
      <c r="E58" s="18" t="s">
        <v>56</v>
      </c>
      <c r="F58" s="19" t="s">
        <v>21</v>
      </c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</row>
    <row r="59" spans="1:25" ht="13.5" customHeight="1" x14ac:dyDescent="0.3">
      <c r="A59" s="1"/>
      <c r="B59" s="12">
        <v>1</v>
      </c>
      <c r="C59" s="27" t="s">
        <v>195</v>
      </c>
      <c r="D59" s="55">
        <v>4032.89</v>
      </c>
      <c r="E59" s="55"/>
      <c r="F59" s="55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</row>
    <row r="60" spans="1:25" ht="13.5" customHeight="1" x14ac:dyDescent="0.3">
      <c r="A60" s="1"/>
      <c r="B60" s="10">
        <v>2</v>
      </c>
      <c r="C60" s="27" t="s">
        <v>196</v>
      </c>
      <c r="D60" s="55">
        <v>2800</v>
      </c>
      <c r="E60" s="55"/>
      <c r="F60" s="55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</row>
    <row r="61" spans="1:25" ht="13.5" customHeight="1" x14ac:dyDescent="0.3">
      <c r="A61" s="1"/>
      <c r="B61" s="10">
        <v>3</v>
      </c>
      <c r="C61" s="27"/>
      <c r="D61" s="55"/>
      <c r="E61" s="55"/>
      <c r="F61" s="55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</row>
    <row r="62" spans="1:25" ht="13.5" customHeight="1" x14ac:dyDescent="0.3">
      <c r="A62" s="1"/>
      <c r="B62" s="10">
        <v>4</v>
      </c>
      <c r="C62" s="27"/>
      <c r="D62" s="55"/>
      <c r="E62" s="55"/>
      <c r="F62" s="55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</row>
    <row r="63" spans="1:25" ht="13.5" customHeight="1" x14ac:dyDescent="0.3">
      <c r="A63" s="1"/>
      <c r="B63" s="10">
        <v>5</v>
      </c>
      <c r="C63" s="27"/>
      <c r="D63" s="55"/>
      <c r="E63" s="55"/>
      <c r="F63" s="55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</row>
    <row r="64" spans="1:25" ht="13.5" customHeight="1" x14ac:dyDescent="0.3">
      <c r="A64" s="1"/>
      <c r="B64" s="10">
        <v>6</v>
      </c>
      <c r="C64" s="27"/>
      <c r="D64" s="55"/>
      <c r="E64" s="55"/>
      <c r="F64" s="55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</row>
    <row r="65" spans="1:25" ht="13.5" customHeight="1" x14ac:dyDescent="0.3">
      <c r="A65" s="1"/>
      <c r="B65" s="10">
        <v>7</v>
      </c>
      <c r="C65" s="27"/>
      <c r="D65" s="55"/>
      <c r="E65" s="55"/>
      <c r="F65" s="55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</row>
    <row r="66" spans="1:25" ht="13.5" customHeight="1" x14ac:dyDescent="0.3">
      <c r="A66" s="1"/>
      <c r="B66" s="10">
        <v>8</v>
      </c>
      <c r="C66" s="27"/>
      <c r="D66" s="55"/>
      <c r="E66" s="55"/>
      <c r="F66" s="55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</row>
    <row r="67" spans="1:25" ht="13.5" customHeight="1" x14ac:dyDescent="0.3">
      <c r="A67" s="1"/>
      <c r="B67" s="10">
        <v>9</v>
      </c>
      <c r="C67" s="27"/>
      <c r="D67" s="55"/>
      <c r="E67" s="55"/>
      <c r="F67" s="55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</row>
    <row r="68" spans="1:25" ht="13.5" customHeight="1" x14ac:dyDescent="0.3">
      <c r="A68" s="1"/>
      <c r="B68" s="10">
        <v>10</v>
      </c>
      <c r="C68" s="27"/>
      <c r="D68" s="55"/>
      <c r="E68" s="55"/>
      <c r="F68" s="55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</row>
    <row r="69" spans="1:25" ht="4.9000000000000004" customHeight="1" thickBot="1" x14ac:dyDescent="0.35">
      <c r="A69" s="1"/>
      <c r="B69" s="1"/>
      <c r="C69" s="1"/>
      <c r="D69" s="58"/>
      <c r="E69" s="58"/>
      <c r="F69" s="58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</row>
    <row r="70" spans="1:25" ht="13.5" customHeight="1" thickTop="1" x14ac:dyDescent="0.3">
      <c r="A70" s="1"/>
      <c r="B70" s="11"/>
      <c r="C70" s="4" t="s">
        <v>22</v>
      </c>
      <c r="D70" s="59">
        <f>SUM(D59:D69)</f>
        <v>6832.8899999999994</v>
      </c>
      <c r="E70" s="59">
        <f>SUM(E59:E69)</f>
        <v>0</v>
      </c>
      <c r="F70" s="59">
        <f>SUM(F59:F69)</f>
        <v>0</v>
      </c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</row>
    <row r="71" spans="1:25" ht="13.5" customHeight="1" x14ac:dyDescent="0.3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</row>
    <row r="72" spans="1:25" ht="13.5" customHeight="1" x14ac:dyDescent="0.3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</row>
    <row r="73" spans="1:25" ht="13.5" customHeight="1" x14ac:dyDescent="0.3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</row>
    <row r="74" spans="1:25" ht="13.5" customHeight="1" x14ac:dyDescent="0.3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</row>
    <row r="75" spans="1:25" ht="13.5" customHeight="1" x14ac:dyDescent="0.3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</row>
    <row r="76" spans="1:25" ht="13.5" customHeight="1" x14ac:dyDescent="0.3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</row>
    <row r="77" spans="1:25" ht="13.5" customHeight="1" x14ac:dyDescent="0.3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</row>
    <row r="78" spans="1:25" ht="13.5" customHeight="1" x14ac:dyDescent="0.3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</row>
    <row r="79" spans="1:25" ht="13.5" customHeight="1" x14ac:dyDescent="0.3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</row>
    <row r="80" spans="1:25" ht="13.5" customHeight="1" x14ac:dyDescent="0.3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</row>
    <row r="81" spans="1:25" ht="13.5" customHeight="1" x14ac:dyDescent="0.3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</row>
    <row r="82" spans="1:25" ht="13.5" customHeight="1" x14ac:dyDescent="0.3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</row>
    <row r="83" spans="1:25" ht="13.5" customHeight="1" x14ac:dyDescent="0.3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</row>
    <row r="84" spans="1:25" ht="13.5" customHeight="1" x14ac:dyDescent="0.3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</row>
    <row r="85" spans="1:25" ht="13.5" customHeight="1" x14ac:dyDescent="0.3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</row>
    <row r="86" spans="1:25" ht="13.5" customHeight="1" x14ac:dyDescent="0.3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</row>
    <row r="87" spans="1:25" ht="13.5" customHeight="1" x14ac:dyDescent="0.3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</row>
    <row r="88" spans="1:25" ht="13.5" customHeight="1" x14ac:dyDescent="0.3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</row>
    <row r="89" spans="1:25" ht="13.5" customHeight="1" x14ac:dyDescent="0.3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</row>
    <row r="90" spans="1:25" ht="13.5" customHeight="1" x14ac:dyDescent="0.3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</row>
    <row r="91" spans="1:25" ht="13.5" customHeight="1" x14ac:dyDescent="0.3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</row>
    <row r="92" spans="1:25" ht="13.5" customHeight="1" x14ac:dyDescent="0.3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</row>
    <row r="93" spans="1:25" ht="13.5" customHeight="1" x14ac:dyDescent="0.3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</row>
    <row r="94" spans="1:25" ht="13.5" customHeight="1" x14ac:dyDescent="0.3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</row>
    <row r="95" spans="1:25" ht="13.5" customHeight="1" x14ac:dyDescent="0.3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</row>
    <row r="96" spans="1:25" ht="13.5" customHeight="1" x14ac:dyDescent="0.3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</row>
    <row r="97" spans="1:25" ht="13.5" customHeight="1" x14ac:dyDescent="0.3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</row>
    <row r="98" spans="1:25" ht="13.5" customHeight="1" x14ac:dyDescent="0.3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</row>
    <row r="99" spans="1:25" ht="13.5" customHeight="1" x14ac:dyDescent="0.3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</row>
    <row r="100" spans="1:25" ht="13.5" customHeight="1" x14ac:dyDescent="0.3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</row>
    <row r="101" spans="1:25" ht="13.5" customHeight="1" x14ac:dyDescent="0.3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</row>
    <row r="102" spans="1:25" ht="13.5" customHeight="1" x14ac:dyDescent="0.3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</row>
    <row r="103" spans="1:25" ht="13.5" customHeight="1" x14ac:dyDescent="0.3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</row>
    <row r="104" spans="1:25" ht="13.5" customHeight="1" x14ac:dyDescent="0.3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</row>
    <row r="105" spans="1:25" ht="13.5" customHeight="1" x14ac:dyDescent="0.3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</row>
    <row r="106" spans="1:25" ht="13.5" customHeight="1" x14ac:dyDescent="0.3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</row>
    <row r="107" spans="1:25" ht="13.5" customHeight="1" x14ac:dyDescent="0.3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</row>
    <row r="108" spans="1:25" ht="13.5" customHeight="1" x14ac:dyDescent="0.3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</row>
    <row r="109" spans="1:25" ht="13.5" customHeight="1" x14ac:dyDescent="0.3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</row>
    <row r="110" spans="1:25" ht="13.5" customHeight="1" x14ac:dyDescent="0.3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</row>
    <row r="111" spans="1:25" ht="13.5" customHeight="1" x14ac:dyDescent="0.3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</row>
    <row r="112" spans="1:25" ht="13.5" customHeight="1" x14ac:dyDescent="0.3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</row>
    <row r="113" spans="1:25" ht="13.5" customHeight="1" x14ac:dyDescent="0.3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</row>
    <row r="114" spans="1:25" ht="13.5" customHeight="1" x14ac:dyDescent="0.3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</row>
    <row r="115" spans="1:25" ht="13.5" customHeight="1" x14ac:dyDescent="0.3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</row>
    <row r="116" spans="1:25" ht="13.5" customHeight="1" x14ac:dyDescent="0.3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</row>
    <row r="117" spans="1:25" ht="13.5" customHeight="1" x14ac:dyDescent="0.3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</row>
    <row r="118" spans="1:25" ht="13.5" customHeight="1" x14ac:dyDescent="0.3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</row>
    <row r="119" spans="1:25" ht="13.5" customHeight="1" x14ac:dyDescent="0.3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</row>
    <row r="120" spans="1:25" ht="13.5" customHeight="1" x14ac:dyDescent="0.3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</row>
    <row r="121" spans="1:25" ht="13.5" customHeight="1" x14ac:dyDescent="0.3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</row>
    <row r="122" spans="1:25" ht="13.5" customHeight="1" x14ac:dyDescent="0.3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</row>
    <row r="123" spans="1:25" ht="13.5" customHeight="1" x14ac:dyDescent="0.3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</row>
    <row r="124" spans="1:25" ht="13.5" customHeight="1" x14ac:dyDescent="0.3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</row>
    <row r="125" spans="1:25" ht="13.5" customHeight="1" x14ac:dyDescent="0.3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</row>
    <row r="126" spans="1:25" ht="13.5" customHeight="1" x14ac:dyDescent="0.3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</row>
    <row r="127" spans="1:25" ht="13.5" customHeight="1" x14ac:dyDescent="0.3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</row>
    <row r="128" spans="1:25" ht="13.5" customHeight="1" x14ac:dyDescent="0.3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</row>
    <row r="129" spans="1:25" ht="13.5" customHeight="1" x14ac:dyDescent="0.3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</row>
    <row r="130" spans="1:25" ht="13.5" customHeight="1" x14ac:dyDescent="0.3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</row>
    <row r="131" spans="1:25" ht="13.5" customHeight="1" x14ac:dyDescent="0.3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</row>
    <row r="132" spans="1:25" ht="13.5" customHeight="1" x14ac:dyDescent="0.3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</row>
    <row r="133" spans="1:25" ht="13.5" customHeight="1" x14ac:dyDescent="0.3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</row>
    <row r="134" spans="1:25" ht="13.5" customHeight="1" x14ac:dyDescent="0.3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</row>
    <row r="135" spans="1:25" ht="13.5" customHeight="1" x14ac:dyDescent="0.3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</row>
    <row r="136" spans="1:25" ht="13.5" customHeight="1" x14ac:dyDescent="0.3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</row>
    <row r="137" spans="1:25" ht="13.5" customHeight="1" x14ac:dyDescent="0.3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</row>
    <row r="138" spans="1:25" ht="13.5" customHeight="1" x14ac:dyDescent="0.3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</row>
    <row r="139" spans="1:25" ht="13.5" customHeight="1" x14ac:dyDescent="0.3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</row>
    <row r="140" spans="1:25" ht="13.5" customHeight="1" x14ac:dyDescent="0.3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</row>
    <row r="141" spans="1:25" ht="13.5" customHeight="1" x14ac:dyDescent="0.3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</row>
    <row r="142" spans="1:25" ht="13.5" customHeight="1" x14ac:dyDescent="0.3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</row>
    <row r="143" spans="1:25" ht="13.5" customHeight="1" x14ac:dyDescent="0.3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</row>
    <row r="144" spans="1:25" ht="13.5" customHeight="1" x14ac:dyDescent="0.3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</row>
    <row r="145" spans="1:25" ht="13.5" customHeight="1" x14ac:dyDescent="0.3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</row>
    <row r="146" spans="1:25" ht="13.5" customHeight="1" x14ac:dyDescent="0.3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</row>
    <row r="147" spans="1:25" ht="13.5" customHeight="1" x14ac:dyDescent="0.3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</row>
    <row r="148" spans="1:25" ht="13.5" customHeight="1" x14ac:dyDescent="0.3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</row>
    <row r="149" spans="1:25" ht="13.5" customHeight="1" x14ac:dyDescent="0.3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</row>
    <row r="150" spans="1:25" ht="13.5" customHeight="1" x14ac:dyDescent="0.3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</row>
    <row r="151" spans="1:25" ht="13.5" customHeight="1" x14ac:dyDescent="0.3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</row>
    <row r="152" spans="1:25" ht="13.5" customHeight="1" x14ac:dyDescent="0.3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</row>
    <row r="153" spans="1:25" ht="13.5" customHeight="1" x14ac:dyDescent="0.3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</row>
    <row r="154" spans="1:25" ht="13.5" customHeight="1" x14ac:dyDescent="0.3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</row>
    <row r="155" spans="1:25" ht="13.5" customHeight="1" x14ac:dyDescent="0.3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</row>
    <row r="156" spans="1:25" ht="13.5" customHeight="1" x14ac:dyDescent="0.3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</row>
    <row r="157" spans="1:25" ht="13.5" customHeight="1" x14ac:dyDescent="0.3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</row>
    <row r="158" spans="1:25" ht="13.5" customHeight="1" x14ac:dyDescent="0.3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</row>
    <row r="159" spans="1:25" ht="13.5" customHeight="1" x14ac:dyDescent="0.3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</row>
    <row r="160" spans="1:25" ht="13.5" customHeight="1" x14ac:dyDescent="0.3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</row>
    <row r="161" spans="1:25" ht="13.5" customHeight="1" x14ac:dyDescent="0.3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</row>
    <row r="162" spans="1:25" ht="13.5" customHeight="1" x14ac:dyDescent="0.3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</row>
    <row r="163" spans="1:25" ht="13.5" customHeight="1" x14ac:dyDescent="0.3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</row>
    <row r="164" spans="1:25" ht="13.5" customHeight="1" x14ac:dyDescent="0.3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</row>
    <row r="165" spans="1:25" ht="13.5" customHeight="1" x14ac:dyDescent="0.3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</row>
    <row r="166" spans="1:25" ht="13.5" customHeight="1" x14ac:dyDescent="0.3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</row>
    <row r="167" spans="1:25" ht="13.5" customHeight="1" x14ac:dyDescent="0.3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</row>
    <row r="168" spans="1:25" ht="13.5" customHeight="1" x14ac:dyDescent="0.3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</row>
    <row r="169" spans="1:25" ht="13.5" customHeight="1" x14ac:dyDescent="0.3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</row>
    <row r="170" spans="1:25" ht="13.5" customHeight="1" x14ac:dyDescent="0.3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</row>
    <row r="171" spans="1:25" ht="13.5" customHeight="1" x14ac:dyDescent="0.3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</row>
    <row r="172" spans="1:25" ht="13.5" customHeight="1" x14ac:dyDescent="0.3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</row>
    <row r="173" spans="1:25" ht="13.5" customHeight="1" x14ac:dyDescent="0.3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</row>
    <row r="174" spans="1:25" ht="13.5" customHeight="1" x14ac:dyDescent="0.3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</row>
    <row r="175" spans="1:25" ht="13.5" customHeight="1" x14ac:dyDescent="0.3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</row>
    <row r="176" spans="1:25" ht="13.5" customHeight="1" x14ac:dyDescent="0.3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</row>
    <row r="177" spans="1:25" ht="13.5" customHeight="1" x14ac:dyDescent="0.3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</row>
    <row r="178" spans="1:25" ht="13.5" customHeight="1" x14ac:dyDescent="0.3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</row>
    <row r="179" spans="1:25" ht="13.5" customHeight="1" x14ac:dyDescent="0.3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</row>
    <row r="180" spans="1:25" ht="13.5" customHeight="1" x14ac:dyDescent="0.3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</row>
    <row r="181" spans="1:25" ht="13.5" customHeight="1" x14ac:dyDescent="0.3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</row>
    <row r="182" spans="1:25" ht="13.5" customHeight="1" x14ac:dyDescent="0.3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</row>
    <row r="183" spans="1:25" ht="13.5" customHeight="1" x14ac:dyDescent="0.3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</row>
    <row r="184" spans="1:25" ht="13.5" customHeight="1" x14ac:dyDescent="0.3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</row>
    <row r="185" spans="1:25" ht="13.5" customHeight="1" x14ac:dyDescent="0.3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</row>
    <row r="186" spans="1:25" ht="13.5" customHeight="1" x14ac:dyDescent="0.3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</row>
    <row r="187" spans="1:25" ht="13.5" customHeight="1" x14ac:dyDescent="0.3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</row>
    <row r="188" spans="1:25" ht="13.5" customHeight="1" x14ac:dyDescent="0.3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</row>
    <row r="189" spans="1:25" ht="13.5" customHeight="1" x14ac:dyDescent="0.3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</row>
    <row r="190" spans="1:25" ht="13.5" customHeight="1" x14ac:dyDescent="0.3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</row>
    <row r="191" spans="1:25" ht="13.5" customHeight="1" x14ac:dyDescent="0.3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</row>
    <row r="192" spans="1:25" ht="13.5" customHeight="1" x14ac:dyDescent="0.3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</row>
    <row r="193" spans="1:25" ht="13.5" customHeight="1" x14ac:dyDescent="0.3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</row>
    <row r="194" spans="1:25" ht="13.5" customHeight="1" x14ac:dyDescent="0.3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</row>
    <row r="195" spans="1:25" ht="13.5" customHeight="1" x14ac:dyDescent="0.3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</row>
    <row r="196" spans="1:25" ht="13.5" customHeight="1" x14ac:dyDescent="0.3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</row>
    <row r="197" spans="1:25" ht="13.5" customHeight="1" x14ac:dyDescent="0.3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</row>
    <row r="198" spans="1:25" ht="13.5" customHeight="1" x14ac:dyDescent="0.3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</row>
    <row r="199" spans="1:25" ht="13.5" customHeight="1" x14ac:dyDescent="0.3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</row>
    <row r="200" spans="1:25" ht="13.5" customHeight="1" x14ac:dyDescent="0.3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</row>
    <row r="201" spans="1:25" ht="13.5" customHeight="1" x14ac:dyDescent="0.3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</row>
    <row r="202" spans="1:25" ht="13.5" customHeight="1" x14ac:dyDescent="0.3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</row>
    <row r="203" spans="1:25" ht="13.5" customHeight="1" x14ac:dyDescent="0.3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</row>
    <row r="204" spans="1:25" ht="13.5" customHeight="1" x14ac:dyDescent="0.3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</row>
    <row r="205" spans="1:25" ht="13.5" customHeight="1" x14ac:dyDescent="0.3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</row>
    <row r="206" spans="1:25" ht="13.5" customHeight="1" x14ac:dyDescent="0.3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</row>
    <row r="207" spans="1:25" ht="13.5" customHeight="1" x14ac:dyDescent="0.3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</row>
    <row r="208" spans="1:25" ht="13.5" customHeight="1" x14ac:dyDescent="0.3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</row>
    <row r="209" spans="1:25" ht="13.5" customHeight="1" x14ac:dyDescent="0.3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</row>
    <row r="210" spans="1:25" ht="13.5" customHeight="1" x14ac:dyDescent="0.3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</row>
    <row r="211" spans="1:25" ht="13.5" customHeight="1" x14ac:dyDescent="0.3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</row>
    <row r="212" spans="1:25" ht="13.5" customHeight="1" x14ac:dyDescent="0.3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</row>
    <row r="213" spans="1:25" ht="13.5" customHeight="1" x14ac:dyDescent="0.3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</row>
    <row r="214" spans="1:25" ht="13.5" customHeight="1" x14ac:dyDescent="0.3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</row>
    <row r="215" spans="1:25" ht="13.5" customHeight="1" x14ac:dyDescent="0.3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</row>
    <row r="216" spans="1:25" ht="13.5" customHeight="1" x14ac:dyDescent="0.3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</row>
    <row r="217" spans="1:25" ht="13.5" customHeight="1" x14ac:dyDescent="0.3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</row>
    <row r="218" spans="1:25" ht="13.5" customHeight="1" x14ac:dyDescent="0.3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</row>
    <row r="219" spans="1:25" ht="13.5" customHeight="1" x14ac:dyDescent="0.3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</row>
    <row r="220" spans="1:25" ht="13.5" customHeight="1" x14ac:dyDescent="0.3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</row>
    <row r="221" spans="1:25" ht="13.5" customHeight="1" x14ac:dyDescent="0.3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</row>
    <row r="222" spans="1:25" ht="13.5" customHeight="1" x14ac:dyDescent="0.3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</row>
    <row r="223" spans="1:25" ht="13.5" customHeight="1" x14ac:dyDescent="0.3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</row>
    <row r="224" spans="1:25" ht="13.5" customHeight="1" x14ac:dyDescent="0.3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</row>
    <row r="225" spans="1:25" ht="13.5" customHeight="1" x14ac:dyDescent="0.3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</row>
    <row r="226" spans="1:25" ht="13.5" customHeight="1" x14ac:dyDescent="0.3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</row>
    <row r="227" spans="1:25" ht="13.5" customHeight="1" x14ac:dyDescent="0.3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</row>
    <row r="228" spans="1:25" ht="13.5" customHeight="1" x14ac:dyDescent="0.3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</row>
    <row r="229" spans="1:25" ht="13.5" customHeight="1" x14ac:dyDescent="0.3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</row>
    <row r="230" spans="1:25" ht="13.5" customHeight="1" x14ac:dyDescent="0.3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</row>
    <row r="231" spans="1:25" ht="13.5" customHeight="1" x14ac:dyDescent="0.3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</row>
    <row r="232" spans="1:25" ht="13.5" customHeight="1" x14ac:dyDescent="0.3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</row>
    <row r="233" spans="1:25" ht="13.5" customHeight="1" x14ac:dyDescent="0.3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</row>
    <row r="234" spans="1:25" ht="13.5" customHeight="1" x14ac:dyDescent="0.3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</row>
    <row r="235" spans="1:25" ht="13.5" customHeight="1" x14ac:dyDescent="0.3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</row>
    <row r="236" spans="1:25" ht="13.5" customHeight="1" x14ac:dyDescent="0.3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</row>
    <row r="237" spans="1:25" ht="13.5" customHeight="1" x14ac:dyDescent="0.3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</row>
    <row r="238" spans="1:25" ht="13.5" customHeight="1" x14ac:dyDescent="0.3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</row>
    <row r="239" spans="1:25" ht="13.5" customHeight="1" x14ac:dyDescent="0.3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</row>
    <row r="240" spans="1:25" ht="13.5" customHeight="1" x14ac:dyDescent="0.3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</row>
    <row r="241" spans="1:25" ht="13.5" customHeight="1" x14ac:dyDescent="0.3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</row>
    <row r="242" spans="1:25" ht="13.5" customHeight="1" x14ac:dyDescent="0.3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</row>
    <row r="243" spans="1:25" ht="13.5" customHeight="1" x14ac:dyDescent="0.3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</row>
    <row r="244" spans="1:25" ht="13.5" customHeight="1" x14ac:dyDescent="0.3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</row>
    <row r="245" spans="1:25" ht="13.5" customHeight="1" x14ac:dyDescent="0.3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</row>
    <row r="246" spans="1:25" ht="13.5" customHeight="1" x14ac:dyDescent="0.3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</row>
    <row r="247" spans="1:25" ht="13.5" customHeight="1" x14ac:dyDescent="0.3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</row>
    <row r="248" spans="1:25" ht="13.5" customHeight="1" x14ac:dyDescent="0.3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</row>
    <row r="249" spans="1:25" ht="13.5" customHeight="1" x14ac:dyDescent="0.3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</row>
    <row r="250" spans="1:25" ht="13.5" customHeight="1" x14ac:dyDescent="0.3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</row>
    <row r="251" spans="1:25" ht="13.5" customHeight="1" x14ac:dyDescent="0.3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</row>
    <row r="252" spans="1:25" ht="13.5" customHeight="1" x14ac:dyDescent="0.3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</row>
    <row r="253" spans="1:25" ht="13.5" customHeight="1" x14ac:dyDescent="0.3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</row>
    <row r="254" spans="1:25" ht="13.5" customHeight="1" x14ac:dyDescent="0.3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</row>
    <row r="255" spans="1:25" ht="13.5" customHeight="1" x14ac:dyDescent="0.3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</row>
    <row r="256" spans="1:25" ht="13.5" customHeight="1" x14ac:dyDescent="0.3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</row>
    <row r="257" spans="1:25" ht="13.5" customHeight="1" x14ac:dyDescent="0.3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</row>
    <row r="258" spans="1:25" ht="13.5" customHeight="1" x14ac:dyDescent="0.3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</row>
    <row r="259" spans="1:25" ht="13.5" customHeight="1" x14ac:dyDescent="0.3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</row>
    <row r="260" spans="1:25" ht="13.5" customHeight="1" x14ac:dyDescent="0.3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</row>
    <row r="261" spans="1:25" ht="13.5" customHeight="1" x14ac:dyDescent="0.3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</row>
    <row r="262" spans="1:25" ht="13.5" customHeight="1" x14ac:dyDescent="0.3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</row>
    <row r="263" spans="1:25" ht="13.5" customHeight="1" x14ac:dyDescent="0.3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</row>
    <row r="264" spans="1:25" ht="13.5" customHeight="1" x14ac:dyDescent="0.3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</row>
    <row r="265" spans="1:25" ht="13.5" customHeight="1" x14ac:dyDescent="0.3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</row>
    <row r="266" spans="1:25" ht="13.5" customHeight="1" x14ac:dyDescent="0.3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</row>
    <row r="267" spans="1:25" ht="13.5" customHeight="1" x14ac:dyDescent="0.3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</row>
    <row r="268" spans="1:25" ht="13.5" customHeight="1" x14ac:dyDescent="0.3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</row>
    <row r="269" spans="1:25" ht="13.5" customHeight="1" x14ac:dyDescent="0.3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</row>
    <row r="270" spans="1:25" ht="13.5" customHeight="1" x14ac:dyDescent="0.3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</row>
    <row r="271" spans="1:25" ht="13.5" customHeight="1" x14ac:dyDescent="0.3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</row>
    <row r="272" spans="1:25" ht="13.5" customHeight="1" x14ac:dyDescent="0.3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</row>
    <row r="273" spans="1:25" ht="13.5" customHeight="1" x14ac:dyDescent="0.3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</row>
    <row r="274" spans="1:25" ht="13.5" customHeight="1" x14ac:dyDescent="0.3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</row>
    <row r="275" spans="1:25" ht="13.5" customHeight="1" x14ac:dyDescent="0.3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</row>
    <row r="276" spans="1:25" ht="13.5" customHeight="1" x14ac:dyDescent="0.3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</row>
    <row r="277" spans="1:25" ht="13.5" customHeight="1" x14ac:dyDescent="0.3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</row>
    <row r="278" spans="1:25" ht="13.5" customHeight="1" x14ac:dyDescent="0.3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</row>
    <row r="279" spans="1:25" ht="13.5" customHeight="1" x14ac:dyDescent="0.3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</row>
    <row r="280" spans="1:25" ht="13.5" customHeight="1" x14ac:dyDescent="0.3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</row>
    <row r="281" spans="1:25" ht="13.5" customHeight="1" x14ac:dyDescent="0.3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</row>
    <row r="282" spans="1:25" ht="13.5" customHeight="1" x14ac:dyDescent="0.3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</row>
    <row r="283" spans="1:25" ht="13.5" customHeight="1" x14ac:dyDescent="0.3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</row>
    <row r="284" spans="1:25" ht="13.5" customHeight="1" x14ac:dyDescent="0.3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</row>
    <row r="285" spans="1:25" ht="13.5" customHeight="1" x14ac:dyDescent="0.3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</row>
    <row r="286" spans="1:25" ht="13.5" customHeight="1" x14ac:dyDescent="0.3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</row>
    <row r="287" spans="1:25" ht="13.5" customHeight="1" x14ac:dyDescent="0.3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</row>
    <row r="288" spans="1:25" ht="13.5" customHeight="1" x14ac:dyDescent="0.3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</row>
    <row r="289" spans="1:25" ht="13.5" customHeight="1" x14ac:dyDescent="0.3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</row>
    <row r="290" spans="1:25" ht="13.5" customHeight="1" x14ac:dyDescent="0.3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</row>
    <row r="291" spans="1:25" ht="13.5" customHeight="1" x14ac:dyDescent="0.3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</row>
    <row r="292" spans="1:25" ht="13.5" customHeight="1" x14ac:dyDescent="0.3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</row>
    <row r="293" spans="1:25" ht="13.5" customHeight="1" x14ac:dyDescent="0.3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</row>
    <row r="294" spans="1:25" ht="13.5" customHeight="1" x14ac:dyDescent="0.3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</row>
    <row r="295" spans="1:25" ht="13.5" customHeight="1" x14ac:dyDescent="0.3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</row>
    <row r="296" spans="1:25" ht="13.5" customHeight="1" x14ac:dyDescent="0.3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</row>
    <row r="297" spans="1:25" ht="13.5" customHeight="1" x14ac:dyDescent="0.3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</row>
    <row r="298" spans="1:25" ht="13.5" customHeight="1" x14ac:dyDescent="0.3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</row>
    <row r="299" spans="1:25" ht="13.5" customHeight="1" x14ac:dyDescent="0.3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</row>
    <row r="300" spans="1:25" ht="13.5" customHeight="1" x14ac:dyDescent="0.3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</row>
    <row r="301" spans="1:25" ht="13.5" customHeight="1" x14ac:dyDescent="0.3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</row>
    <row r="302" spans="1:25" ht="13.5" customHeight="1" x14ac:dyDescent="0.3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</row>
    <row r="303" spans="1:25" ht="13.5" customHeight="1" x14ac:dyDescent="0.3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</row>
    <row r="304" spans="1:25" ht="13.5" customHeight="1" x14ac:dyDescent="0.3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</row>
    <row r="305" spans="1:25" ht="13.5" customHeight="1" x14ac:dyDescent="0.3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</row>
    <row r="306" spans="1:25" ht="13.5" customHeight="1" x14ac:dyDescent="0.3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</row>
    <row r="307" spans="1:25" ht="13.5" customHeight="1" x14ac:dyDescent="0.3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</row>
    <row r="308" spans="1:25" ht="13.5" customHeight="1" x14ac:dyDescent="0.3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</row>
    <row r="309" spans="1:25" ht="13.5" customHeight="1" x14ac:dyDescent="0.3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</row>
    <row r="310" spans="1:25" ht="13.5" customHeight="1" x14ac:dyDescent="0.3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</row>
    <row r="311" spans="1:25" ht="13.5" customHeight="1" x14ac:dyDescent="0.3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</row>
    <row r="312" spans="1:25" ht="13.5" customHeight="1" x14ac:dyDescent="0.3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</row>
    <row r="313" spans="1:25" ht="13.5" customHeight="1" x14ac:dyDescent="0.3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</row>
    <row r="314" spans="1:25" ht="13.5" customHeight="1" x14ac:dyDescent="0.3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</row>
    <row r="315" spans="1:25" ht="13.5" customHeight="1" x14ac:dyDescent="0.3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</row>
    <row r="316" spans="1:25" ht="13.5" customHeight="1" x14ac:dyDescent="0.3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</row>
    <row r="317" spans="1:25" ht="13.5" customHeight="1" x14ac:dyDescent="0.3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</row>
    <row r="318" spans="1:25" ht="13.5" customHeight="1" x14ac:dyDescent="0.3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</row>
    <row r="319" spans="1:25" ht="13.5" customHeight="1" x14ac:dyDescent="0.3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</row>
    <row r="320" spans="1:25" ht="13.5" customHeight="1" x14ac:dyDescent="0.3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</row>
    <row r="321" spans="1:25" ht="13.5" customHeight="1" x14ac:dyDescent="0.3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</row>
    <row r="322" spans="1:25" ht="13.5" customHeight="1" x14ac:dyDescent="0.3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</row>
    <row r="323" spans="1:25" ht="13.5" customHeight="1" x14ac:dyDescent="0.3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</row>
    <row r="324" spans="1:25" ht="13.5" customHeight="1" x14ac:dyDescent="0.3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</row>
    <row r="325" spans="1:25" ht="13.5" customHeight="1" x14ac:dyDescent="0.3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</row>
    <row r="326" spans="1:25" ht="13.5" customHeight="1" x14ac:dyDescent="0.3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</row>
    <row r="327" spans="1:25" ht="13.5" customHeight="1" x14ac:dyDescent="0.3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</row>
    <row r="328" spans="1:25" ht="13.5" customHeight="1" x14ac:dyDescent="0.3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</row>
    <row r="329" spans="1:25" ht="13.5" customHeight="1" x14ac:dyDescent="0.3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</row>
    <row r="330" spans="1:25" ht="13.5" customHeight="1" x14ac:dyDescent="0.3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</row>
    <row r="331" spans="1:25" ht="13.5" customHeight="1" x14ac:dyDescent="0.3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</row>
    <row r="332" spans="1:25" ht="13.5" customHeight="1" x14ac:dyDescent="0.3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</row>
    <row r="333" spans="1:25" ht="13.5" customHeight="1" x14ac:dyDescent="0.3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</row>
    <row r="334" spans="1:25" ht="13.5" customHeight="1" x14ac:dyDescent="0.3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</row>
    <row r="335" spans="1:25" ht="13.5" customHeight="1" x14ac:dyDescent="0.3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</row>
    <row r="336" spans="1:25" ht="13.5" customHeight="1" x14ac:dyDescent="0.3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</row>
    <row r="337" spans="1:25" ht="13.5" customHeight="1" x14ac:dyDescent="0.3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</row>
    <row r="338" spans="1:25" ht="13.5" customHeight="1" x14ac:dyDescent="0.3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</row>
    <row r="339" spans="1:25" ht="13.5" customHeight="1" x14ac:dyDescent="0.3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</row>
    <row r="340" spans="1:25" ht="13.5" customHeight="1" x14ac:dyDescent="0.3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</row>
    <row r="341" spans="1:25" ht="13.5" customHeight="1" x14ac:dyDescent="0.3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</row>
    <row r="342" spans="1:25" ht="13.5" customHeight="1" x14ac:dyDescent="0.3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</row>
    <row r="343" spans="1:25" ht="13.5" customHeight="1" x14ac:dyDescent="0.3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</row>
    <row r="344" spans="1:25" ht="13.5" customHeight="1" x14ac:dyDescent="0.3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</row>
    <row r="345" spans="1:25" ht="13.5" customHeight="1" x14ac:dyDescent="0.3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</row>
    <row r="346" spans="1:25" ht="13.5" customHeight="1" x14ac:dyDescent="0.3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</row>
    <row r="347" spans="1:25" ht="13.5" customHeight="1" x14ac:dyDescent="0.3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</row>
    <row r="348" spans="1:25" ht="13.5" customHeight="1" x14ac:dyDescent="0.3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</row>
    <row r="349" spans="1:25" ht="13.5" customHeight="1" x14ac:dyDescent="0.3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</row>
    <row r="350" spans="1:25" ht="13.5" customHeight="1" x14ac:dyDescent="0.3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</row>
    <row r="351" spans="1:25" ht="13.5" customHeight="1" x14ac:dyDescent="0.3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</row>
    <row r="352" spans="1:25" ht="13.5" customHeight="1" x14ac:dyDescent="0.3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</row>
    <row r="353" spans="1:25" ht="13.5" customHeight="1" x14ac:dyDescent="0.3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</row>
    <row r="354" spans="1:25" ht="13.5" customHeight="1" x14ac:dyDescent="0.3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</row>
    <row r="355" spans="1:25" ht="13.5" customHeight="1" x14ac:dyDescent="0.3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</row>
    <row r="356" spans="1:25" ht="13.5" customHeight="1" x14ac:dyDescent="0.3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</row>
    <row r="357" spans="1:25" ht="13.5" customHeight="1" x14ac:dyDescent="0.3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</row>
    <row r="358" spans="1:25" ht="13.5" customHeight="1" x14ac:dyDescent="0.3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</row>
    <row r="359" spans="1:25" ht="13.5" customHeight="1" x14ac:dyDescent="0.3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</row>
    <row r="360" spans="1:25" ht="13.5" customHeight="1" x14ac:dyDescent="0.3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</row>
    <row r="361" spans="1:25" ht="13.5" customHeight="1" x14ac:dyDescent="0.3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</row>
    <row r="362" spans="1:25" ht="13.5" customHeight="1" x14ac:dyDescent="0.3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</row>
    <row r="363" spans="1:25" ht="13.5" customHeight="1" x14ac:dyDescent="0.3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</row>
    <row r="364" spans="1:25" ht="13.5" customHeight="1" x14ac:dyDescent="0.3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</row>
    <row r="365" spans="1:25" ht="13.5" customHeight="1" x14ac:dyDescent="0.3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</row>
    <row r="366" spans="1:25" ht="13.5" customHeight="1" x14ac:dyDescent="0.3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</row>
    <row r="367" spans="1:25" ht="13.5" customHeight="1" x14ac:dyDescent="0.3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</row>
    <row r="368" spans="1:25" ht="13.5" customHeight="1" x14ac:dyDescent="0.3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</row>
    <row r="369" spans="1:25" ht="13.5" customHeight="1" x14ac:dyDescent="0.3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</row>
    <row r="370" spans="1:25" ht="13.5" customHeight="1" x14ac:dyDescent="0.3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</row>
    <row r="371" spans="1:25" ht="13.5" customHeight="1" x14ac:dyDescent="0.3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</row>
    <row r="372" spans="1:25" ht="13.5" customHeight="1" x14ac:dyDescent="0.3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</row>
    <row r="373" spans="1:25" ht="13.5" customHeight="1" x14ac:dyDescent="0.3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</row>
    <row r="374" spans="1:25" ht="13.5" customHeight="1" x14ac:dyDescent="0.3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</row>
    <row r="375" spans="1:25" ht="13.5" customHeight="1" x14ac:dyDescent="0.3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</row>
    <row r="376" spans="1:25" ht="13.5" customHeight="1" x14ac:dyDescent="0.3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</row>
    <row r="377" spans="1:25" ht="13.5" customHeight="1" x14ac:dyDescent="0.3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</row>
    <row r="378" spans="1:25" ht="13.5" customHeight="1" x14ac:dyDescent="0.3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</row>
    <row r="379" spans="1:25" ht="13.5" customHeight="1" x14ac:dyDescent="0.3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</row>
    <row r="380" spans="1:25" ht="13.5" customHeight="1" x14ac:dyDescent="0.3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</row>
    <row r="381" spans="1:25" ht="13.5" customHeight="1" x14ac:dyDescent="0.3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</row>
    <row r="382" spans="1:25" ht="13.5" customHeight="1" x14ac:dyDescent="0.3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</row>
    <row r="383" spans="1:25" ht="13.5" customHeight="1" x14ac:dyDescent="0.3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</row>
    <row r="384" spans="1:25" ht="13.5" customHeight="1" x14ac:dyDescent="0.3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</row>
    <row r="385" spans="1:25" ht="13.5" customHeight="1" x14ac:dyDescent="0.3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</row>
    <row r="386" spans="1:25" ht="13.5" customHeight="1" x14ac:dyDescent="0.3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</row>
    <row r="387" spans="1:25" ht="13.5" customHeight="1" x14ac:dyDescent="0.3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</row>
    <row r="388" spans="1:25" ht="13.5" customHeight="1" x14ac:dyDescent="0.3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</row>
    <row r="389" spans="1:25" ht="13.5" customHeight="1" x14ac:dyDescent="0.3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</row>
    <row r="390" spans="1:25" ht="13.5" customHeight="1" x14ac:dyDescent="0.3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</row>
    <row r="391" spans="1:25" ht="13.5" customHeight="1" x14ac:dyDescent="0.3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</row>
    <row r="392" spans="1:25" ht="13.5" customHeight="1" x14ac:dyDescent="0.3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</row>
    <row r="393" spans="1:25" ht="13.5" customHeight="1" x14ac:dyDescent="0.3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</row>
    <row r="394" spans="1:25" ht="13.5" customHeight="1" x14ac:dyDescent="0.3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</row>
    <row r="395" spans="1:25" ht="13.5" customHeight="1" x14ac:dyDescent="0.3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</row>
    <row r="396" spans="1:25" ht="13.5" customHeight="1" x14ac:dyDescent="0.3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</row>
    <row r="397" spans="1:25" ht="13.5" customHeight="1" x14ac:dyDescent="0.3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</row>
    <row r="398" spans="1:25" ht="13.5" customHeight="1" x14ac:dyDescent="0.3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</row>
    <row r="399" spans="1:25" ht="13.5" customHeight="1" x14ac:dyDescent="0.3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</row>
    <row r="400" spans="1:25" ht="13.5" customHeight="1" x14ac:dyDescent="0.3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</row>
    <row r="401" spans="1:25" ht="13.5" customHeight="1" x14ac:dyDescent="0.3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</row>
    <row r="402" spans="1:25" ht="13.5" customHeight="1" x14ac:dyDescent="0.3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</row>
    <row r="403" spans="1:25" ht="13.5" customHeight="1" x14ac:dyDescent="0.3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</row>
    <row r="404" spans="1:25" ht="13.5" customHeight="1" x14ac:dyDescent="0.3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</row>
    <row r="405" spans="1:25" ht="13.5" customHeight="1" x14ac:dyDescent="0.3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</row>
    <row r="406" spans="1:25" ht="13.5" customHeight="1" x14ac:dyDescent="0.3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</row>
    <row r="407" spans="1:25" ht="13.5" customHeight="1" x14ac:dyDescent="0.3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</row>
    <row r="408" spans="1:25" ht="13.5" customHeight="1" x14ac:dyDescent="0.3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</row>
    <row r="409" spans="1:25" ht="13.5" customHeight="1" x14ac:dyDescent="0.3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</row>
    <row r="410" spans="1:25" ht="13.5" customHeight="1" x14ac:dyDescent="0.3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</row>
    <row r="411" spans="1:25" ht="13.5" customHeight="1" x14ac:dyDescent="0.3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</row>
    <row r="412" spans="1:25" ht="13.5" customHeight="1" x14ac:dyDescent="0.3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</row>
    <row r="413" spans="1:25" ht="13.5" customHeight="1" x14ac:dyDescent="0.3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</row>
    <row r="414" spans="1:25" ht="13.5" customHeight="1" x14ac:dyDescent="0.3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</row>
    <row r="415" spans="1:25" ht="13.5" customHeight="1" x14ac:dyDescent="0.3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</row>
    <row r="416" spans="1:25" ht="13.5" customHeight="1" x14ac:dyDescent="0.3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</row>
    <row r="417" spans="1:25" ht="13.5" customHeight="1" x14ac:dyDescent="0.3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</row>
    <row r="418" spans="1:25" ht="13.5" customHeight="1" x14ac:dyDescent="0.3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</row>
    <row r="419" spans="1:25" ht="13.5" customHeight="1" x14ac:dyDescent="0.3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</row>
    <row r="420" spans="1:25" ht="13.5" customHeight="1" x14ac:dyDescent="0.3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</row>
    <row r="421" spans="1:25" ht="13.5" customHeight="1" x14ac:dyDescent="0.3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</row>
    <row r="422" spans="1:25" ht="13.5" customHeight="1" x14ac:dyDescent="0.3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</row>
    <row r="423" spans="1:25" ht="13.5" customHeight="1" x14ac:dyDescent="0.3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</row>
    <row r="424" spans="1:25" ht="13.5" customHeight="1" x14ac:dyDescent="0.3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</row>
    <row r="425" spans="1:25" ht="13.5" customHeight="1" x14ac:dyDescent="0.3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</row>
    <row r="426" spans="1:25" ht="13.5" customHeight="1" x14ac:dyDescent="0.3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</row>
    <row r="427" spans="1:25" ht="13.5" customHeight="1" x14ac:dyDescent="0.3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</row>
    <row r="428" spans="1:25" ht="13.5" customHeight="1" x14ac:dyDescent="0.3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</row>
    <row r="429" spans="1:25" ht="13.5" customHeight="1" x14ac:dyDescent="0.3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</row>
    <row r="430" spans="1:25" ht="13.5" customHeight="1" x14ac:dyDescent="0.3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</row>
    <row r="431" spans="1:25" ht="13.5" customHeight="1" x14ac:dyDescent="0.3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</row>
    <row r="432" spans="1:25" ht="13.5" customHeight="1" x14ac:dyDescent="0.3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</row>
    <row r="433" spans="1:25" ht="13.5" customHeight="1" x14ac:dyDescent="0.3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</row>
    <row r="434" spans="1:25" ht="13.5" customHeight="1" x14ac:dyDescent="0.3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</row>
    <row r="435" spans="1:25" ht="13.5" customHeight="1" x14ac:dyDescent="0.3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</row>
    <row r="436" spans="1:25" ht="13.5" customHeight="1" x14ac:dyDescent="0.3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</row>
    <row r="437" spans="1:25" ht="13.5" customHeight="1" x14ac:dyDescent="0.3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</row>
    <row r="438" spans="1:25" ht="13.5" customHeight="1" x14ac:dyDescent="0.3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</row>
    <row r="439" spans="1:25" ht="13.5" customHeight="1" x14ac:dyDescent="0.3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</row>
    <row r="440" spans="1:25" ht="13.5" customHeight="1" x14ac:dyDescent="0.3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</row>
    <row r="441" spans="1:25" ht="13.5" customHeight="1" x14ac:dyDescent="0.3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</row>
    <row r="442" spans="1:25" ht="13.5" customHeight="1" x14ac:dyDescent="0.3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</row>
    <row r="443" spans="1:25" ht="13.5" customHeight="1" x14ac:dyDescent="0.3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</row>
    <row r="444" spans="1:25" ht="13.5" customHeight="1" x14ac:dyDescent="0.3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</row>
    <row r="445" spans="1:25" ht="13.5" customHeight="1" x14ac:dyDescent="0.3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</row>
    <row r="446" spans="1:25" ht="13.5" customHeight="1" x14ac:dyDescent="0.3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</row>
    <row r="447" spans="1:25" ht="13.5" customHeight="1" x14ac:dyDescent="0.3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</row>
    <row r="448" spans="1:25" ht="13.5" customHeight="1" x14ac:dyDescent="0.3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</row>
    <row r="449" spans="1:25" ht="13.5" customHeight="1" x14ac:dyDescent="0.3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</row>
    <row r="450" spans="1:25" ht="13.5" customHeight="1" x14ac:dyDescent="0.3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</row>
    <row r="451" spans="1:25" ht="13.5" customHeight="1" x14ac:dyDescent="0.3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</row>
    <row r="452" spans="1:25" ht="13.5" customHeight="1" x14ac:dyDescent="0.3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</row>
    <row r="453" spans="1:25" ht="13.5" customHeight="1" x14ac:dyDescent="0.3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</row>
    <row r="454" spans="1:25" ht="13.5" customHeight="1" x14ac:dyDescent="0.3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</row>
    <row r="455" spans="1:25" ht="13.5" customHeight="1" x14ac:dyDescent="0.3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</row>
    <row r="456" spans="1:25" ht="13.5" customHeight="1" x14ac:dyDescent="0.3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</row>
    <row r="457" spans="1:25" ht="13.5" customHeight="1" x14ac:dyDescent="0.3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</row>
    <row r="458" spans="1:25" ht="13.5" customHeight="1" x14ac:dyDescent="0.3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</row>
    <row r="459" spans="1:25" ht="13.5" customHeight="1" x14ac:dyDescent="0.3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</row>
    <row r="460" spans="1:25" ht="13.5" customHeight="1" x14ac:dyDescent="0.3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</row>
    <row r="461" spans="1:25" ht="13.5" customHeight="1" x14ac:dyDescent="0.3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</row>
    <row r="462" spans="1:25" ht="13.5" customHeight="1" x14ac:dyDescent="0.3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</row>
    <row r="463" spans="1:25" ht="13.5" customHeight="1" x14ac:dyDescent="0.3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</row>
    <row r="464" spans="1:25" ht="13.5" customHeight="1" x14ac:dyDescent="0.3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</row>
    <row r="465" spans="1:25" ht="13.5" customHeight="1" x14ac:dyDescent="0.3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</row>
    <row r="466" spans="1:25" ht="13.5" customHeight="1" x14ac:dyDescent="0.3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</row>
    <row r="467" spans="1:25" ht="13.5" customHeight="1" x14ac:dyDescent="0.3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</row>
    <row r="468" spans="1:25" ht="13.5" customHeight="1" x14ac:dyDescent="0.3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</row>
    <row r="469" spans="1:25" ht="13.5" customHeight="1" x14ac:dyDescent="0.3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</row>
    <row r="470" spans="1:25" ht="13.5" customHeight="1" x14ac:dyDescent="0.3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</row>
    <row r="471" spans="1:25" ht="13.5" customHeight="1" x14ac:dyDescent="0.3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</row>
    <row r="472" spans="1:25" ht="13.5" customHeight="1" x14ac:dyDescent="0.3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</row>
    <row r="473" spans="1:25" ht="13.5" customHeight="1" x14ac:dyDescent="0.3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</row>
    <row r="474" spans="1:25" ht="13.5" customHeight="1" x14ac:dyDescent="0.3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</row>
    <row r="475" spans="1:25" ht="13.5" customHeight="1" x14ac:dyDescent="0.3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</row>
    <row r="476" spans="1:25" ht="13.5" customHeight="1" x14ac:dyDescent="0.3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</row>
    <row r="477" spans="1:25" ht="13.5" customHeight="1" x14ac:dyDescent="0.3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</row>
    <row r="478" spans="1:25" ht="13.5" customHeight="1" x14ac:dyDescent="0.3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</row>
    <row r="479" spans="1:25" ht="13.5" customHeight="1" x14ac:dyDescent="0.3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</row>
    <row r="480" spans="1:25" ht="13.5" customHeight="1" x14ac:dyDescent="0.3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</row>
    <row r="481" spans="1:25" ht="13.5" customHeight="1" x14ac:dyDescent="0.3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</row>
    <row r="482" spans="1:25" ht="13.5" customHeight="1" x14ac:dyDescent="0.3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</row>
    <row r="483" spans="1:25" ht="13.5" customHeight="1" x14ac:dyDescent="0.3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</row>
    <row r="484" spans="1:25" ht="13.5" customHeight="1" x14ac:dyDescent="0.3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</row>
    <row r="485" spans="1:25" ht="13.5" customHeight="1" x14ac:dyDescent="0.3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</row>
    <row r="486" spans="1:25" ht="13.5" customHeight="1" x14ac:dyDescent="0.3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</row>
    <row r="487" spans="1:25" ht="13.5" customHeight="1" x14ac:dyDescent="0.3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</row>
    <row r="488" spans="1:25" ht="13.5" customHeight="1" x14ac:dyDescent="0.3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</row>
    <row r="489" spans="1:25" ht="13.5" customHeight="1" x14ac:dyDescent="0.3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</row>
    <row r="490" spans="1:25" ht="13.5" customHeight="1" x14ac:dyDescent="0.3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</row>
    <row r="491" spans="1:25" ht="13.5" customHeight="1" x14ac:dyDescent="0.3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</row>
    <row r="492" spans="1:25" ht="13.5" customHeight="1" x14ac:dyDescent="0.3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</row>
    <row r="493" spans="1:25" ht="13.5" customHeight="1" x14ac:dyDescent="0.3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</row>
    <row r="494" spans="1:25" ht="13.5" customHeight="1" x14ac:dyDescent="0.3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</row>
    <row r="495" spans="1:25" ht="13.5" customHeight="1" x14ac:dyDescent="0.3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</row>
    <row r="496" spans="1:25" ht="13.5" customHeight="1" x14ac:dyDescent="0.3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</row>
    <row r="497" spans="1:25" ht="13.5" customHeight="1" x14ac:dyDescent="0.3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</row>
    <row r="498" spans="1:25" ht="13.5" customHeight="1" x14ac:dyDescent="0.3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</row>
    <row r="499" spans="1:25" ht="13.5" customHeight="1" x14ac:dyDescent="0.3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</row>
    <row r="500" spans="1:25" ht="13.5" customHeight="1" x14ac:dyDescent="0.3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</row>
    <row r="501" spans="1:25" ht="13.5" customHeight="1" x14ac:dyDescent="0.3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</row>
    <row r="502" spans="1:25" ht="13.5" customHeight="1" x14ac:dyDescent="0.3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</row>
    <row r="503" spans="1:25" ht="13.5" customHeight="1" x14ac:dyDescent="0.3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</row>
    <row r="504" spans="1:25" ht="13.5" customHeight="1" x14ac:dyDescent="0.3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</row>
    <row r="505" spans="1:25" ht="13.5" customHeight="1" x14ac:dyDescent="0.3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</row>
    <row r="506" spans="1:25" ht="13.5" customHeight="1" x14ac:dyDescent="0.3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</row>
    <row r="507" spans="1:25" ht="13.5" customHeight="1" x14ac:dyDescent="0.3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</row>
    <row r="508" spans="1:25" ht="13.5" customHeight="1" x14ac:dyDescent="0.3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</row>
    <row r="509" spans="1:25" ht="13.5" customHeight="1" x14ac:dyDescent="0.3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</row>
    <row r="510" spans="1:25" ht="13.5" customHeight="1" x14ac:dyDescent="0.3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</row>
    <row r="511" spans="1:25" ht="13.5" customHeight="1" x14ac:dyDescent="0.3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</row>
    <row r="512" spans="1:25" ht="13.5" customHeight="1" x14ac:dyDescent="0.3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</row>
    <row r="513" spans="1:25" ht="13.5" customHeight="1" x14ac:dyDescent="0.3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</row>
    <row r="514" spans="1:25" ht="13.5" customHeight="1" x14ac:dyDescent="0.3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</row>
    <row r="515" spans="1:25" ht="13.5" customHeight="1" x14ac:dyDescent="0.3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</row>
    <row r="516" spans="1:25" ht="13.5" customHeight="1" x14ac:dyDescent="0.3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</row>
    <row r="517" spans="1:25" ht="13.5" customHeight="1" x14ac:dyDescent="0.3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</row>
    <row r="518" spans="1:25" ht="13.5" customHeight="1" x14ac:dyDescent="0.3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</row>
    <row r="519" spans="1:25" ht="13.5" customHeight="1" x14ac:dyDescent="0.3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</row>
    <row r="520" spans="1:25" ht="13.5" customHeight="1" x14ac:dyDescent="0.3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</row>
    <row r="521" spans="1:25" ht="13.5" customHeight="1" x14ac:dyDescent="0.3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</row>
    <row r="522" spans="1:25" ht="13.5" customHeight="1" x14ac:dyDescent="0.3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</row>
    <row r="523" spans="1:25" ht="13.5" customHeight="1" x14ac:dyDescent="0.3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</row>
    <row r="524" spans="1:25" ht="13.5" customHeight="1" x14ac:dyDescent="0.3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</row>
    <row r="525" spans="1:25" ht="13.5" customHeight="1" x14ac:dyDescent="0.3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</row>
    <row r="526" spans="1:25" ht="13.5" customHeight="1" x14ac:dyDescent="0.3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</row>
    <row r="527" spans="1:25" ht="13.5" customHeight="1" x14ac:dyDescent="0.3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</row>
    <row r="528" spans="1:25" ht="13.5" customHeight="1" x14ac:dyDescent="0.3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</row>
    <row r="529" spans="1:25" ht="13.5" customHeight="1" x14ac:dyDescent="0.3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</row>
    <row r="530" spans="1:25" ht="13.5" customHeight="1" x14ac:dyDescent="0.3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</row>
    <row r="531" spans="1:25" ht="13.5" customHeight="1" x14ac:dyDescent="0.3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</row>
    <row r="532" spans="1:25" ht="13.5" customHeight="1" x14ac:dyDescent="0.3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</row>
    <row r="533" spans="1:25" ht="13.5" customHeight="1" x14ac:dyDescent="0.3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</row>
    <row r="534" spans="1:25" ht="13.5" customHeight="1" x14ac:dyDescent="0.3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</row>
    <row r="535" spans="1:25" ht="13.5" customHeight="1" x14ac:dyDescent="0.3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</row>
    <row r="536" spans="1:25" ht="13.5" customHeight="1" x14ac:dyDescent="0.3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</row>
    <row r="537" spans="1:25" ht="13.5" customHeight="1" x14ac:dyDescent="0.3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</row>
    <row r="538" spans="1:25" ht="13.5" customHeight="1" x14ac:dyDescent="0.3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</row>
    <row r="539" spans="1:25" ht="13.5" customHeight="1" x14ac:dyDescent="0.3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</row>
    <row r="540" spans="1:25" ht="13.5" customHeight="1" x14ac:dyDescent="0.3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</row>
    <row r="541" spans="1:25" ht="13.5" customHeight="1" x14ac:dyDescent="0.3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</row>
    <row r="542" spans="1:25" ht="13.5" customHeight="1" x14ac:dyDescent="0.3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</row>
    <row r="543" spans="1:25" ht="13.5" customHeight="1" x14ac:dyDescent="0.3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</row>
    <row r="544" spans="1:25" ht="13.5" customHeight="1" x14ac:dyDescent="0.3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</row>
    <row r="545" spans="1:25" ht="13.5" customHeight="1" x14ac:dyDescent="0.3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</row>
    <row r="546" spans="1:25" ht="13.5" customHeight="1" x14ac:dyDescent="0.3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</row>
    <row r="547" spans="1:25" ht="13.5" customHeight="1" x14ac:dyDescent="0.3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</row>
    <row r="548" spans="1:25" ht="13.5" customHeight="1" x14ac:dyDescent="0.3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</row>
    <row r="549" spans="1:25" ht="13.5" customHeight="1" x14ac:dyDescent="0.3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</row>
    <row r="550" spans="1:25" ht="13.5" customHeight="1" x14ac:dyDescent="0.3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</row>
    <row r="551" spans="1:25" ht="13.5" customHeight="1" x14ac:dyDescent="0.3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</row>
    <row r="552" spans="1:25" ht="13.5" customHeight="1" x14ac:dyDescent="0.3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</row>
    <row r="553" spans="1:25" ht="13.5" customHeight="1" x14ac:dyDescent="0.3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</row>
    <row r="554" spans="1:25" ht="13.5" customHeight="1" x14ac:dyDescent="0.3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</row>
    <row r="555" spans="1:25" ht="13.5" customHeight="1" x14ac:dyDescent="0.3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</row>
    <row r="556" spans="1:25" ht="13.5" customHeight="1" x14ac:dyDescent="0.3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</row>
    <row r="557" spans="1:25" ht="13.5" customHeight="1" x14ac:dyDescent="0.3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</row>
    <row r="558" spans="1:25" ht="13.5" customHeight="1" x14ac:dyDescent="0.3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</row>
    <row r="559" spans="1:25" ht="13.5" customHeight="1" x14ac:dyDescent="0.3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</row>
    <row r="560" spans="1:25" ht="13.5" customHeight="1" x14ac:dyDescent="0.3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</row>
    <row r="561" spans="1:25" ht="13.5" customHeight="1" x14ac:dyDescent="0.3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</row>
    <row r="562" spans="1:25" ht="13.5" customHeight="1" x14ac:dyDescent="0.3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</row>
    <row r="563" spans="1:25" ht="13.5" customHeight="1" x14ac:dyDescent="0.3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</row>
    <row r="564" spans="1:25" ht="13.5" customHeight="1" x14ac:dyDescent="0.3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</row>
    <row r="565" spans="1:25" ht="13.5" customHeight="1" x14ac:dyDescent="0.3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</row>
    <row r="566" spans="1:25" ht="13.5" customHeight="1" x14ac:dyDescent="0.3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</row>
    <row r="567" spans="1:25" ht="13.5" customHeight="1" x14ac:dyDescent="0.3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</row>
    <row r="568" spans="1:25" ht="13.5" customHeight="1" x14ac:dyDescent="0.3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</row>
    <row r="569" spans="1:25" ht="13.5" customHeight="1" x14ac:dyDescent="0.3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</row>
    <row r="570" spans="1:25" ht="13.5" customHeight="1" x14ac:dyDescent="0.3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</row>
    <row r="571" spans="1:25" ht="13.5" customHeight="1" x14ac:dyDescent="0.3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</row>
    <row r="572" spans="1:25" ht="13.5" customHeight="1" x14ac:dyDescent="0.3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</row>
    <row r="573" spans="1:25" ht="13.5" customHeight="1" x14ac:dyDescent="0.3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</row>
    <row r="574" spans="1:25" ht="13.5" customHeight="1" x14ac:dyDescent="0.3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</row>
    <row r="575" spans="1:25" ht="13.5" customHeight="1" x14ac:dyDescent="0.3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</row>
    <row r="576" spans="1:25" ht="13.5" customHeight="1" x14ac:dyDescent="0.3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</row>
    <row r="577" spans="1:25" ht="13.5" customHeight="1" x14ac:dyDescent="0.3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</row>
    <row r="578" spans="1:25" ht="13.5" customHeight="1" x14ac:dyDescent="0.3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</row>
    <row r="579" spans="1:25" ht="13.5" customHeight="1" x14ac:dyDescent="0.3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</row>
    <row r="580" spans="1:25" ht="13.5" customHeight="1" x14ac:dyDescent="0.3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</row>
    <row r="581" spans="1:25" ht="13.5" customHeight="1" x14ac:dyDescent="0.3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</row>
    <row r="582" spans="1:25" ht="13.5" customHeight="1" x14ac:dyDescent="0.3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</row>
    <row r="583" spans="1:25" ht="13.5" customHeight="1" x14ac:dyDescent="0.3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</row>
    <row r="584" spans="1:25" ht="13.5" customHeight="1" x14ac:dyDescent="0.3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</row>
    <row r="585" spans="1:25" ht="13.5" customHeight="1" x14ac:dyDescent="0.3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</row>
    <row r="586" spans="1:25" ht="13.5" customHeight="1" x14ac:dyDescent="0.3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</row>
    <row r="587" spans="1:25" ht="13.5" customHeight="1" x14ac:dyDescent="0.3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</row>
    <row r="588" spans="1:25" ht="13.5" customHeight="1" x14ac:dyDescent="0.3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</row>
    <row r="589" spans="1:25" ht="13.5" customHeight="1" x14ac:dyDescent="0.3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</row>
    <row r="590" spans="1:25" ht="13.5" customHeight="1" x14ac:dyDescent="0.3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</row>
    <row r="591" spans="1:25" ht="13.5" customHeight="1" x14ac:dyDescent="0.3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</row>
    <row r="592" spans="1:25" ht="13.5" customHeight="1" x14ac:dyDescent="0.3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</row>
    <row r="593" spans="1:25" ht="13.5" customHeight="1" x14ac:dyDescent="0.3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</row>
    <row r="594" spans="1:25" ht="13.5" customHeight="1" x14ac:dyDescent="0.3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</row>
    <row r="595" spans="1:25" ht="13.5" customHeight="1" x14ac:dyDescent="0.3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</row>
    <row r="596" spans="1:25" ht="13.5" customHeight="1" x14ac:dyDescent="0.3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</row>
    <row r="597" spans="1:25" ht="13.5" customHeight="1" x14ac:dyDescent="0.3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</row>
    <row r="598" spans="1:25" ht="13.5" customHeight="1" x14ac:dyDescent="0.3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</row>
    <row r="599" spans="1:25" ht="13.5" customHeight="1" x14ac:dyDescent="0.3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</row>
    <row r="600" spans="1:25" ht="13.5" customHeight="1" x14ac:dyDescent="0.3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</row>
    <row r="601" spans="1:25" ht="13.5" customHeight="1" x14ac:dyDescent="0.3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</row>
    <row r="602" spans="1:25" ht="13.5" customHeight="1" x14ac:dyDescent="0.3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</row>
    <row r="603" spans="1:25" ht="13.5" customHeight="1" x14ac:dyDescent="0.3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</row>
    <row r="604" spans="1:25" ht="13.5" customHeight="1" x14ac:dyDescent="0.3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</row>
    <row r="605" spans="1:25" ht="13.5" customHeight="1" x14ac:dyDescent="0.3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</row>
    <row r="606" spans="1:25" ht="13.5" customHeight="1" x14ac:dyDescent="0.3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</row>
    <row r="607" spans="1:25" ht="13.5" customHeight="1" x14ac:dyDescent="0.3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</row>
    <row r="608" spans="1:25" ht="13.5" customHeight="1" x14ac:dyDescent="0.3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</row>
    <row r="609" spans="1:25" ht="13.5" customHeight="1" x14ac:dyDescent="0.3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</row>
    <row r="610" spans="1:25" ht="13.5" customHeight="1" x14ac:dyDescent="0.3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</row>
    <row r="611" spans="1:25" ht="13.5" customHeight="1" x14ac:dyDescent="0.3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</row>
    <row r="612" spans="1:25" ht="13.5" customHeight="1" x14ac:dyDescent="0.3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</row>
    <row r="613" spans="1:25" ht="13.5" customHeight="1" x14ac:dyDescent="0.3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</row>
    <row r="614" spans="1:25" ht="13.5" customHeight="1" x14ac:dyDescent="0.3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</row>
    <row r="615" spans="1:25" ht="13.5" customHeight="1" x14ac:dyDescent="0.3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</row>
    <row r="616" spans="1:25" ht="13.5" customHeight="1" x14ac:dyDescent="0.3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</row>
    <row r="617" spans="1:25" ht="13.5" customHeight="1" x14ac:dyDescent="0.3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</row>
    <row r="618" spans="1:25" ht="13.5" customHeight="1" x14ac:dyDescent="0.3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</row>
    <row r="619" spans="1:25" ht="13.5" customHeight="1" x14ac:dyDescent="0.3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</row>
    <row r="620" spans="1:25" ht="13.5" customHeight="1" x14ac:dyDescent="0.3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</row>
    <row r="621" spans="1:25" ht="13.5" customHeight="1" x14ac:dyDescent="0.3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</row>
    <row r="622" spans="1:25" ht="13.5" customHeight="1" x14ac:dyDescent="0.3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</row>
    <row r="623" spans="1:25" ht="13.5" customHeight="1" x14ac:dyDescent="0.3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</row>
    <row r="624" spans="1:25" ht="13.5" customHeight="1" x14ac:dyDescent="0.3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</row>
    <row r="625" spans="1:25" ht="13.5" customHeight="1" x14ac:dyDescent="0.3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</row>
    <row r="626" spans="1:25" ht="13.5" customHeight="1" x14ac:dyDescent="0.3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</row>
    <row r="627" spans="1:25" ht="13.5" customHeight="1" x14ac:dyDescent="0.3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</row>
    <row r="628" spans="1:25" ht="13.5" customHeight="1" x14ac:dyDescent="0.3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</row>
    <row r="629" spans="1:25" ht="13.5" customHeight="1" x14ac:dyDescent="0.3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</row>
    <row r="630" spans="1:25" ht="13.5" customHeight="1" x14ac:dyDescent="0.3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</row>
    <row r="631" spans="1:25" ht="13.5" customHeight="1" x14ac:dyDescent="0.3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</row>
    <row r="632" spans="1:25" ht="13.5" customHeight="1" x14ac:dyDescent="0.3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</row>
    <row r="633" spans="1:25" ht="13.5" customHeight="1" x14ac:dyDescent="0.3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</row>
    <row r="634" spans="1:25" ht="13.5" customHeight="1" x14ac:dyDescent="0.3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</row>
    <row r="635" spans="1:25" ht="13.5" customHeight="1" x14ac:dyDescent="0.3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</row>
    <row r="636" spans="1:25" ht="13.5" customHeight="1" x14ac:dyDescent="0.3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</row>
    <row r="637" spans="1:25" ht="13.5" customHeight="1" x14ac:dyDescent="0.3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</row>
    <row r="638" spans="1:25" ht="13.5" customHeight="1" x14ac:dyDescent="0.3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</row>
    <row r="639" spans="1:25" ht="13.5" customHeight="1" x14ac:dyDescent="0.3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</row>
    <row r="640" spans="1:25" ht="13.5" customHeight="1" x14ac:dyDescent="0.3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</row>
    <row r="641" spans="1:25" ht="13.5" customHeight="1" x14ac:dyDescent="0.3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</row>
    <row r="642" spans="1:25" ht="13.5" customHeight="1" x14ac:dyDescent="0.3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</row>
    <row r="643" spans="1:25" ht="13.5" customHeight="1" x14ac:dyDescent="0.3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</row>
    <row r="644" spans="1:25" ht="13.5" customHeight="1" x14ac:dyDescent="0.3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</row>
    <row r="645" spans="1:25" ht="13.5" customHeight="1" x14ac:dyDescent="0.3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</row>
    <row r="646" spans="1:25" ht="13.5" customHeight="1" x14ac:dyDescent="0.3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</row>
    <row r="647" spans="1:25" ht="13.5" customHeight="1" x14ac:dyDescent="0.3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</row>
    <row r="648" spans="1:25" ht="13.5" customHeight="1" x14ac:dyDescent="0.3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</row>
    <row r="649" spans="1:25" ht="13.5" customHeight="1" x14ac:dyDescent="0.3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</row>
    <row r="650" spans="1:25" ht="13.5" customHeight="1" x14ac:dyDescent="0.3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</row>
    <row r="651" spans="1:25" ht="13.5" customHeight="1" x14ac:dyDescent="0.3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</row>
    <row r="652" spans="1:25" ht="13.5" customHeight="1" x14ac:dyDescent="0.3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</row>
    <row r="653" spans="1:25" ht="13.5" customHeight="1" x14ac:dyDescent="0.3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</row>
    <row r="654" spans="1:25" ht="13.5" customHeight="1" x14ac:dyDescent="0.3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</row>
    <row r="655" spans="1:25" ht="13.5" customHeight="1" x14ac:dyDescent="0.3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</row>
    <row r="656" spans="1:25" ht="13.5" customHeight="1" x14ac:dyDescent="0.3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</row>
    <row r="657" spans="1:25" ht="13.5" customHeight="1" x14ac:dyDescent="0.3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</row>
    <row r="658" spans="1:25" ht="13.5" customHeight="1" x14ac:dyDescent="0.3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</row>
    <row r="659" spans="1:25" ht="13.5" customHeight="1" x14ac:dyDescent="0.3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</row>
    <row r="660" spans="1:25" ht="13.5" customHeight="1" x14ac:dyDescent="0.3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</row>
    <row r="661" spans="1:25" ht="13.5" customHeight="1" x14ac:dyDescent="0.3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</row>
    <row r="662" spans="1:25" ht="13.5" customHeight="1" x14ac:dyDescent="0.3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</row>
    <row r="663" spans="1:25" ht="13.5" customHeight="1" x14ac:dyDescent="0.3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</row>
    <row r="664" spans="1:25" ht="13.5" customHeight="1" x14ac:dyDescent="0.3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</row>
    <row r="665" spans="1:25" ht="13.5" customHeight="1" x14ac:dyDescent="0.3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</row>
    <row r="666" spans="1:25" ht="13.5" customHeight="1" x14ac:dyDescent="0.3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</row>
    <row r="667" spans="1:25" ht="13.5" customHeight="1" x14ac:dyDescent="0.3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</row>
    <row r="668" spans="1:25" ht="13.5" customHeight="1" x14ac:dyDescent="0.3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</row>
    <row r="669" spans="1:25" ht="13.5" customHeight="1" x14ac:dyDescent="0.3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</row>
    <row r="670" spans="1:25" ht="13.5" customHeight="1" x14ac:dyDescent="0.3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</row>
    <row r="671" spans="1:25" ht="13.5" customHeight="1" x14ac:dyDescent="0.3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</row>
    <row r="672" spans="1:25" ht="13.5" customHeight="1" x14ac:dyDescent="0.3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</row>
    <row r="673" spans="1:25" ht="13.5" customHeight="1" x14ac:dyDescent="0.3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</row>
    <row r="674" spans="1:25" ht="13.5" customHeight="1" x14ac:dyDescent="0.3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</row>
    <row r="675" spans="1:25" ht="13.5" customHeight="1" x14ac:dyDescent="0.3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</row>
    <row r="676" spans="1:25" ht="13.5" customHeight="1" x14ac:dyDescent="0.3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</row>
    <row r="677" spans="1:25" ht="13.5" customHeight="1" x14ac:dyDescent="0.3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</row>
    <row r="678" spans="1:25" ht="13.5" customHeight="1" x14ac:dyDescent="0.3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</row>
    <row r="679" spans="1:25" ht="13.5" customHeight="1" x14ac:dyDescent="0.3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</row>
    <row r="680" spans="1:25" ht="13.5" customHeight="1" x14ac:dyDescent="0.3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</row>
    <row r="681" spans="1:25" ht="13.5" customHeight="1" x14ac:dyDescent="0.3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</row>
    <row r="682" spans="1:25" ht="13.5" customHeight="1" x14ac:dyDescent="0.3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</row>
    <row r="683" spans="1:25" ht="13.5" customHeight="1" x14ac:dyDescent="0.3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</row>
    <row r="684" spans="1:25" ht="13.5" customHeight="1" x14ac:dyDescent="0.3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</row>
    <row r="685" spans="1:25" ht="13.5" customHeight="1" x14ac:dyDescent="0.3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</row>
    <row r="686" spans="1:25" ht="13.5" customHeight="1" x14ac:dyDescent="0.3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</row>
    <row r="687" spans="1:25" ht="13.5" customHeight="1" x14ac:dyDescent="0.3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</row>
    <row r="688" spans="1:25" ht="13.5" customHeight="1" x14ac:dyDescent="0.3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</row>
    <row r="689" spans="1:25" ht="13.5" customHeight="1" x14ac:dyDescent="0.3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</row>
    <row r="690" spans="1:25" ht="13.5" customHeight="1" x14ac:dyDescent="0.3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</row>
    <row r="691" spans="1:25" ht="13.5" customHeight="1" x14ac:dyDescent="0.3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</row>
    <row r="692" spans="1:25" ht="13.5" customHeight="1" x14ac:dyDescent="0.3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</row>
    <row r="693" spans="1:25" ht="13.5" customHeight="1" x14ac:dyDescent="0.3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</row>
    <row r="694" spans="1:25" ht="13.5" customHeight="1" x14ac:dyDescent="0.3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</row>
    <row r="695" spans="1:25" ht="13.5" customHeight="1" x14ac:dyDescent="0.3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</row>
    <row r="696" spans="1:25" ht="13.5" customHeight="1" x14ac:dyDescent="0.3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</row>
    <row r="697" spans="1:25" ht="13.5" customHeight="1" x14ac:dyDescent="0.3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</row>
    <row r="698" spans="1:25" ht="13.5" customHeight="1" x14ac:dyDescent="0.3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</row>
    <row r="699" spans="1:25" ht="13.5" customHeight="1" x14ac:dyDescent="0.3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</row>
    <row r="700" spans="1:25" ht="13.5" customHeight="1" x14ac:dyDescent="0.3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</row>
    <row r="701" spans="1:25" ht="13.5" customHeight="1" x14ac:dyDescent="0.3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</row>
    <row r="702" spans="1:25" ht="13.5" customHeight="1" x14ac:dyDescent="0.3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</row>
    <row r="703" spans="1:25" ht="13.5" customHeight="1" x14ac:dyDescent="0.3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</row>
    <row r="704" spans="1:25" ht="13.5" customHeight="1" x14ac:dyDescent="0.3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</row>
    <row r="705" spans="1:25" ht="13.5" customHeight="1" x14ac:dyDescent="0.3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</row>
    <row r="706" spans="1:25" ht="13.5" customHeight="1" x14ac:dyDescent="0.3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</row>
    <row r="707" spans="1:25" ht="13.5" customHeight="1" x14ac:dyDescent="0.3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</row>
    <row r="708" spans="1:25" ht="13.5" customHeight="1" x14ac:dyDescent="0.3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</row>
    <row r="709" spans="1:25" ht="13.5" customHeight="1" x14ac:dyDescent="0.3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</row>
    <row r="710" spans="1:25" ht="13.5" customHeight="1" x14ac:dyDescent="0.3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</row>
    <row r="711" spans="1:25" ht="13.5" customHeight="1" x14ac:dyDescent="0.3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</row>
    <row r="712" spans="1:25" ht="13.5" customHeight="1" x14ac:dyDescent="0.3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</row>
    <row r="713" spans="1:25" ht="13.5" customHeight="1" x14ac:dyDescent="0.3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</row>
    <row r="714" spans="1:25" ht="13.5" customHeight="1" x14ac:dyDescent="0.3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</row>
    <row r="715" spans="1:25" ht="13.5" customHeight="1" x14ac:dyDescent="0.3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</row>
    <row r="716" spans="1:25" ht="13.5" customHeight="1" x14ac:dyDescent="0.3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</row>
    <row r="717" spans="1:25" ht="13.5" customHeight="1" x14ac:dyDescent="0.3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</row>
    <row r="718" spans="1:25" ht="13.5" customHeight="1" x14ac:dyDescent="0.3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</row>
    <row r="719" spans="1:25" ht="13.5" customHeight="1" x14ac:dyDescent="0.3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</row>
    <row r="720" spans="1:25" ht="13.5" customHeight="1" x14ac:dyDescent="0.3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</row>
    <row r="721" spans="1:25" ht="13.5" customHeight="1" x14ac:dyDescent="0.3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</row>
    <row r="722" spans="1:25" ht="13.5" customHeight="1" x14ac:dyDescent="0.3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</row>
    <row r="723" spans="1:25" ht="13.5" customHeight="1" x14ac:dyDescent="0.3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</row>
    <row r="724" spans="1:25" ht="13.5" customHeight="1" x14ac:dyDescent="0.3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</row>
    <row r="725" spans="1:25" ht="13.5" customHeight="1" x14ac:dyDescent="0.3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</row>
    <row r="726" spans="1:25" ht="13.5" customHeight="1" x14ac:dyDescent="0.3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</row>
    <row r="727" spans="1:25" ht="13.5" customHeight="1" x14ac:dyDescent="0.3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</row>
    <row r="728" spans="1:25" ht="13.5" customHeight="1" x14ac:dyDescent="0.3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</row>
    <row r="729" spans="1:25" ht="13.5" customHeight="1" x14ac:dyDescent="0.3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</row>
    <row r="730" spans="1:25" ht="13.5" customHeight="1" x14ac:dyDescent="0.3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</row>
    <row r="731" spans="1:25" ht="13.5" customHeight="1" x14ac:dyDescent="0.3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</row>
    <row r="732" spans="1:25" ht="13.5" customHeight="1" x14ac:dyDescent="0.3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</row>
    <row r="733" spans="1:25" ht="13.5" customHeight="1" x14ac:dyDescent="0.3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</row>
    <row r="734" spans="1:25" ht="13.5" customHeight="1" x14ac:dyDescent="0.3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</row>
    <row r="735" spans="1:25" ht="13.5" customHeight="1" x14ac:dyDescent="0.3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</row>
    <row r="736" spans="1:25" ht="13.5" customHeight="1" x14ac:dyDescent="0.3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</row>
    <row r="737" spans="1:25" ht="13.5" customHeight="1" x14ac:dyDescent="0.3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</row>
    <row r="738" spans="1:25" ht="13.5" customHeight="1" x14ac:dyDescent="0.3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</row>
    <row r="739" spans="1:25" ht="13.5" customHeight="1" x14ac:dyDescent="0.3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</row>
    <row r="740" spans="1:25" ht="13.5" customHeight="1" x14ac:dyDescent="0.3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</row>
    <row r="741" spans="1:25" ht="13.5" customHeight="1" x14ac:dyDescent="0.3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</row>
    <row r="742" spans="1:25" ht="13.5" customHeight="1" x14ac:dyDescent="0.3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</row>
    <row r="743" spans="1:25" ht="13.5" customHeight="1" x14ac:dyDescent="0.3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</row>
    <row r="744" spans="1:25" ht="13.5" customHeight="1" x14ac:dyDescent="0.3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</row>
    <row r="745" spans="1:25" ht="13.5" customHeight="1" x14ac:dyDescent="0.3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</row>
    <row r="746" spans="1:25" ht="13.5" customHeight="1" x14ac:dyDescent="0.3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</row>
    <row r="747" spans="1:25" ht="13.5" customHeight="1" x14ac:dyDescent="0.3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</row>
    <row r="748" spans="1:25" ht="13.5" customHeight="1" x14ac:dyDescent="0.3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</row>
    <row r="749" spans="1:25" ht="13.5" customHeight="1" x14ac:dyDescent="0.3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</row>
    <row r="750" spans="1:25" ht="13.5" customHeight="1" x14ac:dyDescent="0.3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</row>
    <row r="751" spans="1:25" ht="13.5" customHeight="1" x14ac:dyDescent="0.3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</row>
    <row r="752" spans="1:25" ht="13.5" customHeight="1" x14ac:dyDescent="0.3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</row>
    <row r="753" spans="1:25" ht="13.5" customHeight="1" x14ac:dyDescent="0.3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</row>
    <row r="754" spans="1:25" ht="13.5" customHeight="1" x14ac:dyDescent="0.3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</row>
    <row r="755" spans="1:25" ht="13.5" customHeight="1" x14ac:dyDescent="0.3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</row>
    <row r="756" spans="1:25" ht="13.5" customHeight="1" x14ac:dyDescent="0.3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</row>
    <row r="757" spans="1:25" ht="13.5" customHeight="1" x14ac:dyDescent="0.3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</row>
    <row r="758" spans="1:25" ht="13.5" customHeight="1" x14ac:dyDescent="0.3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</row>
    <row r="759" spans="1:25" ht="13.5" customHeight="1" x14ac:dyDescent="0.3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</row>
    <row r="760" spans="1:25" ht="13.5" customHeight="1" x14ac:dyDescent="0.3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</row>
    <row r="761" spans="1:25" ht="13.5" customHeight="1" x14ac:dyDescent="0.3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</row>
    <row r="762" spans="1:25" ht="13.5" customHeight="1" x14ac:dyDescent="0.3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</row>
    <row r="763" spans="1:25" ht="13.5" customHeight="1" x14ac:dyDescent="0.3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</row>
    <row r="764" spans="1:25" ht="13.5" customHeight="1" x14ac:dyDescent="0.3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</row>
    <row r="765" spans="1:25" ht="13.5" customHeight="1" x14ac:dyDescent="0.3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</row>
    <row r="766" spans="1:25" ht="13.5" customHeight="1" x14ac:dyDescent="0.3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</row>
    <row r="767" spans="1:25" ht="13.5" customHeight="1" x14ac:dyDescent="0.3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</row>
    <row r="768" spans="1:25" ht="13.5" customHeight="1" x14ac:dyDescent="0.3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</row>
    <row r="769" spans="1:25" ht="13.5" customHeight="1" x14ac:dyDescent="0.3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</row>
    <row r="770" spans="1:25" ht="13.5" customHeight="1" x14ac:dyDescent="0.3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</row>
    <row r="771" spans="1:25" ht="13.5" customHeight="1" x14ac:dyDescent="0.3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</row>
    <row r="772" spans="1:25" ht="13.5" customHeight="1" x14ac:dyDescent="0.3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</row>
    <row r="773" spans="1:25" ht="13.5" customHeight="1" x14ac:dyDescent="0.3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</row>
    <row r="774" spans="1:25" ht="13.5" customHeight="1" x14ac:dyDescent="0.3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</row>
    <row r="775" spans="1:25" ht="13.5" customHeight="1" x14ac:dyDescent="0.3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</row>
    <row r="776" spans="1:25" ht="13.5" customHeight="1" x14ac:dyDescent="0.3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</row>
    <row r="777" spans="1:25" ht="13.5" customHeight="1" x14ac:dyDescent="0.3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</row>
    <row r="778" spans="1:25" ht="13.5" customHeight="1" x14ac:dyDescent="0.3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</row>
    <row r="779" spans="1:25" ht="13.5" customHeight="1" x14ac:dyDescent="0.3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</row>
    <row r="780" spans="1:25" ht="13.5" customHeight="1" x14ac:dyDescent="0.3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</row>
    <row r="781" spans="1:25" ht="13.5" customHeight="1" x14ac:dyDescent="0.3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</row>
    <row r="782" spans="1:25" ht="13.5" customHeight="1" x14ac:dyDescent="0.3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</row>
    <row r="783" spans="1:25" ht="13.5" customHeight="1" x14ac:dyDescent="0.3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</row>
    <row r="784" spans="1:25" ht="13.5" customHeight="1" x14ac:dyDescent="0.3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</row>
    <row r="785" spans="1:25" ht="13.5" customHeight="1" x14ac:dyDescent="0.3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</row>
    <row r="786" spans="1:25" ht="13.5" customHeight="1" x14ac:dyDescent="0.3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</row>
    <row r="787" spans="1:25" ht="13.5" customHeight="1" x14ac:dyDescent="0.3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</row>
    <row r="788" spans="1:25" ht="13.5" customHeight="1" x14ac:dyDescent="0.3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</row>
    <row r="789" spans="1:25" ht="13.5" customHeight="1" x14ac:dyDescent="0.3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</row>
    <row r="790" spans="1:25" ht="13.5" customHeight="1" x14ac:dyDescent="0.3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</row>
    <row r="791" spans="1:25" ht="13.5" customHeight="1" x14ac:dyDescent="0.3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</row>
    <row r="792" spans="1:25" ht="13.5" customHeight="1" x14ac:dyDescent="0.3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</row>
    <row r="793" spans="1:25" ht="13.5" customHeight="1" x14ac:dyDescent="0.3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</row>
    <row r="794" spans="1:25" ht="13.5" customHeight="1" x14ac:dyDescent="0.3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</row>
    <row r="795" spans="1:25" ht="13.5" customHeight="1" x14ac:dyDescent="0.3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</row>
    <row r="796" spans="1:25" ht="13.5" customHeight="1" x14ac:dyDescent="0.3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</row>
    <row r="797" spans="1:25" ht="13.5" customHeight="1" x14ac:dyDescent="0.3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</row>
    <row r="798" spans="1:25" ht="13.5" customHeight="1" x14ac:dyDescent="0.3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</row>
    <row r="799" spans="1:25" ht="13.5" customHeight="1" x14ac:dyDescent="0.3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</row>
    <row r="800" spans="1:25" ht="13.5" customHeight="1" x14ac:dyDescent="0.3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</row>
    <row r="801" spans="1:25" ht="13.5" customHeight="1" x14ac:dyDescent="0.3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</row>
    <row r="802" spans="1:25" ht="13.5" customHeight="1" x14ac:dyDescent="0.3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</row>
    <row r="803" spans="1:25" ht="13.5" customHeight="1" x14ac:dyDescent="0.3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</row>
    <row r="804" spans="1:25" ht="13.5" customHeight="1" x14ac:dyDescent="0.3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</row>
    <row r="805" spans="1:25" ht="13.5" customHeight="1" x14ac:dyDescent="0.3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</row>
    <row r="806" spans="1:25" ht="13.5" customHeight="1" x14ac:dyDescent="0.3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</row>
    <row r="807" spans="1:25" ht="13.5" customHeight="1" x14ac:dyDescent="0.3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</row>
    <row r="808" spans="1:25" ht="13.5" customHeight="1" x14ac:dyDescent="0.3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</row>
    <row r="809" spans="1:25" ht="13.5" customHeight="1" x14ac:dyDescent="0.3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</row>
    <row r="810" spans="1:25" ht="13.5" customHeight="1" x14ac:dyDescent="0.3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</row>
    <row r="811" spans="1:25" ht="13.5" customHeight="1" x14ac:dyDescent="0.3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</row>
    <row r="812" spans="1:25" ht="13.5" customHeight="1" x14ac:dyDescent="0.3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</row>
    <row r="813" spans="1:25" ht="13.5" customHeight="1" x14ac:dyDescent="0.3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</row>
    <row r="814" spans="1:25" ht="13.5" customHeight="1" x14ac:dyDescent="0.3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</row>
    <row r="815" spans="1:25" ht="13.5" customHeight="1" x14ac:dyDescent="0.3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</row>
    <row r="816" spans="1:25" ht="13.5" customHeight="1" x14ac:dyDescent="0.3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</row>
    <row r="817" spans="1:25" ht="13.5" customHeight="1" x14ac:dyDescent="0.3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</row>
    <row r="818" spans="1:25" ht="13.5" customHeight="1" x14ac:dyDescent="0.3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</row>
    <row r="819" spans="1:25" ht="13.5" customHeight="1" x14ac:dyDescent="0.3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</row>
    <row r="820" spans="1:25" ht="13.5" customHeight="1" x14ac:dyDescent="0.3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</row>
    <row r="821" spans="1:25" ht="13.5" customHeight="1" x14ac:dyDescent="0.3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</row>
    <row r="822" spans="1:25" ht="13.5" customHeight="1" x14ac:dyDescent="0.3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</row>
    <row r="823" spans="1:25" ht="13.5" customHeight="1" x14ac:dyDescent="0.3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</row>
    <row r="824" spans="1:25" ht="13.5" customHeight="1" x14ac:dyDescent="0.3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</row>
    <row r="825" spans="1:25" ht="13.5" customHeight="1" x14ac:dyDescent="0.3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</row>
    <row r="826" spans="1:25" ht="13.5" customHeight="1" x14ac:dyDescent="0.3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</row>
    <row r="827" spans="1:25" ht="13.5" customHeight="1" x14ac:dyDescent="0.3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</row>
    <row r="828" spans="1:25" ht="13.5" customHeight="1" x14ac:dyDescent="0.3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</row>
    <row r="829" spans="1:25" ht="13.5" customHeight="1" x14ac:dyDescent="0.3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</row>
    <row r="830" spans="1:25" ht="13.5" customHeight="1" x14ac:dyDescent="0.3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</row>
    <row r="831" spans="1:25" ht="13.5" customHeight="1" x14ac:dyDescent="0.3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</row>
    <row r="832" spans="1:25" ht="13.5" customHeight="1" x14ac:dyDescent="0.3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</row>
    <row r="833" spans="1:25" ht="13.5" customHeight="1" x14ac:dyDescent="0.3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</row>
    <row r="834" spans="1:25" ht="13.5" customHeight="1" x14ac:dyDescent="0.3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</row>
    <row r="835" spans="1:25" ht="13.5" customHeight="1" x14ac:dyDescent="0.3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</row>
    <row r="836" spans="1:25" ht="13.5" customHeight="1" x14ac:dyDescent="0.3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</row>
    <row r="837" spans="1:25" ht="13.5" customHeight="1" x14ac:dyDescent="0.3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</row>
    <row r="838" spans="1:25" ht="13.5" customHeight="1" x14ac:dyDescent="0.3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</row>
    <row r="839" spans="1:25" ht="13.5" customHeight="1" x14ac:dyDescent="0.3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</row>
    <row r="840" spans="1:25" ht="13.5" customHeight="1" x14ac:dyDescent="0.3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</row>
    <row r="841" spans="1:25" ht="13.5" customHeight="1" x14ac:dyDescent="0.3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</row>
    <row r="842" spans="1:25" ht="13.5" customHeight="1" x14ac:dyDescent="0.3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</row>
    <row r="843" spans="1:25" ht="13.5" customHeight="1" x14ac:dyDescent="0.3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</row>
    <row r="844" spans="1:25" ht="13.5" customHeight="1" x14ac:dyDescent="0.3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</row>
    <row r="845" spans="1:25" ht="13.5" customHeight="1" x14ac:dyDescent="0.3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</row>
    <row r="846" spans="1:25" ht="13.5" customHeight="1" x14ac:dyDescent="0.3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</row>
    <row r="847" spans="1:25" ht="13.5" customHeight="1" x14ac:dyDescent="0.3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</row>
    <row r="848" spans="1:25" ht="13.5" customHeight="1" x14ac:dyDescent="0.3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</row>
    <row r="849" spans="1:25" ht="13.5" customHeight="1" x14ac:dyDescent="0.3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</row>
    <row r="850" spans="1:25" ht="13.5" customHeight="1" x14ac:dyDescent="0.3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</row>
    <row r="851" spans="1:25" ht="13.5" customHeight="1" x14ac:dyDescent="0.3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</row>
    <row r="852" spans="1:25" ht="13.5" customHeight="1" x14ac:dyDescent="0.3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</row>
    <row r="853" spans="1:25" ht="13.5" customHeight="1" x14ac:dyDescent="0.3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</row>
    <row r="854" spans="1:25" ht="13.5" customHeight="1" x14ac:dyDescent="0.3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</row>
    <row r="855" spans="1:25" ht="13.5" customHeight="1" x14ac:dyDescent="0.3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</row>
    <row r="856" spans="1:25" ht="13.5" customHeight="1" x14ac:dyDescent="0.3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</row>
    <row r="857" spans="1:25" ht="13.5" customHeight="1" x14ac:dyDescent="0.3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</row>
    <row r="858" spans="1:25" ht="13.5" customHeight="1" x14ac:dyDescent="0.3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</row>
    <row r="859" spans="1:25" ht="13.5" customHeight="1" x14ac:dyDescent="0.3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</row>
    <row r="860" spans="1:25" ht="13.5" customHeight="1" x14ac:dyDescent="0.3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</row>
    <row r="861" spans="1:25" ht="13.5" customHeight="1" x14ac:dyDescent="0.3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</row>
    <row r="862" spans="1:25" ht="13.5" customHeight="1" x14ac:dyDescent="0.3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</row>
    <row r="863" spans="1:25" ht="13.5" customHeight="1" x14ac:dyDescent="0.3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</row>
    <row r="864" spans="1:25" ht="13.5" customHeight="1" x14ac:dyDescent="0.3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</row>
    <row r="865" spans="1:25" ht="13.5" customHeight="1" x14ac:dyDescent="0.3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</row>
    <row r="866" spans="1:25" ht="13.5" customHeight="1" x14ac:dyDescent="0.3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</row>
    <row r="867" spans="1:25" ht="13.5" customHeight="1" x14ac:dyDescent="0.3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</row>
    <row r="868" spans="1:25" ht="13.5" customHeight="1" x14ac:dyDescent="0.3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</row>
    <row r="869" spans="1:25" ht="13.5" customHeight="1" x14ac:dyDescent="0.3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</row>
    <row r="870" spans="1:25" ht="13.5" customHeight="1" x14ac:dyDescent="0.3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</row>
    <row r="871" spans="1:25" ht="13.5" customHeight="1" x14ac:dyDescent="0.3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</row>
    <row r="872" spans="1:25" ht="13.5" customHeight="1" x14ac:dyDescent="0.3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</row>
    <row r="873" spans="1:25" ht="13.5" customHeight="1" x14ac:dyDescent="0.3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</row>
    <row r="874" spans="1:25" ht="13.5" customHeight="1" x14ac:dyDescent="0.3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</row>
    <row r="875" spans="1:25" ht="13.5" customHeight="1" x14ac:dyDescent="0.3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</row>
    <row r="876" spans="1:25" ht="13.5" customHeight="1" x14ac:dyDescent="0.3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</row>
    <row r="877" spans="1:25" ht="13.5" customHeight="1" x14ac:dyDescent="0.3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</row>
    <row r="878" spans="1:25" ht="13.5" customHeight="1" x14ac:dyDescent="0.3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</row>
    <row r="879" spans="1:25" ht="13.5" customHeight="1" x14ac:dyDescent="0.3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</row>
    <row r="880" spans="1:25" ht="13.5" customHeight="1" x14ac:dyDescent="0.3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</row>
    <row r="881" spans="1:25" ht="13.5" customHeight="1" x14ac:dyDescent="0.3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</row>
    <row r="882" spans="1:25" ht="13.5" customHeight="1" x14ac:dyDescent="0.3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</row>
    <row r="883" spans="1:25" ht="13.5" customHeight="1" x14ac:dyDescent="0.3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</row>
    <row r="884" spans="1:25" ht="13.5" customHeight="1" x14ac:dyDescent="0.3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</row>
    <row r="885" spans="1:25" ht="13.5" customHeight="1" x14ac:dyDescent="0.3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</row>
    <row r="886" spans="1:25" ht="13.5" customHeight="1" x14ac:dyDescent="0.3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</row>
    <row r="887" spans="1:25" ht="13.5" customHeight="1" x14ac:dyDescent="0.3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</row>
    <row r="888" spans="1:25" ht="13.5" customHeight="1" x14ac:dyDescent="0.3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</row>
    <row r="889" spans="1:25" ht="13.5" customHeight="1" x14ac:dyDescent="0.3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</row>
    <row r="890" spans="1:25" ht="13.5" customHeight="1" x14ac:dyDescent="0.3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</row>
    <row r="891" spans="1:25" ht="13.5" customHeight="1" x14ac:dyDescent="0.3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</row>
    <row r="892" spans="1:25" ht="13.5" customHeight="1" x14ac:dyDescent="0.3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</row>
    <row r="893" spans="1:25" ht="13.5" customHeight="1" x14ac:dyDescent="0.3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</row>
    <row r="894" spans="1:25" ht="13.5" customHeight="1" x14ac:dyDescent="0.3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</row>
    <row r="895" spans="1:25" ht="13.5" customHeight="1" x14ac:dyDescent="0.3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</row>
    <row r="896" spans="1:25" ht="13.5" customHeight="1" x14ac:dyDescent="0.3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</row>
    <row r="897" spans="1:25" ht="13.5" customHeight="1" x14ac:dyDescent="0.3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</row>
    <row r="898" spans="1:25" ht="13.5" customHeight="1" x14ac:dyDescent="0.3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</row>
    <row r="899" spans="1:25" ht="13.5" customHeight="1" x14ac:dyDescent="0.3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</row>
    <row r="900" spans="1:25" ht="13.5" customHeight="1" x14ac:dyDescent="0.3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</row>
    <row r="901" spans="1:25" ht="13.5" customHeight="1" x14ac:dyDescent="0.3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</row>
    <row r="902" spans="1:25" ht="13.5" customHeight="1" x14ac:dyDescent="0.3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</row>
    <row r="903" spans="1:25" ht="13.5" customHeight="1" x14ac:dyDescent="0.3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</row>
    <row r="904" spans="1:25" ht="13.5" customHeight="1" x14ac:dyDescent="0.3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</row>
    <row r="905" spans="1:25" ht="13.5" customHeight="1" x14ac:dyDescent="0.3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</row>
    <row r="906" spans="1:25" ht="13.5" customHeight="1" x14ac:dyDescent="0.3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</row>
    <row r="907" spans="1:25" ht="13.5" customHeight="1" x14ac:dyDescent="0.3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</row>
    <row r="908" spans="1:25" ht="13.5" customHeight="1" x14ac:dyDescent="0.3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</row>
    <row r="909" spans="1:25" ht="13.5" customHeight="1" x14ac:dyDescent="0.3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</row>
    <row r="910" spans="1:25" ht="13.5" customHeight="1" x14ac:dyDescent="0.3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</row>
    <row r="911" spans="1:25" ht="13.5" customHeight="1" x14ac:dyDescent="0.3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</row>
    <row r="912" spans="1:25" ht="13.5" customHeight="1" x14ac:dyDescent="0.3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</row>
    <row r="913" spans="1:25" ht="13.5" customHeight="1" x14ac:dyDescent="0.3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</row>
    <row r="914" spans="1:25" ht="13.5" customHeight="1" x14ac:dyDescent="0.3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</row>
    <row r="915" spans="1:25" ht="13.5" customHeight="1" x14ac:dyDescent="0.3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</row>
    <row r="916" spans="1:25" ht="13.5" customHeight="1" x14ac:dyDescent="0.3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</row>
    <row r="917" spans="1:25" ht="13.5" customHeight="1" x14ac:dyDescent="0.3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</row>
    <row r="918" spans="1:25" ht="13.5" customHeight="1" x14ac:dyDescent="0.3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</row>
    <row r="919" spans="1:25" ht="13.5" customHeight="1" x14ac:dyDescent="0.3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</row>
    <row r="920" spans="1:25" ht="13.5" customHeight="1" x14ac:dyDescent="0.3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</row>
    <row r="921" spans="1:25" ht="13.5" customHeight="1" x14ac:dyDescent="0.3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</row>
    <row r="922" spans="1:25" ht="13.5" customHeight="1" x14ac:dyDescent="0.3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</row>
    <row r="923" spans="1:25" ht="13.5" customHeight="1" x14ac:dyDescent="0.3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</row>
    <row r="924" spans="1:25" ht="13.5" customHeight="1" x14ac:dyDescent="0.3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</row>
    <row r="925" spans="1:25" ht="13.5" customHeight="1" x14ac:dyDescent="0.3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</row>
    <row r="926" spans="1:25" ht="13.5" customHeight="1" x14ac:dyDescent="0.3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</row>
    <row r="927" spans="1:25" ht="13.5" customHeight="1" x14ac:dyDescent="0.3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</row>
    <row r="928" spans="1:25" ht="13.5" customHeight="1" x14ac:dyDescent="0.3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</row>
    <row r="929" spans="1:25" ht="13.5" customHeight="1" x14ac:dyDescent="0.3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</row>
    <row r="930" spans="1:25" ht="13.5" customHeight="1" x14ac:dyDescent="0.3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</row>
    <row r="931" spans="1:25" ht="13.5" customHeight="1" x14ac:dyDescent="0.3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</row>
    <row r="932" spans="1:25" ht="13.5" customHeight="1" x14ac:dyDescent="0.3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</row>
    <row r="933" spans="1:25" ht="13.5" customHeight="1" x14ac:dyDescent="0.3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</row>
    <row r="934" spans="1:25" ht="13.5" customHeight="1" x14ac:dyDescent="0.3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</row>
    <row r="935" spans="1:25" ht="13.5" customHeight="1" x14ac:dyDescent="0.3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</row>
    <row r="936" spans="1:25" ht="13.5" customHeight="1" x14ac:dyDescent="0.3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</row>
    <row r="937" spans="1:25" ht="13.5" customHeight="1" x14ac:dyDescent="0.3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</row>
    <row r="938" spans="1:25" ht="13.5" customHeight="1" x14ac:dyDescent="0.3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</row>
    <row r="939" spans="1:25" ht="13.5" customHeight="1" x14ac:dyDescent="0.3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</row>
    <row r="940" spans="1:25" ht="13.5" customHeight="1" x14ac:dyDescent="0.3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</row>
    <row r="941" spans="1:25" ht="13.5" customHeight="1" x14ac:dyDescent="0.3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</row>
    <row r="942" spans="1:25" ht="13.5" customHeight="1" x14ac:dyDescent="0.3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</row>
    <row r="943" spans="1:25" ht="13.5" customHeight="1" x14ac:dyDescent="0.3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</row>
    <row r="944" spans="1:25" ht="13.5" customHeight="1" x14ac:dyDescent="0.3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</row>
    <row r="945" spans="1:25" ht="13.5" customHeight="1" x14ac:dyDescent="0.3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</row>
    <row r="946" spans="1:25" ht="13.5" customHeight="1" x14ac:dyDescent="0.3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</row>
    <row r="947" spans="1:25" ht="13.5" customHeight="1" x14ac:dyDescent="0.3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</row>
    <row r="948" spans="1:25" ht="13.5" customHeight="1" x14ac:dyDescent="0.3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</row>
    <row r="949" spans="1:25" ht="13.5" customHeight="1" x14ac:dyDescent="0.3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</row>
    <row r="950" spans="1:25" ht="13.5" customHeight="1" x14ac:dyDescent="0.3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</row>
    <row r="951" spans="1:25" ht="13.5" customHeight="1" x14ac:dyDescent="0.3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</row>
    <row r="952" spans="1:25" ht="13.5" customHeight="1" x14ac:dyDescent="0.3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</row>
    <row r="953" spans="1:25" ht="13.5" customHeight="1" x14ac:dyDescent="0.3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</row>
    <row r="954" spans="1:25" ht="13.5" customHeight="1" x14ac:dyDescent="0.3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</row>
    <row r="955" spans="1:25" ht="13.5" customHeight="1" x14ac:dyDescent="0.3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</row>
    <row r="956" spans="1:25" ht="13.5" customHeight="1" x14ac:dyDescent="0.3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</row>
    <row r="957" spans="1:25" ht="13.5" customHeight="1" x14ac:dyDescent="0.3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</row>
    <row r="958" spans="1:25" ht="13.5" customHeight="1" x14ac:dyDescent="0.3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</row>
    <row r="959" spans="1:25" ht="13.5" customHeight="1" x14ac:dyDescent="0.3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</row>
    <row r="960" spans="1:25" ht="13.5" customHeight="1" x14ac:dyDescent="0.3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</row>
    <row r="961" spans="1:25" ht="13.5" customHeight="1" x14ac:dyDescent="0.3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</row>
    <row r="962" spans="1:25" ht="13.5" customHeight="1" x14ac:dyDescent="0.3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</row>
    <row r="963" spans="1:25" ht="13.5" customHeight="1" x14ac:dyDescent="0.3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</row>
    <row r="964" spans="1:25" ht="13.5" customHeight="1" x14ac:dyDescent="0.3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</row>
    <row r="965" spans="1:25" ht="13.5" customHeight="1" x14ac:dyDescent="0.3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</row>
    <row r="966" spans="1:25" ht="13.5" customHeight="1" x14ac:dyDescent="0.3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</row>
    <row r="967" spans="1:25" ht="13.5" customHeight="1" x14ac:dyDescent="0.3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</row>
    <row r="968" spans="1:25" ht="13.5" customHeight="1" x14ac:dyDescent="0.3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</row>
    <row r="969" spans="1:25" ht="13.5" customHeight="1" x14ac:dyDescent="0.3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</row>
    <row r="970" spans="1:25" ht="13.5" customHeight="1" x14ac:dyDescent="0.3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</row>
    <row r="971" spans="1:25" ht="13.5" customHeight="1" x14ac:dyDescent="0.3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</row>
    <row r="972" spans="1:25" ht="13.5" customHeight="1" x14ac:dyDescent="0.3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</row>
    <row r="973" spans="1:25" ht="13.5" customHeight="1" x14ac:dyDescent="0.3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</row>
    <row r="974" spans="1:25" ht="13.5" customHeight="1" x14ac:dyDescent="0.3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</row>
    <row r="975" spans="1:25" ht="13.5" customHeight="1" x14ac:dyDescent="0.3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</row>
    <row r="976" spans="1:25" ht="13.5" customHeight="1" x14ac:dyDescent="0.3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</row>
    <row r="977" spans="1:25" ht="13.5" customHeight="1" x14ac:dyDescent="0.3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</row>
    <row r="978" spans="1:25" ht="13.5" customHeight="1" x14ac:dyDescent="0.3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</row>
    <row r="979" spans="1:25" ht="13.5" customHeight="1" x14ac:dyDescent="0.3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</row>
    <row r="980" spans="1:25" ht="13.5" customHeight="1" x14ac:dyDescent="0.3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</row>
    <row r="981" spans="1:25" ht="13.5" customHeight="1" x14ac:dyDescent="0.3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</row>
    <row r="982" spans="1:25" ht="13.5" customHeight="1" x14ac:dyDescent="0.3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</row>
    <row r="983" spans="1:25" ht="13.5" customHeight="1" x14ac:dyDescent="0.3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</row>
    <row r="984" spans="1:25" ht="13.5" customHeight="1" x14ac:dyDescent="0.3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</row>
    <row r="985" spans="1:25" ht="13.5" customHeight="1" x14ac:dyDescent="0.3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</row>
    <row r="986" spans="1:25" ht="13.5" customHeight="1" x14ac:dyDescent="0.3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</row>
    <row r="987" spans="1:25" ht="13.5" customHeight="1" x14ac:dyDescent="0.3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</row>
    <row r="988" spans="1:25" ht="13.5" customHeight="1" x14ac:dyDescent="0.3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</row>
    <row r="989" spans="1:25" ht="13.5" customHeight="1" x14ac:dyDescent="0.3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</row>
    <row r="990" spans="1:25" ht="13.5" customHeight="1" x14ac:dyDescent="0.3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</row>
    <row r="991" spans="1:25" ht="13.5" customHeight="1" x14ac:dyDescent="0.3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</row>
    <row r="992" spans="1:25" ht="13.5" customHeight="1" x14ac:dyDescent="0.3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</row>
    <row r="993" spans="1:25" ht="13.5" customHeight="1" x14ac:dyDescent="0.3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</row>
    <row r="994" spans="1:25" ht="13.5" customHeight="1" x14ac:dyDescent="0.3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</row>
    <row r="995" spans="1:25" ht="13.5" customHeight="1" x14ac:dyDescent="0.3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</row>
    <row r="996" spans="1:25" ht="13.5" customHeight="1" x14ac:dyDescent="0.3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</row>
    <row r="997" spans="1:25" ht="13.5" customHeight="1" x14ac:dyDescent="0.3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</row>
    <row r="998" spans="1:25" ht="13.5" customHeight="1" x14ac:dyDescent="0.3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</row>
    <row r="999" spans="1:25" ht="13.5" customHeight="1" x14ac:dyDescent="0.3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</row>
    <row r="1000" spans="1:25" ht="13.5" customHeight="1" x14ac:dyDescent="0.3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</row>
    <row r="1001" spans="1:25" ht="13.5" customHeight="1" x14ac:dyDescent="0.3">
      <c r="A1001" s="1"/>
      <c r="B1001" s="1"/>
      <c r="C1001" s="1"/>
      <c r="D1001" s="1"/>
      <c r="E1001" s="1"/>
      <c r="F1001" s="1"/>
      <c r="G1001" s="1"/>
      <c r="H1001" s="1"/>
      <c r="I1001" s="1"/>
      <c r="J1001" s="1"/>
      <c r="K1001" s="1"/>
      <c r="L1001" s="1"/>
      <c r="M1001" s="1"/>
      <c r="N1001" s="1"/>
      <c r="O1001" s="1"/>
      <c r="P1001" s="1"/>
      <c r="Q1001" s="1"/>
      <c r="R1001" s="1"/>
      <c r="S1001" s="1"/>
      <c r="T1001" s="1"/>
      <c r="U1001" s="1"/>
      <c r="V1001" s="1"/>
      <c r="W1001" s="1"/>
      <c r="X1001" s="1"/>
      <c r="Y1001" s="1"/>
    </row>
    <row r="1002" spans="1:25" ht="13.5" customHeight="1" x14ac:dyDescent="0.3">
      <c r="A1002" s="1"/>
      <c r="B1002" s="1"/>
      <c r="C1002" s="1"/>
      <c r="D1002" s="1"/>
      <c r="E1002" s="1"/>
      <c r="F1002" s="1"/>
      <c r="G1002" s="1"/>
      <c r="H1002" s="1"/>
      <c r="I1002" s="1"/>
      <c r="J1002" s="1"/>
      <c r="K1002" s="1"/>
      <c r="L1002" s="1"/>
      <c r="M1002" s="1"/>
      <c r="N1002" s="1"/>
      <c r="O1002" s="1"/>
      <c r="P1002" s="1"/>
      <c r="Q1002" s="1"/>
      <c r="R1002" s="1"/>
      <c r="S1002" s="1"/>
      <c r="T1002" s="1"/>
      <c r="U1002" s="1"/>
      <c r="V1002" s="1"/>
      <c r="W1002" s="1"/>
      <c r="X1002" s="1"/>
      <c r="Y1002" s="1"/>
    </row>
    <row r="1003" spans="1:25" ht="13.5" customHeight="1" x14ac:dyDescent="0.3">
      <c r="A1003" s="1"/>
      <c r="B1003" s="1"/>
      <c r="C1003" s="1"/>
      <c r="D1003" s="1"/>
      <c r="E1003" s="1"/>
      <c r="F1003" s="1"/>
      <c r="G1003" s="1"/>
      <c r="H1003" s="1"/>
      <c r="I1003" s="1"/>
      <c r="J1003" s="1"/>
      <c r="K1003" s="1"/>
      <c r="L1003" s="1"/>
      <c r="M1003" s="1"/>
      <c r="N1003" s="1"/>
      <c r="O1003" s="1"/>
      <c r="P1003" s="1"/>
      <c r="Q1003" s="1"/>
      <c r="R1003" s="1"/>
      <c r="S1003" s="1"/>
      <c r="T1003" s="1"/>
      <c r="U1003" s="1"/>
      <c r="V1003" s="1"/>
      <c r="W1003" s="1"/>
      <c r="X1003" s="1"/>
      <c r="Y1003" s="1"/>
    </row>
    <row r="1004" spans="1:25" ht="13.5" customHeight="1" x14ac:dyDescent="0.3">
      <c r="A1004" s="1"/>
      <c r="B1004" s="1"/>
      <c r="C1004" s="1"/>
      <c r="D1004" s="1"/>
      <c r="E1004" s="1"/>
      <c r="F1004" s="1"/>
      <c r="G1004" s="1"/>
      <c r="H1004" s="1"/>
      <c r="I1004" s="1"/>
      <c r="J1004" s="1"/>
      <c r="K1004" s="1"/>
      <c r="L1004" s="1"/>
      <c r="M1004" s="1"/>
      <c r="N1004" s="1"/>
      <c r="O1004" s="1"/>
      <c r="P1004" s="1"/>
      <c r="Q1004" s="1"/>
      <c r="R1004" s="1"/>
      <c r="S1004" s="1"/>
      <c r="T1004" s="1"/>
      <c r="U1004" s="1"/>
      <c r="V1004" s="1"/>
      <c r="W1004" s="1"/>
      <c r="X1004" s="1"/>
      <c r="Y1004" s="1"/>
    </row>
    <row r="1005" spans="1:25" ht="13.5" customHeight="1" x14ac:dyDescent="0.3">
      <c r="A1005" s="1"/>
      <c r="B1005" s="1"/>
      <c r="C1005" s="1"/>
      <c r="D1005" s="1"/>
      <c r="E1005" s="1"/>
      <c r="F1005" s="1"/>
      <c r="G1005" s="1"/>
      <c r="H1005" s="1"/>
      <c r="I1005" s="1"/>
      <c r="J1005" s="1"/>
      <c r="K1005" s="1"/>
      <c r="L1005" s="1"/>
      <c r="M1005" s="1"/>
      <c r="N1005" s="1"/>
      <c r="O1005" s="1"/>
      <c r="P1005" s="1"/>
      <c r="Q1005" s="1"/>
      <c r="R1005" s="1"/>
      <c r="S1005" s="1"/>
      <c r="T1005" s="1"/>
      <c r="U1005" s="1"/>
      <c r="V1005" s="1"/>
      <c r="W1005" s="1"/>
      <c r="X1005" s="1"/>
      <c r="Y1005" s="1"/>
    </row>
    <row r="1006" spans="1:25" ht="13.5" customHeight="1" x14ac:dyDescent="0.3">
      <c r="A1006" s="1"/>
      <c r="B1006" s="1"/>
      <c r="C1006" s="1"/>
      <c r="D1006" s="1"/>
      <c r="E1006" s="1"/>
      <c r="F1006" s="1"/>
      <c r="G1006" s="1"/>
      <c r="H1006" s="1"/>
      <c r="I1006" s="1"/>
      <c r="J1006" s="1"/>
      <c r="K1006" s="1"/>
      <c r="L1006" s="1"/>
      <c r="M1006" s="1"/>
      <c r="N1006" s="1"/>
      <c r="O1006" s="1"/>
      <c r="P1006" s="1"/>
      <c r="Q1006" s="1"/>
      <c r="R1006" s="1"/>
      <c r="S1006" s="1"/>
      <c r="T1006" s="1"/>
      <c r="U1006" s="1"/>
      <c r="V1006" s="1"/>
      <c r="W1006" s="1"/>
      <c r="X1006" s="1"/>
      <c r="Y1006" s="1"/>
    </row>
    <row r="1007" spans="1:25" ht="13.5" customHeight="1" x14ac:dyDescent="0.3">
      <c r="A1007" s="1"/>
      <c r="B1007" s="1"/>
      <c r="C1007" s="1"/>
      <c r="D1007" s="1"/>
      <c r="E1007" s="1"/>
      <c r="F1007" s="1"/>
      <c r="G1007" s="1"/>
      <c r="H1007" s="1"/>
      <c r="I1007" s="1"/>
      <c r="J1007" s="1"/>
      <c r="K1007" s="1"/>
      <c r="L1007" s="1"/>
      <c r="M1007" s="1"/>
      <c r="N1007" s="1"/>
      <c r="O1007" s="1"/>
      <c r="P1007" s="1"/>
      <c r="Q1007" s="1"/>
      <c r="R1007" s="1"/>
      <c r="S1007" s="1"/>
      <c r="T1007" s="1"/>
      <c r="U1007" s="1"/>
      <c r="V1007" s="1"/>
      <c r="W1007" s="1"/>
      <c r="X1007" s="1"/>
      <c r="Y1007" s="1"/>
    </row>
  </sheetData>
  <sheetProtection password="C2E9" sheet="1" objects="1" scenarios="1" formatColumns="0" formatRows="0" sort="0" autoFilter="0"/>
  <mergeCells count="12">
    <mergeCell ref="B49:F49"/>
    <mergeCell ref="B42:F42"/>
    <mergeCell ref="B12:F12"/>
    <mergeCell ref="B13:F13"/>
    <mergeCell ref="B14:F14"/>
    <mergeCell ref="B15:F15"/>
    <mergeCell ref="B18:F18"/>
    <mergeCell ref="B22:F22"/>
    <mergeCell ref="B33:F33"/>
    <mergeCell ref="B28:F28"/>
    <mergeCell ref="B37:F37"/>
    <mergeCell ref="B44:F44"/>
  </mergeCells>
  <dataValidations count="1">
    <dataValidation type="decimal" operator="greaterThanOrEqual" allowBlank="1" showInputMessage="1" showErrorMessage="1" sqref="E32 E38:E41 E43 E23:F27 E45:F48 E50:F55 E34:E36 D59:F68 C34:C36">
      <formula1>0</formula1>
    </dataValidation>
  </dataValidations>
  <pageMargins left="0.7" right="0.7" top="0.75" bottom="0.75" header="0" footer="0"/>
  <pageSetup scale="98" orientation="landscape" r:id="rId1"/>
  <rowBreaks count="1" manualBreakCount="1">
    <brk id="57" min="1" max="5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dd_Diagnosis" altText="Add Diagnosis">
                <anchor moveWithCells="1">
                  <from>
                    <xdr:col>1</xdr:col>
                    <xdr:colOff>9525</xdr:colOff>
                    <xdr:row>18</xdr:row>
                    <xdr:rowOff>19050</xdr:rowOff>
                  </from>
                  <to>
                    <xdr:col>1</xdr:col>
                    <xdr:colOff>733425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Delete_Diagnosis" altText="Delete Diagnosis">
                <anchor moveWithCells="1">
                  <from>
                    <xdr:col>1</xdr:col>
                    <xdr:colOff>781050</xdr:colOff>
                    <xdr:row>18</xdr:row>
                    <xdr:rowOff>19050</xdr:rowOff>
                  </from>
                  <to>
                    <xdr:col>1</xdr:col>
                    <xdr:colOff>1504950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Add_Surgicals" altText="Add Surgical procedure">
                <anchor moveWithCells="1">
                  <from>
                    <xdr:col>1</xdr:col>
                    <xdr:colOff>9525</xdr:colOff>
                    <xdr:row>22</xdr:row>
                    <xdr:rowOff>19050</xdr:rowOff>
                  </from>
                  <to>
                    <xdr:col>1</xdr:col>
                    <xdr:colOff>733425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Delete_Surgicals" altText="Delete Surgical procedure">
                <anchor moveWithCells="1">
                  <from>
                    <xdr:col>1</xdr:col>
                    <xdr:colOff>781050</xdr:colOff>
                    <xdr:row>22</xdr:row>
                    <xdr:rowOff>19050</xdr:rowOff>
                  </from>
                  <to>
                    <xdr:col>1</xdr:col>
                    <xdr:colOff>1504950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Add_Labs" altText="Add Lab test">
                <anchor moveWithCells="1">
                  <from>
                    <xdr:col>1</xdr:col>
                    <xdr:colOff>9525</xdr:colOff>
                    <xdr:row>33</xdr:row>
                    <xdr:rowOff>19050</xdr:rowOff>
                  </from>
                  <to>
                    <xdr:col>1</xdr:col>
                    <xdr:colOff>733425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 macro="[0]!Delete_Labs" altText="Delete Lab test_x000a_">
                <anchor moveWithCells="1">
                  <from>
                    <xdr:col>1</xdr:col>
                    <xdr:colOff>781050</xdr:colOff>
                    <xdr:row>33</xdr:row>
                    <xdr:rowOff>19050</xdr:rowOff>
                  </from>
                  <to>
                    <xdr:col>1</xdr:col>
                    <xdr:colOff>1504950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Button 7">
              <controlPr defaultSize="0" print="0" autoFill="0" autoPict="0" macro="[0]!Add_Diagnostics" altText="Add Diagnostic test">
                <anchor moveWithCells="1">
                  <from>
                    <xdr:col>1</xdr:col>
                    <xdr:colOff>9525</xdr:colOff>
                    <xdr:row>37</xdr:row>
                    <xdr:rowOff>19050</xdr:rowOff>
                  </from>
                  <to>
                    <xdr:col>1</xdr:col>
                    <xdr:colOff>733425</xdr:colOff>
                    <xdr:row>37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1" name="Button 8">
              <controlPr defaultSize="0" print="0" autoFill="0" autoPict="0" macro="[0]!Delete_Diagnostics" altText="Delete Diagnostic test">
                <anchor moveWithCells="1">
                  <from>
                    <xdr:col>1</xdr:col>
                    <xdr:colOff>781050</xdr:colOff>
                    <xdr:row>37</xdr:row>
                    <xdr:rowOff>19050</xdr:rowOff>
                  </from>
                  <to>
                    <xdr:col>1</xdr:col>
                    <xdr:colOff>1504950</xdr:colOff>
                    <xdr:row>37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2" name="Button 9">
              <controlPr defaultSize="0" print="0" autoFill="0" autoPict="0" macro="[0]!Add_Physicals" altText="Add Other procedure">
                <anchor moveWithCells="1">
                  <from>
                    <xdr:col>1</xdr:col>
                    <xdr:colOff>9525</xdr:colOff>
                    <xdr:row>44</xdr:row>
                    <xdr:rowOff>19050</xdr:rowOff>
                  </from>
                  <to>
                    <xdr:col>1</xdr:col>
                    <xdr:colOff>733425</xdr:colOff>
                    <xdr:row>44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3" name="Button 10">
              <controlPr defaultSize="0" print="0" autoFill="0" autoPict="0" macro="[0]!Delete_Physicals" altText="Delete Diagnosis">
                <anchor moveWithCells="1">
                  <from>
                    <xdr:col>1</xdr:col>
                    <xdr:colOff>781050</xdr:colOff>
                    <xdr:row>44</xdr:row>
                    <xdr:rowOff>19050</xdr:rowOff>
                  </from>
                  <to>
                    <xdr:col>1</xdr:col>
                    <xdr:colOff>1504950</xdr:colOff>
                    <xdr:row>44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4" name="Button 11">
              <controlPr defaultSize="0" print="0" autoFill="0" autoPict="0" macro="[0]!Add_Others" altText="Add Diagnosis">
                <anchor moveWithCells="1">
                  <from>
                    <xdr:col>1</xdr:col>
                    <xdr:colOff>9525</xdr:colOff>
                    <xdr:row>49</xdr:row>
                    <xdr:rowOff>19050</xdr:rowOff>
                  </from>
                  <to>
                    <xdr:col>1</xdr:col>
                    <xdr:colOff>733425</xdr:colOff>
                    <xdr:row>49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5" name="Button 12">
              <controlPr defaultSize="0" print="0" autoFill="0" autoPict="0" macro="[0]!Delete_Others" altText="Delete Other procedure">
                <anchor moveWithCells="1">
                  <from>
                    <xdr:col>1</xdr:col>
                    <xdr:colOff>781050</xdr:colOff>
                    <xdr:row>49</xdr:row>
                    <xdr:rowOff>19050</xdr:rowOff>
                  </from>
                  <to>
                    <xdr:col>1</xdr:col>
                    <xdr:colOff>1504950</xdr:colOff>
                    <xdr:row>49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6" name="Button 13">
              <controlPr defaultSize="0" print="0" autoFill="0" autoPict="0" macro="[0]!Add_Paids" altText="Add Paid item">
                <anchor moveWithCells="1">
                  <from>
                    <xdr:col>1</xdr:col>
                    <xdr:colOff>9525</xdr:colOff>
                    <xdr:row>58</xdr:row>
                    <xdr:rowOff>19050</xdr:rowOff>
                  </from>
                  <to>
                    <xdr:col>1</xdr:col>
                    <xdr:colOff>733425</xdr:colOff>
                    <xdr:row>58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7" name="Button 14">
              <controlPr defaultSize="0" print="0" autoFill="0" autoPict="0" macro="[0]!Delete_Paids" altText="Delete Paid item">
                <anchor moveWithCells="1">
                  <from>
                    <xdr:col>1</xdr:col>
                    <xdr:colOff>781050</xdr:colOff>
                    <xdr:row>58</xdr:row>
                    <xdr:rowOff>19050</xdr:rowOff>
                  </from>
                  <to>
                    <xdr:col>1</xdr:col>
                    <xdr:colOff>1504950</xdr:colOff>
                    <xdr:row>58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promptTitle="PhilHealth Survey Tool" prompt="Please select one option">
          <x14:formula1>
            <xm:f>Depts!$G$3:$G$27</xm:f>
          </x14:formula1>
          <xm:sqref>C31</xm:sqref>
        </x14:dataValidation>
        <x14:dataValidation type="list" allowBlank="1" showInputMessage="1" showErrorMessage="1" promptTitle="PhilHealth Survey Tool" prompt="Please select one option">
          <x14:formula1>
            <xm:f>Depts!$F$3:$F$27</xm:f>
          </x14:formula1>
          <xm:sqref>C30</xm:sqref>
        </x14:dataValidation>
        <x14:dataValidation type="list" allowBlank="1" showInputMessage="1" showErrorMessage="1" promptTitle="PhilHealth Survey Tool" prompt="Please select one option">
          <x14:formula1>
            <xm:f>Depts!$E$3:$E$27</xm:f>
          </x14:formula1>
          <xm:sqref>C29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rgb="FF0070C0"/>
    <outlinePr summaryBelow="0" summaryRight="0"/>
  </sheetPr>
  <dimension ref="A1:T971"/>
  <sheetViews>
    <sheetView topLeftCell="B1" workbookViewId="0">
      <selection activeCell="F21" sqref="F21"/>
    </sheetView>
  </sheetViews>
  <sheetFormatPr defaultColWidth="14.42578125" defaultRowHeight="15" customHeight="1" outlineLevelRow="1" x14ac:dyDescent="0.25"/>
  <cols>
    <col min="1" max="1" width="4.140625" style="35" customWidth="1"/>
    <col min="2" max="2" width="23.5703125" style="35" customWidth="1"/>
    <col min="3" max="3" width="33.42578125" style="35" customWidth="1"/>
    <col min="4" max="7" width="18.140625" style="35" customWidth="1"/>
    <col min="8" max="8" width="14.140625" style="35" customWidth="1"/>
    <col min="9" max="9" width="13.5703125" style="35" customWidth="1"/>
    <col min="10" max="10" width="9.85546875" style="35" bestFit="1" customWidth="1"/>
    <col min="11" max="19" width="8.7109375" style="35" customWidth="1"/>
    <col min="20" max="16384" width="14.42578125" style="35"/>
  </cols>
  <sheetData>
    <row r="1" spans="1:20" ht="12.75" customHeight="1" x14ac:dyDescent="0.25">
      <c r="A1" s="33"/>
      <c r="B1" s="34"/>
      <c r="C1" s="34"/>
      <c r="D1" s="34"/>
      <c r="E1" s="34"/>
      <c r="F1" s="34"/>
      <c r="G1" s="34"/>
      <c r="H1" s="34"/>
      <c r="I1" s="34"/>
      <c r="J1" s="34"/>
      <c r="K1" s="34"/>
      <c r="L1" s="34"/>
      <c r="M1" s="34"/>
      <c r="N1" s="34"/>
      <c r="O1" s="34"/>
      <c r="P1" s="34"/>
      <c r="Q1" s="34"/>
      <c r="R1" s="34"/>
      <c r="S1" s="34"/>
    </row>
    <row r="2" spans="1:20" ht="12.75" customHeight="1" x14ac:dyDescent="0.3">
      <c r="A2" s="33"/>
      <c r="B2" s="36" t="s">
        <v>61</v>
      </c>
      <c r="C2" s="37"/>
      <c r="D2" s="60" t="str">
        <f>'1.1 Case data_general'!D2</f>
        <v>NSD01</v>
      </c>
      <c r="E2" s="38"/>
      <c r="F2" s="38"/>
      <c r="G2" s="38"/>
      <c r="H2" s="34"/>
      <c r="I2" s="34"/>
      <c r="J2" s="34"/>
      <c r="K2" s="34"/>
      <c r="L2" s="34"/>
      <c r="M2" s="34"/>
      <c r="N2" s="34"/>
      <c r="O2" s="34"/>
      <c r="P2" s="34"/>
      <c r="Q2" s="34"/>
      <c r="R2" s="34"/>
      <c r="S2" s="34"/>
    </row>
    <row r="3" spans="1:20" ht="12.75" customHeight="1" collapsed="1" x14ac:dyDescent="0.3">
      <c r="A3" s="33"/>
      <c r="B3" s="39"/>
      <c r="C3" s="34"/>
      <c r="D3" s="34"/>
      <c r="E3" s="34"/>
      <c r="F3" s="34"/>
      <c r="G3" s="34"/>
      <c r="H3" s="34"/>
      <c r="I3" s="34"/>
      <c r="J3" s="34"/>
      <c r="K3" s="34"/>
      <c r="L3" s="34"/>
      <c r="M3" s="34"/>
      <c r="N3" s="34"/>
      <c r="O3" s="34"/>
      <c r="P3" s="34"/>
      <c r="Q3" s="34"/>
      <c r="R3" s="34"/>
      <c r="S3" s="34"/>
    </row>
    <row r="4" spans="1:20" ht="12.75" hidden="1" customHeight="1" outlineLevel="1" x14ac:dyDescent="0.3">
      <c r="A4" s="33"/>
      <c r="B4" s="39" t="s">
        <v>66</v>
      </c>
      <c r="C4" s="34">
        <v>10</v>
      </c>
      <c r="D4" s="34"/>
      <c r="E4" s="34"/>
      <c r="F4" s="34"/>
      <c r="G4" s="34"/>
      <c r="H4" s="34"/>
      <c r="I4" s="34"/>
      <c r="J4" s="34"/>
      <c r="K4" s="34"/>
      <c r="L4" s="34"/>
      <c r="M4" s="34"/>
      <c r="N4" s="34"/>
      <c r="O4" s="34"/>
      <c r="P4" s="34"/>
      <c r="Q4" s="34"/>
      <c r="R4" s="34"/>
      <c r="S4" s="34"/>
    </row>
    <row r="5" spans="1:20" ht="12.75" customHeight="1" x14ac:dyDescent="0.3">
      <c r="A5" s="33"/>
      <c r="B5" s="45" t="s">
        <v>0</v>
      </c>
      <c r="C5" s="46"/>
      <c r="D5" s="46"/>
      <c r="E5" s="46"/>
      <c r="F5" s="46"/>
      <c r="G5" s="46"/>
      <c r="H5" s="46"/>
      <c r="I5" s="46"/>
      <c r="J5" s="47"/>
      <c r="K5" s="34"/>
      <c r="L5" s="34"/>
      <c r="M5" s="34"/>
      <c r="N5" s="34"/>
      <c r="O5" s="34"/>
      <c r="P5" s="34"/>
      <c r="Q5" s="34"/>
      <c r="R5" s="34"/>
      <c r="S5" s="34"/>
    </row>
    <row r="6" spans="1:20" ht="12.75" customHeight="1" x14ac:dyDescent="0.3">
      <c r="A6" s="33"/>
      <c r="B6" s="48" t="s">
        <v>1</v>
      </c>
      <c r="C6" s="49"/>
      <c r="D6" s="49"/>
      <c r="E6" s="49"/>
      <c r="F6" s="49"/>
      <c r="G6" s="49"/>
      <c r="H6" s="49"/>
      <c r="I6" s="49"/>
      <c r="J6" s="50"/>
      <c r="K6" s="34"/>
      <c r="L6" s="34"/>
      <c r="M6" s="34"/>
      <c r="N6" s="34"/>
      <c r="O6" s="34"/>
      <c r="P6" s="34"/>
      <c r="Q6" s="34"/>
      <c r="R6" s="34"/>
      <c r="S6" s="34"/>
    </row>
    <row r="7" spans="1:20" ht="12.75" customHeight="1" x14ac:dyDescent="0.3">
      <c r="A7" s="33"/>
      <c r="B7" s="51" t="s">
        <v>62</v>
      </c>
      <c r="C7" s="49"/>
      <c r="D7" s="49"/>
      <c r="E7" s="49"/>
      <c r="F7" s="49"/>
      <c r="G7" s="49"/>
      <c r="H7" s="49"/>
      <c r="I7" s="49"/>
      <c r="J7" s="50"/>
      <c r="K7" s="34"/>
      <c r="L7" s="34"/>
      <c r="M7" s="34"/>
      <c r="N7" s="34"/>
      <c r="O7" s="34"/>
      <c r="P7" s="34"/>
      <c r="Q7" s="34"/>
      <c r="R7" s="34"/>
      <c r="S7" s="34"/>
    </row>
    <row r="8" spans="1:20" ht="30.4" customHeight="1" x14ac:dyDescent="0.3">
      <c r="A8" s="33"/>
      <c r="B8" s="135" t="s">
        <v>63</v>
      </c>
      <c r="C8" s="136"/>
      <c r="D8" s="136"/>
      <c r="E8" s="136"/>
      <c r="F8" s="136"/>
      <c r="G8" s="136"/>
      <c r="H8" s="136"/>
      <c r="I8" s="136"/>
      <c r="J8" s="137"/>
      <c r="K8" s="34"/>
      <c r="L8" s="34"/>
      <c r="M8" s="34"/>
      <c r="N8" s="34"/>
      <c r="O8" s="34"/>
      <c r="P8" s="34"/>
      <c r="Q8" s="34"/>
      <c r="R8" s="34"/>
      <c r="S8" s="34"/>
    </row>
    <row r="9" spans="1:20" ht="12.75" customHeight="1" x14ac:dyDescent="0.25">
      <c r="A9" s="34"/>
      <c r="B9" s="34"/>
      <c r="C9" s="34"/>
      <c r="D9" s="34"/>
      <c r="E9" s="34"/>
      <c r="F9" s="34"/>
      <c r="G9" s="34"/>
      <c r="H9" s="34"/>
      <c r="I9" s="34"/>
      <c r="J9" s="34"/>
      <c r="K9" s="34"/>
      <c r="L9" s="34"/>
      <c r="M9" s="34"/>
      <c r="N9" s="34"/>
      <c r="O9" s="34"/>
      <c r="P9" s="34"/>
      <c r="Q9" s="34"/>
      <c r="R9" s="34"/>
      <c r="S9" s="34"/>
    </row>
    <row r="10" spans="1:20" ht="42.75" customHeight="1" x14ac:dyDescent="0.25">
      <c r="B10" s="52" t="s">
        <v>5</v>
      </c>
      <c r="C10" s="54" t="s">
        <v>7</v>
      </c>
      <c r="D10" s="54" t="s">
        <v>64</v>
      </c>
      <c r="E10" s="54" t="s">
        <v>9</v>
      </c>
      <c r="F10" s="54" t="s">
        <v>3</v>
      </c>
      <c r="G10" s="54" t="s">
        <v>10</v>
      </c>
      <c r="H10" s="54" t="s">
        <v>65</v>
      </c>
      <c r="I10" s="54" t="s">
        <v>11</v>
      </c>
      <c r="J10" s="54" t="s">
        <v>16</v>
      </c>
      <c r="K10" s="34"/>
      <c r="L10" s="34"/>
      <c r="M10" s="34"/>
      <c r="N10" s="34"/>
      <c r="O10" s="34"/>
      <c r="P10" s="34"/>
      <c r="Q10" s="34"/>
      <c r="R10" s="34"/>
      <c r="S10" s="34"/>
      <c r="T10" s="34"/>
    </row>
    <row r="11" spans="1:20" ht="12.75" customHeight="1" x14ac:dyDescent="0.3">
      <c r="B11" s="42">
        <v>1</v>
      </c>
      <c r="C11" s="118" t="s">
        <v>202</v>
      </c>
      <c r="D11" s="27" t="s">
        <v>199</v>
      </c>
      <c r="E11" s="27" t="s">
        <v>203</v>
      </c>
      <c r="F11" s="118">
        <v>1</v>
      </c>
      <c r="G11" s="55">
        <v>10</v>
      </c>
      <c r="H11" s="118">
        <v>10</v>
      </c>
      <c r="I11" s="119">
        <v>8.52</v>
      </c>
      <c r="J11" s="55">
        <f>H11*I11</f>
        <v>85.199999999999989</v>
      </c>
      <c r="K11" s="34"/>
      <c r="L11" s="34"/>
      <c r="M11" s="34"/>
      <c r="N11" s="34"/>
      <c r="O11" s="34"/>
      <c r="P11" s="34"/>
      <c r="Q11" s="34"/>
      <c r="R11" s="34"/>
      <c r="S11" s="34"/>
      <c r="T11" s="34"/>
    </row>
    <row r="12" spans="1:20" ht="12.75" customHeight="1" x14ac:dyDescent="0.3">
      <c r="B12" s="42">
        <v>2</v>
      </c>
      <c r="C12" s="118" t="s">
        <v>208</v>
      </c>
      <c r="D12" s="27" t="s">
        <v>185</v>
      </c>
      <c r="E12" s="27" t="s">
        <v>189</v>
      </c>
      <c r="F12" s="118">
        <v>1</v>
      </c>
      <c r="G12" s="55">
        <v>1</v>
      </c>
      <c r="H12" s="118">
        <v>1</v>
      </c>
      <c r="I12" s="119">
        <v>22.81</v>
      </c>
      <c r="J12" s="55">
        <f t="shared" ref="J12:J20" si="0">H12*I12</f>
        <v>22.81</v>
      </c>
      <c r="K12" s="34"/>
      <c r="L12" s="34"/>
      <c r="M12" s="34"/>
      <c r="N12" s="34"/>
      <c r="O12" s="34"/>
      <c r="P12" s="34"/>
      <c r="Q12" s="34"/>
      <c r="R12" s="34"/>
      <c r="S12" s="34"/>
      <c r="T12" s="34"/>
    </row>
    <row r="13" spans="1:20" ht="12.75" customHeight="1" x14ac:dyDescent="0.3">
      <c r="B13" s="42">
        <v>3</v>
      </c>
      <c r="C13" s="118" t="s">
        <v>183</v>
      </c>
      <c r="D13" s="27" t="s">
        <v>186</v>
      </c>
      <c r="E13" s="27" t="s">
        <v>190</v>
      </c>
      <c r="F13" s="118">
        <v>1</v>
      </c>
      <c r="G13" s="55">
        <v>2</v>
      </c>
      <c r="H13" s="118">
        <v>2</v>
      </c>
      <c r="I13" s="119">
        <v>21</v>
      </c>
      <c r="J13" s="55">
        <f t="shared" si="0"/>
        <v>42</v>
      </c>
      <c r="K13" s="34"/>
      <c r="L13" s="34"/>
      <c r="M13" s="34"/>
      <c r="N13" s="34"/>
      <c r="O13" s="34"/>
      <c r="P13" s="34"/>
      <c r="Q13" s="34"/>
      <c r="R13" s="34"/>
      <c r="S13" s="34"/>
      <c r="T13" s="34"/>
    </row>
    <row r="14" spans="1:20" ht="12.75" customHeight="1" x14ac:dyDescent="0.3">
      <c r="B14" s="42">
        <v>4</v>
      </c>
      <c r="C14" s="118" t="s">
        <v>182</v>
      </c>
      <c r="D14" s="27" t="s">
        <v>185</v>
      </c>
      <c r="E14" s="27" t="s">
        <v>189</v>
      </c>
      <c r="F14" s="118">
        <v>1</v>
      </c>
      <c r="G14" s="55">
        <v>2</v>
      </c>
      <c r="H14" s="118">
        <v>2</v>
      </c>
      <c r="I14" s="119">
        <v>21.31</v>
      </c>
      <c r="J14" s="55">
        <f t="shared" si="0"/>
        <v>42.62</v>
      </c>
      <c r="K14" s="34"/>
      <c r="L14" s="34"/>
      <c r="M14" s="34"/>
      <c r="N14" s="34"/>
      <c r="O14" s="34"/>
      <c r="P14" s="34"/>
      <c r="Q14" s="34"/>
      <c r="R14" s="34"/>
      <c r="S14" s="34"/>
      <c r="T14" s="34"/>
    </row>
    <row r="15" spans="1:20" ht="12.75" customHeight="1" x14ac:dyDescent="0.3">
      <c r="B15" s="42">
        <v>5</v>
      </c>
      <c r="C15" s="118" t="s">
        <v>181</v>
      </c>
      <c r="D15" s="27" t="s">
        <v>198</v>
      </c>
      <c r="E15" s="27" t="s">
        <v>188</v>
      </c>
      <c r="F15" s="118">
        <v>1</v>
      </c>
      <c r="G15" s="55">
        <v>1</v>
      </c>
      <c r="H15" s="118">
        <v>1</v>
      </c>
      <c r="I15" s="119">
        <v>49.33</v>
      </c>
      <c r="J15" s="55">
        <f t="shared" si="0"/>
        <v>49.33</v>
      </c>
      <c r="K15" s="34"/>
      <c r="L15" s="34"/>
      <c r="M15" s="34"/>
      <c r="N15" s="34"/>
      <c r="O15" s="34"/>
      <c r="P15" s="34"/>
      <c r="Q15" s="34"/>
      <c r="R15" s="34"/>
      <c r="S15" s="34"/>
      <c r="T15" s="34"/>
    </row>
    <row r="16" spans="1:20" ht="12.75" customHeight="1" x14ac:dyDescent="0.3">
      <c r="B16" s="42">
        <v>6</v>
      </c>
      <c r="C16" s="118" t="s">
        <v>204</v>
      </c>
      <c r="D16" s="27" t="s">
        <v>185</v>
      </c>
      <c r="E16" s="27" t="s">
        <v>205</v>
      </c>
      <c r="F16" s="118">
        <v>3</v>
      </c>
      <c r="G16" s="55">
        <v>2</v>
      </c>
      <c r="H16" s="118">
        <v>5</v>
      </c>
      <c r="I16" s="119">
        <v>25.79</v>
      </c>
      <c r="J16" s="55">
        <f t="shared" si="0"/>
        <v>128.94999999999999</v>
      </c>
      <c r="K16" s="34"/>
      <c r="L16" s="34"/>
      <c r="M16" s="34"/>
      <c r="N16" s="34"/>
      <c r="O16" s="34"/>
      <c r="P16" s="34"/>
      <c r="Q16" s="34"/>
      <c r="R16" s="34"/>
      <c r="S16" s="34"/>
      <c r="T16" s="34"/>
    </row>
    <row r="17" spans="1:20" ht="12.75" customHeight="1" x14ac:dyDescent="0.3">
      <c r="B17" s="42">
        <v>7</v>
      </c>
      <c r="C17" s="118" t="s">
        <v>210</v>
      </c>
      <c r="D17" s="27" t="s">
        <v>187</v>
      </c>
      <c r="E17" s="27" t="s">
        <v>189</v>
      </c>
      <c r="F17" s="118">
        <v>2</v>
      </c>
      <c r="G17" s="55">
        <v>5</v>
      </c>
      <c r="H17" s="118">
        <v>10</v>
      </c>
      <c r="I17" s="119">
        <v>5.49</v>
      </c>
      <c r="J17" s="55">
        <f t="shared" si="0"/>
        <v>54.900000000000006</v>
      </c>
      <c r="K17" s="34"/>
      <c r="L17" s="34"/>
      <c r="M17" s="34"/>
      <c r="N17" s="34"/>
      <c r="O17" s="34"/>
      <c r="P17" s="34"/>
      <c r="Q17" s="34"/>
      <c r="R17" s="34"/>
      <c r="S17" s="34"/>
      <c r="T17" s="34"/>
    </row>
    <row r="18" spans="1:20" ht="12.75" customHeight="1" x14ac:dyDescent="0.3">
      <c r="B18" s="42">
        <v>8</v>
      </c>
      <c r="C18" s="118" t="s">
        <v>211</v>
      </c>
      <c r="D18" s="27" t="s">
        <v>187</v>
      </c>
      <c r="E18" s="27" t="s">
        <v>212</v>
      </c>
      <c r="F18" s="118">
        <v>3</v>
      </c>
      <c r="G18" s="55">
        <v>2</v>
      </c>
      <c r="H18" s="118">
        <v>5</v>
      </c>
      <c r="I18" s="119">
        <v>14.4</v>
      </c>
      <c r="J18" s="55">
        <f t="shared" si="0"/>
        <v>72</v>
      </c>
      <c r="K18" s="34"/>
      <c r="L18" s="34"/>
      <c r="M18" s="34"/>
      <c r="N18" s="34"/>
      <c r="O18" s="34"/>
      <c r="P18" s="34"/>
      <c r="Q18" s="34"/>
      <c r="R18" s="34"/>
      <c r="S18" s="34"/>
      <c r="T18" s="34"/>
    </row>
    <row r="19" spans="1:20" ht="12.75" customHeight="1" x14ac:dyDescent="0.3">
      <c r="B19" s="42">
        <v>9</v>
      </c>
      <c r="C19" s="118" t="s">
        <v>184</v>
      </c>
      <c r="D19" s="27" t="s">
        <v>187</v>
      </c>
      <c r="E19" s="27" t="s">
        <v>192</v>
      </c>
      <c r="F19" s="118">
        <v>1</v>
      </c>
      <c r="G19" s="55">
        <v>100</v>
      </c>
      <c r="H19" s="118">
        <v>100</v>
      </c>
      <c r="I19" s="119">
        <v>1.27</v>
      </c>
      <c r="J19" s="55">
        <f t="shared" si="0"/>
        <v>127</v>
      </c>
      <c r="K19" s="34"/>
      <c r="L19" s="34"/>
      <c r="M19" s="34"/>
      <c r="N19" s="34"/>
      <c r="O19" s="34"/>
      <c r="P19" s="34"/>
      <c r="Q19" s="34"/>
      <c r="R19" s="34"/>
      <c r="S19" s="34"/>
      <c r="T19" s="34"/>
    </row>
    <row r="20" spans="1:20" ht="12.75" customHeight="1" x14ac:dyDescent="0.3">
      <c r="B20" s="42">
        <v>10</v>
      </c>
      <c r="C20" s="118" t="s">
        <v>197</v>
      </c>
      <c r="D20" s="27" t="s">
        <v>187</v>
      </c>
      <c r="E20" s="27" t="s">
        <v>191</v>
      </c>
      <c r="F20" s="118">
        <v>3</v>
      </c>
      <c r="G20" s="55">
        <v>7</v>
      </c>
      <c r="H20" s="118">
        <v>21</v>
      </c>
      <c r="I20" s="119">
        <v>2.87</v>
      </c>
      <c r="J20" s="55">
        <f t="shared" si="0"/>
        <v>60.27</v>
      </c>
      <c r="K20" s="34"/>
      <c r="L20" s="34"/>
      <c r="M20" s="34"/>
      <c r="N20" s="34"/>
      <c r="O20" s="34"/>
      <c r="P20" s="34"/>
      <c r="Q20" s="34"/>
      <c r="R20" s="34"/>
      <c r="S20" s="34"/>
      <c r="T20" s="34"/>
    </row>
    <row r="21" spans="1:20" ht="12.75" customHeight="1" x14ac:dyDescent="0.25">
      <c r="A21" s="33"/>
      <c r="B21" s="34"/>
      <c r="C21" s="34"/>
      <c r="D21" s="34"/>
      <c r="E21" s="34"/>
      <c r="F21" s="34"/>
      <c r="G21" s="34"/>
      <c r="H21" s="34"/>
      <c r="I21" s="34"/>
      <c r="J21" s="34"/>
      <c r="K21" s="34"/>
      <c r="L21" s="34"/>
      <c r="M21" s="34"/>
      <c r="N21" s="34"/>
      <c r="O21" s="34"/>
      <c r="P21" s="34"/>
      <c r="Q21" s="34"/>
      <c r="R21" s="34"/>
      <c r="S21" s="34"/>
    </row>
    <row r="22" spans="1:20" ht="15.75" customHeight="1" x14ac:dyDescent="0.25"/>
    <row r="23" spans="1:20" ht="15.75" customHeight="1" x14ac:dyDescent="0.25"/>
    <row r="24" spans="1:20" ht="15.75" customHeight="1" x14ac:dyDescent="0.25"/>
    <row r="25" spans="1:20" ht="15.75" customHeight="1" x14ac:dyDescent="0.25"/>
    <row r="26" spans="1:20" ht="15.75" customHeight="1" x14ac:dyDescent="0.25"/>
    <row r="27" spans="1:20" ht="15.75" customHeight="1" x14ac:dyDescent="0.25"/>
    <row r="28" spans="1:20" ht="15.75" customHeight="1" x14ac:dyDescent="0.25"/>
    <row r="29" spans="1:20" ht="15.75" customHeight="1" x14ac:dyDescent="0.25"/>
    <row r="30" spans="1:20" ht="15.75" customHeight="1" x14ac:dyDescent="0.25"/>
    <row r="31" spans="1:20" ht="15.75" customHeight="1" x14ac:dyDescent="0.25"/>
    <row r="32" spans="1:20" ht="15.75" customHeight="1" x14ac:dyDescent="0.25"/>
    <row r="33" ht="15.75" customHeight="1" x14ac:dyDescent="0.25"/>
    <row r="34" ht="15.75" customHeight="1" x14ac:dyDescent="0.25"/>
    <row r="35" ht="15.75" customHeight="1" x14ac:dyDescent="0.25"/>
    <row r="36" ht="15.75" customHeight="1" x14ac:dyDescent="0.25"/>
    <row r="37" ht="15.75" customHeight="1" x14ac:dyDescent="0.25"/>
    <row r="38" ht="15.75" customHeight="1" x14ac:dyDescent="0.25"/>
    <row r="39" ht="15.75" customHeight="1" x14ac:dyDescent="0.25"/>
    <row r="40" ht="15.75" customHeight="1" x14ac:dyDescent="0.25"/>
    <row r="41" ht="15.75" customHeight="1" x14ac:dyDescent="0.25"/>
    <row r="42" ht="15.75" customHeight="1" x14ac:dyDescent="0.25"/>
    <row r="43" ht="15.75" customHeight="1" x14ac:dyDescent="0.25"/>
    <row r="44" ht="15.75" customHeight="1" x14ac:dyDescent="0.25"/>
    <row r="45" ht="15.75" customHeight="1" x14ac:dyDescent="0.25"/>
    <row r="46" ht="15.75" customHeight="1" x14ac:dyDescent="0.25"/>
    <row r="47" ht="15.75" customHeight="1" x14ac:dyDescent="0.25"/>
    <row r="48" ht="15.75" customHeight="1" x14ac:dyDescent="0.25"/>
    <row r="49" ht="15.75" customHeight="1" x14ac:dyDescent="0.25"/>
    <row r="50" ht="15.75" customHeight="1" x14ac:dyDescent="0.25"/>
    <row r="51" ht="15.75" customHeight="1" x14ac:dyDescent="0.25"/>
    <row r="52" ht="15.75" customHeight="1" x14ac:dyDescent="0.25"/>
    <row r="53" ht="15.75" customHeight="1" x14ac:dyDescent="0.25"/>
    <row r="54" ht="15.75" customHeight="1" x14ac:dyDescent="0.25"/>
    <row r="55" ht="15.75" customHeight="1" x14ac:dyDescent="0.25"/>
    <row r="56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</sheetData>
  <sheetProtection password="C2E9" sheet="1" objects="1" scenarios="1" formatColumns="0" formatRows="0" sort="0" autoFilter="0"/>
  <mergeCells count="1">
    <mergeCell ref="B8:J8"/>
  </mergeCells>
  <conditionalFormatting sqref="C11:C20">
    <cfRule type="duplicateValues" dxfId="6" priority="3"/>
  </conditionalFormatting>
  <dataValidations count="1">
    <dataValidation type="decimal" operator="greaterThanOrEqual" allowBlank="1" showInputMessage="1" showErrorMessage="1" sqref="F11:J20">
      <formula1>0</formula1>
    </dataValidation>
  </dataValidations>
  <pageMargins left="0.7" right="0.7" top="0.75" bottom="0.75" header="0" footer="0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Add_Drugs" altText="Add Paid item">
                <anchor moveWithCells="1">
                  <from>
                    <xdr:col>1</xdr:col>
                    <xdr:colOff>9525</xdr:colOff>
                    <xdr:row>10</xdr:row>
                    <xdr:rowOff>9525</xdr:rowOff>
                  </from>
                  <to>
                    <xdr:col>1</xdr:col>
                    <xdr:colOff>733425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Delete_Drugs" altText="Delete Paid item">
                <anchor moveWithCells="1">
                  <from>
                    <xdr:col>1</xdr:col>
                    <xdr:colOff>771525</xdr:colOff>
                    <xdr:row>10</xdr:row>
                    <xdr:rowOff>9525</xdr:rowOff>
                  </from>
                  <to>
                    <xdr:col>1</xdr:col>
                    <xdr:colOff>1495425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0070C0"/>
    <outlinePr summaryBelow="0" summaryRight="0"/>
  </sheetPr>
  <dimension ref="A1:P977"/>
  <sheetViews>
    <sheetView topLeftCell="A10" workbookViewId="0">
      <selection activeCell="F42" sqref="F42"/>
    </sheetView>
  </sheetViews>
  <sheetFormatPr defaultRowHeight="15" customHeight="1" outlineLevelRow="1" x14ac:dyDescent="0.25"/>
  <cols>
    <col min="1" max="1" width="2.42578125" style="35" customWidth="1"/>
    <col min="2" max="2" width="27" style="35" customWidth="1"/>
    <col min="3" max="3" width="40.5703125" style="35" bestFit="1" customWidth="1"/>
    <col min="4" max="4" width="22.42578125" style="35" bestFit="1" customWidth="1"/>
    <col min="5" max="5" width="10.42578125" style="35" customWidth="1"/>
    <col min="6" max="6" width="18.28515625" style="35" customWidth="1"/>
    <col min="7" max="7" width="26.85546875" style="35" bestFit="1" customWidth="1"/>
    <col min="8" max="16" width="8.7109375" style="35" customWidth="1"/>
    <col min="17" max="16384" width="9.140625" style="35"/>
  </cols>
  <sheetData>
    <row r="1" spans="1:16" ht="14.25" customHeight="1" x14ac:dyDescent="0.3">
      <c r="A1" s="44"/>
      <c r="B1" s="39"/>
      <c r="C1" s="44"/>
      <c r="D1" s="39"/>
      <c r="F1" s="39"/>
      <c r="G1" s="39"/>
      <c r="H1" s="39"/>
      <c r="I1" s="39"/>
      <c r="J1" s="39"/>
      <c r="K1" s="39"/>
      <c r="L1" s="39"/>
      <c r="M1" s="39"/>
      <c r="N1" s="39"/>
      <c r="O1" s="39"/>
      <c r="P1" s="39"/>
    </row>
    <row r="2" spans="1:16" ht="14.25" customHeight="1" x14ac:dyDescent="0.3">
      <c r="A2" s="44"/>
      <c r="B2" s="36" t="s">
        <v>67</v>
      </c>
      <c r="C2" s="36"/>
      <c r="D2" s="62" t="str">
        <f>'1.1 Case data_general'!D2</f>
        <v>NSD01</v>
      </c>
      <c r="E2" s="39"/>
      <c r="F2" s="39"/>
      <c r="G2" s="39"/>
      <c r="H2" s="39"/>
      <c r="I2" s="39"/>
      <c r="J2" s="39"/>
      <c r="K2" s="39"/>
      <c r="L2" s="39"/>
      <c r="M2" s="39"/>
      <c r="N2" s="39"/>
      <c r="O2" s="39"/>
      <c r="P2" s="39"/>
    </row>
    <row r="3" spans="1:16" ht="14.25" customHeight="1" collapsed="1" x14ac:dyDescent="0.3">
      <c r="A3" s="44"/>
      <c r="B3" s="39"/>
      <c r="C3" s="44"/>
      <c r="D3" s="39"/>
      <c r="F3" s="39"/>
      <c r="G3" s="39"/>
      <c r="H3" s="39"/>
      <c r="I3" s="39"/>
      <c r="J3" s="39"/>
      <c r="K3" s="39"/>
      <c r="L3" s="39"/>
      <c r="M3" s="39"/>
      <c r="N3" s="39"/>
      <c r="O3" s="39"/>
      <c r="P3" s="39"/>
    </row>
    <row r="4" spans="1:16" ht="14.25" hidden="1" customHeight="1" outlineLevel="1" x14ac:dyDescent="0.3">
      <c r="A4" s="44"/>
      <c r="B4" s="39" t="s">
        <v>72</v>
      </c>
      <c r="C4" s="44">
        <v>11</v>
      </c>
      <c r="D4" s="39"/>
      <c r="F4" s="39"/>
      <c r="G4" s="39"/>
      <c r="H4" s="39"/>
      <c r="I4" s="39"/>
      <c r="J4" s="39"/>
      <c r="K4" s="39"/>
      <c r="L4" s="39"/>
      <c r="M4" s="39"/>
      <c r="N4" s="39"/>
      <c r="O4" s="39"/>
      <c r="P4" s="39"/>
    </row>
    <row r="5" spans="1:16" ht="14.25" hidden="1" customHeight="1" outlineLevel="1" x14ac:dyDescent="0.3">
      <c r="A5" s="44"/>
      <c r="B5" s="39" t="s">
        <v>74</v>
      </c>
      <c r="C5" s="44">
        <v>15</v>
      </c>
      <c r="D5" s="39"/>
      <c r="F5" s="39"/>
      <c r="G5" s="39"/>
      <c r="H5" s="39"/>
      <c r="I5" s="39"/>
      <c r="J5" s="39"/>
      <c r="K5" s="39"/>
      <c r="L5" s="39"/>
      <c r="M5" s="39"/>
      <c r="N5" s="39"/>
      <c r="O5" s="39"/>
      <c r="P5" s="39"/>
    </row>
    <row r="6" spans="1:16" ht="14.25" hidden="1" customHeight="1" outlineLevel="1" x14ac:dyDescent="0.3">
      <c r="A6" s="44"/>
      <c r="B6" s="39" t="s">
        <v>73</v>
      </c>
      <c r="C6" s="44">
        <v>10</v>
      </c>
      <c r="D6" s="39"/>
      <c r="F6" s="39"/>
      <c r="G6" s="39"/>
      <c r="H6" s="39"/>
      <c r="I6" s="39"/>
      <c r="J6" s="39"/>
      <c r="K6" s="39"/>
      <c r="L6" s="39"/>
      <c r="M6" s="39"/>
      <c r="N6" s="39"/>
      <c r="O6" s="39"/>
      <c r="P6" s="39"/>
    </row>
    <row r="7" spans="1:16" ht="14.25" customHeight="1" x14ac:dyDescent="0.3">
      <c r="A7" s="44"/>
      <c r="B7" s="138" t="s">
        <v>23</v>
      </c>
      <c r="C7" s="139"/>
      <c r="D7" s="139"/>
      <c r="E7" s="139"/>
      <c r="F7" s="139"/>
      <c r="G7" s="140"/>
      <c r="H7" s="39"/>
      <c r="I7" s="39"/>
      <c r="J7" s="39"/>
      <c r="K7" s="39"/>
      <c r="L7" s="39"/>
      <c r="M7" s="39"/>
      <c r="N7" s="39"/>
      <c r="O7" s="39"/>
      <c r="P7" s="39"/>
    </row>
    <row r="8" spans="1:16" ht="14.25" customHeight="1" x14ac:dyDescent="0.3">
      <c r="A8" s="44"/>
      <c r="B8" s="144" t="s">
        <v>24</v>
      </c>
      <c r="C8" s="145"/>
      <c r="D8" s="145"/>
      <c r="E8" s="145"/>
      <c r="F8" s="145"/>
      <c r="G8" s="146"/>
      <c r="H8" s="39"/>
      <c r="I8" s="39"/>
      <c r="J8" s="39"/>
      <c r="K8" s="39"/>
      <c r="L8" s="39"/>
      <c r="M8" s="39"/>
      <c r="N8" s="39"/>
      <c r="O8" s="39"/>
      <c r="P8" s="39"/>
    </row>
    <row r="9" spans="1:16" ht="14.25" customHeight="1" x14ac:dyDescent="0.3">
      <c r="A9" s="44"/>
      <c r="B9" s="144" t="s">
        <v>68</v>
      </c>
      <c r="C9" s="145"/>
      <c r="D9" s="145"/>
      <c r="E9" s="145"/>
      <c r="F9" s="145"/>
      <c r="G9" s="146"/>
      <c r="H9" s="39"/>
      <c r="I9" s="39"/>
      <c r="J9" s="39"/>
      <c r="K9" s="39"/>
      <c r="L9" s="39"/>
      <c r="M9" s="39"/>
      <c r="N9" s="39"/>
      <c r="O9" s="39"/>
      <c r="P9" s="39"/>
    </row>
    <row r="10" spans="1:16" ht="14.25" customHeight="1" x14ac:dyDescent="0.3">
      <c r="A10" s="44"/>
      <c r="B10" s="144" t="s">
        <v>25</v>
      </c>
      <c r="C10" s="145"/>
      <c r="D10" s="145"/>
      <c r="E10" s="145"/>
      <c r="F10" s="145"/>
      <c r="G10" s="146"/>
      <c r="H10" s="39"/>
      <c r="I10" s="39"/>
      <c r="J10" s="39"/>
      <c r="K10" s="39"/>
      <c r="L10" s="39"/>
      <c r="M10" s="39"/>
      <c r="N10" s="39"/>
      <c r="O10" s="39"/>
      <c r="P10" s="39"/>
    </row>
    <row r="11" spans="1:16" ht="13.5" customHeight="1" x14ac:dyDescent="0.3">
      <c r="A11" s="63"/>
      <c r="B11" s="144" t="s">
        <v>26</v>
      </c>
      <c r="C11" s="145"/>
      <c r="D11" s="145"/>
      <c r="E11" s="145"/>
      <c r="F11" s="145"/>
      <c r="G11" s="146"/>
      <c r="H11" s="39"/>
      <c r="I11" s="39"/>
      <c r="J11" s="39"/>
      <c r="K11" s="39"/>
      <c r="L11" s="39"/>
      <c r="M11" s="39"/>
      <c r="N11" s="39"/>
      <c r="O11" s="39"/>
      <c r="P11" s="39"/>
    </row>
    <row r="12" spans="1:16" ht="14.25" customHeight="1" x14ac:dyDescent="0.3">
      <c r="A12" s="44"/>
      <c r="B12" s="147" t="s">
        <v>27</v>
      </c>
      <c r="C12" s="148"/>
      <c r="D12" s="148"/>
      <c r="E12" s="148"/>
      <c r="F12" s="148"/>
      <c r="G12" s="149"/>
      <c r="H12" s="39"/>
      <c r="I12" s="39"/>
      <c r="J12" s="39"/>
      <c r="K12" s="39"/>
      <c r="L12" s="39"/>
      <c r="M12" s="39"/>
      <c r="N12" s="39"/>
      <c r="O12" s="39"/>
      <c r="P12" s="39"/>
    </row>
    <row r="13" spans="1:16" ht="14.25" customHeight="1" x14ac:dyDescent="0.3">
      <c r="A13" s="44"/>
      <c r="B13" s="39"/>
      <c r="C13" s="44"/>
      <c r="D13" s="39"/>
      <c r="F13" s="39"/>
      <c r="G13" s="39"/>
      <c r="H13" s="39"/>
      <c r="I13" s="39"/>
      <c r="J13" s="39"/>
      <c r="K13" s="39"/>
      <c r="L13" s="39"/>
      <c r="M13" s="39"/>
      <c r="N13" s="39"/>
      <c r="O13" s="39"/>
      <c r="P13" s="39"/>
    </row>
    <row r="14" spans="1:16" ht="14.25" customHeight="1" x14ac:dyDescent="0.3">
      <c r="B14" s="64" t="s">
        <v>5</v>
      </c>
      <c r="C14" s="65" t="s">
        <v>70</v>
      </c>
      <c r="D14" s="66" t="s">
        <v>69</v>
      </c>
      <c r="E14" s="66" t="s">
        <v>28</v>
      </c>
      <c r="F14" s="66" t="s">
        <v>11</v>
      </c>
      <c r="G14" s="66" t="s">
        <v>16</v>
      </c>
      <c r="H14" s="67"/>
      <c r="I14" s="39"/>
      <c r="J14" s="39"/>
      <c r="K14" s="39"/>
      <c r="L14" s="39"/>
      <c r="M14" s="39"/>
      <c r="N14" s="39"/>
      <c r="O14" s="39"/>
      <c r="P14" s="39"/>
    </row>
    <row r="15" spans="1:16" ht="14.25" customHeight="1" x14ac:dyDescent="0.3">
      <c r="B15" s="141" t="s">
        <v>71</v>
      </c>
      <c r="C15" s="142"/>
      <c r="D15" s="142"/>
      <c r="E15" s="142"/>
      <c r="F15" s="142"/>
      <c r="G15" s="143"/>
      <c r="H15" s="39"/>
      <c r="I15" s="39"/>
      <c r="J15" s="39"/>
      <c r="K15" s="39"/>
      <c r="L15" s="39"/>
      <c r="M15" s="39"/>
      <c r="N15" s="39"/>
      <c r="O15" s="39"/>
      <c r="P15" s="39"/>
    </row>
    <row r="16" spans="1:16" ht="14.25" customHeight="1" x14ac:dyDescent="0.3">
      <c r="B16" s="68">
        <v>1</v>
      </c>
      <c r="C16" s="69"/>
      <c r="D16" s="70"/>
      <c r="E16" s="55"/>
      <c r="F16" s="55"/>
      <c r="G16" s="55"/>
      <c r="H16" s="39"/>
      <c r="I16" s="39"/>
      <c r="J16" s="39"/>
      <c r="K16" s="39"/>
      <c r="L16" s="39"/>
      <c r="M16" s="39"/>
      <c r="N16" s="39"/>
      <c r="O16" s="39"/>
      <c r="P16" s="39"/>
    </row>
    <row r="17" spans="2:16" ht="14.25" customHeight="1" x14ac:dyDescent="0.3">
      <c r="B17" s="68">
        <v>2</v>
      </c>
      <c r="C17" s="69"/>
      <c r="D17" s="70"/>
      <c r="E17" s="55"/>
      <c r="F17" s="55"/>
      <c r="G17" s="55"/>
      <c r="H17" s="39"/>
      <c r="I17" s="39"/>
      <c r="J17" s="39"/>
      <c r="K17" s="39"/>
      <c r="L17" s="39"/>
      <c r="M17" s="39"/>
      <c r="N17" s="39"/>
      <c r="O17" s="39"/>
      <c r="P17" s="39"/>
    </row>
    <row r="18" spans="2:16" ht="14.25" customHeight="1" x14ac:dyDescent="0.3">
      <c r="B18" s="68">
        <v>3</v>
      </c>
      <c r="C18" s="69"/>
      <c r="D18" s="70"/>
      <c r="E18" s="55"/>
      <c r="F18" s="55"/>
      <c r="G18" s="55"/>
      <c r="H18" s="39"/>
      <c r="I18" s="39"/>
      <c r="J18" s="39"/>
      <c r="K18" s="39"/>
      <c r="L18" s="39"/>
      <c r="M18" s="39"/>
      <c r="N18" s="39"/>
      <c r="O18" s="39"/>
      <c r="P18" s="39"/>
    </row>
    <row r="19" spans="2:16" ht="14.25" customHeight="1" x14ac:dyDescent="0.3">
      <c r="B19" s="68">
        <v>4</v>
      </c>
      <c r="C19" s="69"/>
      <c r="D19" s="70"/>
      <c r="E19" s="55"/>
      <c r="F19" s="55"/>
      <c r="G19" s="55"/>
      <c r="H19" s="39"/>
      <c r="I19" s="39"/>
      <c r="J19" s="39"/>
      <c r="K19" s="39"/>
      <c r="L19" s="39"/>
      <c r="M19" s="39"/>
      <c r="N19" s="39"/>
      <c r="O19" s="39"/>
      <c r="P19" s="39"/>
    </row>
    <row r="20" spans="2:16" ht="14.25" customHeight="1" x14ac:dyDescent="0.3">
      <c r="B20" s="68">
        <v>5</v>
      </c>
      <c r="C20" s="69"/>
      <c r="D20" s="70"/>
      <c r="E20" s="55"/>
      <c r="F20" s="55"/>
      <c r="G20" s="55"/>
      <c r="H20" s="39"/>
      <c r="I20" s="39"/>
      <c r="J20" s="39"/>
      <c r="K20" s="39"/>
      <c r="L20" s="39"/>
      <c r="M20" s="39"/>
      <c r="N20" s="39"/>
      <c r="O20" s="39"/>
      <c r="P20" s="39"/>
    </row>
    <row r="21" spans="2:16" ht="14.25" customHeight="1" x14ac:dyDescent="0.3">
      <c r="B21" s="68">
        <v>6</v>
      </c>
      <c r="C21" s="69"/>
      <c r="D21" s="70"/>
      <c r="E21" s="55"/>
      <c r="F21" s="55"/>
      <c r="G21" s="55"/>
      <c r="H21" s="39"/>
      <c r="I21" s="39"/>
      <c r="J21" s="39"/>
      <c r="K21" s="39"/>
      <c r="L21" s="39"/>
      <c r="M21" s="39"/>
      <c r="N21" s="39"/>
      <c r="O21" s="39"/>
      <c r="P21" s="39"/>
    </row>
    <row r="22" spans="2:16" ht="14.25" customHeight="1" x14ac:dyDescent="0.3">
      <c r="B22" s="68">
        <v>7</v>
      </c>
      <c r="C22" s="69"/>
      <c r="D22" s="70"/>
      <c r="E22" s="55"/>
      <c r="F22" s="55"/>
      <c r="G22" s="55"/>
      <c r="H22" s="39"/>
      <c r="I22" s="39"/>
      <c r="J22" s="39"/>
      <c r="K22" s="39"/>
      <c r="L22" s="39"/>
      <c r="M22" s="39"/>
      <c r="N22" s="39"/>
      <c r="O22" s="39"/>
      <c r="P22" s="39"/>
    </row>
    <row r="23" spans="2:16" ht="14.25" customHeight="1" x14ac:dyDescent="0.3">
      <c r="B23" s="68">
        <v>8</v>
      </c>
      <c r="C23" s="69"/>
      <c r="D23" s="70"/>
      <c r="E23" s="55"/>
      <c r="F23" s="55"/>
      <c r="G23" s="55"/>
      <c r="H23" s="39"/>
      <c r="I23" s="39"/>
      <c r="J23" s="39"/>
      <c r="K23" s="39"/>
      <c r="L23" s="39"/>
      <c r="M23" s="39"/>
      <c r="N23" s="39"/>
      <c r="O23" s="39"/>
      <c r="P23" s="39"/>
    </row>
    <row r="24" spans="2:16" ht="14.25" customHeight="1" x14ac:dyDescent="0.3">
      <c r="B24" s="68">
        <v>9</v>
      </c>
      <c r="C24" s="69"/>
      <c r="D24" s="70"/>
      <c r="E24" s="55"/>
      <c r="F24" s="55"/>
      <c r="G24" s="55"/>
      <c r="H24" s="39"/>
      <c r="I24" s="39"/>
      <c r="J24" s="39"/>
      <c r="K24" s="39"/>
      <c r="L24" s="39"/>
      <c r="M24" s="39"/>
      <c r="N24" s="39"/>
      <c r="O24" s="39"/>
      <c r="P24" s="39"/>
    </row>
    <row r="25" spans="2:16" ht="14.25" customHeight="1" x14ac:dyDescent="0.3">
      <c r="B25" s="68">
        <v>10</v>
      </c>
      <c r="C25" s="69"/>
      <c r="D25" s="70"/>
      <c r="E25" s="55"/>
      <c r="F25" s="55"/>
      <c r="G25" s="55"/>
      <c r="H25" s="39"/>
      <c r="I25" s="39"/>
      <c r="J25" s="39"/>
      <c r="K25" s="39"/>
      <c r="L25" s="39"/>
      <c r="M25" s="39"/>
      <c r="N25" s="39"/>
      <c r="O25" s="39"/>
      <c r="P25" s="39"/>
    </row>
    <row r="26" spans="2:16" ht="14.25" customHeight="1" x14ac:dyDescent="0.3">
      <c r="B26" s="68">
        <v>11</v>
      </c>
      <c r="C26" s="69"/>
      <c r="D26" s="70"/>
      <c r="E26" s="55"/>
      <c r="F26" s="55"/>
      <c r="G26" s="55"/>
      <c r="H26" s="39"/>
      <c r="I26" s="39"/>
      <c r="J26" s="39"/>
      <c r="K26" s="39"/>
      <c r="L26" s="39"/>
      <c r="M26" s="39"/>
      <c r="N26" s="39"/>
      <c r="O26" s="39"/>
      <c r="P26" s="39"/>
    </row>
    <row r="27" spans="2:16" ht="14.25" customHeight="1" x14ac:dyDescent="0.3">
      <c r="B27" s="141" t="s">
        <v>75</v>
      </c>
      <c r="C27" s="142"/>
      <c r="D27" s="142"/>
      <c r="E27" s="142"/>
      <c r="F27" s="142"/>
      <c r="G27" s="143"/>
      <c r="H27" s="39"/>
      <c r="I27" s="39"/>
      <c r="J27" s="39"/>
      <c r="K27" s="39"/>
      <c r="L27" s="39"/>
      <c r="M27" s="39"/>
      <c r="N27" s="39"/>
      <c r="O27" s="39"/>
      <c r="P27" s="39"/>
    </row>
    <row r="28" spans="2:16" ht="14.25" customHeight="1" x14ac:dyDescent="0.3">
      <c r="B28" s="68">
        <v>1</v>
      </c>
      <c r="C28" s="118" t="s">
        <v>209</v>
      </c>
      <c r="D28" s="117" t="s">
        <v>180</v>
      </c>
      <c r="E28" s="116">
        <v>1</v>
      </c>
      <c r="F28" s="116">
        <v>20</v>
      </c>
      <c r="G28" s="116">
        <f>+E28*F28</f>
        <v>20</v>
      </c>
      <c r="H28" s="39"/>
      <c r="I28" s="39"/>
      <c r="J28" s="39"/>
      <c r="K28" s="39"/>
      <c r="L28" s="39"/>
      <c r="M28" s="39"/>
      <c r="N28" s="39"/>
      <c r="O28" s="39"/>
      <c r="P28" s="39"/>
    </row>
    <row r="29" spans="2:16" ht="14.25" customHeight="1" x14ac:dyDescent="0.3">
      <c r="B29" s="68">
        <v>2</v>
      </c>
      <c r="C29" s="118" t="s">
        <v>172</v>
      </c>
      <c r="D29" s="117" t="s">
        <v>164</v>
      </c>
      <c r="E29" s="116">
        <v>4</v>
      </c>
      <c r="F29" s="116">
        <v>11.73</v>
      </c>
      <c r="G29" s="116">
        <f t="shared" ref="G29:G42" si="0">+E29*F29</f>
        <v>46.92</v>
      </c>
      <c r="H29" s="39"/>
      <c r="I29" s="39"/>
      <c r="J29" s="39"/>
      <c r="K29" s="39"/>
      <c r="L29" s="39"/>
      <c r="M29" s="39"/>
      <c r="N29" s="39"/>
      <c r="O29" s="39"/>
      <c r="P29" s="39"/>
    </row>
    <row r="30" spans="2:16" ht="14.25" customHeight="1" x14ac:dyDescent="0.3">
      <c r="B30" s="68">
        <v>3</v>
      </c>
      <c r="C30" s="118" t="s">
        <v>173</v>
      </c>
      <c r="D30" s="117" t="s">
        <v>164</v>
      </c>
      <c r="E30" s="116">
        <v>4</v>
      </c>
      <c r="F30" s="116">
        <v>1.6</v>
      </c>
      <c r="G30" s="116">
        <f t="shared" si="0"/>
        <v>6.4</v>
      </c>
      <c r="H30" s="39"/>
      <c r="I30" s="39"/>
      <c r="J30" s="39"/>
      <c r="K30" s="39"/>
      <c r="L30" s="39"/>
      <c r="M30" s="39"/>
      <c r="N30" s="39"/>
      <c r="O30" s="39"/>
      <c r="P30" s="39"/>
    </row>
    <row r="31" spans="2:16" ht="14.25" customHeight="1" x14ac:dyDescent="0.3">
      <c r="B31" s="68">
        <v>4</v>
      </c>
      <c r="C31" s="118" t="s">
        <v>174</v>
      </c>
      <c r="D31" s="117" t="s">
        <v>164</v>
      </c>
      <c r="E31" s="116">
        <v>6</v>
      </c>
      <c r="F31" s="116">
        <v>1.6</v>
      </c>
      <c r="G31" s="116">
        <f t="shared" si="0"/>
        <v>9.6000000000000014</v>
      </c>
      <c r="H31" s="39"/>
      <c r="I31" s="39"/>
      <c r="J31" s="39"/>
      <c r="K31" s="39"/>
      <c r="L31" s="39"/>
      <c r="M31" s="39"/>
      <c r="N31" s="39"/>
      <c r="O31" s="39"/>
      <c r="P31" s="39"/>
    </row>
    <row r="32" spans="2:16" ht="14.25" customHeight="1" x14ac:dyDescent="0.3">
      <c r="B32" s="68">
        <v>5</v>
      </c>
      <c r="C32" s="118" t="s">
        <v>175</v>
      </c>
      <c r="D32" s="117" t="s">
        <v>164</v>
      </c>
      <c r="E32" s="116">
        <v>6</v>
      </c>
      <c r="F32" s="116">
        <v>5</v>
      </c>
      <c r="G32" s="116">
        <f t="shared" si="0"/>
        <v>30</v>
      </c>
      <c r="H32" s="39"/>
      <c r="I32" s="39"/>
      <c r="J32" s="39"/>
      <c r="K32" s="39"/>
      <c r="L32" s="39"/>
      <c r="M32" s="39"/>
      <c r="N32" s="39"/>
      <c r="O32" s="39"/>
      <c r="P32" s="39"/>
    </row>
    <row r="33" spans="2:16" ht="14.25" customHeight="1" x14ac:dyDescent="0.3">
      <c r="B33" s="68">
        <v>6</v>
      </c>
      <c r="C33" s="118" t="s">
        <v>201</v>
      </c>
      <c r="D33" s="117" t="s">
        <v>164</v>
      </c>
      <c r="E33" s="116">
        <v>2</v>
      </c>
      <c r="F33" s="116">
        <v>250</v>
      </c>
      <c r="G33" s="116">
        <f t="shared" si="0"/>
        <v>500</v>
      </c>
      <c r="H33" s="39"/>
      <c r="I33" s="39"/>
      <c r="J33" s="39"/>
      <c r="K33" s="39"/>
      <c r="L33" s="39"/>
      <c r="M33" s="39"/>
      <c r="N33" s="39"/>
      <c r="O33" s="39"/>
      <c r="P33" s="39"/>
    </row>
    <row r="34" spans="2:16" ht="14.25" customHeight="1" x14ac:dyDescent="0.3">
      <c r="B34" s="68">
        <v>7</v>
      </c>
      <c r="C34" s="118" t="s">
        <v>177</v>
      </c>
      <c r="D34" s="117" t="s">
        <v>164</v>
      </c>
      <c r="E34" s="116">
        <v>2</v>
      </c>
      <c r="F34" s="116">
        <v>5</v>
      </c>
      <c r="G34" s="116">
        <f t="shared" si="0"/>
        <v>10</v>
      </c>
      <c r="H34" s="39"/>
      <c r="I34" s="39"/>
      <c r="J34" s="39"/>
      <c r="K34" s="39"/>
      <c r="L34" s="39"/>
      <c r="M34" s="39"/>
      <c r="N34" s="39"/>
      <c r="O34" s="39"/>
      <c r="P34" s="39"/>
    </row>
    <row r="35" spans="2:16" ht="14.25" customHeight="1" x14ac:dyDescent="0.3">
      <c r="B35" s="68">
        <v>8</v>
      </c>
      <c r="C35" s="118" t="s">
        <v>171</v>
      </c>
      <c r="D35" s="117" t="s">
        <v>164</v>
      </c>
      <c r="E35" s="116">
        <v>2</v>
      </c>
      <c r="F35" s="116">
        <v>20.97</v>
      </c>
      <c r="G35" s="116">
        <f t="shared" si="0"/>
        <v>41.94</v>
      </c>
      <c r="H35" s="39"/>
      <c r="I35" s="39"/>
      <c r="J35" s="39"/>
      <c r="K35" s="39"/>
      <c r="L35" s="39"/>
      <c r="M35" s="39"/>
      <c r="N35" s="39"/>
      <c r="O35" s="39"/>
      <c r="P35" s="39"/>
    </row>
    <row r="36" spans="2:16" ht="14.25" customHeight="1" x14ac:dyDescent="0.3">
      <c r="B36" s="68">
        <v>9</v>
      </c>
      <c r="C36" s="118" t="s">
        <v>179</v>
      </c>
      <c r="D36" s="117" t="s">
        <v>164</v>
      </c>
      <c r="E36" s="116">
        <v>1</v>
      </c>
      <c r="F36" s="116">
        <v>118.67</v>
      </c>
      <c r="G36" s="116">
        <f t="shared" si="0"/>
        <v>118.67</v>
      </c>
      <c r="H36" s="39"/>
      <c r="I36" s="39"/>
      <c r="J36" s="39"/>
      <c r="K36" s="39"/>
      <c r="L36" s="39"/>
      <c r="M36" s="39"/>
      <c r="N36" s="39"/>
      <c r="O36" s="39"/>
      <c r="P36" s="39"/>
    </row>
    <row r="37" spans="2:16" ht="14.25" customHeight="1" x14ac:dyDescent="0.3">
      <c r="B37" s="68">
        <v>10</v>
      </c>
      <c r="C37" s="118" t="s">
        <v>213</v>
      </c>
      <c r="D37" s="117" t="s">
        <v>164</v>
      </c>
      <c r="E37" s="116">
        <v>1</v>
      </c>
      <c r="F37" s="116">
        <v>8.2200000000000006</v>
      </c>
      <c r="G37" s="116">
        <f t="shared" si="0"/>
        <v>8.2200000000000006</v>
      </c>
      <c r="H37" s="39"/>
      <c r="I37" s="39"/>
      <c r="J37" s="39"/>
      <c r="K37" s="39"/>
      <c r="L37" s="39"/>
      <c r="M37" s="39"/>
      <c r="N37" s="39"/>
      <c r="O37" s="39"/>
      <c r="P37" s="39"/>
    </row>
    <row r="38" spans="2:16" ht="14.25" customHeight="1" x14ac:dyDescent="0.3">
      <c r="B38" s="68">
        <v>11</v>
      </c>
      <c r="C38" s="118" t="s">
        <v>200</v>
      </c>
      <c r="D38" s="117" t="s">
        <v>164</v>
      </c>
      <c r="E38" s="116">
        <v>1</v>
      </c>
      <c r="F38" s="116">
        <v>7.8</v>
      </c>
      <c r="G38" s="116">
        <f t="shared" si="0"/>
        <v>7.8</v>
      </c>
      <c r="H38" s="39"/>
      <c r="I38" s="39"/>
      <c r="J38" s="39"/>
      <c r="K38" s="39"/>
      <c r="L38" s="39"/>
      <c r="M38" s="39"/>
      <c r="N38" s="39"/>
      <c r="O38" s="39"/>
      <c r="P38" s="39"/>
    </row>
    <row r="39" spans="2:16" ht="14.25" customHeight="1" x14ac:dyDescent="0.3">
      <c r="B39" s="68">
        <v>12</v>
      </c>
      <c r="C39" s="118" t="s">
        <v>214</v>
      </c>
      <c r="D39" s="117" t="s">
        <v>194</v>
      </c>
      <c r="E39" s="116">
        <v>3</v>
      </c>
      <c r="F39" s="116">
        <v>128</v>
      </c>
      <c r="G39" s="116">
        <f t="shared" si="0"/>
        <v>384</v>
      </c>
      <c r="H39" s="39"/>
      <c r="I39" s="39"/>
      <c r="J39" s="39"/>
      <c r="K39" s="39"/>
      <c r="L39" s="39"/>
      <c r="M39" s="39"/>
      <c r="N39" s="39"/>
      <c r="O39" s="39"/>
      <c r="P39" s="39"/>
    </row>
    <row r="40" spans="2:16" ht="14.25" customHeight="1" x14ac:dyDescent="0.3">
      <c r="B40" s="68">
        <v>13</v>
      </c>
      <c r="C40" s="118" t="s">
        <v>215</v>
      </c>
      <c r="D40" s="117" t="s">
        <v>193</v>
      </c>
      <c r="E40" s="116">
        <v>1</v>
      </c>
      <c r="F40" s="116">
        <v>100</v>
      </c>
      <c r="G40" s="116">
        <f t="shared" si="0"/>
        <v>100</v>
      </c>
      <c r="H40" s="39"/>
      <c r="I40" s="39"/>
      <c r="J40" s="39"/>
      <c r="K40" s="39"/>
      <c r="L40" s="39"/>
      <c r="M40" s="39"/>
      <c r="N40" s="39"/>
      <c r="O40" s="39"/>
      <c r="P40" s="39"/>
    </row>
    <row r="41" spans="2:16" ht="14.25" customHeight="1" x14ac:dyDescent="0.3">
      <c r="B41" s="68">
        <v>14</v>
      </c>
      <c r="C41" s="118" t="s">
        <v>216</v>
      </c>
      <c r="D41" s="117" t="s">
        <v>164</v>
      </c>
      <c r="E41" s="116">
        <v>1</v>
      </c>
      <c r="F41" s="116">
        <v>222.2</v>
      </c>
      <c r="G41" s="116">
        <f t="shared" si="0"/>
        <v>222.2</v>
      </c>
      <c r="H41" s="39"/>
      <c r="I41" s="39"/>
      <c r="J41" s="39"/>
      <c r="K41" s="39"/>
      <c r="L41" s="39"/>
      <c r="M41" s="39"/>
      <c r="N41" s="39"/>
      <c r="O41" s="39"/>
      <c r="P41" s="39"/>
    </row>
    <row r="42" spans="2:16" ht="14.25" customHeight="1" x14ac:dyDescent="0.3">
      <c r="B42" s="68">
        <v>15</v>
      </c>
      <c r="C42" s="118" t="s">
        <v>176</v>
      </c>
      <c r="D42" s="117" t="s">
        <v>164</v>
      </c>
      <c r="E42" s="116">
        <v>1</v>
      </c>
      <c r="F42" s="116">
        <v>3.25</v>
      </c>
      <c r="G42" s="116">
        <f t="shared" si="0"/>
        <v>3.25</v>
      </c>
      <c r="H42" s="39"/>
      <c r="I42" s="39"/>
      <c r="J42" s="39"/>
      <c r="K42" s="39"/>
      <c r="L42" s="39"/>
      <c r="M42" s="39"/>
      <c r="N42" s="39"/>
      <c r="O42" s="39"/>
      <c r="P42" s="39"/>
    </row>
    <row r="43" spans="2:16" ht="14.25" customHeight="1" x14ac:dyDescent="0.3">
      <c r="B43" s="141" t="s">
        <v>29</v>
      </c>
      <c r="C43" s="142"/>
      <c r="D43" s="142"/>
      <c r="E43" s="142"/>
      <c r="F43" s="142"/>
      <c r="G43" s="143"/>
      <c r="H43" s="39"/>
      <c r="I43" s="39"/>
      <c r="J43" s="39"/>
      <c r="K43" s="39"/>
      <c r="L43" s="39"/>
      <c r="M43" s="39"/>
      <c r="N43" s="39"/>
      <c r="O43" s="39"/>
      <c r="P43" s="39"/>
    </row>
    <row r="44" spans="2:16" ht="14.25" customHeight="1" x14ac:dyDescent="0.3">
      <c r="B44" s="68">
        <v>1</v>
      </c>
      <c r="C44" s="69"/>
      <c r="D44" s="70"/>
      <c r="E44" s="55"/>
      <c r="F44" s="55"/>
      <c r="G44" s="55"/>
      <c r="H44" s="39"/>
      <c r="I44" s="39"/>
      <c r="J44" s="39"/>
      <c r="K44" s="39"/>
      <c r="L44" s="39"/>
      <c r="M44" s="39"/>
      <c r="N44" s="39"/>
      <c r="O44" s="39"/>
      <c r="P44" s="39"/>
    </row>
    <row r="45" spans="2:16" ht="14.25" customHeight="1" x14ac:dyDescent="0.3">
      <c r="B45" s="68">
        <v>2</v>
      </c>
      <c r="C45" s="69"/>
      <c r="D45" s="70"/>
      <c r="E45" s="55"/>
      <c r="F45" s="55"/>
      <c r="G45" s="55"/>
      <c r="H45" s="39"/>
      <c r="I45" s="39"/>
      <c r="J45" s="39"/>
      <c r="K45" s="39"/>
      <c r="L45" s="39"/>
      <c r="M45" s="39"/>
      <c r="N45" s="39"/>
      <c r="O45" s="39"/>
      <c r="P45" s="39"/>
    </row>
    <row r="46" spans="2:16" ht="14.25" customHeight="1" x14ac:dyDescent="0.3">
      <c r="B46" s="68">
        <v>3</v>
      </c>
      <c r="C46" s="69"/>
      <c r="D46" s="70"/>
      <c r="E46" s="55"/>
      <c r="F46" s="55"/>
      <c r="G46" s="55"/>
      <c r="H46" s="39"/>
      <c r="I46" s="39"/>
      <c r="J46" s="39"/>
      <c r="K46" s="39"/>
      <c r="L46" s="39"/>
      <c r="M46" s="39"/>
      <c r="N46" s="39"/>
      <c r="O46" s="39"/>
      <c r="P46" s="39"/>
    </row>
    <row r="47" spans="2:16" ht="14.25" customHeight="1" x14ac:dyDescent="0.3">
      <c r="B47" s="68">
        <v>4</v>
      </c>
      <c r="C47" s="69"/>
      <c r="D47" s="70"/>
      <c r="E47" s="55"/>
      <c r="F47" s="55"/>
      <c r="G47" s="55"/>
      <c r="H47" s="39"/>
      <c r="I47" s="39"/>
      <c r="J47" s="39"/>
      <c r="K47" s="39"/>
      <c r="L47" s="39"/>
      <c r="M47" s="39"/>
      <c r="N47" s="39"/>
      <c r="O47" s="39"/>
      <c r="P47" s="39"/>
    </row>
    <row r="48" spans="2:16" ht="14.25" customHeight="1" x14ac:dyDescent="0.3">
      <c r="B48" s="68">
        <v>5</v>
      </c>
      <c r="C48" s="69"/>
      <c r="D48" s="70"/>
      <c r="E48" s="55"/>
      <c r="F48" s="55"/>
      <c r="G48" s="55"/>
      <c r="H48" s="39"/>
      <c r="I48" s="39"/>
      <c r="J48" s="39"/>
      <c r="K48" s="39"/>
      <c r="L48" s="39"/>
      <c r="M48" s="39"/>
      <c r="N48" s="39"/>
      <c r="O48" s="39"/>
      <c r="P48" s="39"/>
    </row>
    <row r="49" spans="1:16" ht="14.25" customHeight="1" x14ac:dyDescent="0.3">
      <c r="B49" s="68">
        <v>6</v>
      </c>
      <c r="C49" s="69"/>
      <c r="D49" s="70"/>
      <c r="E49" s="55"/>
      <c r="F49" s="55"/>
      <c r="G49" s="55"/>
      <c r="H49" s="39"/>
      <c r="I49" s="39"/>
      <c r="J49" s="39"/>
      <c r="K49" s="39"/>
      <c r="L49" s="39"/>
      <c r="M49" s="39"/>
      <c r="N49" s="39"/>
      <c r="O49" s="39"/>
      <c r="P49" s="39"/>
    </row>
    <row r="50" spans="1:16" ht="14.25" customHeight="1" x14ac:dyDescent="0.3">
      <c r="B50" s="68">
        <v>7</v>
      </c>
      <c r="C50" s="69"/>
      <c r="D50" s="70"/>
      <c r="E50" s="55"/>
      <c r="F50" s="55"/>
      <c r="G50" s="55"/>
      <c r="H50" s="39"/>
      <c r="I50" s="39"/>
      <c r="J50" s="39"/>
      <c r="K50" s="39"/>
      <c r="L50" s="39"/>
      <c r="M50" s="39"/>
      <c r="N50" s="39"/>
      <c r="O50" s="39"/>
      <c r="P50" s="39"/>
    </row>
    <row r="51" spans="1:16" ht="14.25" customHeight="1" x14ac:dyDescent="0.3">
      <c r="B51" s="68">
        <v>8</v>
      </c>
      <c r="C51" s="69"/>
      <c r="D51" s="70"/>
      <c r="E51" s="55"/>
      <c r="F51" s="55"/>
      <c r="G51" s="55"/>
      <c r="H51" s="39"/>
      <c r="I51" s="39"/>
      <c r="J51" s="39"/>
      <c r="K51" s="39"/>
      <c r="L51" s="39"/>
      <c r="M51" s="39"/>
      <c r="N51" s="39"/>
      <c r="O51" s="39"/>
      <c r="P51" s="39"/>
    </row>
    <row r="52" spans="1:16" ht="14.25" customHeight="1" x14ac:dyDescent="0.3">
      <c r="B52" s="68">
        <v>9</v>
      </c>
      <c r="C52" s="69"/>
      <c r="D52" s="70"/>
      <c r="E52" s="55"/>
      <c r="F52" s="55"/>
      <c r="G52" s="55"/>
      <c r="H52" s="39"/>
      <c r="I52" s="39"/>
      <c r="J52" s="39"/>
      <c r="K52" s="39"/>
      <c r="L52" s="39"/>
      <c r="M52" s="39"/>
      <c r="N52" s="39"/>
      <c r="O52" s="39"/>
      <c r="P52" s="39"/>
    </row>
    <row r="53" spans="1:16" ht="14.25" customHeight="1" x14ac:dyDescent="0.3">
      <c r="B53" s="68">
        <v>10</v>
      </c>
      <c r="C53" s="69"/>
      <c r="D53" s="70"/>
      <c r="E53" s="55"/>
      <c r="F53" s="55"/>
      <c r="G53" s="55"/>
      <c r="H53" s="39"/>
      <c r="I53" s="39"/>
      <c r="J53" s="39"/>
      <c r="K53" s="39"/>
      <c r="L53" s="39"/>
      <c r="M53" s="39"/>
      <c r="N53" s="39"/>
      <c r="O53" s="39"/>
      <c r="P53" s="39"/>
    </row>
    <row r="54" spans="1:16" ht="14.25" customHeight="1" x14ac:dyDescent="0.3">
      <c r="A54" s="44"/>
      <c r="B54" s="39"/>
      <c r="C54" s="44"/>
      <c r="D54" s="39"/>
      <c r="E54" s="39"/>
      <c r="F54" s="39"/>
      <c r="G54" s="39"/>
      <c r="H54" s="39"/>
      <c r="I54" s="39"/>
      <c r="J54" s="39"/>
      <c r="K54" s="39"/>
      <c r="L54" s="39"/>
      <c r="M54" s="39"/>
      <c r="N54" s="39"/>
      <c r="O54" s="39"/>
      <c r="P54" s="39"/>
    </row>
    <row r="55" spans="1:16" ht="14.25" customHeight="1" x14ac:dyDescent="0.3">
      <c r="A55" s="44"/>
      <c r="B55" s="39"/>
      <c r="C55" s="44"/>
      <c r="D55" s="39"/>
      <c r="F55" s="39"/>
      <c r="G55" s="39"/>
      <c r="H55" s="39"/>
      <c r="I55" s="39"/>
      <c r="J55" s="39"/>
      <c r="K55" s="39"/>
      <c r="L55" s="39"/>
      <c r="M55" s="39"/>
      <c r="N55" s="39"/>
      <c r="O55" s="39"/>
      <c r="P55" s="39"/>
    </row>
    <row r="56" spans="1:16" ht="15.75" customHeight="1" x14ac:dyDescent="0.25"/>
    <row r="57" spans="1:16" ht="15.75" customHeight="1" x14ac:dyDescent="0.25"/>
    <row r="58" spans="1:16" ht="15.75" customHeight="1" x14ac:dyDescent="0.25"/>
    <row r="59" spans="1:16" ht="15.75" customHeight="1" x14ac:dyDescent="0.25"/>
    <row r="60" spans="1:16" ht="15.75" customHeight="1" x14ac:dyDescent="0.25"/>
    <row r="61" spans="1:16" ht="15.75" customHeight="1" x14ac:dyDescent="0.25"/>
    <row r="62" spans="1:16" ht="15.75" customHeight="1" x14ac:dyDescent="0.25"/>
    <row r="63" spans="1:16" ht="15.75" customHeight="1" x14ac:dyDescent="0.25"/>
    <row r="64" spans="1:16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</sheetData>
  <sheetProtection password="C2E9" sheet="1" objects="1" scenarios="1" formatColumns="0" formatRows="0" sort="0" autoFilter="0"/>
  <mergeCells count="9">
    <mergeCell ref="B7:G7"/>
    <mergeCell ref="B27:G27"/>
    <mergeCell ref="B43:G43"/>
    <mergeCell ref="B8:G8"/>
    <mergeCell ref="B9:G9"/>
    <mergeCell ref="B10:G10"/>
    <mergeCell ref="B11:G11"/>
    <mergeCell ref="B12:G12"/>
    <mergeCell ref="B15:G15"/>
  </mergeCells>
  <conditionalFormatting sqref="C28">
    <cfRule type="duplicateValues" dxfId="5" priority="6"/>
  </conditionalFormatting>
  <conditionalFormatting sqref="C29:C42">
    <cfRule type="duplicateValues" dxfId="1" priority="1"/>
    <cfRule type="duplicateValues" dxfId="0" priority="2"/>
  </conditionalFormatting>
  <dataValidations count="1">
    <dataValidation type="decimal" operator="greaterThanOrEqual" allowBlank="1" showInputMessage="1" showErrorMessage="1" sqref="E16:G53">
      <formula1>0</formula1>
    </dataValidation>
  </dataValidations>
  <pageMargins left="0.7" right="0.7" top="0.75" bottom="0.75" header="0" footer="0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Add_AtWards" altText="Add Paid item">
                <anchor moveWithCells="1">
                  <from>
                    <xdr:col>1</xdr:col>
                    <xdr:colOff>47625</xdr:colOff>
                    <xdr:row>15</xdr:row>
                    <xdr:rowOff>28575</xdr:rowOff>
                  </from>
                  <to>
                    <xdr:col>1</xdr:col>
                    <xdr:colOff>771525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4" name="Button 2">
              <controlPr defaultSize="0" print="0" autoFill="0" autoPict="0" macro="[0]!Delete_AtWards" altText="Delete Paid item">
                <anchor moveWithCells="1">
                  <from>
                    <xdr:col>1</xdr:col>
                    <xdr:colOff>819150</xdr:colOff>
                    <xdr:row>15</xdr:row>
                    <xdr:rowOff>28575</xdr:rowOff>
                  </from>
                  <to>
                    <xdr:col>1</xdr:col>
                    <xdr:colOff>1543050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5" name="Button 3">
              <controlPr defaultSize="0" print="0" autoFill="0" autoPict="0" macro="[0]!Add_AtOR" altText="Add Paid item">
                <anchor moveWithCells="1">
                  <from>
                    <xdr:col>1</xdr:col>
                    <xdr:colOff>38100</xdr:colOff>
                    <xdr:row>27</xdr:row>
                    <xdr:rowOff>28575</xdr:rowOff>
                  </from>
                  <to>
                    <xdr:col>1</xdr:col>
                    <xdr:colOff>762000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6" name="Button 4">
              <controlPr defaultSize="0" print="0" autoFill="0" autoPict="0" macro="[0]!Delete_AtOR" altText="Delete Paid item">
                <anchor moveWithCells="1">
                  <from>
                    <xdr:col>1</xdr:col>
                    <xdr:colOff>809625</xdr:colOff>
                    <xdr:row>27</xdr:row>
                    <xdr:rowOff>28575</xdr:rowOff>
                  </from>
                  <to>
                    <xdr:col>1</xdr:col>
                    <xdr:colOff>1533525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7" r:id="rId7" name="Button 11">
              <controlPr defaultSize="0" print="0" autoFill="0" autoPict="0" macro="[0]!Add_AtICU" altText="Add Paid item">
                <anchor moveWithCells="1">
                  <from>
                    <xdr:col>1</xdr:col>
                    <xdr:colOff>47625</xdr:colOff>
                    <xdr:row>43</xdr:row>
                    <xdr:rowOff>28575</xdr:rowOff>
                  </from>
                  <to>
                    <xdr:col>1</xdr:col>
                    <xdr:colOff>771525</xdr:colOff>
                    <xdr:row>43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8" r:id="rId8" name="Button 12">
              <controlPr defaultSize="0" print="0" autoFill="0" autoPict="0" macro="[0]!Delete_AtICU" altText="Delete Paid item">
                <anchor moveWithCells="1">
                  <from>
                    <xdr:col>1</xdr:col>
                    <xdr:colOff>819150</xdr:colOff>
                    <xdr:row>43</xdr:row>
                    <xdr:rowOff>28575</xdr:rowOff>
                  </from>
                  <to>
                    <xdr:col>1</xdr:col>
                    <xdr:colOff>1543050</xdr:colOff>
                    <xdr:row>43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>
    <tabColor rgb="FF0070C0"/>
    <outlinePr summaryBelow="0" summaryRight="0"/>
  </sheetPr>
  <dimension ref="B1:Z1000"/>
  <sheetViews>
    <sheetView topLeftCell="A5" workbookViewId="0">
      <selection activeCell="B49" sqref="B49:G49"/>
    </sheetView>
  </sheetViews>
  <sheetFormatPr defaultColWidth="14.42578125" defaultRowHeight="15" customHeight="1" outlineLevelRow="1" x14ac:dyDescent="0.3"/>
  <cols>
    <col min="1" max="1" width="2.85546875" style="40" customWidth="1"/>
    <col min="2" max="2" width="26" style="40" customWidth="1"/>
    <col min="3" max="3" width="26.42578125" style="40" customWidth="1"/>
    <col min="4" max="7" width="12.140625" style="40" customWidth="1"/>
    <col min="8" max="8" width="13.42578125" style="40" customWidth="1"/>
    <col min="9" max="14" width="12.140625" style="40" customWidth="1"/>
    <col min="15" max="15" width="1.140625" style="40" customWidth="1"/>
    <col min="16" max="16" width="12.140625" style="40" customWidth="1"/>
    <col min="17" max="26" width="8.7109375" style="40" customWidth="1"/>
    <col min="27" max="16384" width="14.42578125" style="40"/>
  </cols>
  <sheetData>
    <row r="1" spans="2:26" ht="12.75" customHeight="1" x14ac:dyDescent="0.3">
      <c r="B1" s="39"/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P1" s="39"/>
      <c r="Q1" s="39"/>
      <c r="R1" s="39"/>
      <c r="S1" s="39"/>
      <c r="T1" s="39"/>
      <c r="U1" s="39"/>
      <c r="V1" s="39"/>
      <c r="W1" s="39"/>
      <c r="X1" s="39"/>
      <c r="Y1" s="39"/>
      <c r="Z1" s="39"/>
    </row>
    <row r="2" spans="2:26" ht="12.75" customHeight="1" x14ac:dyDescent="0.3">
      <c r="B2" s="79" t="s">
        <v>76</v>
      </c>
      <c r="C2" s="79"/>
      <c r="D2" s="62" t="str">
        <f>'1.1 Case data_general'!D2</f>
        <v>NSD01</v>
      </c>
      <c r="E2" s="39"/>
      <c r="F2" s="39"/>
      <c r="G2" s="39"/>
      <c r="H2" s="39"/>
      <c r="I2" s="39"/>
      <c r="J2" s="39"/>
      <c r="K2" s="39"/>
      <c r="L2" s="39"/>
      <c r="M2" s="39"/>
      <c r="N2" s="39"/>
      <c r="P2" s="39"/>
      <c r="Q2" s="39"/>
      <c r="R2" s="39"/>
      <c r="S2" s="39"/>
      <c r="T2" s="39"/>
      <c r="U2" s="39"/>
      <c r="V2" s="39"/>
      <c r="W2" s="39"/>
      <c r="X2" s="39"/>
      <c r="Y2" s="39"/>
      <c r="Z2" s="39"/>
    </row>
    <row r="3" spans="2:26" ht="12.75" customHeight="1" collapsed="1" x14ac:dyDescent="0.3">
      <c r="B3" s="39"/>
      <c r="D3" s="39"/>
      <c r="E3" s="39"/>
      <c r="F3" s="39"/>
      <c r="G3" s="39"/>
      <c r="H3" s="39"/>
      <c r="I3" s="39"/>
      <c r="J3" s="39"/>
      <c r="K3" s="39"/>
      <c r="L3" s="39"/>
      <c r="M3" s="39"/>
      <c r="N3" s="39"/>
      <c r="P3" s="39"/>
      <c r="Q3" s="39"/>
      <c r="R3" s="39"/>
      <c r="S3" s="39"/>
      <c r="T3" s="39"/>
      <c r="U3" s="39"/>
      <c r="V3" s="39"/>
      <c r="W3" s="39"/>
      <c r="X3" s="39"/>
      <c r="Y3" s="39"/>
      <c r="Z3" s="39"/>
    </row>
    <row r="4" spans="2:26" ht="12.75" hidden="1" customHeight="1" outlineLevel="1" x14ac:dyDescent="0.3">
      <c r="B4" s="39" t="s">
        <v>80</v>
      </c>
      <c r="C4" s="39">
        <v>16</v>
      </c>
      <c r="D4" s="39"/>
      <c r="E4" s="39"/>
      <c r="F4" s="39"/>
      <c r="G4" s="39"/>
      <c r="H4" s="39"/>
      <c r="I4" s="39"/>
      <c r="J4" s="39"/>
      <c r="K4" s="39"/>
      <c r="L4" s="39"/>
      <c r="M4" s="39"/>
      <c r="N4" s="39"/>
      <c r="P4" s="39"/>
      <c r="Q4" s="39"/>
      <c r="R4" s="39"/>
      <c r="S4" s="39"/>
      <c r="T4" s="39"/>
      <c r="U4" s="39"/>
      <c r="V4" s="39"/>
      <c r="W4" s="39"/>
      <c r="X4" s="39"/>
      <c r="Y4" s="39"/>
      <c r="Z4" s="39"/>
    </row>
    <row r="5" spans="2:26" ht="12.75" customHeight="1" x14ac:dyDescent="0.3">
      <c r="B5" s="71" t="s">
        <v>78</v>
      </c>
      <c r="C5" s="76"/>
      <c r="D5" s="80"/>
      <c r="E5" s="80"/>
      <c r="F5" s="80"/>
      <c r="G5" s="80"/>
      <c r="H5" s="80"/>
      <c r="I5" s="80"/>
      <c r="J5" s="80"/>
      <c r="K5" s="80"/>
      <c r="L5" s="80"/>
      <c r="M5" s="80"/>
      <c r="N5" s="80"/>
      <c r="O5" s="80"/>
      <c r="P5" s="81"/>
      <c r="Q5" s="39"/>
      <c r="R5" s="39"/>
      <c r="S5" s="39"/>
      <c r="T5" s="39"/>
      <c r="U5" s="39"/>
      <c r="V5" s="39"/>
      <c r="W5" s="39"/>
      <c r="X5" s="39"/>
      <c r="Y5" s="39"/>
      <c r="Z5" s="39"/>
    </row>
    <row r="6" spans="2:26" ht="12.75" customHeight="1" x14ac:dyDescent="0.3">
      <c r="B6" s="48" t="s">
        <v>79</v>
      </c>
      <c r="C6" s="77"/>
      <c r="D6" s="72"/>
      <c r="E6" s="73"/>
      <c r="F6" s="73"/>
      <c r="G6" s="73"/>
      <c r="H6" s="73"/>
      <c r="I6" s="73"/>
      <c r="J6" s="73"/>
      <c r="K6" s="73"/>
      <c r="L6" s="73"/>
      <c r="M6" s="73"/>
      <c r="N6" s="73"/>
      <c r="O6" s="73"/>
      <c r="P6" s="74"/>
      <c r="Q6" s="39"/>
      <c r="R6" s="39"/>
      <c r="S6" s="39"/>
      <c r="T6" s="39"/>
      <c r="U6" s="39"/>
      <c r="V6" s="39"/>
      <c r="W6" s="39"/>
      <c r="X6" s="39"/>
      <c r="Y6" s="39"/>
      <c r="Z6" s="39"/>
    </row>
    <row r="7" spans="2:26" ht="12.75" customHeight="1" x14ac:dyDescent="0.3">
      <c r="B7" s="48" t="s">
        <v>30</v>
      </c>
      <c r="C7" s="77"/>
      <c r="D7" s="73"/>
      <c r="E7" s="73"/>
      <c r="F7" s="73"/>
      <c r="G7" s="73"/>
      <c r="H7" s="73"/>
      <c r="I7" s="73"/>
      <c r="J7" s="73"/>
      <c r="K7" s="73"/>
      <c r="L7" s="73"/>
      <c r="M7" s="73"/>
      <c r="N7" s="73"/>
      <c r="O7" s="73"/>
      <c r="P7" s="74"/>
      <c r="Q7" s="39"/>
      <c r="R7" s="39"/>
      <c r="S7" s="39"/>
      <c r="T7" s="39"/>
      <c r="U7" s="39"/>
      <c r="V7" s="39"/>
      <c r="W7" s="39"/>
      <c r="X7" s="39"/>
      <c r="Y7" s="39"/>
      <c r="Z7" s="39"/>
    </row>
    <row r="8" spans="2:26" ht="12.75" customHeight="1" x14ac:dyDescent="0.3">
      <c r="B8" s="48" t="s">
        <v>31</v>
      </c>
      <c r="C8" s="77"/>
      <c r="D8" s="73"/>
      <c r="E8" s="73"/>
      <c r="F8" s="73"/>
      <c r="G8" s="73"/>
      <c r="H8" s="73"/>
      <c r="I8" s="73"/>
      <c r="J8" s="73"/>
      <c r="K8" s="73"/>
      <c r="L8" s="73"/>
      <c r="M8" s="73"/>
      <c r="N8" s="73"/>
      <c r="O8" s="73"/>
      <c r="P8" s="74"/>
      <c r="Q8" s="39"/>
      <c r="R8" s="39"/>
      <c r="S8" s="39"/>
      <c r="T8" s="39"/>
      <c r="U8" s="39"/>
      <c r="V8" s="39"/>
      <c r="W8" s="39"/>
      <c r="X8" s="39"/>
      <c r="Y8" s="39"/>
      <c r="Z8" s="39"/>
    </row>
    <row r="9" spans="2:26" ht="12.75" customHeight="1" x14ac:dyDescent="0.3">
      <c r="B9" s="75" t="s">
        <v>77</v>
      </c>
      <c r="C9" s="78"/>
      <c r="D9" s="82"/>
      <c r="E9" s="82"/>
      <c r="F9" s="82"/>
      <c r="G9" s="82"/>
      <c r="H9" s="82"/>
      <c r="I9" s="82"/>
      <c r="J9" s="82"/>
      <c r="K9" s="82"/>
      <c r="L9" s="82"/>
      <c r="M9" s="82"/>
      <c r="N9" s="82"/>
      <c r="O9" s="82"/>
      <c r="P9" s="83"/>
      <c r="Q9" s="39"/>
      <c r="R9" s="39"/>
      <c r="S9" s="39"/>
      <c r="T9" s="39"/>
      <c r="U9" s="39"/>
      <c r="V9" s="39"/>
      <c r="W9" s="39"/>
      <c r="X9" s="39"/>
      <c r="Y9" s="39"/>
      <c r="Z9" s="39"/>
    </row>
    <row r="10" spans="2:26" ht="12.75" customHeight="1" x14ac:dyDescent="0.3">
      <c r="B10" s="39"/>
      <c r="D10" s="39"/>
      <c r="E10" s="39"/>
      <c r="F10" s="39"/>
      <c r="G10" s="39"/>
      <c r="H10" s="39"/>
      <c r="I10" s="39"/>
      <c r="J10" s="39"/>
      <c r="K10" s="39"/>
      <c r="L10" s="39"/>
      <c r="M10" s="39"/>
      <c r="N10" s="39"/>
      <c r="P10" s="39"/>
      <c r="Q10" s="39"/>
      <c r="R10" s="39"/>
      <c r="S10" s="39"/>
      <c r="T10" s="39"/>
      <c r="U10" s="39"/>
      <c r="V10" s="39"/>
      <c r="W10" s="39"/>
      <c r="X10" s="39"/>
      <c r="Y10" s="39"/>
      <c r="Z10" s="39"/>
    </row>
    <row r="11" spans="2:26" ht="23.25" customHeight="1" x14ac:dyDescent="0.3">
      <c r="B11" s="87"/>
      <c r="C11" s="87"/>
      <c r="D11" s="150" t="s">
        <v>32</v>
      </c>
      <c r="E11" s="151"/>
      <c r="F11" s="151"/>
      <c r="G11" s="151"/>
      <c r="H11" s="151"/>
      <c r="I11" s="151"/>
      <c r="J11" s="151"/>
      <c r="K11" s="151"/>
      <c r="L11" s="151"/>
      <c r="M11" s="151"/>
      <c r="N11" s="152"/>
      <c r="P11" s="153" t="s">
        <v>33</v>
      </c>
      <c r="Q11" s="39"/>
      <c r="R11" s="39"/>
      <c r="S11" s="39"/>
      <c r="T11" s="39"/>
      <c r="U11" s="39"/>
      <c r="V11" s="39"/>
      <c r="W11" s="39"/>
      <c r="X11" s="39"/>
      <c r="Y11" s="39"/>
      <c r="Z11" s="39"/>
    </row>
    <row r="12" spans="2:26" ht="53.25" customHeight="1" x14ac:dyDescent="0.3">
      <c r="B12" s="53" t="s">
        <v>5</v>
      </c>
      <c r="C12" s="53" t="s">
        <v>34</v>
      </c>
      <c r="D12" s="53" t="s">
        <v>35</v>
      </c>
      <c r="E12" s="53" t="s">
        <v>36</v>
      </c>
      <c r="F12" s="53" t="s">
        <v>37</v>
      </c>
      <c r="G12" s="53" t="s">
        <v>38</v>
      </c>
      <c r="H12" s="85" t="s">
        <v>39</v>
      </c>
      <c r="I12" s="86" t="s">
        <v>83</v>
      </c>
      <c r="J12" s="86" t="s">
        <v>81</v>
      </c>
      <c r="K12" s="85" t="s">
        <v>40</v>
      </c>
      <c r="L12" s="85" t="s">
        <v>82</v>
      </c>
      <c r="M12" s="90" t="s">
        <v>84</v>
      </c>
      <c r="N12" s="90" t="s">
        <v>85</v>
      </c>
      <c r="P12" s="154"/>
      <c r="Q12" s="84"/>
      <c r="R12" s="84"/>
      <c r="S12" s="84"/>
      <c r="T12" s="84"/>
      <c r="U12" s="84"/>
      <c r="V12" s="84"/>
      <c r="W12" s="84"/>
      <c r="X12" s="84"/>
      <c r="Y12" s="84"/>
      <c r="Z12" s="84"/>
    </row>
    <row r="13" spans="2:26" ht="12.75" customHeight="1" x14ac:dyDescent="0.3">
      <c r="B13" s="43">
        <v>1</v>
      </c>
      <c r="C13" s="69"/>
      <c r="D13" s="55"/>
      <c r="E13" s="55"/>
      <c r="F13" s="55"/>
      <c r="G13" s="55"/>
      <c r="H13" s="55"/>
      <c r="I13" s="55"/>
      <c r="J13" s="55"/>
      <c r="K13" s="55"/>
      <c r="L13" s="55"/>
      <c r="M13" s="55"/>
      <c r="N13" s="55"/>
      <c r="P13" s="88">
        <f>SUM(D13:N13)</f>
        <v>0</v>
      </c>
      <c r="Q13" s="39"/>
      <c r="R13" s="39"/>
      <c r="S13" s="39"/>
      <c r="T13" s="39"/>
      <c r="U13" s="39"/>
      <c r="V13" s="39"/>
      <c r="W13" s="39"/>
      <c r="X13" s="39"/>
      <c r="Y13" s="39"/>
      <c r="Z13" s="39"/>
    </row>
    <row r="14" spans="2:26" ht="12.75" customHeight="1" x14ac:dyDescent="0.3">
      <c r="B14" s="43">
        <v>2</v>
      </c>
      <c r="C14" s="69"/>
      <c r="D14" s="55"/>
      <c r="E14" s="55"/>
      <c r="F14" s="55"/>
      <c r="G14" s="55"/>
      <c r="H14" s="55"/>
      <c r="I14" s="55"/>
      <c r="J14" s="55"/>
      <c r="K14" s="55"/>
      <c r="L14" s="55"/>
      <c r="M14" s="55"/>
      <c r="N14" s="55"/>
      <c r="P14" s="88">
        <f t="shared" ref="P14:P22" si="0">SUM(D14:N14)</f>
        <v>0</v>
      </c>
      <c r="Q14" s="39"/>
      <c r="R14" s="39"/>
      <c r="S14" s="39"/>
      <c r="T14" s="39"/>
      <c r="U14" s="39"/>
      <c r="V14" s="39"/>
      <c r="W14" s="39"/>
      <c r="X14" s="39"/>
      <c r="Y14" s="39"/>
      <c r="Z14" s="39"/>
    </row>
    <row r="15" spans="2:26" ht="12.75" customHeight="1" x14ac:dyDescent="0.3">
      <c r="B15" s="43">
        <v>3</v>
      </c>
      <c r="C15" s="69"/>
      <c r="D15" s="55"/>
      <c r="E15" s="55"/>
      <c r="F15" s="55"/>
      <c r="G15" s="55"/>
      <c r="H15" s="55"/>
      <c r="I15" s="55"/>
      <c r="J15" s="55"/>
      <c r="K15" s="55"/>
      <c r="L15" s="55"/>
      <c r="M15" s="55"/>
      <c r="N15" s="55"/>
      <c r="P15" s="88">
        <f t="shared" si="0"/>
        <v>0</v>
      </c>
      <c r="Q15" s="39"/>
      <c r="R15" s="39"/>
      <c r="S15" s="39"/>
      <c r="T15" s="39"/>
      <c r="U15" s="39"/>
      <c r="V15" s="39"/>
      <c r="W15" s="39"/>
      <c r="X15" s="39"/>
      <c r="Y15" s="39"/>
      <c r="Z15" s="39"/>
    </row>
    <row r="16" spans="2:26" ht="12.75" customHeight="1" x14ac:dyDescent="0.3">
      <c r="B16" s="43">
        <v>4</v>
      </c>
      <c r="C16" s="69"/>
      <c r="D16" s="55"/>
      <c r="E16" s="55"/>
      <c r="F16" s="55"/>
      <c r="G16" s="55"/>
      <c r="H16" s="55"/>
      <c r="I16" s="55"/>
      <c r="J16" s="55"/>
      <c r="K16" s="55"/>
      <c r="L16" s="55"/>
      <c r="M16" s="55"/>
      <c r="N16" s="55"/>
      <c r="P16" s="88">
        <f t="shared" si="0"/>
        <v>0</v>
      </c>
      <c r="Q16" s="39"/>
      <c r="R16" s="39"/>
      <c r="S16" s="39"/>
      <c r="T16" s="39"/>
      <c r="U16" s="39"/>
      <c r="V16" s="39"/>
      <c r="W16" s="39"/>
      <c r="X16" s="39"/>
      <c r="Y16" s="39"/>
      <c r="Z16" s="39"/>
    </row>
    <row r="17" spans="2:26" ht="12.75" customHeight="1" x14ac:dyDescent="0.3">
      <c r="B17" s="43">
        <v>5</v>
      </c>
      <c r="C17" s="69"/>
      <c r="D17" s="55"/>
      <c r="E17" s="55"/>
      <c r="F17" s="55"/>
      <c r="G17" s="55"/>
      <c r="H17" s="55"/>
      <c r="I17" s="55"/>
      <c r="J17" s="55"/>
      <c r="K17" s="55"/>
      <c r="L17" s="55"/>
      <c r="M17" s="55"/>
      <c r="N17" s="55"/>
      <c r="P17" s="88">
        <f t="shared" si="0"/>
        <v>0</v>
      </c>
      <c r="Q17" s="39"/>
      <c r="R17" s="39"/>
      <c r="S17" s="39"/>
      <c r="T17" s="39"/>
      <c r="U17" s="39"/>
      <c r="V17" s="39"/>
      <c r="W17" s="39"/>
      <c r="X17" s="39"/>
      <c r="Y17" s="39"/>
      <c r="Z17" s="39"/>
    </row>
    <row r="18" spans="2:26" ht="12.75" customHeight="1" x14ac:dyDescent="0.3">
      <c r="B18" s="43">
        <v>6</v>
      </c>
      <c r="C18" s="69"/>
      <c r="D18" s="55"/>
      <c r="E18" s="55"/>
      <c r="F18" s="55"/>
      <c r="G18" s="55"/>
      <c r="H18" s="55"/>
      <c r="I18" s="55"/>
      <c r="J18" s="55"/>
      <c r="K18" s="55"/>
      <c r="L18" s="55"/>
      <c r="M18" s="55"/>
      <c r="N18" s="55"/>
      <c r="P18" s="88">
        <f t="shared" si="0"/>
        <v>0</v>
      </c>
      <c r="Q18" s="39"/>
      <c r="R18" s="39"/>
      <c r="S18" s="39"/>
      <c r="T18" s="39"/>
      <c r="U18" s="39"/>
      <c r="V18" s="39"/>
      <c r="W18" s="39"/>
      <c r="X18" s="39"/>
      <c r="Y18" s="39"/>
      <c r="Z18" s="39"/>
    </row>
    <row r="19" spans="2:26" ht="12.75" customHeight="1" x14ac:dyDescent="0.3">
      <c r="B19" s="43">
        <v>7</v>
      </c>
      <c r="C19" s="69"/>
      <c r="D19" s="55"/>
      <c r="E19" s="55"/>
      <c r="F19" s="55"/>
      <c r="G19" s="55"/>
      <c r="H19" s="55"/>
      <c r="I19" s="55"/>
      <c r="J19" s="55"/>
      <c r="K19" s="55"/>
      <c r="L19" s="55"/>
      <c r="M19" s="55"/>
      <c r="N19" s="55"/>
      <c r="P19" s="88">
        <f t="shared" si="0"/>
        <v>0</v>
      </c>
      <c r="Q19" s="39"/>
      <c r="R19" s="39"/>
      <c r="S19" s="39"/>
      <c r="T19" s="39"/>
      <c r="U19" s="39"/>
      <c r="V19" s="39"/>
      <c r="W19" s="39"/>
      <c r="X19" s="39"/>
      <c r="Y19" s="39"/>
      <c r="Z19" s="39"/>
    </row>
    <row r="20" spans="2:26" ht="12.75" customHeight="1" x14ac:dyDescent="0.3">
      <c r="B20" s="43">
        <v>8</v>
      </c>
      <c r="C20" s="69"/>
      <c r="D20" s="55"/>
      <c r="E20" s="55"/>
      <c r="F20" s="55"/>
      <c r="G20" s="55"/>
      <c r="H20" s="55"/>
      <c r="I20" s="55"/>
      <c r="J20" s="55"/>
      <c r="K20" s="55"/>
      <c r="L20" s="55"/>
      <c r="M20" s="55"/>
      <c r="N20" s="55"/>
      <c r="P20" s="88">
        <f t="shared" si="0"/>
        <v>0</v>
      </c>
      <c r="Q20" s="39"/>
      <c r="R20" s="39"/>
      <c r="S20" s="39"/>
      <c r="T20" s="39"/>
      <c r="U20" s="39"/>
      <c r="V20" s="39"/>
      <c r="W20" s="39"/>
      <c r="X20" s="39"/>
      <c r="Y20" s="39"/>
      <c r="Z20" s="39"/>
    </row>
    <row r="21" spans="2:26" ht="12.75" customHeight="1" x14ac:dyDescent="0.3">
      <c r="B21" s="43">
        <v>9</v>
      </c>
      <c r="C21" s="69"/>
      <c r="D21" s="55"/>
      <c r="E21" s="55"/>
      <c r="F21" s="55"/>
      <c r="G21" s="55"/>
      <c r="H21" s="55"/>
      <c r="I21" s="55"/>
      <c r="J21" s="55"/>
      <c r="K21" s="55"/>
      <c r="L21" s="55"/>
      <c r="M21" s="55"/>
      <c r="N21" s="55"/>
      <c r="P21" s="88">
        <f t="shared" si="0"/>
        <v>0</v>
      </c>
      <c r="Q21" s="39"/>
      <c r="R21" s="39"/>
      <c r="S21" s="39"/>
      <c r="T21" s="39"/>
      <c r="U21" s="39"/>
      <c r="V21" s="39"/>
      <c r="W21" s="39"/>
      <c r="X21" s="39"/>
      <c r="Y21" s="39"/>
      <c r="Z21" s="39"/>
    </row>
    <row r="22" spans="2:26" ht="12.75" customHeight="1" x14ac:dyDescent="0.3">
      <c r="B22" s="43">
        <v>10</v>
      </c>
      <c r="C22" s="69"/>
      <c r="D22" s="55"/>
      <c r="E22" s="55"/>
      <c r="F22" s="55"/>
      <c r="G22" s="55"/>
      <c r="H22" s="55"/>
      <c r="I22" s="55"/>
      <c r="J22" s="55"/>
      <c r="K22" s="55"/>
      <c r="L22" s="55"/>
      <c r="M22" s="55"/>
      <c r="N22" s="55"/>
      <c r="P22" s="88">
        <f t="shared" si="0"/>
        <v>0</v>
      </c>
      <c r="Q22" s="39"/>
      <c r="R22" s="39"/>
      <c r="S22" s="39"/>
      <c r="T22" s="39"/>
      <c r="U22" s="39"/>
      <c r="V22" s="39"/>
      <c r="W22" s="39"/>
      <c r="X22" s="39"/>
      <c r="Y22" s="39"/>
      <c r="Z22" s="39"/>
    </row>
    <row r="23" spans="2:26" ht="12.75" customHeight="1" x14ac:dyDescent="0.3">
      <c r="B23" s="43">
        <v>11</v>
      </c>
      <c r="C23" s="69"/>
      <c r="D23" s="55"/>
      <c r="E23" s="55"/>
      <c r="F23" s="55"/>
      <c r="G23" s="55"/>
      <c r="H23" s="55"/>
      <c r="I23" s="55"/>
      <c r="J23" s="55"/>
      <c r="K23" s="55"/>
      <c r="L23" s="55"/>
      <c r="M23" s="55"/>
      <c r="N23" s="55"/>
      <c r="P23" s="88"/>
      <c r="Q23" s="39"/>
      <c r="R23" s="39"/>
      <c r="S23" s="39"/>
      <c r="T23" s="39"/>
      <c r="U23" s="39"/>
      <c r="V23" s="39"/>
      <c r="W23" s="39"/>
      <c r="X23" s="39"/>
      <c r="Y23" s="39"/>
      <c r="Z23" s="39"/>
    </row>
    <row r="24" spans="2:26" ht="12.75" customHeight="1" x14ac:dyDescent="0.3">
      <c r="B24" s="43">
        <v>12</v>
      </c>
      <c r="C24" s="69"/>
      <c r="D24" s="55"/>
      <c r="E24" s="55"/>
      <c r="F24" s="55"/>
      <c r="G24" s="55"/>
      <c r="H24" s="55"/>
      <c r="I24" s="55"/>
      <c r="J24" s="55"/>
      <c r="K24" s="55"/>
      <c r="L24" s="55"/>
      <c r="M24" s="55"/>
      <c r="N24" s="55"/>
      <c r="P24" s="88"/>
      <c r="Q24" s="39"/>
      <c r="R24" s="39"/>
      <c r="S24" s="39"/>
      <c r="T24" s="39"/>
      <c r="U24" s="39"/>
      <c r="V24" s="39"/>
      <c r="W24" s="39"/>
      <c r="X24" s="39"/>
      <c r="Y24" s="39"/>
      <c r="Z24" s="39"/>
    </row>
    <row r="25" spans="2:26" ht="12.75" customHeight="1" x14ac:dyDescent="0.3">
      <c r="B25" s="43">
        <v>13</v>
      </c>
      <c r="C25" s="69"/>
      <c r="D25" s="55"/>
      <c r="E25" s="55"/>
      <c r="F25" s="55"/>
      <c r="G25" s="55"/>
      <c r="H25" s="55"/>
      <c r="I25" s="55"/>
      <c r="J25" s="55"/>
      <c r="K25" s="55"/>
      <c r="L25" s="55"/>
      <c r="M25" s="55"/>
      <c r="N25" s="55"/>
      <c r="P25" s="88"/>
      <c r="Q25" s="39"/>
      <c r="R25" s="39"/>
      <c r="S25" s="39"/>
      <c r="T25" s="39"/>
      <c r="U25" s="39"/>
      <c r="V25" s="39"/>
      <c r="W25" s="39"/>
      <c r="X25" s="39"/>
      <c r="Y25" s="39"/>
      <c r="Z25" s="39"/>
    </row>
    <row r="26" spans="2:26" ht="12.75" customHeight="1" x14ac:dyDescent="0.3">
      <c r="B26" s="43">
        <v>14</v>
      </c>
      <c r="C26" s="69"/>
      <c r="D26" s="55"/>
      <c r="E26" s="55"/>
      <c r="F26" s="55"/>
      <c r="G26" s="55"/>
      <c r="H26" s="55"/>
      <c r="I26" s="55"/>
      <c r="J26" s="55"/>
      <c r="K26" s="55"/>
      <c r="L26" s="55"/>
      <c r="M26" s="55"/>
      <c r="N26" s="55"/>
      <c r="P26" s="88"/>
      <c r="Q26" s="39"/>
      <c r="R26" s="39"/>
      <c r="S26" s="39"/>
      <c r="T26" s="39"/>
      <c r="U26" s="39"/>
      <c r="V26" s="39"/>
      <c r="W26" s="39"/>
      <c r="X26" s="39"/>
      <c r="Y26" s="39"/>
      <c r="Z26" s="39"/>
    </row>
    <row r="27" spans="2:26" ht="12.75" customHeight="1" x14ac:dyDescent="0.3">
      <c r="B27" s="43">
        <v>15</v>
      </c>
      <c r="C27" s="69"/>
      <c r="D27" s="55"/>
      <c r="E27" s="55"/>
      <c r="F27" s="55"/>
      <c r="G27" s="55"/>
      <c r="H27" s="55"/>
      <c r="I27" s="55"/>
      <c r="J27" s="55"/>
      <c r="K27" s="55"/>
      <c r="L27" s="55"/>
      <c r="M27" s="55"/>
      <c r="N27" s="55"/>
      <c r="P27" s="88"/>
      <c r="Q27" s="39"/>
      <c r="R27" s="39"/>
      <c r="S27" s="39"/>
      <c r="T27" s="39"/>
      <c r="U27" s="39"/>
      <c r="V27" s="39"/>
      <c r="W27" s="39"/>
      <c r="X27" s="39"/>
      <c r="Y27" s="39"/>
      <c r="Z27" s="39"/>
    </row>
    <row r="28" spans="2:26" ht="12.75" customHeight="1" x14ac:dyDescent="0.3">
      <c r="B28" s="43">
        <v>16</v>
      </c>
      <c r="C28" s="69"/>
      <c r="D28" s="55" t="s">
        <v>180</v>
      </c>
      <c r="E28" s="55"/>
      <c r="F28" s="55"/>
      <c r="G28" s="55" t="s">
        <v>178</v>
      </c>
      <c r="H28" s="55"/>
      <c r="I28" s="55"/>
      <c r="J28" s="55"/>
      <c r="K28" s="55"/>
      <c r="L28" s="55"/>
      <c r="M28" s="55"/>
      <c r="N28" s="55"/>
      <c r="P28" s="88"/>
      <c r="Q28" s="39"/>
      <c r="R28" s="39"/>
      <c r="S28" s="39"/>
      <c r="T28" s="39"/>
      <c r="U28" s="39"/>
      <c r="V28" s="39"/>
      <c r="W28" s="39"/>
      <c r="X28" s="39"/>
      <c r="Y28" s="39"/>
      <c r="Z28" s="39"/>
    </row>
    <row r="29" spans="2:26" ht="4.3499999999999996" customHeight="1" x14ac:dyDescent="0.3">
      <c r="B29" s="39"/>
      <c r="C29" s="39"/>
      <c r="D29" s="39"/>
      <c r="E29" s="39"/>
      <c r="F29" s="39"/>
      <c r="G29" s="39"/>
      <c r="H29" s="39"/>
      <c r="I29" s="39"/>
      <c r="J29" s="39"/>
      <c r="K29" s="39"/>
      <c r="L29" s="39"/>
      <c r="M29" s="39"/>
      <c r="N29" s="39"/>
      <c r="P29" s="39"/>
      <c r="Q29" s="39"/>
      <c r="R29" s="39"/>
      <c r="S29" s="39"/>
      <c r="T29" s="39"/>
      <c r="U29" s="39"/>
      <c r="V29" s="39"/>
      <c r="W29" s="39"/>
      <c r="X29" s="39"/>
      <c r="Y29" s="39"/>
      <c r="Z29" s="39"/>
    </row>
    <row r="30" spans="2:26" ht="12.75" customHeight="1" x14ac:dyDescent="0.3">
      <c r="B30" s="43"/>
      <c r="C30" s="41" t="s">
        <v>41</v>
      </c>
      <c r="D30" s="88">
        <f t="shared" ref="D30:N30" si="1">SUM(D13:D22)</f>
        <v>0</v>
      </c>
      <c r="E30" s="88">
        <f t="shared" si="1"/>
        <v>0</v>
      </c>
      <c r="F30" s="88">
        <f t="shared" si="1"/>
        <v>0</v>
      </c>
      <c r="G30" s="88">
        <f t="shared" si="1"/>
        <v>0</v>
      </c>
      <c r="H30" s="88">
        <f t="shared" si="1"/>
        <v>0</v>
      </c>
      <c r="I30" s="88">
        <f t="shared" si="1"/>
        <v>0</v>
      </c>
      <c r="J30" s="88">
        <f t="shared" si="1"/>
        <v>0</v>
      </c>
      <c r="K30" s="88">
        <f t="shared" si="1"/>
        <v>0</v>
      </c>
      <c r="L30" s="88">
        <f t="shared" si="1"/>
        <v>0</v>
      </c>
      <c r="M30" s="88">
        <f t="shared" si="1"/>
        <v>0</v>
      </c>
      <c r="N30" s="88">
        <f t="shared" si="1"/>
        <v>0</v>
      </c>
      <c r="P30" s="89">
        <f>SUM(P13:P22)</f>
        <v>0</v>
      </c>
      <c r="Q30" s="39"/>
      <c r="R30" s="39"/>
      <c r="S30" s="39"/>
      <c r="T30" s="39"/>
      <c r="U30" s="39"/>
      <c r="V30" s="39"/>
      <c r="W30" s="39"/>
      <c r="X30" s="39"/>
      <c r="Y30" s="39"/>
      <c r="Z30" s="39"/>
    </row>
    <row r="31" spans="2:26" ht="12.75" customHeight="1" x14ac:dyDescent="0.3">
      <c r="B31" s="39"/>
      <c r="C31" s="39"/>
      <c r="D31" s="39"/>
      <c r="E31" s="39"/>
      <c r="F31" s="39"/>
      <c r="G31" s="39"/>
      <c r="H31" s="39"/>
      <c r="I31" s="39"/>
      <c r="J31" s="39"/>
      <c r="K31" s="39"/>
      <c r="L31" s="39"/>
      <c r="M31" s="39"/>
      <c r="N31" s="39"/>
      <c r="P31" s="39"/>
      <c r="Q31" s="39"/>
      <c r="R31" s="39"/>
      <c r="S31" s="39"/>
      <c r="T31" s="39"/>
      <c r="U31" s="39"/>
      <c r="V31" s="39"/>
      <c r="W31" s="39"/>
      <c r="X31" s="39"/>
      <c r="Y31" s="39"/>
      <c r="Z31" s="39"/>
    </row>
    <row r="32" spans="2:26" ht="15.75" customHeight="1" x14ac:dyDescent="0.3"/>
    <row r="33" ht="15.75" customHeight="1" x14ac:dyDescent="0.3"/>
    <row r="34" ht="15.75" customHeight="1" x14ac:dyDescent="0.3"/>
    <row r="35" ht="15.75" customHeight="1" x14ac:dyDescent="0.3"/>
    <row r="36" ht="15.75" customHeight="1" x14ac:dyDescent="0.3"/>
    <row r="37" ht="15.75" customHeight="1" x14ac:dyDescent="0.3"/>
    <row r="38" ht="15.75" customHeight="1" x14ac:dyDescent="0.3"/>
    <row r="39" ht="15.75" customHeight="1" x14ac:dyDescent="0.3"/>
    <row r="40" ht="15.75" customHeight="1" x14ac:dyDescent="0.3"/>
    <row r="41" ht="15.75" customHeight="1" x14ac:dyDescent="0.3"/>
    <row r="42" ht="15.75" customHeight="1" x14ac:dyDescent="0.3"/>
    <row r="43" ht="15.75" customHeight="1" x14ac:dyDescent="0.3"/>
    <row r="44" ht="15.75" customHeight="1" x14ac:dyDescent="0.3"/>
    <row r="45" ht="15.75" customHeight="1" x14ac:dyDescent="0.3"/>
    <row r="46" ht="15.75" customHeight="1" x14ac:dyDescent="0.3"/>
    <row r="47" ht="15.75" customHeight="1" x14ac:dyDescent="0.3"/>
    <row r="48" ht="15.75" customHeight="1" x14ac:dyDescent="0.3"/>
    <row r="49" ht="15.75" customHeight="1" x14ac:dyDescent="0.3"/>
    <row r="50" ht="15.75" customHeight="1" x14ac:dyDescent="0.3"/>
    <row r="51" ht="15.75" customHeight="1" x14ac:dyDescent="0.3"/>
    <row r="52" ht="15.75" customHeight="1" x14ac:dyDescent="0.3"/>
    <row r="53" ht="15.75" customHeight="1" x14ac:dyDescent="0.3"/>
    <row r="54" ht="15.75" customHeight="1" x14ac:dyDescent="0.3"/>
    <row r="55" ht="15.75" customHeight="1" x14ac:dyDescent="0.3"/>
    <row r="56" ht="15.75" customHeight="1" x14ac:dyDescent="0.3"/>
    <row r="57" ht="15.75" customHeight="1" x14ac:dyDescent="0.3"/>
    <row r="58" ht="15.75" customHeight="1" x14ac:dyDescent="0.3"/>
    <row r="59" ht="15.75" customHeight="1" x14ac:dyDescent="0.3"/>
    <row r="60" ht="15.75" customHeight="1" x14ac:dyDescent="0.3"/>
    <row r="61" ht="15.75" customHeight="1" x14ac:dyDescent="0.3"/>
    <row r="62" ht="15.75" customHeight="1" x14ac:dyDescent="0.3"/>
    <row r="63" ht="15.75" customHeight="1" x14ac:dyDescent="0.3"/>
    <row r="64" ht="15.75" customHeight="1" x14ac:dyDescent="0.3"/>
    <row r="65" ht="15.75" customHeight="1" x14ac:dyDescent="0.3"/>
    <row r="66" ht="15.75" customHeight="1" x14ac:dyDescent="0.3"/>
    <row r="67" ht="15.75" customHeight="1" x14ac:dyDescent="0.3"/>
    <row r="68" ht="15.75" customHeight="1" x14ac:dyDescent="0.3"/>
    <row r="69" ht="15.75" customHeight="1" x14ac:dyDescent="0.3"/>
    <row r="70" ht="15.75" customHeight="1" x14ac:dyDescent="0.3"/>
    <row r="71" ht="15.75" customHeight="1" x14ac:dyDescent="0.3"/>
    <row r="72" ht="15.75" customHeight="1" x14ac:dyDescent="0.3"/>
    <row r="73" ht="15.75" customHeight="1" x14ac:dyDescent="0.3"/>
    <row r="74" ht="15.75" customHeight="1" x14ac:dyDescent="0.3"/>
    <row r="75" ht="15.75" customHeight="1" x14ac:dyDescent="0.3"/>
    <row r="76" ht="15.75" customHeight="1" x14ac:dyDescent="0.3"/>
    <row r="77" ht="15.75" customHeight="1" x14ac:dyDescent="0.3"/>
    <row r="78" ht="15.75" customHeight="1" x14ac:dyDescent="0.3"/>
    <row r="79" ht="15.75" customHeight="1" x14ac:dyDescent="0.3"/>
    <row r="80" ht="15.75" customHeight="1" x14ac:dyDescent="0.3"/>
    <row r="81" ht="15.75" customHeight="1" x14ac:dyDescent="0.3"/>
    <row r="82" ht="15.75" customHeight="1" x14ac:dyDescent="0.3"/>
    <row r="83" ht="15.75" customHeight="1" x14ac:dyDescent="0.3"/>
    <row r="84" ht="15.75" customHeight="1" x14ac:dyDescent="0.3"/>
    <row r="85" ht="15.75" customHeight="1" x14ac:dyDescent="0.3"/>
    <row r="86" ht="15.75" customHeight="1" x14ac:dyDescent="0.3"/>
    <row r="87" ht="15.75" customHeight="1" x14ac:dyDescent="0.3"/>
    <row r="88" ht="15.75" customHeight="1" x14ac:dyDescent="0.3"/>
    <row r="89" ht="15.75" customHeight="1" x14ac:dyDescent="0.3"/>
    <row r="90" ht="15.75" customHeight="1" x14ac:dyDescent="0.3"/>
    <row r="91" ht="15.75" customHeight="1" x14ac:dyDescent="0.3"/>
    <row r="92" ht="15.75" customHeight="1" x14ac:dyDescent="0.3"/>
    <row r="93" ht="15.75" customHeight="1" x14ac:dyDescent="0.3"/>
    <row r="94" ht="15.75" customHeight="1" x14ac:dyDescent="0.3"/>
    <row r="95" ht="15.75" customHeight="1" x14ac:dyDescent="0.3"/>
    <row r="96" ht="15.75" customHeight="1" x14ac:dyDescent="0.3"/>
    <row r="97" ht="15.75" customHeight="1" x14ac:dyDescent="0.3"/>
    <row r="98" ht="15.75" customHeight="1" x14ac:dyDescent="0.3"/>
    <row r="99" ht="15.75" customHeight="1" x14ac:dyDescent="0.3"/>
    <row r="100" ht="15.75" customHeight="1" x14ac:dyDescent="0.3"/>
    <row r="101" ht="15.75" customHeight="1" x14ac:dyDescent="0.3"/>
    <row r="102" ht="15.75" customHeight="1" x14ac:dyDescent="0.3"/>
    <row r="103" ht="15.75" customHeight="1" x14ac:dyDescent="0.3"/>
    <row r="104" ht="15.75" customHeight="1" x14ac:dyDescent="0.3"/>
    <row r="105" ht="15.75" customHeight="1" x14ac:dyDescent="0.3"/>
    <row r="106" ht="15.75" customHeight="1" x14ac:dyDescent="0.3"/>
    <row r="107" ht="15.75" customHeight="1" x14ac:dyDescent="0.3"/>
    <row r="108" ht="15.75" customHeight="1" x14ac:dyDescent="0.3"/>
    <row r="109" ht="15.75" customHeight="1" x14ac:dyDescent="0.3"/>
    <row r="110" ht="15.75" customHeight="1" x14ac:dyDescent="0.3"/>
    <row r="111" ht="15.75" customHeight="1" x14ac:dyDescent="0.3"/>
    <row r="112" ht="15.75" customHeight="1" x14ac:dyDescent="0.3"/>
    <row r="113" ht="15.75" customHeight="1" x14ac:dyDescent="0.3"/>
    <row r="114" ht="15.75" customHeight="1" x14ac:dyDescent="0.3"/>
    <row r="115" ht="15.75" customHeight="1" x14ac:dyDescent="0.3"/>
    <row r="116" ht="15.75" customHeight="1" x14ac:dyDescent="0.3"/>
    <row r="117" ht="15.75" customHeight="1" x14ac:dyDescent="0.3"/>
    <row r="118" ht="15.75" customHeight="1" x14ac:dyDescent="0.3"/>
    <row r="119" ht="15.75" customHeight="1" x14ac:dyDescent="0.3"/>
    <row r="120" ht="15.75" customHeight="1" x14ac:dyDescent="0.3"/>
    <row r="121" ht="15.75" customHeight="1" x14ac:dyDescent="0.3"/>
    <row r="122" ht="15.75" customHeight="1" x14ac:dyDescent="0.3"/>
    <row r="123" ht="15.75" customHeight="1" x14ac:dyDescent="0.3"/>
    <row r="124" ht="15.75" customHeight="1" x14ac:dyDescent="0.3"/>
    <row r="125" ht="15.75" customHeight="1" x14ac:dyDescent="0.3"/>
    <row r="126" ht="15.75" customHeight="1" x14ac:dyDescent="0.3"/>
    <row r="127" ht="15.75" customHeight="1" x14ac:dyDescent="0.3"/>
    <row r="128" ht="15.75" customHeight="1" x14ac:dyDescent="0.3"/>
    <row r="129" ht="15.75" customHeight="1" x14ac:dyDescent="0.3"/>
    <row r="130" ht="15.75" customHeight="1" x14ac:dyDescent="0.3"/>
    <row r="131" ht="15.75" customHeight="1" x14ac:dyDescent="0.3"/>
    <row r="132" ht="15.75" customHeight="1" x14ac:dyDescent="0.3"/>
    <row r="133" ht="15.75" customHeight="1" x14ac:dyDescent="0.3"/>
    <row r="134" ht="15.75" customHeight="1" x14ac:dyDescent="0.3"/>
    <row r="135" ht="15.75" customHeight="1" x14ac:dyDescent="0.3"/>
    <row r="136" ht="15.75" customHeight="1" x14ac:dyDescent="0.3"/>
    <row r="137" ht="15.75" customHeight="1" x14ac:dyDescent="0.3"/>
    <row r="138" ht="15.75" customHeight="1" x14ac:dyDescent="0.3"/>
    <row r="139" ht="15.75" customHeight="1" x14ac:dyDescent="0.3"/>
    <row r="140" ht="15.75" customHeight="1" x14ac:dyDescent="0.3"/>
    <row r="141" ht="15.75" customHeight="1" x14ac:dyDescent="0.3"/>
    <row r="142" ht="15.75" customHeight="1" x14ac:dyDescent="0.3"/>
    <row r="143" ht="15.75" customHeight="1" x14ac:dyDescent="0.3"/>
    <row r="144" ht="15.75" customHeight="1" x14ac:dyDescent="0.3"/>
    <row r="145" ht="15.75" customHeight="1" x14ac:dyDescent="0.3"/>
    <row r="146" ht="15.75" customHeight="1" x14ac:dyDescent="0.3"/>
    <row r="147" ht="15.75" customHeight="1" x14ac:dyDescent="0.3"/>
    <row r="148" ht="15.75" customHeight="1" x14ac:dyDescent="0.3"/>
    <row r="149" ht="15.75" customHeight="1" x14ac:dyDescent="0.3"/>
    <row r="150" ht="15.75" customHeight="1" x14ac:dyDescent="0.3"/>
    <row r="151" ht="15.75" customHeight="1" x14ac:dyDescent="0.3"/>
    <row r="152" ht="15.75" customHeight="1" x14ac:dyDescent="0.3"/>
    <row r="153" ht="15.75" customHeight="1" x14ac:dyDescent="0.3"/>
    <row r="154" ht="15.75" customHeight="1" x14ac:dyDescent="0.3"/>
    <row r="155" ht="15.75" customHeight="1" x14ac:dyDescent="0.3"/>
    <row r="156" ht="15.75" customHeight="1" x14ac:dyDescent="0.3"/>
    <row r="157" ht="15.75" customHeight="1" x14ac:dyDescent="0.3"/>
    <row r="158" ht="15.75" customHeight="1" x14ac:dyDescent="0.3"/>
    <row r="159" ht="15.75" customHeight="1" x14ac:dyDescent="0.3"/>
    <row r="160" ht="15.75" customHeight="1" x14ac:dyDescent="0.3"/>
    <row r="161" ht="15.75" customHeight="1" x14ac:dyDescent="0.3"/>
    <row r="162" ht="15.75" customHeight="1" x14ac:dyDescent="0.3"/>
    <row r="163" ht="15.75" customHeight="1" x14ac:dyDescent="0.3"/>
    <row r="164" ht="15.75" customHeight="1" x14ac:dyDescent="0.3"/>
    <row r="165" ht="15.75" customHeight="1" x14ac:dyDescent="0.3"/>
    <row r="166" ht="15.75" customHeight="1" x14ac:dyDescent="0.3"/>
    <row r="167" ht="15.75" customHeight="1" x14ac:dyDescent="0.3"/>
    <row r="168" ht="15.75" customHeight="1" x14ac:dyDescent="0.3"/>
    <row r="169" ht="15.75" customHeight="1" x14ac:dyDescent="0.3"/>
    <row r="170" ht="15.75" customHeight="1" x14ac:dyDescent="0.3"/>
    <row r="171" ht="15.75" customHeight="1" x14ac:dyDescent="0.3"/>
    <row r="172" ht="15.75" customHeight="1" x14ac:dyDescent="0.3"/>
    <row r="173" ht="15.75" customHeight="1" x14ac:dyDescent="0.3"/>
    <row r="174" ht="15.75" customHeight="1" x14ac:dyDescent="0.3"/>
    <row r="175" ht="15.75" customHeight="1" x14ac:dyDescent="0.3"/>
    <row r="176" ht="15.75" customHeight="1" x14ac:dyDescent="0.3"/>
    <row r="177" ht="15.75" customHeight="1" x14ac:dyDescent="0.3"/>
    <row r="178" ht="15.75" customHeight="1" x14ac:dyDescent="0.3"/>
    <row r="179" ht="15.75" customHeight="1" x14ac:dyDescent="0.3"/>
    <row r="180" ht="15.75" customHeight="1" x14ac:dyDescent="0.3"/>
    <row r="181" ht="15.75" customHeight="1" x14ac:dyDescent="0.3"/>
    <row r="182" ht="15.75" customHeight="1" x14ac:dyDescent="0.3"/>
    <row r="183" ht="15.75" customHeight="1" x14ac:dyDescent="0.3"/>
    <row r="184" ht="15.75" customHeight="1" x14ac:dyDescent="0.3"/>
    <row r="185" ht="15.75" customHeight="1" x14ac:dyDescent="0.3"/>
    <row r="186" ht="15.75" customHeight="1" x14ac:dyDescent="0.3"/>
    <row r="187" ht="15.75" customHeight="1" x14ac:dyDescent="0.3"/>
    <row r="188" ht="15.75" customHeight="1" x14ac:dyDescent="0.3"/>
    <row r="189" ht="15.75" customHeight="1" x14ac:dyDescent="0.3"/>
    <row r="190" ht="15.75" customHeight="1" x14ac:dyDescent="0.3"/>
    <row r="191" ht="15.75" customHeight="1" x14ac:dyDescent="0.3"/>
    <row r="192" ht="15.75" customHeight="1" x14ac:dyDescent="0.3"/>
    <row r="193" ht="15.75" customHeight="1" x14ac:dyDescent="0.3"/>
    <row r="194" ht="15.75" customHeight="1" x14ac:dyDescent="0.3"/>
    <row r="195" ht="15.75" customHeight="1" x14ac:dyDescent="0.3"/>
    <row r="196" ht="15.75" customHeight="1" x14ac:dyDescent="0.3"/>
    <row r="197" ht="15.75" customHeight="1" x14ac:dyDescent="0.3"/>
    <row r="198" ht="15.75" customHeight="1" x14ac:dyDescent="0.3"/>
    <row r="199" ht="15.75" customHeight="1" x14ac:dyDescent="0.3"/>
    <row r="200" ht="15.75" customHeight="1" x14ac:dyDescent="0.3"/>
    <row r="201" ht="15.75" customHeight="1" x14ac:dyDescent="0.3"/>
    <row r="202" ht="15.75" customHeight="1" x14ac:dyDescent="0.3"/>
    <row r="203" ht="15.75" customHeight="1" x14ac:dyDescent="0.3"/>
    <row r="204" ht="15.75" customHeight="1" x14ac:dyDescent="0.3"/>
    <row r="205" ht="15.75" customHeight="1" x14ac:dyDescent="0.3"/>
    <row r="206" ht="15.75" customHeight="1" x14ac:dyDescent="0.3"/>
    <row r="207" ht="15.75" customHeight="1" x14ac:dyDescent="0.3"/>
    <row r="208" ht="15.75" customHeight="1" x14ac:dyDescent="0.3"/>
    <row r="209" ht="15.75" customHeight="1" x14ac:dyDescent="0.3"/>
    <row r="210" ht="15.75" customHeight="1" x14ac:dyDescent="0.3"/>
    <row r="211" ht="15.75" customHeight="1" x14ac:dyDescent="0.3"/>
    <row r="212" ht="15.75" customHeight="1" x14ac:dyDescent="0.3"/>
    <row r="213" ht="15.75" customHeight="1" x14ac:dyDescent="0.3"/>
    <row r="214" ht="15.75" customHeight="1" x14ac:dyDescent="0.3"/>
    <row r="215" ht="15.75" customHeight="1" x14ac:dyDescent="0.3"/>
    <row r="216" ht="15.75" customHeight="1" x14ac:dyDescent="0.3"/>
    <row r="217" ht="15.75" customHeight="1" x14ac:dyDescent="0.3"/>
    <row r="218" ht="15.75" customHeight="1" x14ac:dyDescent="0.3"/>
    <row r="219" ht="15.75" customHeight="1" x14ac:dyDescent="0.3"/>
    <row r="220" ht="15.75" customHeight="1" x14ac:dyDescent="0.3"/>
    <row r="221" ht="15.75" customHeight="1" x14ac:dyDescent="0.3"/>
    <row r="222" ht="15.75" customHeight="1" x14ac:dyDescent="0.3"/>
    <row r="223" ht="15.75" customHeight="1" x14ac:dyDescent="0.3"/>
    <row r="224" ht="15.75" customHeight="1" x14ac:dyDescent="0.3"/>
    <row r="225" ht="15.75" customHeight="1" x14ac:dyDescent="0.3"/>
    <row r="226" ht="15.75" customHeight="1" x14ac:dyDescent="0.3"/>
    <row r="227" ht="15.75" customHeight="1" x14ac:dyDescent="0.3"/>
    <row r="228" ht="15.75" customHeight="1" x14ac:dyDescent="0.3"/>
    <row r="229" ht="15.75" customHeight="1" x14ac:dyDescent="0.3"/>
    <row r="230" ht="15.75" customHeight="1" x14ac:dyDescent="0.3"/>
    <row r="231" ht="15.75" customHeight="1" x14ac:dyDescent="0.3"/>
    <row r="232" ht="15.75" customHeight="1" x14ac:dyDescent="0.3"/>
    <row r="233" ht="15.75" customHeight="1" x14ac:dyDescent="0.3"/>
    <row r="234" ht="15.75" customHeight="1" x14ac:dyDescent="0.3"/>
    <row r="235" ht="15.75" customHeight="1" x14ac:dyDescent="0.3"/>
    <row r="236" ht="15.75" customHeight="1" x14ac:dyDescent="0.3"/>
    <row r="237" ht="15.75" customHeight="1" x14ac:dyDescent="0.3"/>
    <row r="238" ht="15.75" customHeight="1" x14ac:dyDescent="0.3"/>
    <row r="239" ht="15.75" customHeight="1" x14ac:dyDescent="0.3"/>
    <row r="240" ht="15.75" customHeight="1" x14ac:dyDescent="0.3"/>
    <row r="241" ht="15.75" customHeight="1" x14ac:dyDescent="0.3"/>
    <row r="242" ht="15.75" customHeight="1" x14ac:dyDescent="0.3"/>
    <row r="243" ht="15.75" customHeight="1" x14ac:dyDescent="0.3"/>
    <row r="244" ht="15.75" customHeight="1" x14ac:dyDescent="0.3"/>
    <row r="245" ht="15.75" customHeight="1" x14ac:dyDescent="0.3"/>
    <row r="246" ht="15.75" customHeight="1" x14ac:dyDescent="0.3"/>
    <row r="247" ht="15.75" customHeight="1" x14ac:dyDescent="0.3"/>
    <row r="248" ht="15.75" customHeight="1" x14ac:dyDescent="0.3"/>
    <row r="249" ht="15.75" customHeight="1" x14ac:dyDescent="0.3"/>
    <row r="250" ht="15.75" customHeight="1" x14ac:dyDescent="0.3"/>
    <row r="251" ht="15.75" customHeight="1" x14ac:dyDescent="0.3"/>
    <row r="252" ht="15.75" customHeight="1" x14ac:dyDescent="0.3"/>
    <row r="253" ht="15.75" customHeight="1" x14ac:dyDescent="0.3"/>
    <row r="254" ht="15.75" customHeight="1" x14ac:dyDescent="0.3"/>
    <row r="255" ht="15.75" customHeight="1" x14ac:dyDescent="0.3"/>
    <row r="256" ht="15.75" customHeight="1" x14ac:dyDescent="0.3"/>
    <row r="257" ht="15.75" customHeight="1" x14ac:dyDescent="0.3"/>
    <row r="258" ht="15.75" customHeight="1" x14ac:dyDescent="0.3"/>
    <row r="259" ht="15.75" customHeight="1" x14ac:dyDescent="0.3"/>
    <row r="260" ht="15.75" customHeight="1" x14ac:dyDescent="0.3"/>
    <row r="261" ht="15.75" customHeight="1" x14ac:dyDescent="0.3"/>
    <row r="262" ht="15.75" customHeight="1" x14ac:dyDescent="0.3"/>
    <row r="263" ht="15.75" customHeight="1" x14ac:dyDescent="0.3"/>
    <row r="264" ht="15.75" customHeight="1" x14ac:dyDescent="0.3"/>
    <row r="265" ht="15.75" customHeight="1" x14ac:dyDescent="0.3"/>
    <row r="266" ht="15.75" customHeight="1" x14ac:dyDescent="0.3"/>
    <row r="267" ht="15.75" customHeight="1" x14ac:dyDescent="0.3"/>
    <row r="268" ht="15.75" customHeight="1" x14ac:dyDescent="0.3"/>
    <row r="269" ht="15.75" customHeight="1" x14ac:dyDescent="0.3"/>
    <row r="270" ht="15.75" customHeight="1" x14ac:dyDescent="0.3"/>
    <row r="271" ht="15.75" customHeight="1" x14ac:dyDescent="0.3"/>
    <row r="272" ht="15.75" customHeight="1" x14ac:dyDescent="0.3"/>
    <row r="273" ht="15.75" customHeight="1" x14ac:dyDescent="0.3"/>
    <row r="274" ht="15.75" customHeight="1" x14ac:dyDescent="0.3"/>
    <row r="275" ht="15.75" customHeight="1" x14ac:dyDescent="0.3"/>
    <row r="276" ht="15.75" customHeight="1" x14ac:dyDescent="0.3"/>
    <row r="277" ht="15.75" customHeight="1" x14ac:dyDescent="0.3"/>
    <row r="278" ht="15.75" customHeight="1" x14ac:dyDescent="0.3"/>
    <row r="279" ht="15.75" customHeight="1" x14ac:dyDescent="0.3"/>
    <row r="280" ht="15.75" customHeight="1" x14ac:dyDescent="0.3"/>
    <row r="281" ht="15.75" customHeight="1" x14ac:dyDescent="0.3"/>
    <row r="282" ht="15.75" customHeight="1" x14ac:dyDescent="0.3"/>
    <row r="283" ht="15.75" customHeight="1" x14ac:dyDescent="0.3"/>
    <row r="284" ht="15.75" customHeight="1" x14ac:dyDescent="0.3"/>
    <row r="285" ht="15.75" customHeight="1" x14ac:dyDescent="0.3"/>
    <row r="286" ht="15.75" customHeight="1" x14ac:dyDescent="0.3"/>
    <row r="287" ht="15.75" customHeight="1" x14ac:dyDescent="0.3"/>
    <row r="288" ht="15.75" customHeight="1" x14ac:dyDescent="0.3"/>
    <row r="289" ht="15.75" customHeight="1" x14ac:dyDescent="0.3"/>
    <row r="290" ht="15.75" customHeight="1" x14ac:dyDescent="0.3"/>
    <row r="291" ht="15.75" customHeight="1" x14ac:dyDescent="0.3"/>
    <row r="292" ht="15.75" customHeight="1" x14ac:dyDescent="0.3"/>
    <row r="293" ht="15.75" customHeight="1" x14ac:dyDescent="0.3"/>
    <row r="294" ht="15.75" customHeight="1" x14ac:dyDescent="0.3"/>
    <row r="295" ht="15.75" customHeight="1" x14ac:dyDescent="0.3"/>
    <row r="296" ht="15.75" customHeight="1" x14ac:dyDescent="0.3"/>
    <row r="297" ht="15.75" customHeight="1" x14ac:dyDescent="0.3"/>
    <row r="298" ht="15.75" customHeight="1" x14ac:dyDescent="0.3"/>
    <row r="299" ht="15.75" customHeight="1" x14ac:dyDescent="0.3"/>
    <row r="300" ht="15.75" customHeight="1" x14ac:dyDescent="0.3"/>
    <row r="301" ht="15.75" customHeight="1" x14ac:dyDescent="0.3"/>
    <row r="302" ht="15.75" customHeight="1" x14ac:dyDescent="0.3"/>
    <row r="303" ht="15.75" customHeight="1" x14ac:dyDescent="0.3"/>
    <row r="304" ht="15.75" customHeight="1" x14ac:dyDescent="0.3"/>
    <row r="305" ht="15.75" customHeight="1" x14ac:dyDescent="0.3"/>
    <row r="306" ht="15.75" customHeight="1" x14ac:dyDescent="0.3"/>
    <row r="307" ht="15.75" customHeight="1" x14ac:dyDescent="0.3"/>
    <row r="308" ht="15.75" customHeight="1" x14ac:dyDescent="0.3"/>
    <row r="309" ht="15.75" customHeight="1" x14ac:dyDescent="0.3"/>
    <row r="310" ht="15.75" customHeight="1" x14ac:dyDescent="0.3"/>
    <row r="311" ht="15.75" customHeight="1" x14ac:dyDescent="0.3"/>
    <row r="312" ht="15.75" customHeight="1" x14ac:dyDescent="0.3"/>
    <row r="313" ht="15.75" customHeight="1" x14ac:dyDescent="0.3"/>
    <row r="314" ht="15.75" customHeight="1" x14ac:dyDescent="0.3"/>
    <row r="315" ht="15.75" customHeight="1" x14ac:dyDescent="0.3"/>
    <row r="316" ht="15.75" customHeight="1" x14ac:dyDescent="0.3"/>
    <row r="317" ht="15.75" customHeight="1" x14ac:dyDescent="0.3"/>
    <row r="318" ht="15.75" customHeight="1" x14ac:dyDescent="0.3"/>
    <row r="319" ht="15.75" customHeight="1" x14ac:dyDescent="0.3"/>
    <row r="320" ht="15.75" customHeight="1" x14ac:dyDescent="0.3"/>
    <row r="321" ht="15.75" customHeight="1" x14ac:dyDescent="0.3"/>
    <row r="322" ht="15.75" customHeight="1" x14ac:dyDescent="0.3"/>
    <row r="323" ht="15.75" customHeight="1" x14ac:dyDescent="0.3"/>
    <row r="324" ht="15.75" customHeight="1" x14ac:dyDescent="0.3"/>
    <row r="325" ht="15.75" customHeight="1" x14ac:dyDescent="0.3"/>
    <row r="326" ht="15.75" customHeight="1" x14ac:dyDescent="0.3"/>
    <row r="327" ht="15.75" customHeight="1" x14ac:dyDescent="0.3"/>
    <row r="328" ht="15.75" customHeight="1" x14ac:dyDescent="0.3"/>
    <row r="329" ht="15.75" customHeight="1" x14ac:dyDescent="0.3"/>
    <row r="330" ht="15.75" customHeight="1" x14ac:dyDescent="0.3"/>
    <row r="331" ht="15.75" customHeight="1" x14ac:dyDescent="0.3"/>
    <row r="332" ht="15.75" customHeight="1" x14ac:dyDescent="0.3"/>
    <row r="333" ht="15.75" customHeight="1" x14ac:dyDescent="0.3"/>
    <row r="334" ht="15.75" customHeight="1" x14ac:dyDescent="0.3"/>
    <row r="335" ht="15.75" customHeight="1" x14ac:dyDescent="0.3"/>
    <row r="336" ht="15.75" customHeight="1" x14ac:dyDescent="0.3"/>
    <row r="337" ht="15.75" customHeight="1" x14ac:dyDescent="0.3"/>
    <row r="338" ht="15.75" customHeight="1" x14ac:dyDescent="0.3"/>
    <row r="339" ht="15.75" customHeight="1" x14ac:dyDescent="0.3"/>
    <row r="340" ht="15.75" customHeight="1" x14ac:dyDescent="0.3"/>
    <row r="341" ht="15.75" customHeight="1" x14ac:dyDescent="0.3"/>
    <row r="342" ht="15.75" customHeight="1" x14ac:dyDescent="0.3"/>
    <row r="343" ht="15.75" customHeight="1" x14ac:dyDescent="0.3"/>
    <row r="344" ht="15.75" customHeight="1" x14ac:dyDescent="0.3"/>
    <row r="345" ht="15.75" customHeight="1" x14ac:dyDescent="0.3"/>
    <row r="346" ht="15.75" customHeight="1" x14ac:dyDescent="0.3"/>
    <row r="347" ht="15.75" customHeight="1" x14ac:dyDescent="0.3"/>
    <row r="348" ht="15.75" customHeight="1" x14ac:dyDescent="0.3"/>
    <row r="349" ht="15.75" customHeight="1" x14ac:dyDescent="0.3"/>
    <row r="350" ht="15.75" customHeight="1" x14ac:dyDescent="0.3"/>
    <row r="351" ht="15.75" customHeight="1" x14ac:dyDescent="0.3"/>
    <row r="352" ht="15.75" customHeight="1" x14ac:dyDescent="0.3"/>
    <row r="353" ht="15.75" customHeight="1" x14ac:dyDescent="0.3"/>
    <row r="354" ht="15.75" customHeight="1" x14ac:dyDescent="0.3"/>
    <row r="355" ht="15.75" customHeight="1" x14ac:dyDescent="0.3"/>
    <row r="356" ht="15.75" customHeight="1" x14ac:dyDescent="0.3"/>
    <row r="357" ht="15.75" customHeight="1" x14ac:dyDescent="0.3"/>
    <row r="358" ht="15.75" customHeight="1" x14ac:dyDescent="0.3"/>
    <row r="359" ht="15.75" customHeight="1" x14ac:dyDescent="0.3"/>
    <row r="360" ht="15.75" customHeight="1" x14ac:dyDescent="0.3"/>
    <row r="361" ht="15.75" customHeight="1" x14ac:dyDescent="0.3"/>
    <row r="362" ht="15.75" customHeight="1" x14ac:dyDescent="0.3"/>
    <row r="363" ht="15.75" customHeight="1" x14ac:dyDescent="0.3"/>
    <row r="364" ht="15.75" customHeight="1" x14ac:dyDescent="0.3"/>
    <row r="365" ht="15.75" customHeight="1" x14ac:dyDescent="0.3"/>
    <row r="366" ht="15.75" customHeight="1" x14ac:dyDescent="0.3"/>
    <row r="367" ht="15.75" customHeight="1" x14ac:dyDescent="0.3"/>
    <row r="368" ht="15.75" customHeight="1" x14ac:dyDescent="0.3"/>
    <row r="369" ht="15.75" customHeight="1" x14ac:dyDescent="0.3"/>
    <row r="370" ht="15.75" customHeight="1" x14ac:dyDescent="0.3"/>
    <row r="371" ht="15.75" customHeight="1" x14ac:dyDescent="0.3"/>
    <row r="372" ht="15.75" customHeight="1" x14ac:dyDescent="0.3"/>
    <row r="373" ht="15.75" customHeight="1" x14ac:dyDescent="0.3"/>
    <row r="374" ht="15.75" customHeight="1" x14ac:dyDescent="0.3"/>
    <row r="375" ht="15.75" customHeight="1" x14ac:dyDescent="0.3"/>
    <row r="376" ht="15.75" customHeight="1" x14ac:dyDescent="0.3"/>
    <row r="377" ht="15.75" customHeight="1" x14ac:dyDescent="0.3"/>
    <row r="378" ht="15.75" customHeight="1" x14ac:dyDescent="0.3"/>
    <row r="379" ht="15.75" customHeight="1" x14ac:dyDescent="0.3"/>
    <row r="380" ht="15.75" customHeight="1" x14ac:dyDescent="0.3"/>
    <row r="381" ht="15.75" customHeight="1" x14ac:dyDescent="0.3"/>
    <row r="382" ht="15.75" customHeight="1" x14ac:dyDescent="0.3"/>
    <row r="383" ht="15.75" customHeight="1" x14ac:dyDescent="0.3"/>
    <row r="384" ht="15.75" customHeight="1" x14ac:dyDescent="0.3"/>
    <row r="385" ht="15.75" customHeight="1" x14ac:dyDescent="0.3"/>
    <row r="386" ht="15.75" customHeight="1" x14ac:dyDescent="0.3"/>
    <row r="387" ht="15.75" customHeight="1" x14ac:dyDescent="0.3"/>
    <row r="388" ht="15.75" customHeight="1" x14ac:dyDescent="0.3"/>
    <row r="389" ht="15.75" customHeight="1" x14ac:dyDescent="0.3"/>
    <row r="390" ht="15.75" customHeight="1" x14ac:dyDescent="0.3"/>
    <row r="391" ht="15.75" customHeight="1" x14ac:dyDescent="0.3"/>
    <row r="392" ht="15.75" customHeight="1" x14ac:dyDescent="0.3"/>
    <row r="393" ht="15.75" customHeight="1" x14ac:dyDescent="0.3"/>
    <row r="394" ht="15.75" customHeight="1" x14ac:dyDescent="0.3"/>
    <row r="395" ht="15.75" customHeight="1" x14ac:dyDescent="0.3"/>
    <row r="396" ht="15.75" customHeight="1" x14ac:dyDescent="0.3"/>
    <row r="397" ht="15.75" customHeight="1" x14ac:dyDescent="0.3"/>
    <row r="398" ht="15.75" customHeight="1" x14ac:dyDescent="0.3"/>
    <row r="399" ht="15.75" customHeight="1" x14ac:dyDescent="0.3"/>
    <row r="400" ht="15.75" customHeight="1" x14ac:dyDescent="0.3"/>
    <row r="401" ht="15.75" customHeight="1" x14ac:dyDescent="0.3"/>
    <row r="402" ht="15.75" customHeight="1" x14ac:dyDescent="0.3"/>
    <row r="403" ht="15.75" customHeight="1" x14ac:dyDescent="0.3"/>
    <row r="404" ht="15.75" customHeight="1" x14ac:dyDescent="0.3"/>
    <row r="405" ht="15.75" customHeight="1" x14ac:dyDescent="0.3"/>
    <row r="406" ht="15.75" customHeight="1" x14ac:dyDescent="0.3"/>
    <row r="407" ht="15.75" customHeight="1" x14ac:dyDescent="0.3"/>
    <row r="408" ht="15.75" customHeight="1" x14ac:dyDescent="0.3"/>
    <row r="409" ht="15.75" customHeight="1" x14ac:dyDescent="0.3"/>
    <row r="410" ht="15.75" customHeight="1" x14ac:dyDescent="0.3"/>
    <row r="411" ht="15.75" customHeight="1" x14ac:dyDescent="0.3"/>
    <row r="412" ht="15.75" customHeight="1" x14ac:dyDescent="0.3"/>
    <row r="413" ht="15.75" customHeight="1" x14ac:dyDescent="0.3"/>
    <row r="414" ht="15.75" customHeight="1" x14ac:dyDescent="0.3"/>
    <row r="415" ht="15.75" customHeight="1" x14ac:dyDescent="0.3"/>
    <row r="416" ht="15.75" customHeight="1" x14ac:dyDescent="0.3"/>
    <row r="417" ht="15.75" customHeight="1" x14ac:dyDescent="0.3"/>
    <row r="418" ht="15.75" customHeight="1" x14ac:dyDescent="0.3"/>
    <row r="419" ht="15.75" customHeight="1" x14ac:dyDescent="0.3"/>
    <row r="420" ht="15.75" customHeight="1" x14ac:dyDescent="0.3"/>
    <row r="421" ht="15.75" customHeight="1" x14ac:dyDescent="0.3"/>
    <row r="422" ht="15.75" customHeight="1" x14ac:dyDescent="0.3"/>
    <row r="423" ht="15.75" customHeight="1" x14ac:dyDescent="0.3"/>
    <row r="424" ht="15.75" customHeight="1" x14ac:dyDescent="0.3"/>
    <row r="425" ht="15.75" customHeight="1" x14ac:dyDescent="0.3"/>
    <row r="426" ht="15.75" customHeight="1" x14ac:dyDescent="0.3"/>
    <row r="427" ht="15.75" customHeight="1" x14ac:dyDescent="0.3"/>
    <row r="428" ht="15.75" customHeight="1" x14ac:dyDescent="0.3"/>
    <row r="429" ht="15.75" customHeight="1" x14ac:dyDescent="0.3"/>
    <row r="430" ht="15.75" customHeight="1" x14ac:dyDescent="0.3"/>
    <row r="431" ht="15.75" customHeight="1" x14ac:dyDescent="0.3"/>
    <row r="432" ht="15.75" customHeight="1" x14ac:dyDescent="0.3"/>
    <row r="433" ht="15.75" customHeight="1" x14ac:dyDescent="0.3"/>
    <row r="434" ht="15.75" customHeight="1" x14ac:dyDescent="0.3"/>
    <row r="435" ht="15.75" customHeight="1" x14ac:dyDescent="0.3"/>
    <row r="436" ht="15.75" customHeight="1" x14ac:dyDescent="0.3"/>
    <row r="437" ht="15.75" customHeight="1" x14ac:dyDescent="0.3"/>
    <row r="438" ht="15.75" customHeight="1" x14ac:dyDescent="0.3"/>
    <row r="439" ht="15.75" customHeight="1" x14ac:dyDescent="0.3"/>
    <row r="440" ht="15.75" customHeight="1" x14ac:dyDescent="0.3"/>
    <row r="441" ht="15.75" customHeight="1" x14ac:dyDescent="0.3"/>
    <row r="442" ht="15.75" customHeight="1" x14ac:dyDescent="0.3"/>
    <row r="443" ht="15.75" customHeight="1" x14ac:dyDescent="0.3"/>
    <row r="444" ht="15.75" customHeight="1" x14ac:dyDescent="0.3"/>
    <row r="445" ht="15.75" customHeight="1" x14ac:dyDescent="0.3"/>
    <row r="446" ht="15.75" customHeight="1" x14ac:dyDescent="0.3"/>
    <row r="447" ht="15.75" customHeight="1" x14ac:dyDescent="0.3"/>
    <row r="448" ht="15.75" customHeight="1" x14ac:dyDescent="0.3"/>
    <row r="449" ht="15.75" customHeight="1" x14ac:dyDescent="0.3"/>
    <row r="450" ht="15.75" customHeight="1" x14ac:dyDescent="0.3"/>
    <row r="451" ht="15.75" customHeight="1" x14ac:dyDescent="0.3"/>
    <row r="452" ht="15.75" customHeight="1" x14ac:dyDescent="0.3"/>
    <row r="453" ht="15.75" customHeight="1" x14ac:dyDescent="0.3"/>
    <row r="454" ht="15.75" customHeight="1" x14ac:dyDescent="0.3"/>
    <row r="455" ht="15.75" customHeight="1" x14ac:dyDescent="0.3"/>
    <row r="456" ht="15.75" customHeight="1" x14ac:dyDescent="0.3"/>
    <row r="457" ht="15.75" customHeight="1" x14ac:dyDescent="0.3"/>
    <row r="458" ht="15.75" customHeight="1" x14ac:dyDescent="0.3"/>
    <row r="459" ht="15.75" customHeight="1" x14ac:dyDescent="0.3"/>
    <row r="460" ht="15.75" customHeight="1" x14ac:dyDescent="0.3"/>
    <row r="461" ht="15.75" customHeight="1" x14ac:dyDescent="0.3"/>
    <row r="462" ht="15.75" customHeight="1" x14ac:dyDescent="0.3"/>
    <row r="463" ht="15.75" customHeight="1" x14ac:dyDescent="0.3"/>
    <row r="464" ht="15.75" customHeight="1" x14ac:dyDescent="0.3"/>
    <row r="465" ht="15.75" customHeight="1" x14ac:dyDescent="0.3"/>
    <row r="466" ht="15.75" customHeight="1" x14ac:dyDescent="0.3"/>
    <row r="467" ht="15.75" customHeight="1" x14ac:dyDescent="0.3"/>
    <row r="468" ht="15.75" customHeight="1" x14ac:dyDescent="0.3"/>
    <row r="469" ht="15.75" customHeight="1" x14ac:dyDescent="0.3"/>
    <row r="470" ht="15.75" customHeight="1" x14ac:dyDescent="0.3"/>
    <row r="471" ht="15.75" customHeight="1" x14ac:dyDescent="0.3"/>
    <row r="472" ht="15.75" customHeight="1" x14ac:dyDescent="0.3"/>
    <row r="473" ht="15.75" customHeight="1" x14ac:dyDescent="0.3"/>
    <row r="474" ht="15.75" customHeight="1" x14ac:dyDescent="0.3"/>
    <row r="475" ht="15.75" customHeight="1" x14ac:dyDescent="0.3"/>
    <row r="476" ht="15.75" customHeight="1" x14ac:dyDescent="0.3"/>
    <row r="477" ht="15.75" customHeight="1" x14ac:dyDescent="0.3"/>
    <row r="478" ht="15.75" customHeight="1" x14ac:dyDescent="0.3"/>
    <row r="479" ht="15.75" customHeight="1" x14ac:dyDescent="0.3"/>
    <row r="480" ht="15.75" customHeight="1" x14ac:dyDescent="0.3"/>
    <row r="481" ht="15.75" customHeight="1" x14ac:dyDescent="0.3"/>
    <row r="482" ht="15.75" customHeight="1" x14ac:dyDescent="0.3"/>
    <row r="483" ht="15.75" customHeight="1" x14ac:dyDescent="0.3"/>
    <row r="484" ht="15.75" customHeight="1" x14ac:dyDescent="0.3"/>
    <row r="485" ht="15.75" customHeight="1" x14ac:dyDescent="0.3"/>
    <row r="486" ht="15.75" customHeight="1" x14ac:dyDescent="0.3"/>
    <row r="487" ht="15.75" customHeight="1" x14ac:dyDescent="0.3"/>
    <row r="488" ht="15.75" customHeight="1" x14ac:dyDescent="0.3"/>
    <row r="489" ht="15.75" customHeight="1" x14ac:dyDescent="0.3"/>
    <row r="490" ht="15.75" customHeight="1" x14ac:dyDescent="0.3"/>
    <row r="491" ht="15.75" customHeight="1" x14ac:dyDescent="0.3"/>
    <row r="492" ht="15.75" customHeight="1" x14ac:dyDescent="0.3"/>
    <row r="493" ht="15.75" customHeight="1" x14ac:dyDescent="0.3"/>
    <row r="494" ht="15.75" customHeight="1" x14ac:dyDescent="0.3"/>
    <row r="495" ht="15.75" customHeight="1" x14ac:dyDescent="0.3"/>
    <row r="496" ht="15.75" customHeight="1" x14ac:dyDescent="0.3"/>
    <row r="497" ht="15.75" customHeight="1" x14ac:dyDescent="0.3"/>
    <row r="498" ht="15.75" customHeight="1" x14ac:dyDescent="0.3"/>
    <row r="499" ht="15.75" customHeight="1" x14ac:dyDescent="0.3"/>
    <row r="500" ht="15.75" customHeight="1" x14ac:dyDescent="0.3"/>
    <row r="501" ht="15.75" customHeight="1" x14ac:dyDescent="0.3"/>
    <row r="502" ht="15.75" customHeight="1" x14ac:dyDescent="0.3"/>
    <row r="503" ht="15.75" customHeight="1" x14ac:dyDescent="0.3"/>
    <row r="504" ht="15.75" customHeight="1" x14ac:dyDescent="0.3"/>
    <row r="505" ht="15.75" customHeight="1" x14ac:dyDescent="0.3"/>
    <row r="506" ht="15.75" customHeight="1" x14ac:dyDescent="0.3"/>
    <row r="507" ht="15.75" customHeight="1" x14ac:dyDescent="0.3"/>
    <row r="508" ht="15.75" customHeight="1" x14ac:dyDescent="0.3"/>
    <row r="509" ht="15.75" customHeight="1" x14ac:dyDescent="0.3"/>
    <row r="510" ht="15.75" customHeight="1" x14ac:dyDescent="0.3"/>
    <row r="511" ht="15.75" customHeight="1" x14ac:dyDescent="0.3"/>
    <row r="512" ht="15.75" customHeight="1" x14ac:dyDescent="0.3"/>
    <row r="513" ht="15.75" customHeight="1" x14ac:dyDescent="0.3"/>
    <row r="514" ht="15.75" customHeight="1" x14ac:dyDescent="0.3"/>
    <row r="515" ht="15.75" customHeight="1" x14ac:dyDescent="0.3"/>
    <row r="516" ht="15.75" customHeight="1" x14ac:dyDescent="0.3"/>
    <row r="517" ht="15.75" customHeight="1" x14ac:dyDescent="0.3"/>
    <row r="518" ht="15.75" customHeight="1" x14ac:dyDescent="0.3"/>
    <row r="519" ht="15.75" customHeight="1" x14ac:dyDescent="0.3"/>
    <row r="520" ht="15.75" customHeight="1" x14ac:dyDescent="0.3"/>
    <row r="521" ht="15.75" customHeight="1" x14ac:dyDescent="0.3"/>
    <row r="522" ht="15.75" customHeight="1" x14ac:dyDescent="0.3"/>
    <row r="523" ht="15.75" customHeight="1" x14ac:dyDescent="0.3"/>
    <row r="524" ht="15.75" customHeight="1" x14ac:dyDescent="0.3"/>
    <row r="525" ht="15.75" customHeight="1" x14ac:dyDescent="0.3"/>
    <row r="526" ht="15.75" customHeight="1" x14ac:dyDescent="0.3"/>
    <row r="527" ht="15.75" customHeight="1" x14ac:dyDescent="0.3"/>
    <row r="528" ht="15.75" customHeight="1" x14ac:dyDescent="0.3"/>
    <row r="529" ht="15.75" customHeight="1" x14ac:dyDescent="0.3"/>
    <row r="530" ht="15.75" customHeight="1" x14ac:dyDescent="0.3"/>
    <row r="531" ht="15.75" customHeight="1" x14ac:dyDescent="0.3"/>
    <row r="532" ht="15.75" customHeight="1" x14ac:dyDescent="0.3"/>
    <row r="533" ht="15.75" customHeight="1" x14ac:dyDescent="0.3"/>
    <row r="534" ht="15.75" customHeight="1" x14ac:dyDescent="0.3"/>
    <row r="535" ht="15.75" customHeight="1" x14ac:dyDescent="0.3"/>
    <row r="536" ht="15.75" customHeight="1" x14ac:dyDescent="0.3"/>
    <row r="537" ht="15.75" customHeight="1" x14ac:dyDescent="0.3"/>
    <row r="538" ht="15.75" customHeight="1" x14ac:dyDescent="0.3"/>
    <row r="539" ht="15.75" customHeight="1" x14ac:dyDescent="0.3"/>
    <row r="540" ht="15.75" customHeight="1" x14ac:dyDescent="0.3"/>
    <row r="541" ht="15.75" customHeight="1" x14ac:dyDescent="0.3"/>
    <row r="542" ht="15.75" customHeight="1" x14ac:dyDescent="0.3"/>
    <row r="543" ht="15.75" customHeight="1" x14ac:dyDescent="0.3"/>
    <row r="544" ht="15.75" customHeight="1" x14ac:dyDescent="0.3"/>
    <row r="545" ht="15.75" customHeight="1" x14ac:dyDescent="0.3"/>
    <row r="546" ht="15.75" customHeight="1" x14ac:dyDescent="0.3"/>
    <row r="547" ht="15.75" customHeight="1" x14ac:dyDescent="0.3"/>
    <row r="548" ht="15.75" customHeight="1" x14ac:dyDescent="0.3"/>
    <row r="549" ht="15.75" customHeight="1" x14ac:dyDescent="0.3"/>
    <row r="550" ht="15.75" customHeight="1" x14ac:dyDescent="0.3"/>
    <row r="551" ht="15.75" customHeight="1" x14ac:dyDescent="0.3"/>
    <row r="552" ht="15.75" customHeight="1" x14ac:dyDescent="0.3"/>
    <row r="553" ht="15.75" customHeight="1" x14ac:dyDescent="0.3"/>
    <row r="554" ht="15.75" customHeight="1" x14ac:dyDescent="0.3"/>
    <row r="555" ht="15.75" customHeight="1" x14ac:dyDescent="0.3"/>
    <row r="556" ht="15.75" customHeight="1" x14ac:dyDescent="0.3"/>
    <row r="557" ht="15.75" customHeight="1" x14ac:dyDescent="0.3"/>
    <row r="558" ht="15.75" customHeight="1" x14ac:dyDescent="0.3"/>
    <row r="559" ht="15.75" customHeight="1" x14ac:dyDescent="0.3"/>
    <row r="560" ht="15.75" customHeight="1" x14ac:dyDescent="0.3"/>
    <row r="561" ht="15.75" customHeight="1" x14ac:dyDescent="0.3"/>
    <row r="562" ht="15.75" customHeight="1" x14ac:dyDescent="0.3"/>
    <row r="563" ht="15.75" customHeight="1" x14ac:dyDescent="0.3"/>
    <row r="564" ht="15.75" customHeight="1" x14ac:dyDescent="0.3"/>
    <row r="565" ht="15.75" customHeight="1" x14ac:dyDescent="0.3"/>
    <row r="566" ht="15.75" customHeight="1" x14ac:dyDescent="0.3"/>
    <row r="567" ht="15.75" customHeight="1" x14ac:dyDescent="0.3"/>
    <row r="568" ht="15.75" customHeight="1" x14ac:dyDescent="0.3"/>
    <row r="569" ht="15.75" customHeight="1" x14ac:dyDescent="0.3"/>
    <row r="570" ht="15.75" customHeight="1" x14ac:dyDescent="0.3"/>
    <row r="571" ht="15.75" customHeight="1" x14ac:dyDescent="0.3"/>
    <row r="572" ht="15.75" customHeight="1" x14ac:dyDescent="0.3"/>
    <row r="573" ht="15.75" customHeight="1" x14ac:dyDescent="0.3"/>
    <row r="574" ht="15.75" customHeight="1" x14ac:dyDescent="0.3"/>
    <row r="575" ht="15.75" customHeight="1" x14ac:dyDescent="0.3"/>
    <row r="576" ht="15.75" customHeight="1" x14ac:dyDescent="0.3"/>
    <row r="577" ht="15.75" customHeight="1" x14ac:dyDescent="0.3"/>
    <row r="578" ht="15.75" customHeight="1" x14ac:dyDescent="0.3"/>
    <row r="579" ht="15.75" customHeight="1" x14ac:dyDescent="0.3"/>
    <row r="580" ht="15.75" customHeight="1" x14ac:dyDescent="0.3"/>
    <row r="581" ht="15.75" customHeight="1" x14ac:dyDescent="0.3"/>
    <row r="582" ht="15.75" customHeight="1" x14ac:dyDescent="0.3"/>
    <row r="583" ht="15.75" customHeight="1" x14ac:dyDescent="0.3"/>
    <row r="584" ht="15.75" customHeight="1" x14ac:dyDescent="0.3"/>
    <row r="585" ht="15.75" customHeight="1" x14ac:dyDescent="0.3"/>
    <row r="586" ht="15.75" customHeight="1" x14ac:dyDescent="0.3"/>
    <row r="587" ht="15.75" customHeight="1" x14ac:dyDescent="0.3"/>
    <row r="588" ht="15.75" customHeight="1" x14ac:dyDescent="0.3"/>
    <row r="589" ht="15.75" customHeight="1" x14ac:dyDescent="0.3"/>
    <row r="590" ht="15.75" customHeight="1" x14ac:dyDescent="0.3"/>
    <row r="591" ht="15.75" customHeight="1" x14ac:dyDescent="0.3"/>
    <row r="592" ht="15.75" customHeight="1" x14ac:dyDescent="0.3"/>
    <row r="593" ht="15.75" customHeight="1" x14ac:dyDescent="0.3"/>
    <row r="594" ht="15.75" customHeight="1" x14ac:dyDescent="0.3"/>
    <row r="595" ht="15.75" customHeight="1" x14ac:dyDescent="0.3"/>
    <row r="596" ht="15.75" customHeight="1" x14ac:dyDescent="0.3"/>
    <row r="597" ht="15.75" customHeight="1" x14ac:dyDescent="0.3"/>
    <row r="598" ht="15.75" customHeight="1" x14ac:dyDescent="0.3"/>
    <row r="599" ht="15.75" customHeight="1" x14ac:dyDescent="0.3"/>
    <row r="600" ht="15.75" customHeight="1" x14ac:dyDescent="0.3"/>
    <row r="601" ht="15.75" customHeight="1" x14ac:dyDescent="0.3"/>
    <row r="602" ht="15.75" customHeight="1" x14ac:dyDescent="0.3"/>
    <row r="603" ht="15.75" customHeight="1" x14ac:dyDescent="0.3"/>
    <row r="604" ht="15.75" customHeight="1" x14ac:dyDescent="0.3"/>
    <row r="605" ht="15.75" customHeight="1" x14ac:dyDescent="0.3"/>
    <row r="606" ht="15.75" customHeight="1" x14ac:dyDescent="0.3"/>
    <row r="607" ht="15.75" customHeight="1" x14ac:dyDescent="0.3"/>
    <row r="608" ht="15.75" customHeight="1" x14ac:dyDescent="0.3"/>
    <row r="609" ht="15.75" customHeight="1" x14ac:dyDescent="0.3"/>
    <row r="610" ht="15.75" customHeight="1" x14ac:dyDescent="0.3"/>
    <row r="611" ht="15.75" customHeight="1" x14ac:dyDescent="0.3"/>
    <row r="612" ht="15.75" customHeight="1" x14ac:dyDescent="0.3"/>
    <row r="613" ht="15.75" customHeight="1" x14ac:dyDescent="0.3"/>
    <row r="614" ht="15.75" customHeight="1" x14ac:dyDescent="0.3"/>
    <row r="615" ht="15.75" customHeight="1" x14ac:dyDescent="0.3"/>
    <row r="616" ht="15.75" customHeight="1" x14ac:dyDescent="0.3"/>
    <row r="617" ht="15.75" customHeight="1" x14ac:dyDescent="0.3"/>
    <row r="618" ht="15.75" customHeight="1" x14ac:dyDescent="0.3"/>
    <row r="619" ht="15.75" customHeight="1" x14ac:dyDescent="0.3"/>
    <row r="620" ht="15.75" customHeight="1" x14ac:dyDescent="0.3"/>
    <row r="621" ht="15.75" customHeight="1" x14ac:dyDescent="0.3"/>
    <row r="622" ht="15.75" customHeight="1" x14ac:dyDescent="0.3"/>
    <row r="623" ht="15.75" customHeight="1" x14ac:dyDescent="0.3"/>
    <row r="624" ht="15.75" customHeight="1" x14ac:dyDescent="0.3"/>
    <row r="625" ht="15.75" customHeight="1" x14ac:dyDescent="0.3"/>
    <row r="626" ht="15.75" customHeight="1" x14ac:dyDescent="0.3"/>
    <row r="627" ht="15.75" customHeight="1" x14ac:dyDescent="0.3"/>
    <row r="628" ht="15.75" customHeight="1" x14ac:dyDescent="0.3"/>
    <row r="629" ht="15.75" customHeight="1" x14ac:dyDescent="0.3"/>
    <row r="630" ht="15.75" customHeight="1" x14ac:dyDescent="0.3"/>
    <row r="631" ht="15.75" customHeight="1" x14ac:dyDescent="0.3"/>
    <row r="632" ht="15.75" customHeight="1" x14ac:dyDescent="0.3"/>
    <row r="633" ht="15.75" customHeight="1" x14ac:dyDescent="0.3"/>
    <row r="634" ht="15.75" customHeight="1" x14ac:dyDescent="0.3"/>
    <row r="635" ht="15.75" customHeight="1" x14ac:dyDescent="0.3"/>
    <row r="636" ht="15.75" customHeight="1" x14ac:dyDescent="0.3"/>
    <row r="637" ht="15.75" customHeight="1" x14ac:dyDescent="0.3"/>
    <row r="638" ht="15.75" customHeight="1" x14ac:dyDescent="0.3"/>
    <row r="639" ht="15.75" customHeight="1" x14ac:dyDescent="0.3"/>
    <row r="640" ht="15.75" customHeight="1" x14ac:dyDescent="0.3"/>
    <row r="641" ht="15.75" customHeight="1" x14ac:dyDescent="0.3"/>
    <row r="642" ht="15.75" customHeight="1" x14ac:dyDescent="0.3"/>
    <row r="643" ht="15.75" customHeight="1" x14ac:dyDescent="0.3"/>
    <row r="644" ht="15.75" customHeight="1" x14ac:dyDescent="0.3"/>
    <row r="645" ht="15.75" customHeight="1" x14ac:dyDescent="0.3"/>
    <row r="646" ht="15.75" customHeight="1" x14ac:dyDescent="0.3"/>
    <row r="647" ht="15.75" customHeight="1" x14ac:dyDescent="0.3"/>
    <row r="648" ht="15.75" customHeight="1" x14ac:dyDescent="0.3"/>
    <row r="649" ht="15.75" customHeight="1" x14ac:dyDescent="0.3"/>
    <row r="650" ht="15.75" customHeight="1" x14ac:dyDescent="0.3"/>
    <row r="651" ht="15.75" customHeight="1" x14ac:dyDescent="0.3"/>
    <row r="652" ht="15.75" customHeight="1" x14ac:dyDescent="0.3"/>
    <row r="653" ht="15.75" customHeight="1" x14ac:dyDescent="0.3"/>
    <row r="654" ht="15.75" customHeight="1" x14ac:dyDescent="0.3"/>
    <row r="655" ht="15.75" customHeight="1" x14ac:dyDescent="0.3"/>
    <row r="656" ht="15.75" customHeight="1" x14ac:dyDescent="0.3"/>
    <row r="657" ht="15.75" customHeight="1" x14ac:dyDescent="0.3"/>
    <row r="658" ht="15.75" customHeight="1" x14ac:dyDescent="0.3"/>
    <row r="659" ht="15.75" customHeight="1" x14ac:dyDescent="0.3"/>
    <row r="660" ht="15.75" customHeight="1" x14ac:dyDescent="0.3"/>
    <row r="661" ht="15.75" customHeight="1" x14ac:dyDescent="0.3"/>
    <row r="662" ht="15.75" customHeight="1" x14ac:dyDescent="0.3"/>
    <row r="663" ht="15.75" customHeight="1" x14ac:dyDescent="0.3"/>
    <row r="664" ht="15.75" customHeight="1" x14ac:dyDescent="0.3"/>
    <row r="665" ht="15.75" customHeight="1" x14ac:dyDescent="0.3"/>
    <row r="666" ht="15.75" customHeight="1" x14ac:dyDescent="0.3"/>
    <row r="667" ht="15.75" customHeight="1" x14ac:dyDescent="0.3"/>
    <row r="668" ht="15.75" customHeight="1" x14ac:dyDescent="0.3"/>
    <row r="669" ht="15.75" customHeight="1" x14ac:dyDescent="0.3"/>
    <row r="670" ht="15.75" customHeight="1" x14ac:dyDescent="0.3"/>
    <row r="671" ht="15.75" customHeight="1" x14ac:dyDescent="0.3"/>
    <row r="672" ht="15.75" customHeight="1" x14ac:dyDescent="0.3"/>
    <row r="673" ht="15.75" customHeight="1" x14ac:dyDescent="0.3"/>
    <row r="674" ht="15.75" customHeight="1" x14ac:dyDescent="0.3"/>
    <row r="675" ht="15.75" customHeight="1" x14ac:dyDescent="0.3"/>
    <row r="676" ht="15.75" customHeight="1" x14ac:dyDescent="0.3"/>
    <row r="677" ht="15.75" customHeight="1" x14ac:dyDescent="0.3"/>
    <row r="678" ht="15.75" customHeight="1" x14ac:dyDescent="0.3"/>
    <row r="679" ht="15.75" customHeight="1" x14ac:dyDescent="0.3"/>
    <row r="680" ht="15.75" customHeight="1" x14ac:dyDescent="0.3"/>
    <row r="681" ht="15.75" customHeight="1" x14ac:dyDescent="0.3"/>
    <row r="682" ht="15.75" customHeight="1" x14ac:dyDescent="0.3"/>
    <row r="683" ht="15.75" customHeight="1" x14ac:dyDescent="0.3"/>
    <row r="684" ht="15.75" customHeight="1" x14ac:dyDescent="0.3"/>
    <row r="685" ht="15.75" customHeight="1" x14ac:dyDescent="0.3"/>
    <row r="686" ht="15.75" customHeight="1" x14ac:dyDescent="0.3"/>
    <row r="687" ht="15.75" customHeight="1" x14ac:dyDescent="0.3"/>
    <row r="688" ht="15.75" customHeight="1" x14ac:dyDescent="0.3"/>
    <row r="689" ht="15.75" customHeight="1" x14ac:dyDescent="0.3"/>
    <row r="690" ht="15.75" customHeight="1" x14ac:dyDescent="0.3"/>
    <row r="691" ht="15.75" customHeight="1" x14ac:dyDescent="0.3"/>
    <row r="692" ht="15.75" customHeight="1" x14ac:dyDescent="0.3"/>
    <row r="693" ht="15.75" customHeight="1" x14ac:dyDescent="0.3"/>
    <row r="694" ht="15.75" customHeight="1" x14ac:dyDescent="0.3"/>
    <row r="695" ht="15.75" customHeight="1" x14ac:dyDescent="0.3"/>
    <row r="696" ht="15.75" customHeight="1" x14ac:dyDescent="0.3"/>
    <row r="697" ht="15.75" customHeight="1" x14ac:dyDescent="0.3"/>
    <row r="698" ht="15.75" customHeight="1" x14ac:dyDescent="0.3"/>
    <row r="699" ht="15.75" customHeight="1" x14ac:dyDescent="0.3"/>
    <row r="700" ht="15.75" customHeight="1" x14ac:dyDescent="0.3"/>
    <row r="701" ht="15.75" customHeight="1" x14ac:dyDescent="0.3"/>
    <row r="702" ht="15.75" customHeight="1" x14ac:dyDescent="0.3"/>
    <row r="703" ht="15.75" customHeight="1" x14ac:dyDescent="0.3"/>
    <row r="704" ht="15.75" customHeight="1" x14ac:dyDescent="0.3"/>
    <row r="705" ht="15.75" customHeight="1" x14ac:dyDescent="0.3"/>
    <row r="706" ht="15.75" customHeight="1" x14ac:dyDescent="0.3"/>
    <row r="707" ht="15.75" customHeight="1" x14ac:dyDescent="0.3"/>
    <row r="708" ht="15.75" customHeight="1" x14ac:dyDescent="0.3"/>
    <row r="709" ht="15.75" customHeight="1" x14ac:dyDescent="0.3"/>
    <row r="710" ht="15.75" customHeight="1" x14ac:dyDescent="0.3"/>
    <row r="711" ht="15.75" customHeight="1" x14ac:dyDescent="0.3"/>
    <row r="712" ht="15.75" customHeight="1" x14ac:dyDescent="0.3"/>
    <row r="713" ht="15.75" customHeight="1" x14ac:dyDescent="0.3"/>
    <row r="714" ht="15.75" customHeight="1" x14ac:dyDescent="0.3"/>
    <row r="715" ht="15.75" customHeight="1" x14ac:dyDescent="0.3"/>
    <row r="716" ht="15.75" customHeight="1" x14ac:dyDescent="0.3"/>
    <row r="717" ht="15.75" customHeight="1" x14ac:dyDescent="0.3"/>
    <row r="718" ht="15.75" customHeight="1" x14ac:dyDescent="0.3"/>
    <row r="719" ht="15.75" customHeight="1" x14ac:dyDescent="0.3"/>
    <row r="720" ht="15.75" customHeight="1" x14ac:dyDescent="0.3"/>
    <row r="721" ht="15.75" customHeight="1" x14ac:dyDescent="0.3"/>
    <row r="722" ht="15.75" customHeight="1" x14ac:dyDescent="0.3"/>
    <row r="723" ht="15.75" customHeight="1" x14ac:dyDescent="0.3"/>
    <row r="724" ht="15.75" customHeight="1" x14ac:dyDescent="0.3"/>
    <row r="725" ht="15.75" customHeight="1" x14ac:dyDescent="0.3"/>
    <row r="726" ht="15.75" customHeight="1" x14ac:dyDescent="0.3"/>
    <row r="727" ht="15.75" customHeight="1" x14ac:dyDescent="0.3"/>
    <row r="728" ht="15.75" customHeight="1" x14ac:dyDescent="0.3"/>
    <row r="729" ht="15.75" customHeight="1" x14ac:dyDescent="0.3"/>
    <row r="730" ht="15.75" customHeight="1" x14ac:dyDescent="0.3"/>
    <row r="731" ht="15.75" customHeight="1" x14ac:dyDescent="0.3"/>
    <row r="732" ht="15.75" customHeight="1" x14ac:dyDescent="0.3"/>
    <row r="733" ht="15.75" customHeight="1" x14ac:dyDescent="0.3"/>
    <row r="734" ht="15.75" customHeight="1" x14ac:dyDescent="0.3"/>
    <row r="735" ht="15.75" customHeight="1" x14ac:dyDescent="0.3"/>
    <row r="736" ht="15.75" customHeight="1" x14ac:dyDescent="0.3"/>
    <row r="737" ht="15.75" customHeight="1" x14ac:dyDescent="0.3"/>
    <row r="738" ht="15.75" customHeight="1" x14ac:dyDescent="0.3"/>
    <row r="739" ht="15.75" customHeight="1" x14ac:dyDescent="0.3"/>
    <row r="740" ht="15.75" customHeight="1" x14ac:dyDescent="0.3"/>
    <row r="741" ht="15.75" customHeight="1" x14ac:dyDescent="0.3"/>
    <row r="742" ht="15.75" customHeight="1" x14ac:dyDescent="0.3"/>
    <row r="743" ht="15.75" customHeight="1" x14ac:dyDescent="0.3"/>
    <row r="744" ht="15.75" customHeight="1" x14ac:dyDescent="0.3"/>
    <row r="745" ht="15.75" customHeight="1" x14ac:dyDescent="0.3"/>
    <row r="746" ht="15.75" customHeight="1" x14ac:dyDescent="0.3"/>
    <row r="747" ht="15.75" customHeight="1" x14ac:dyDescent="0.3"/>
    <row r="748" ht="15.75" customHeight="1" x14ac:dyDescent="0.3"/>
    <row r="749" ht="15.75" customHeight="1" x14ac:dyDescent="0.3"/>
    <row r="750" ht="15.75" customHeight="1" x14ac:dyDescent="0.3"/>
    <row r="751" ht="15.75" customHeight="1" x14ac:dyDescent="0.3"/>
    <row r="752" ht="15.75" customHeight="1" x14ac:dyDescent="0.3"/>
    <row r="753" ht="15.75" customHeight="1" x14ac:dyDescent="0.3"/>
    <row r="754" ht="15.75" customHeight="1" x14ac:dyDescent="0.3"/>
    <row r="755" ht="15.75" customHeight="1" x14ac:dyDescent="0.3"/>
    <row r="756" ht="15.75" customHeight="1" x14ac:dyDescent="0.3"/>
    <row r="757" ht="15.75" customHeight="1" x14ac:dyDescent="0.3"/>
    <row r="758" ht="15.75" customHeight="1" x14ac:dyDescent="0.3"/>
    <row r="759" ht="15.75" customHeight="1" x14ac:dyDescent="0.3"/>
    <row r="760" ht="15.75" customHeight="1" x14ac:dyDescent="0.3"/>
    <row r="761" ht="15.75" customHeight="1" x14ac:dyDescent="0.3"/>
    <row r="762" ht="15.75" customHeight="1" x14ac:dyDescent="0.3"/>
    <row r="763" ht="15.75" customHeight="1" x14ac:dyDescent="0.3"/>
    <row r="764" ht="15.75" customHeight="1" x14ac:dyDescent="0.3"/>
    <row r="765" ht="15.75" customHeight="1" x14ac:dyDescent="0.3"/>
    <row r="766" ht="15.75" customHeight="1" x14ac:dyDescent="0.3"/>
    <row r="767" ht="15.75" customHeight="1" x14ac:dyDescent="0.3"/>
    <row r="768" ht="15.75" customHeight="1" x14ac:dyDescent="0.3"/>
    <row r="769" ht="15.75" customHeight="1" x14ac:dyDescent="0.3"/>
    <row r="770" ht="15.75" customHeight="1" x14ac:dyDescent="0.3"/>
    <row r="771" ht="15.75" customHeight="1" x14ac:dyDescent="0.3"/>
    <row r="772" ht="15.75" customHeight="1" x14ac:dyDescent="0.3"/>
    <row r="773" ht="15.75" customHeight="1" x14ac:dyDescent="0.3"/>
    <row r="774" ht="15.75" customHeight="1" x14ac:dyDescent="0.3"/>
    <row r="775" ht="15.75" customHeight="1" x14ac:dyDescent="0.3"/>
    <row r="776" ht="15.75" customHeight="1" x14ac:dyDescent="0.3"/>
    <row r="777" ht="15.75" customHeight="1" x14ac:dyDescent="0.3"/>
    <row r="778" ht="15.75" customHeight="1" x14ac:dyDescent="0.3"/>
    <row r="779" ht="15.75" customHeight="1" x14ac:dyDescent="0.3"/>
    <row r="780" ht="15.75" customHeight="1" x14ac:dyDescent="0.3"/>
    <row r="781" ht="15.75" customHeight="1" x14ac:dyDescent="0.3"/>
    <row r="782" ht="15.75" customHeight="1" x14ac:dyDescent="0.3"/>
    <row r="783" ht="15.75" customHeight="1" x14ac:dyDescent="0.3"/>
    <row r="784" ht="15.75" customHeight="1" x14ac:dyDescent="0.3"/>
    <row r="785" ht="15.75" customHeight="1" x14ac:dyDescent="0.3"/>
    <row r="786" ht="15.75" customHeight="1" x14ac:dyDescent="0.3"/>
    <row r="787" ht="15.75" customHeight="1" x14ac:dyDescent="0.3"/>
    <row r="788" ht="15.75" customHeight="1" x14ac:dyDescent="0.3"/>
    <row r="789" ht="15.75" customHeight="1" x14ac:dyDescent="0.3"/>
    <row r="790" ht="15.75" customHeight="1" x14ac:dyDescent="0.3"/>
    <row r="791" ht="15.75" customHeight="1" x14ac:dyDescent="0.3"/>
    <row r="792" ht="15.75" customHeight="1" x14ac:dyDescent="0.3"/>
    <row r="793" ht="15.75" customHeight="1" x14ac:dyDescent="0.3"/>
    <row r="794" ht="15.75" customHeight="1" x14ac:dyDescent="0.3"/>
    <row r="795" ht="15.75" customHeight="1" x14ac:dyDescent="0.3"/>
    <row r="796" ht="15.75" customHeight="1" x14ac:dyDescent="0.3"/>
    <row r="797" ht="15.75" customHeight="1" x14ac:dyDescent="0.3"/>
    <row r="798" ht="15.75" customHeight="1" x14ac:dyDescent="0.3"/>
    <row r="799" ht="15.75" customHeight="1" x14ac:dyDescent="0.3"/>
    <row r="800" ht="15.75" customHeight="1" x14ac:dyDescent="0.3"/>
    <row r="801" ht="15.75" customHeight="1" x14ac:dyDescent="0.3"/>
    <row r="802" ht="15.75" customHeight="1" x14ac:dyDescent="0.3"/>
    <row r="803" ht="15.75" customHeight="1" x14ac:dyDescent="0.3"/>
    <row r="804" ht="15.75" customHeight="1" x14ac:dyDescent="0.3"/>
    <row r="805" ht="15.75" customHeight="1" x14ac:dyDescent="0.3"/>
    <row r="806" ht="15.75" customHeight="1" x14ac:dyDescent="0.3"/>
    <row r="807" ht="15.75" customHeight="1" x14ac:dyDescent="0.3"/>
    <row r="808" ht="15.75" customHeight="1" x14ac:dyDescent="0.3"/>
    <row r="809" ht="15.75" customHeight="1" x14ac:dyDescent="0.3"/>
    <row r="810" ht="15.75" customHeight="1" x14ac:dyDescent="0.3"/>
    <row r="811" ht="15.75" customHeight="1" x14ac:dyDescent="0.3"/>
    <row r="812" ht="15.75" customHeight="1" x14ac:dyDescent="0.3"/>
    <row r="813" ht="15.75" customHeight="1" x14ac:dyDescent="0.3"/>
    <row r="814" ht="15.75" customHeight="1" x14ac:dyDescent="0.3"/>
    <row r="815" ht="15.75" customHeight="1" x14ac:dyDescent="0.3"/>
    <row r="816" ht="15.75" customHeight="1" x14ac:dyDescent="0.3"/>
    <row r="817" ht="15.75" customHeight="1" x14ac:dyDescent="0.3"/>
    <row r="818" ht="15.75" customHeight="1" x14ac:dyDescent="0.3"/>
    <row r="819" ht="15.75" customHeight="1" x14ac:dyDescent="0.3"/>
    <row r="820" ht="15.75" customHeight="1" x14ac:dyDescent="0.3"/>
    <row r="821" ht="15.75" customHeight="1" x14ac:dyDescent="0.3"/>
    <row r="822" ht="15.75" customHeight="1" x14ac:dyDescent="0.3"/>
    <row r="823" ht="15.75" customHeight="1" x14ac:dyDescent="0.3"/>
    <row r="824" ht="15.75" customHeight="1" x14ac:dyDescent="0.3"/>
    <row r="825" ht="15.75" customHeight="1" x14ac:dyDescent="0.3"/>
    <row r="826" ht="15.75" customHeight="1" x14ac:dyDescent="0.3"/>
    <row r="827" ht="15.75" customHeight="1" x14ac:dyDescent="0.3"/>
    <row r="828" ht="15.75" customHeight="1" x14ac:dyDescent="0.3"/>
    <row r="829" ht="15.75" customHeight="1" x14ac:dyDescent="0.3"/>
    <row r="830" ht="15.75" customHeight="1" x14ac:dyDescent="0.3"/>
    <row r="831" ht="15.75" customHeight="1" x14ac:dyDescent="0.3"/>
    <row r="832" ht="15.75" customHeight="1" x14ac:dyDescent="0.3"/>
    <row r="833" ht="15.75" customHeight="1" x14ac:dyDescent="0.3"/>
    <row r="834" ht="15.75" customHeight="1" x14ac:dyDescent="0.3"/>
    <row r="835" ht="15.75" customHeight="1" x14ac:dyDescent="0.3"/>
    <row r="836" ht="15.75" customHeight="1" x14ac:dyDescent="0.3"/>
    <row r="837" ht="15.75" customHeight="1" x14ac:dyDescent="0.3"/>
    <row r="838" ht="15.75" customHeight="1" x14ac:dyDescent="0.3"/>
    <row r="839" ht="15.75" customHeight="1" x14ac:dyDescent="0.3"/>
    <row r="840" ht="15.75" customHeight="1" x14ac:dyDescent="0.3"/>
    <row r="841" ht="15.75" customHeight="1" x14ac:dyDescent="0.3"/>
    <row r="842" ht="15.75" customHeight="1" x14ac:dyDescent="0.3"/>
    <row r="843" ht="15.75" customHeight="1" x14ac:dyDescent="0.3"/>
    <row r="844" ht="15.75" customHeight="1" x14ac:dyDescent="0.3"/>
    <row r="845" ht="15.75" customHeight="1" x14ac:dyDescent="0.3"/>
    <row r="846" ht="15.75" customHeight="1" x14ac:dyDescent="0.3"/>
    <row r="847" ht="15.75" customHeight="1" x14ac:dyDescent="0.3"/>
    <row r="848" ht="15.75" customHeight="1" x14ac:dyDescent="0.3"/>
    <row r="849" ht="15.75" customHeight="1" x14ac:dyDescent="0.3"/>
    <row r="850" ht="15.75" customHeight="1" x14ac:dyDescent="0.3"/>
    <row r="851" ht="15.75" customHeight="1" x14ac:dyDescent="0.3"/>
    <row r="852" ht="15.75" customHeight="1" x14ac:dyDescent="0.3"/>
    <row r="853" ht="15.75" customHeight="1" x14ac:dyDescent="0.3"/>
    <row r="854" ht="15.75" customHeight="1" x14ac:dyDescent="0.3"/>
    <row r="855" ht="15.75" customHeight="1" x14ac:dyDescent="0.3"/>
    <row r="856" ht="15.75" customHeight="1" x14ac:dyDescent="0.3"/>
    <row r="857" ht="15.75" customHeight="1" x14ac:dyDescent="0.3"/>
    <row r="858" ht="15.75" customHeight="1" x14ac:dyDescent="0.3"/>
    <row r="859" ht="15.75" customHeight="1" x14ac:dyDescent="0.3"/>
    <row r="860" ht="15.75" customHeight="1" x14ac:dyDescent="0.3"/>
    <row r="861" ht="15.75" customHeight="1" x14ac:dyDescent="0.3"/>
    <row r="862" ht="15.75" customHeight="1" x14ac:dyDescent="0.3"/>
    <row r="863" ht="15.75" customHeight="1" x14ac:dyDescent="0.3"/>
    <row r="864" ht="15.75" customHeight="1" x14ac:dyDescent="0.3"/>
    <row r="865" ht="15.75" customHeight="1" x14ac:dyDescent="0.3"/>
    <row r="866" ht="15.75" customHeight="1" x14ac:dyDescent="0.3"/>
    <row r="867" ht="15.75" customHeight="1" x14ac:dyDescent="0.3"/>
    <row r="868" ht="15.75" customHeight="1" x14ac:dyDescent="0.3"/>
    <row r="869" ht="15.75" customHeight="1" x14ac:dyDescent="0.3"/>
    <row r="870" ht="15.75" customHeight="1" x14ac:dyDescent="0.3"/>
    <row r="871" ht="15.75" customHeight="1" x14ac:dyDescent="0.3"/>
    <row r="872" ht="15.75" customHeight="1" x14ac:dyDescent="0.3"/>
    <row r="873" ht="15.75" customHeight="1" x14ac:dyDescent="0.3"/>
    <row r="874" ht="15.75" customHeight="1" x14ac:dyDescent="0.3"/>
    <row r="875" ht="15.75" customHeight="1" x14ac:dyDescent="0.3"/>
    <row r="876" ht="15.75" customHeight="1" x14ac:dyDescent="0.3"/>
    <row r="877" ht="15.75" customHeight="1" x14ac:dyDescent="0.3"/>
    <row r="878" ht="15.75" customHeight="1" x14ac:dyDescent="0.3"/>
    <row r="879" ht="15.75" customHeight="1" x14ac:dyDescent="0.3"/>
    <row r="880" ht="15.75" customHeight="1" x14ac:dyDescent="0.3"/>
    <row r="881" ht="15.75" customHeight="1" x14ac:dyDescent="0.3"/>
    <row r="882" ht="15.75" customHeight="1" x14ac:dyDescent="0.3"/>
    <row r="883" ht="15.75" customHeight="1" x14ac:dyDescent="0.3"/>
    <row r="884" ht="15.75" customHeight="1" x14ac:dyDescent="0.3"/>
    <row r="885" ht="15.75" customHeight="1" x14ac:dyDescent="0.3"/>
    <row r="886" ht="15.75" customHeight="1" x14ac:dyDescent="0.3"/>
    <row r="887" ht="15.75" customHeight="1" x14ac:dyDescent="0.3"/>
    <row r="888" ht="15.75" customHeight="1" x14ac:dyDescent="0.3"/>
    <row r="889" ht="15.75" customHeight="1" x14ac:dyDescent="0.3"/>
    <row r="890" ht="15.75" customHeight="1" x14ac:dyDescent="0.3"/>
    <row r="891" ht="15.75" customHeight="1" x14ac:dyDescent="0.3"/>
    <row r="892" ht="15.75" customHeight="1" x14ac:dyDescent="0.3"/>
    <row r="893" ht="15.75" customHeight="1" x14ac:dyDescent="0.3"/>
    <row r="894" ht="15.75" customHeight="1" x14ac:dyDescent="0.3"/>
    <row r="895" ht="15.75" customHeight="1" x14ac:dyDescent="0.3"/>
    <row r="896" ht="15.75" customHeight="1" x14ac:dyDescent="0.3"/>
    <row r="897" ht="15.75" customHeight="1" x14ac:dyDescent="0.3"/>
    <row r="898" ht="15.75" customHeight="1" x14ac:dyDescent="0.3"/>
    <row r="899" ht="15.75" customHeight="1" x14ac:dyDescent="0.3"/>
    <row r="900" ht="15.75" customHeight="1" x14ac:dyDescent="0.3"/>
    <row r="901" ht="15.75" customHeight="1" x14ac:dyDescent="0.3"/>
    <row r="902" ht="15.75" customHeight="1" x14ac:dyDescent="0.3"/>
    <row r="903" ht="15.75" customHeight="1" x14ac:dyDescent="0.3"/>
    <row r="904" ht="15.75" customHeight="1" x14ac:dyDescent="0.3"/>
    <row r="905" ht="15.75" customHeight="1" x14ac:dyDescent="0.3"/>
    <row r="906" ht="15.75" customHeight="1" x14ac:dyDescent="0.3"/>
    <row r="907" ht="15.75" customHeight="1" x14ac:dyDescent="0.3"/>
    <row r="908" ht="15.75" customHeight="1" x14ac:dyDescent="0.3"/>
    <row r="909" ht="15.75" customHeight="1" x14ac:dyDescent="0.3"/>
    <row r="910" ht="15.75" customHeight="1" x14ac:dyDescent="0.3"/>
    <row r="911" ht="15.75" customHeight="1" x14ac:dyDescent="0.3"/>
    <row r="912" ht="15.75" customHeight="1" x14ac:dyDescent="0.3"/>
    <row r="913" ht="15.75" customHeight="1" x14ac:dyDescent="0.3"/>
    <row r="914" ht="15.75" customHeight="1" x14ac:dyDescent="0.3"/>
    <row r="915" ht="15.75" customHeight="1" x14ac:dyDescent="0.3"/>
    <row r="916" ht="15.75" customHeight="1" x14ac:dyDescent="0.3"/>
    <row r="917" ht="15.75" customHeight="1" x14ac:dyDescent="0.3"/>
    <row r="918" ht="15.75" customHeight="1" x14ac:dyDescent="0.3"/>
    <row r="919" ht="15.75" customHeight="1" x14ac:dyDescent="0.3"/>
    <row r="920" ht="15.75" customHeight="1" x14ac:dyDescent="0.3"/>
    <row r="921" ht="15.75" customHeight="1" x14ac:dyDescent="0.3"/>
    <row r="922" ht="15.75" customHeight="1" x14ac:dyDescent="0.3"/>
    <row r="923" ht="15.75" customHeight="1" x14ac:dyDescent="0.3"/>
    <row r="924" ht="15.75" customHeight="1" x14ac:dyDescent="0.3"/>
    <row r="925" ht="15.75" customHeight="1" x14ac:dyDescent="0.3"/>
    <row r="926" ht="15.75" customHeight="1" x14ac:dyDescent="0.3"/>
    <row r="927" ht="15.75" customHeight="1" x14ac:dyDescent="0.3"/>
    <row r="928" ht="15.75" customHeight="1" x14ac:dyDescent="0.3"/>
    <row r="929" ht="15.75" customHeight="1" x14ac:dyDescent="0.3"/>
    <row r="930" ht="15.75" customHeight="1" x14ac:dyDescent="0.3"/>
    <row r="931" ht="15.75" customHeight="1" x14ac:dyDescent="0.3"/>
    <row r="932" ht="15.75" customHeight="1" x14ac:dyDescent="0.3"/>
    <row r="933" ht="15.75" customHeight="1" x14ac:dyDescent="0.3"/>
    <row r="934" ht="15.75" customHeight="1" x14ac:dyDescent="0.3"/>
    <row r="935" ht="15.75" customHeight="1" x14ac:dyDescent="0.3"/>
    <row r="936" ht="15.75" customHeight="1" x14ac:dyDescent="0.3"/>
    <row r="937" ht="15.75" customHeight="1" x14ac:dyDescent="0.3"/>
    <row r="938" ht="15.75" customHeight="1" x14ac:dyDescent="0.3"/>
    <row r="939" ht="15.75" customHeight="1" x14ac:dyDescent="0.3"/>
    <row r="940" ht="15.75" customHeight="1" x14ac:dyDescent="0.3"/>
    <row r="941" ht="15.75" customHeight="1" x14ac:dyDescent="0.3"/>
    <row r="942" ht="15.75" customHeight="1" x14ac:dyDescent="0.3"/>
    <row r="943" ht="15.75" customHeight="1" x14ac:dyDescent="0.3"/>
    <row r="944" ht="15.75" customHeight="1" x14ac:dyDescent="0.3"/>
    <row r="945" ht="15.75" customHeight="1" x14ac:dyDescent="0.3"/>
    <row r="946" ht="15.75" customHeight="1" x14ac:dyDescent="0.3"/>
    <row r="947" ht="15.75" customHeight="1" x14ac:dyDescent="0.3"/>
    <row r="948" ht="15.75" customHeight="1" x14ac:dyDescent="0.3"/>
    <row r="949" ht="15.75" customHeight="1" x14ac:dyDescent="0.3"/>
    <row r="950" ht="15.75" customHeight="1" x14ac:dyDescent="0.3"/>
    <row r="951" ht="15.75" customHeight="1" x14ac:dyDescent="0.3"/>
    <row r="952" ht="15.75" customHeight="1" x14ac:dyDescent="0.3"/>
    <row r="953" ht="15.75" customHeight="1" x14ac:dyDescent="0.3"/>
    <row r="954" ht="15.75" customHeight="1" x14ac:dyDescent="0.3"/>
    <row r="955" ht="15.75" customHeight="1" x14ac:dyDescent="0.3"/>
    <row r="956" ht="15.75" customHeight="1" x14ac:dyDescent="0.3"/>
    <row r="957" ht="15.75" customHeight="1" x14ac:dyDescent="0.3"/>
    <row r="958" ht="15.75" customHeight="1" x14ac:dyDescent="0.3"/>
    <row r="959" ht="15.75" customHeight="1" x14ac:dyDescent="0.3"/>
    <row r="960" ht="15.75" customHeight="1" x14ac:dyDescent="0.3"/>
    <row r="961" ht="15.75" customHeight="1" x14ac:dyDescent="0.3"/>
    <row r="962" ht="15.75" customHeight="1" x14ac:dyDescent="0.3"/>
    <row r="963" ht="15.75" customHeight="1" x14ac:dyDescent="0.3"/>
    <row r="964" ht="15.75" customHeight="1" x14ac:dyDescent="0.3"/>
    <row r="965" ht="15.75" customHeight="1" x14ac:dyDescent="0.3"/>
    <row r="966" ht="15.75" customHeight="1" x14ac:dyDescent="0.3"/>
    <row r="967" ht="15.75" customHeight="1" x14ac:dyDescent="0.3"/>
    <row r="968" ht="15.75" customHeight="1" x14ac:dyDescent="0.3"/>
    <row r="969" ht="15.75" customHeight="1" x14ac:dyDescent="0.3"/>
    <row r="970" ht="15.75" customHeight="1" x14ac:dyDescent="0.3"/>
    <row r="971" ht="15.75" customHeight="1" x14ac:dyDescent="0.3"/>
    <row r="972" ht="15.75" customHeight="1" x14ac:dyDescent="0.3"/>
    <row r="973" ht="15.75" customHeight="1" x14ac:dyDescent="0.3"/>
    <row r="974" ht="15.75" customHeight="1" x14ac:dyDescent="0.3"/>
    <row r="975" ht="15.75" customHeight="1" x14ac:dyDescent="0.3"/>
    <row r="976" ht="15.75" customHeight="1" x14ac:dyDescent="0.3"/>
    <row r="977" ht="15.75" customHeight="1" x14ac:dyDescent="0.3"/>
    <row r="978" ht="15.75" customHeight="1" x14ac:dyDescent="0.3"/>
    <row r="979" ht="15.75" customHeight="1" x14ac:dyDescent="0.3"/>
    <row r="980" ht="15.75" customHeight="1" x14ac:dyDescent="0.3"/>
    <row r="981" ht="15.75" customHeight="1" x14ac:dyDescent="0.3"/>
    <row r="982" ht="15.75" customHeight="1" x14ac:dyDescent="0.3"/>
    <row r="983" ht="15.75" customHeight="1" x14ac:dyDescent="0.3"/>
    <row r="984" ht="15.75" customHeight="1" x14ac:dyDescent="0.3"/>
    <row r="985" ht="15.75" customHeight="1" x14ac:dyDescent="0.3"/>
    <row r="986" ht="15.75" customHeight="1" x14ac:dyDescent="0.3"/>
    <row r="987" ht="15.75" customHeight="1" x14ac:dyDescent="0.3"/>
    <row r="988" ht="15.75" customHeight="1" x14ac:dyDescent="0.3"/>
    <row r="989" ht="15.75" customHeight="1" x14ac:dyDescent="0.3"/>
    <row r="990" ht="15.75" customHeight="1" x14ac:dyDescent="0.3"/>
    <row r="991" ht="15.75" customHeight="1" x14ac:dyDescent="0.3"/>
    <row r="992" ht="15.75" customHeight="1" x14ac:dyDescent="0.3"/>
    <row r="993" ht="15.75" customHeight="1" x14ac:dyDescent="0.3"/>
    <row r="994" ht="15.75" customHeight="1" x14ac:dyDescent="0.3"/>
    <row r="995" ht="15.75" customHeight="1" x14ac:dyDescent="0.3"/>
    <row r="996" ht="15.75" customHeight="1" x14ac:dyDescent="0.3"/>
    <row r="997" ht="15.75" customHeight="1" x14ac:dyDescent="0.3"/>
    <row r="998" ht="15.75" customHeight="1" x14ac:dyDescent="0.3"/>
    <row r="999" ht="15.75" customHeight="1" x14ac:dyDescent="0.3"/>
    <row r="1000" ht="15.75" customHeight="1" x14ac:dyDescent="0.3"/>
  </sheetData>
  <sheetProtection algorithmName="SHA-512" hashValue="vgUyK7AprlNCYUvI3gQT1AV8HDAM9cDRcPTqOS8VKlaD/nouk+LmjAs9giWTJ+WwzWEcqObyR94hVR8v1EpDdA==" saltValue="U0csVMbfS1A5d7g75K887g==" spinCount="100000" sheet="1" objects="1" scenarios="1" formatColumns="0" formatRows="0" sort="0" autoFilter="0"/>
  <mergeCells count="2">
    <mergeCell ref="D11:N11"/>
    <mergeCell ref="P11:P12"/>
  </mergeCells>
  <pageMargins left="0.7" right="0.7" top="0.75" bottom="0.75" header="0" footer="0"/>
  <pageSetup paperSize="9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Add_Time" altText="Add Paid item">
                <anchor moveWithCells="1">
                  <from>
                    <xdr:col>1</xdr:col>
                    <xdr:colOff>28575</xdr:colOff>
                    <xdr:row>12</xdr:row>
                    <xdr:rowOff>9525</xdr:rowOff>
                  </from>
                  <to>
                    <xdr:col>1</xdr:col>
                    <xdr:colOff>752475</xdr:colOff>
                    <xdr:row>12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4" name="Button 2">
              <controlPr defaultSize="0" print="0" autoFill="0" autoPict="0" macro="[0]!Delete_Time" altText="Delete Paid item">
                <anchor moveWithCells="1">
                  <from>
                    <xdr:col>1</xdr:col>
                    <xdr:colOff>790575</xdr:colOff>
                    <xdr:row>12</xdr:row>
                    <xdr:rowOff>9525</xdr:rowOff>
                  </from>
                  <to>
                    <xdr:col>1</xdr:col>
                    <xdr:colOff>1514475</xdr:colOff>
                    <xdr:row>12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FFFF00"/>
  </sheetPr>
  <dimension ref="A1:I134"/>
  <sheetViews>
    <sheetView topLeftCell="A37" workbookViewId="0">
      <selection activeCell="A57" sqref="A57:A117"/>
    </sheetView>
  </sheetViews>
  <sheetFormatPr defaultColWidth="9.140625" defaultRowHeight="15" x14ac:dyDescent="0.25"/>
  <cols>
    <col min="1" max="1" width="15.85546875" style="95" customWidth="1"/>
    <col min="2" max="2" width="36.140625" style="95" customWidth="1"/>
    <col min="3" max="3" width="59.5703125" style="95" bestFit="1" customWidth="1"/>
    <col min="4" max="4" width="13.5703125" style="95" customWidth="1"/>
    <col min="5" max="5" width="14.7109375" style="95" bestFit="1" customWidth="1"/>
    <col min="6" max="6" width="27.85546875" style="95" bestFit="1" customWidth="1"/>
    <col min="7" max="7" width="38.42578125" style="95" bestFit="1" customWidth="1"/>
    <col min="8" max="9" width="14.7109375" style="95" customWidth="1"/>
    <col min="10" max="16384" width="9.140625" style="95"/>
  </cols>
  <sheetData>
    <row r="1" spans="1:9" ht="15.75" thickBot="1" x14ac:dyDescent="0.3">
      <c r="E1" s="93"/>
      <c r="F1" s="111" t="str">
        <f>'1.1 Case data_general'!$C$29</f>
        <v>Level II and III</v>
      </c>
      <c r="G1" s="112" t="str">
        <f>'1.1 Case data_general'!$C$30</f>
        <v>Clinical/Medical services</v>
      </c>
      <c r="H1" s="93"/>
      <c r="I1" s="93"/>
    </row>
    <row r="2" spans="1:9" ht="16.5" thickTop="1" thickBot="1" x14ac:dyDescent="0.3">
      <c r="A2" s="93" t="s">
        <v>155</v>
      </c>
      <c r="B2" s="93" t="s">
        <v>156</v>
      </c>
      <c r="C2" s="93" t="s">
        <v>157</v>
      </c>
      <c r="E2" s="93" t="s">
        <v>155</v>
      </c>
      <c r="F2" s="93" t="s">
        <v>156</v>
      </c>
      <c r="G2" s="93" t="s">
        <v>157</v>
      </c>
      <c r="H2"/>
      <c r="I2"/>
    </row>
    <row r="3" spans="1:9" ht="16.5" x14ac:dyDescent="0.3">
      <c r="A3" s="93" t="s">
        <v>161</v>
      </c>
      <c r="B3" s="94" t="s">
        <v>86</v>
      </c>
      <c r="C3" s="92" t="s">
        <v>87</v>
      </c>
      <c r="E3" s="100" t="str">
        <f t="array" ref="E3">IFERROR(INDEX($A$3:$A$117,MATCH(0,COUNTIF(E$2:$E2,$A$3:$A$117), 0)),"")</f>
        <v>Level I</v>
      </c>
      <c r="F3" s="101" t="str">
        <f t="array" ref="F3">IFERROR(INDEX($B$3:$B$117,MATCH(0,IF(($A$3:$A$117=$F$1),COUNTIF($F$2:F2,$B$3:$B$117), 1), 0)),"")</f>
        <v>Administrative/Overhead services</v>
      </c>
      <c r="G3" s="102" t="str">
        <f t="array" ref="G3">IFERROR(INDEX($C$3:$C$117,MATCH(0,IF(($A$3:$A$117=$F$1)*($B$3:$B$117=$G$1),COUNTIF($G$2:G2,$C$3:$C$117), 1), 0)),"")</f>
        <v>Outpatient Department</v>
      </c>
      <c r="H3"/>
      <c r="I3"/>
    </row>
    <row r="4" spans="1:9" ht="16.5" x14ac:dyDescent="0.3">
      <c r="A4" s="93" t="s">
        <v>161</v>
      </c>
      <c r="B4" s="94" t="s">
        <v>86</v>
      </c>
      <c r="C4" s="92" t="s">
        <v>88</v>
      </c>
      <c r="E4" s="103" t="str">
        <f t="array" ref="E4">IFERROR(INDEX($A$3:$A$117,MATCH(0,COUNTIF(E$2:$E3,$A$3:$A$117), 0)),"")</f>
        <v>Level II and III</v>
      </c>
      <c r="F4" s="104" t="str">
        <f t="array" ref="F4">IFERROR(INDEX($B$3:$B$117,MATCH(0,IF(($A$3:$A$117=$F$1),COUNTIF($F$2:F3,$B$3:$B$117), 1), 0)),"")</f>
        <v>Ancillary services/Support services</v>
      </c>
      <c r="G4" s="105" t="str">
        <f t="array" ref="G4">IFERROR(INDEX($C$3:$C$117,MATCH(0,IF(($A$3:$A$117=$F$1)*($B$3:$B$117=$G$1),COUNTIF($G$2:G3,$C$3:$C$117), 1), 0)),"")</f>
        <v>Animal Bite Center</v>
      </c>
      <c r="H4"/>
      <c r="I4"/>
    </row>
    <row r="5" spans="1:9" ht="16.5" x14ac:dyDescent="0.3">
      <c r="A5" s="93" t="s">
        <v>161</v>
      </c>
      <c r="B5" s="94" t="s">
        <v>86</v>
      </c>
      <c r="C5" s="92" t="s">
        <v>89</v>
      </c>
      <c r="E5" s="106"/>
      <c r="F5" s="104" t="str">
        <f t="array" ref="F5">IFERROR(INDEX($B$3:$B$117,MATCH(0,IF(($A$3:$A$117=$F$1),COUNTIF($F$2:F4,$B$3:$B$117), 1), 0)),"")</f>
        <v>Clinical/Medical services</v>
      </c>
      <c r="G5" s="105" t="str">
        <f t="array" ref="G5">IFERROR(INDEX($C$3:$C$117,MATCH(0,IF(($A$3:$A$117=$F$1)*($B$3:$B$117=$G$1),COUNTIF($G$2:G4,$C$3:$C$117), 1), 0)),"")</f>
        <v>TB Dots</v>
      </c>
      <c r="H5"/>
      <c r="I5"/>
    </row>
    <row r="6" spans="1:9" ht="16.5" x14ac:dyDescent="0.3">
      <c r="A6" s="93" t="s">
        <v>161</v>
      </c>
      <c r="B6" s="94" t="s">
        <v>86</v>
      </c>
      <c r="C6" s="92" t="s">
        <v>90</v>
      </c>
      <c r="E6" s="103"/>
      <c r="F6" s="104" t="str">
        <f t="array" ref="F6">IFERROR(INDEX($B$3:$B$117,MATCH(0,IF(($A$3:$A$117=$F$1),COUNTIF($F$2:F5,$B$3:$B$117), 1), 0)),"")</f>
        <v/>
      </c>
      <c r="G6" s="105" t="str">
        <f t="array" ref="G6">IFERROR(INDEX($C$3:$C$117,MATCH(0,IF(($A$3:$A$117=$F$1)*($B$3:$B$117=$G$1),COUNTIF($G$2:G5,$C$3:$C$117), 1), 0)),"")</f>
        <v>HIV Aids</v>
      </c>
      <c r="H6"/>
      <c r="I6"/>
    </row>
    <row r="7" spans="1:9" ht="16.5" x14ac:dyDescent="0.3">
      <c r="A7" s="93" t="s">
        <v>161</v>
      </c>
      <c r="B7" s="94" t="s">
        <v>86</v>
      </c>
      <c r="C7" s="92" t="s">
        <v>91</v>
      </c>
      <c r="E7" s="103" t="str">
        <f>IFERROR(INDEX($B$3:$B$117,MATCH(0,IF($A$3:$A$117=F$1,COUNTIF(F$1:F4,$B$3:$B$117),1),0)),"")</f>
        <v/>
      </c>
      <c r="F7" s="104" t="str">
        <f t="array" ref="F7">IFERROR(INDEX($B$3:$B$117,MATCH(0,IF(($A$3:$A$117=$F$1),COUNTIF($F$2:F6,$B$3:$B$117), 1), 0)),"")</f>
        <v/>
      </c>
      <c r="G7" s="105" t="str">
        <f t="array" ref="G7">IFERROR(INDEX($C$3:$C$117,MATCH(0,IF(($A$3:$A$117=$F$1)*($B$3:$B$117=$G$1),COUNTIF($G$2:G6,$C$3:$C$117), 1), 0)),"")</f>
        <v>Family Planning Unit</v>
      </c>
      <c r="H7"/>
      <c r="I7"/>
    </row>
    <row r="8" spans="1:9" ht="16.5" x14ac:dyDescent="0.3">
      <c r="A8" s="93" t="s">
        <v>161</v>
      </c>
      <c r="B8" s="94" t="s">
        <v>86</v>
      </c>
      <c r="C8" s="92" t="s">
        <v>92</v>
      </c>
      <c r="E8" s="103"/>
      <c r="F8" s="104" t="str">
        <f t="array" ref="F8">IFERROR(INDEX($B$3:$B$117,MATCH(0,IF(($A$3:$A$117=$F$1),COUNTIF($F$2:F7,$B$3:$B$117), 1), 0)),"")</f>
        <v/>
      </c>
      <c r="G8" s="105" t="str">
        <f t="array" ref="G8">IFERROR(INDEX($C$3:$C$117,MATCH(0,IF(($A$3:$A$117=$F$1)*($B$3:$B$117=$G$1),COUNTIF($G$2:G7,$C$3:$C$117), 1), 0)),"")</f>
        <v>Smoking Cessation</v>
      </c>
      <c r="H8"/>
      <c r="I8"/>
    </row>
    <row r="9" spans="1:9" ht="16.5" x14ac:dyDescent="0.3">
      <c r="A9" s="93" t="s">
        <v>161</v>
      </c>
      <c r="B9" s="94" t="s">
        <v>86</v>
      </c>
      <c r="C9" s="92" t="s">
        <v>93</v>
      </c>
      <c r="E9" s="103"/>
      <c r="F9" s="104" t="str">
        <f t="array" ref="F9">IFERROR(INDEX($B$3:$B$117,MATCH(0,IF(($A$3:$A$117=$F$1),COUNTIF($F$2:F8,$B$3:$B$117), 1), 0)),"")</f>
        <v/>
      </c>
      <c r="G9" s="105" t="str">
        <f t="array" ref="G9">IFERROR(INDEX($C$3:$C$117,MATCH(0,IF(($A$3:$A$117=$F$1)*($B$3:$B$117=$G$1),COUNTIF($G$2:G8,$C$3:$C$117), 1), 0)),"")</f>
        <v>Malaria</v>
      </c>
      <c r="H9"/>
      <c r="I9"/>
    </row>
    <row r="10" spans="1:9" ht="16.5" x14ac:dyDescent="0.3">
      <c r="A10" s="93" t="s">
        <v>161</v>
      </c>
      <c r="B10" s="94" t="s">
        <v>86</v>
      </c>
      <c r="C10" s="92" t="s">
        <v>94</v>
      </c>
      <c r="E10" s="103"/>
      <c r="F10" s="104" t="str">
        <f t="array" ref="F10">IFERROR(INDEX($B$3:$B$117,MATCH(0,IF(($A$3:$A$117=$F$1),COUNTIF($F$2:F9,$B$3:$B$117), 1), 0)),"")</f>
        <v/>
      </c>
      <c r="G10" s="105" t="str">
        <f t="array" ref="G10">IFERROR(INDEX($C$3:$C$117,MATCH(0,IF(($A$3:$A$117=$F$1)*($B$3:$B$117=$G$1),COUNTIF($G$2:G9,$C$3:$C$117), 1), 0)),"")</f>
        <v>Diabetes MAP</v>
      </c>
      <c r="H10"/>
      <c r="I10"/>
    </row>
    <row r="11" spans="1:9" ht="16.5" x14ac:dyDescent="0.3">
      <c r="A11" s="93" t="s">
        <v>161</v>
      </c>
      <c r="B11" s="94" t="s">
        <v>86</v>
      </c>
      <c r="C11" s="92" t="s">
        <v>95</v>
      </c>
      <c r="E11" s="103"/>
      <c r="F11" s="104" t="str">
        <f t="array" ref="F11">IFERROR(INDEX($B$3:$B$117,MATCH(0,IF(($A$3:$A$117=$F$1),COUNTIF($F$2:F10,$B$3:$B$117), 1), 0)),"")</f>
        <v/>
      </c>
      <c r="G11" s="105" t="str">
        <f t="array" ref="G11">IFERROR(INDEX($C$3:$C$117,MATCH(0,IF(($A$3:$A$117=$F$1)*($B$3:$B$117=$G$1),COUNTIF($G$2:G10,$C$3:$C$117), 1), 0)),"")</f>
        <v>Hypertension MAP</v>
      </c>
      <c r="H11"/>
      <c r="I11"/>
    </row>
    <row r="12" spans="1:9" ht="16.5" x14ac:dyDescent="0.3">
      <c r="A12" s="93" t="s">
        <v>161</v>
      </c>
      <c r="B12" s="94" t="s">
        <v>86</v>
      </c>
      <c r="C12" s="92" t="s">
        <v>96</v>
      </c>
      <c r="E12" s="103"/>
      <c r="F12" s="104" t="str">
        <f t="array" ref="F12">IFERROR(INDEX($B$3:$B$117,MATCH(0,IF(($A$3:$A$117=$F$1),COUNTIF($F$2:F11,$B$3:$B$117), 1), 0)),"")</f>
        <v/>
      </c>
      <c r="G12" s="105" t="str">
        <f t="array" ref="G12">IFERROR(INDEX($C$3:$C$117,MATCH(0,IF(($A$3:$A$117=$F$1)*($B$3:$B$117=$G$1),COUNTIF($G$2:G11,$C$3:$C$117), 1), 0)),"")</f>
        <v>Emergency Medicine Department</v>
      </c>
      <c r="H12"/>
      <c r="I12"/>
    </row>
    <row r="13" spans="1:9" ht="16.5" x14ac:dyDescent="0.3">
      <c r="A13" s="93" t="s">
        <v>161</v>
      </c>
      <c r="B13" s="94" t="s">
        <v>86</v>
      </c>
      <c r="C13" s="92" t="s">
        <v>97</v>
      </c>
      <c r="E13" s="103"/>
      <c r="F13" s="104" t="str">
        <f t="array" ref="F13">IFERROR(INDEX($B$3:$B$117,MATCH(0,IF(($A$3:$A$117=$F$1),COUNTIF($F$2:F12,$B$3:$B$117), 1), 0)),"")</f>
        <v/>
      </c>
      <c r="G13" s="105" t="str">
        <f t="array" ref="G13">IFERROR(INDEX($C$3:$C$117,MATCH(0,IF(($A$3:$A$117=$F$1)*($B$3:$B$117=$G$1),COUNTIF($G$2:G12,$C$3:$C$117), 1), 0)),"")</f>
        <v>Dialysis Unit</v>
      </c>
      <c r="H13"/>
      <c r="I13"/>
    </row>
    <row r="14" spans="1:9" ht="16.5" x14ac:dyDescent="0.3">
      <c r="A14" s="93" t="s">
        <v>161</v>
      </c>
      <c r="B14" s="94" t="s">
        <v>86</v>
      </c>
      <c r="C14" s="92" t="s">
        <v>98</v>
      </c>
      <c r="E14" s="103"/>
      <c r="F14" s="104" t="str">
        <f t="array" ref="F14">IFERROR(INDEX($B$3:$B$117,MATCH(0,IF(($A$3:$A$117=$F$1),COUNTIF($F$2:F13,$B$3:$B$117), 1), 0)),"")</f>
        <v/>
      </c>
      <c r="G14" s="105" t="str">
        <f t="array" ref="G14">IFERROR(INDEX($C$3:$C$117,MATCH(0,IF(($A$3:$A$117=$F$1)*($B$3:$B$117=$G$1),COUNTIF($G$2:G13,$C$3:$C$117), 1), 0)),"")</f>
        <v>Nuclear Medicine</v>
      </c>
      <c r="H14"/>
      <c r="I14"/>
    </row>
    <row r="15" spans="1:9" ht="16.5" x14ac:dyDescent="0.3">
      <c r="A15" s="93" t="s">
        <v>161</v>
      </c>
      <c r="B15" s="94" t="s">
        <v>86</v>
      </c>
      <c r="C15" s="92" t="s">
        <v>99</v>
      </c>
      <c r="E15" s="103"/>
      <c r="F15" s="104" t="str">
        <f t="array" ref="F15">IFERROR(INDEX($B$3:$B$117,MATCH(0,IF(($A$3:$A$117=$F$1),COUNTIF($F$2:F14,$B$3:$B$117), 1), 0)),"")</f>
        <v/>
      </c>
      <c r="G15" s="105" t="str">
        <f t="array" ref="G15">IFERROR(INDEX($C$3:$C$117,MATCH(0,IF(($A$3:$A$117=$F$1)*($B$3:$B$117=$G$1),COUNTIF($G$2:G14,$C$3:$C$117), 1), 0)),"")</f>
        <v>Radiation Oncology Unit*</v>
      </c>
      <c r="H15"/>
      <c r="I15"/>
    </row>
    <row r="16" spans="1:9" ht="16.5" x14ac:dyDescent="0.3">
      <c r="A16" s="93" t="s">
        <v>161</v>
      </c>
      <c r="B16" s="94" t="s">
        <v>86</v>
      </c>
      <c r="C16" s="92" t="s">
        <v>100</v>
      </c>
      <c r="E16" s="103"/>
      <c r="F16" s="104" t="str">
        <f t="array" ref="F16">IFERROR(INDEX($B$3:$B$117,MATCH(0,IF(($A$3:$A$117=$F$1),COUNTIF($F$2:F15,$B$3:$B$117), 1), 0)),"")</f>
        <v/>
      </c>
      <c r="G16" s="105" t="str">
        <f t="array" ref="G16">IFERROR(INDEX($C$3:$C$117,MATCH(0,IF(($A$3:$A$117=$F$1)*($B$3:$B$117=$G$1),COUNTIF($G$2:G15,$C$3:$C$117), 1), 0)),"")</f>
        <v>Endoscopy Unit</v>
      </c>
      <c r="H16"/>
      <c r="I16"/>
    </row>
    <row r="17" spans="1:9" ht="16.5" x14ac:dyDescent="0.3">
      <c r="A17" s="93" t="s">
        <v>161</v>
      </c>
      <c r="B17" s="94" t="s">
        <v>86</v>
      </c>
      <c r="C17" s="92" t="s">
        <v>101</v>
      </c>
      <c r="E17" s="106"/>
      <c r="F17" s="104" t="str">
        <f t="array" ref="F17">IFERROR(INDEX($B$3:$B$117,MATCH(0,IF(($A$3:$A$117=$F$1),COUNTIF($F$2:F16,$B$3:$B$117), 1), 0)),"")</f>
        <v/>
      </c>
      <c r="G17" s="105" t="str">
        <f t="array" ref="G17">IFERROR(INDEX($C$3:$C$117,MATCH(0,IF(($A$3:$A$117=$F$1)*($B$3:$B$117=$G$1),COUNTIF($G$2:G16,$C$3:$C$117), 1), 0)),"")</f>
        <v>Dental</v>
      </c>
      <c r="H17"/>
      <c r="I17"/>
    </row>
    <row r="18" spans="1:9" ht="16.5" x14ac:dyDescent="0.3">
      <c r="A18" s="93" t="s">
        <v>161</v>
      </c>
      <c r="B18" s="94" t="s">
        <v>86</v>
      </c>
      <c r="C18" s="92" t="s">
        <v>102</v>
      </c>
      <c r="E18" s="106"/>
      <c r="F18" s="104" t="str">
        <f t="array" ref="F18">IFERROR(INDEX($B$3:$B$117,MATCH(0,IF(($A$3:$A$117=$F$1),COUNTIF($F$2:F17,$B$3:$B$117), 1), 0)),"")</f>
        <v/>
      </c>
      <c r="G18" s="105" t="str">
        <f t="array" ref="G18">IFERROR(INDEX($C$3:$C$117,MATCH(0,IF(($A$3:$A$117=$F$1)*($B$3:$B$117=$G$1),COUNTIF($G$2:G17,$C$3:$C$117), 1), 0)),"")</f>
        <v>Internal Medicine Ward</v>
      </c>
      <c r="H18"/>
      <c r="I18"/>
    </row>
    <row r="19" spans="1:9" ht="16.5" x14ac:dyDescent="0.3">
      <c r="A19" s="93" t="s">
        <v>161</v>
      </c>
      <c r="B19" s="94" t="s">
        <v>86</v>
      </c>
      <c r="C19" s="92" t="s">
        <v>103</v>
      </c>
      <c r="E19" s="106"/>
      <c r="F19" s="104" t="str">
        <f t="array" ref="F19">IFERROR(INDEX($B$3:$B$117,MATCH(0,IF(($A$3:$A$117=$F$1),COUNTIF($F$2:F18,$B$3:$B$117), 1), 0)),"")</f>
        <v/>
      </c>
      <c r="G19" s="105" t="str">
        <f t="array" ref="G19">IFERROR(INDEX($C$3:$C$117,MATCH(0,IF(($A$3:$A$117=$F$1)*($B$3:$B$117=$G$1),COUNTIF($G$2:G18,$C$3:$C$117), 1), 0)),"")</f>
        <v>Pediatric Ward</v>
      </c>
      <c r="H19"/>
      <c r="I19"/>
    </row>
    <row r="20" spans="1:9" ht="16.5" x14ac:dyDescent="0.3">
      <c r="A20" s="93" t="s">
        <v>161</v>
      </c>
      <c r="B20" s="94" t="s">
        <v>86</v>
      </c>
      <c r="C20" s="92" t="s">
        <v>104</v>
      </c>
      <c r="E20" s="106"/>
      <c r="F20" s="104" t="str">
        <f t="array" ref="F20">IFERROR(INDEX($B$3:$B$117,MATCH(0,IF(($A$3:$A$117=$F$1),COUNTIF($F$2:F19,$B$3:$B$117), 1), 0)),"")</f>
        <v/>
      </c>
      <c r="G20" s="105" t="str">
        <f t="array" ref="G20">IFERROR(INDEX($C$3:$C$117,MATCH(0,IF(($A$3:$A$117=$F$1)*($B$3:$B$117=$G$1),COUNTIF($G$2:G19,$C$3:$C$117), 1), 0)),"")</f>
        <v>Surgical Ward</v>
      </c>
      <c r="H20"/>
      <c r="I20"/>
    </row>
    <row r="21" spans="1:9" ht="16.5" x14ac:dyDescent="0.3">
      <c r="A21" s="93" t="s">
        <v>161</v>
      </c>
      <c r="B21" s="94" t="s">
        <v>105</v>
      </c>
      <c r="C21" s="92" t="s">
        <v>106</v>
      </c>
      <c r="E21" s="106"/>
      <c r="F21" s="104" t="str">
        <f t="array" ref="F21">IFERROR(INDEX($B$3:$B$117,MATCH(0,IF(($A$3:$A$117=$F$1),COUNTIF($F$2:F20,$B$3:$B$117), 1), 0)),"")</f>
        <v/>
      </c>
      <c r="G21" s="105" t="str">
        <f t="array" ref="G21">IFERROR(INDEX($C$3:$C$117,MATCH(0,IF(($A$3:$A$117=$F$1)*($B$3:$B$117=$G$1),COUNTIF($G$2:G20,$C$3:$C$117), 1), 0)),"")</f>
        <v>Ob/Gyne Ward</v>
      </c>
      <c r="H21"/>
      <c r="I21"/>
    </row>
    <row r="22" spans="1:9" ht="16.5" x14ac:dyDescent="0.3">
      <c r="A22" s="93" t="s">
        <v>161</v>
      </c>
      <c r="B22" s="94" t="s">
        <v>105</v>
      </c>
      <c r="C22" s="92" t="s">
        <v>107</v>
      </c>
      <c r="E22" s="106"/>
      <c r="F22" s="104" t="str">
        <f t="array" ref="F22">IFERROR(INDEX($B$3:$B$117,MATCH(0,IF(($A$3:$A$117=$F$1),COUNTIF($F$2:F21,$B$3:$B$117), 1), 0)),"")</f>
        <v/>
      </c>
      <c r="G22" s="105" t="str">
        <f t="array" ref="G22">IFERROR(INDEX($C$3:$C$117,MATCH(0,IF(($A$3:$A$117=$F$1)*($B$3:$B$117=$G$1),COUNTIF($G$2:G21,$C$3:$C$117), 1), 0)),"")</f>
        <v>Private Ward</v>
      </c>
      <c r="H22"/>
      <c r="I22"/>
    </row>
    <row r="23" spans="1:9" ht="16.5" x14ac:dyDescent="0.3">
      <c r="A23" s="93" t="s">
        <v>161</v>
      </c>
      <c r="B23" s="94" t="s">
        <v>105</v>
      </c>
      <c r="C23" s="96" t="s">
        <v>108</v>
      </c>
      <c r="E23" s="106"/>
      <c r="F23" s="104" t="str">
        <f t="array" ref="F23">IFERROR(INDEX($B$3:$B$117,MATCH(0,IF(($A$3:$A$117=$F$1),COUNTIF($F$2:F22,$B$3:$B$117), 1), 0)),"")</f>
        <v/>
      </c>
      <c r="G23" s="105" t="str">
        <f t="array" ref="G23">IFERROR(INDEX($C$3:$C$117,MATCH(0,IF(($A$3:$A$117=$F$1)*($B$3:$B$117=$G$1),COUNTIF($G$2:G22,$C$3:$C$117), 1), 0)),"")</f>
        <v>Neurosurgery Ward*</v>
      </c>
      <c r="H23"/>
      <c r="I23"/>
    </row>
    <row r="24" spans="1:9" ht="16.5" x14ac:dyDescent="0.3">
      <c r="A24" s="93" t="s">
        <v>161</v>
      </c>
      <c r="B24" s="94" t="s">
        <v>105</v>
      </c>
      <c r="C24" s="92" t="s">
        <v>109</v>
      </c>
      <c r="E24" s="106"/>
      <c r="F24" s="104" t="str">
        <f t="array" ref="F24">IFERROR(INDEX($B$3:$B$117,MATCH(0,IF(($A$3:$A$117=$F$1),COUNTIF($F$2:F23,$B$3:$B$117), 1), 0)),"")</f>
        <v/>
      </c>
      <c r="G24" s="105" t="str">
        <f t="array" ref="G24">IFERROR(INDEX($C$3:$C$117,MATCH(0,IF(($A$3:$A$117=$F$1)*($B$3:$B$117=$G$1),COUNTIF($G$2:G23,$C$3:$C$117), 1), 0)),"")</f>
        <v>Orthopedic Ward*</v>
      </c>
      <c r="H24"/>
      <c r="I24"/>
    </row>
    <row r="25" spans="1:9" ht="16.5" x14ac:dyDescent="0.3">
      <c r="A25" s="93" t="s">
        <v>161</v>
      </c>
      <c r="B25" s="94" t="s">
        <v>105</v>
      </c>
      <c r="C25" s="96" t="s">
        <v>110</v>
      </c>
      <c r="E25" s="106"/>
      <c r="F25" s="104" t="str">
        <f t="array" ref="F25">IFERROR(INDEX($B$3:$B$117,MATCH(0,IF(($A$3:$A$117=$F$1),COUNTIF($F$2:F24,$B$3:$B$117), 1), 0)),"")</f>
        <v/>
      </c>
      <c r="G25" s="105" t="str">
        <f t="array" ref="G25">IFERROR(INDEX($C$3:$C$117,MATCH(0,IF(($A$3:$A$117=$F$1)*($B$3:$B$117=$G$1),COUNTIF($G$2:G24,$C$3:$C$117), 1), 0)),"")</f>
        <v>Psychiatric Ward*</v>
      </c>
      <c r="H25"/>
      <c r="I25"/>
    </row>
    <row r="26" spans="1:9" ht="16.5" x14ac:dyDescent="0.3">
      <c r="A26" s="93" t="s">
        <v>161</v>
      </c>
      <c r="B26" s="94" t="s">
        <v>105</v>
      </c>
      <c r="C26" s="92" t="s">
        <v>111</v>
      </c>
      <c r="E26" s="106"/>
      <c r="F26" s="104" t="str">
        <f t="array" ref="F26">IFERROR(INDEX($B$3:$B$117,MATCH(0,IF(($A$3:$A$117=$F$1),COUNTIF($F$2:F25,$B$3:$B$117), 1), 0)),"")</f>
        <v/>
      </c>
      <c r="G26" s="105" t="str">
        <f t="array" ref="G26">IFERROR(INDEX($C$3:$C$117,MATCH(0,IF(($A$3:$A$117=$F$1)*($B$3:$B$117=$G$1),COUNTIF($G$2:G25,$C$3:$C$117), 1), 0)),"")</f>
        <v>ENT Ward*</v>
      </c>
      <c r="H26"/>
      <c r="I26"/>
    </row>
    <row r="27" spans="1:9" ht="17.25" thickBot="1" x14ac:dyDescent="0.35">
      <c r="A27" s="93" t="s">
        <v>161</v>
      </c>
      <c r="B27" s="94" t="s">
        <v>105</v>
      </c>
      <c r="C27" s="92" t="s">
        <v>112</v>
      </c>
      <c r="E27" s="107"/>
      <c r="F27" s="108" t="str">
        <f t="array" ref="F27">IFERROR(INDEX($B$3:$B$117,MATCH(0,IF(($A$3:$A$117=$F$1),COUNTIF($F$2:F26,$B$3:$B$117), 1), 0)),"")</f>
        <v/>
      </c>
      <c r="G27" s="109" t="str">
        <f t="array" ref="G27">IFERROR(INDEX($C$3:$C$117,MATCH(0,IF(($A$3:$A$117=$F$1)*($B$3:$B$117=$G$1),COUNTIF($G$2:G26,$C$3:$C$117), 1), 0)),"")</f>
        <v/>
      </c>
      <c r="H27"/>
      <c r="I27"/>
    </row>
    <row r="28" spans="1:9" ht="16.5" x14ac:dyDescent="0.3">
      <c r="A28" s="93" t="s">
        <v>161</v>
      </c>
      <c r="B28" s="94" t="s">
        <v>105</v>
      </c>
      <c r="C28" s="92" t="s">
        <v>113</v>
      </c>
      <c r="E28"/>
      <c r="F28" s="91"/>
      <c r="G28" s="91"/>
      <c r="H28"/>
      <c r="I28"/>
    </row>
    <row r="29" spans="1:9" ht="16.5" x14ac:dyDescent="0.3">
      <c r="A29" s="93" t="s">
        <v>161</v>
      </c>
      <c r="B29" s="94" t="s">
        <v>105</v>
      </c>
      <c r="C29" s="92" t="s">
        <v>114</v>
      </c>
      <c r="E29"/>
      <c r="F29" s="91"/>
      <c r="G29" s="91"/>
      <c r="H29"/>
      <c r="I29"/>
    </row>
    <row r="30" spans="1:9" ht="16.5" x14ac:dyDescent="0.3">
      <c r="A30" s="93" t="s">
        <v>161</v>
      </c>
      <c r="B30" s="94" t="s">
        <v>105</v>
      </c>
      <c r="C30" s="97" t="s">
        <v>115</v>
      </c>
      <c r="E30"/>
      <c r="F30" s="91"/>
      <c r="G30" s="91"/>
      <c r="H30"/>
      <c r="I30"/>
    </row>
    <row r="31" spans="1:9" ht="16.5" x14ac:dyDescent="0.3">
      <c r="A31" s="93" t="s">
        <v>161</v>
      </c>
      <c r="B31" s="94" t="s">
        <v>105</v>
      </c>
      <c r="C31" s="92" t="s">
        <v>116</v>
      </c>
      <c r="E31"/>
      <c r="F31" s="91"/>
      <c r="G31" s="91"/>
      <c r="H31"/>
      <c r="I31"/>
    </row>
    <row r="32" spans="1:9" ht="16.5" x14ac:dyDescent="0.3">
      <c r="A32" s="93" t="s">
        <v>161</v>
      </c>
      <c r="B32" s="94" t="s">
        <v>105</v>
      </c>
      <c r="C32" s="97" t="s">
        <v>117</v>
      </c>
      <c r="E32"/>
      <c r="F32" s="91"/>
      <c r="G32" s="91"/>
      <c r="H32"/>
      <c r="I32"/>
    </row>
    <row r="33" spans="1:9" ht="16.5" x14ac:dyDescent="0.3">
      <c r="A33" s="93" t="s">
        <v>161</v>
      </c>
      <c r="B33" s="94" t="s">
        <v>105</v>
      </c>
      <c r="C33" s="97" t="s">
        <v>118</v>
      </c>
      <c r="E33"/>
      <c r="F33" s="91"/>
      <c r="G33" s="91"/>
      <c r="H33"/>
      <c r="I33"/>
    </row>
    <row r="34" spans="1:9" ht="16.5" x14ac:dyDescent="0.3">
      <c r="A34" s="93" t="s">
        <v>161</v>
      </c>
      <c r="B34" s="94" t="s">
        <v>105</v>
      </c>
      <c r="C34" s="97" t="s">
        <v>119</v>
      </c>
      <c r="E34"/>
      <c r="F34" s="91"/>
      <c r="G34" s="91"/>
      <c r="H34"/>
      <c r="I34"/>
    </row>
    <row r="35" spans="1:9" ht="16.5" x14ac:dyDescent="0.3">
      <c r="A35" s="93" t="s">
        <v>161</v>
      </c>
      <c r="B35" s="94" t="s">
        <v>105</v>
      </c>
      <c r="C35" s="97" t="s">
        <v>120</v>
      </c>
      <c r="E35"/>
      <c r="F35" s="91"/>
      <c r="G35" s="91"/>
      <c r="H35"/>
      <c r="I35"/>
    </row>
    <row r="36" spans="1:9" ht="16.5" x14ac:dyDescent="0.3">
      <c r="A36" s="93" t="s">
        <v>161</v>
      </c>
      <c r="B36" s="94" t="s">
        <v>105</v>
      </c>
      <c r="C36" s="96" t="s">
        <v>121</v>
      </c>
      <c r="E36"/>
      <c r="F36" s="91"/>
      <c r="G36" s="91"/>
      <c r="H36"/>
      <c r="I36"/>
    </row>
    <row r="37" spans="1:9" ht="16.5" x14ac:dyDescent="0.3">
      <c r="A37" s="93" t="s">
        <v>161</v>
      </c>
      <c r="B37" s="94" t="s">
        <v>105</v>
      </c>
      <c r="C37" s="96" t="s">
        <v>122</v>
      </c>
      <c r="E37"/>
      <c r="F37" s="91"/>
      <c r="G37" s="91"/>
      <c r="H37"/>
      <c r="I37"/>
    </row>
    <row r="38" spans="1:9" ht="16.5" x14ac:dyDescent="0.3">
      <c r="A38" s="93" t="s">
        <v>161</v>
      </c>
      <c r="B38" s="94" t="s">
        <v>105</v>
      </c>
      <c r="C38" s="92" t="s">
        <v>104</v>
      </c>
      <c r="E38"/>
      <c r="F38" s="91"/>
      <c r="G38" s="91"/>
      <c r="H38"/>
      <c r="I38"/>
    </row>
    <row r="39" spans="1:9" ht="16.5" x14ac:dyDescent="0.3">
      <c r="A39" s="93" t="s">
        <v>161</v>
      </c>
      <c r="B39" s="94" t="s">
        <v>123</v>
      </c>
      <c r="C39" s="92" t="s">
        <v>124</v>
      </c>
      <c r="E39"/>
      <c r="F39" s="91"/>
      <c r="G39" s="91"/>
      <c r="H39"/>
      <c r="I39"/>
    </row>
    <row r="40" spans="1:9" ht="16.5" x14ac:dyDescent="0.3">
      <c r="A40" s="93" t="s">
        <v>161</v>
      </c>
      <c r="B40" s="94" t="s">
        <v>123</v>
      </c>
      <c r="C40" s="92" t="s">
        <v>125</v>
      </c>
      <c r="E40"/>
      <c r="F40" s="91"/>
      <c r="G40" s="91"/>
      <c r="H40"/>
      <c r="I40"/>
    </row>
    <row r="41" spans="1:9" ht="16.5" x14ac:dyDescent="0.3">
      <c r="A41" s="93" t="s">
        <v>161</v>
      </c>
      <c r="B41" s="94" t="s">
        <v>123</v>
      </c>
      <c r="C41" s="92" t="s">
        <v>126</v>
      </c>
      <c r="E41"/>
      <c r="F41" s="91"/>
      <c r="G41" s="91"/>
      <c r="H41"/>
      <c r="I41"/>
    </row>
    <row r="42" spans="1:9" ht="16.5" x14ac:dyDescent="0.3">
      <c r="A42" s="93" t="s">
        <v>161</v>
      </c>
      <c r="B42" s="94" t="s">
        <v>123</v>
      </c>
      <c r="C42" s="92" t="s">
        <v>127</v>
      </c>
      <c r="E42"/>
      <c r="F42" s="91"/>
      <c r="G42" s="91"/>
      <c r="H42"/>
      <c r="I42"/>
    </row>
    <row r="43" spans="1:9" ht="16.5" x14ac:dyDescent="0.3">
      <c r="A43" s="93" t="s">
        <v>161</v>
      </c>
      <c r="B43" s="94" t="s">
        <v>123</v>
      </c>
      <c r="C43" s="92" t="s">
        <v>128</v>
      </c>
      <c r="E43"/>
      <c r="F43" s="91"/>
      <c r="G43" s="91"/>
      <c r="H43"/>
      <c r="I43"/>
    </row>
    <row r="44" spans="1:9" ht="16.5" x14ac:dyDescent="0.3">
      <c r="A44" s="93" t="s">
        <v>161</v>
      </c>
      <c r="B44" s="94" t="s">
        <v>123</v>
      </c>
      <c r="C44" s="92" t="s">
        <v>129</v>
      </c>
      <c r="E44"/>
      <c r="F44" s="91"/>
      <c r="G44" s="91"/>
      <c r="H44"/>
      <c r="I44"/>
    </row>
    <row r="45" spans="1:9" ht="16.5" x14ac:dyDescent="0.3">
      <c r="A45" s="93" t="s">
        <v>161</v>
      </c>
      <c r="B45" s="94" t="s">
        <v>123</v>
      </c>
      <c r="C45" s="92" t="s">
        <v>130</v>
      </c>
      <c r="E45"/>
      <c r="F45" s="91"/>
      <c r="G45" s="91"/>
      <c r="H45"/>
      <c r="I45"/>
    </row>
    <row r="46" spans="1:9" ht="16.5" x14ac:dyDescent="0.3">
      <c r="A46" s="93" t="s">
        <v>161</v>
      </c>
      <c r="B46" s="94" t="s">
        <v>123</v>
      </c>
      <c r="C46" s="96" t="s">
        <v>131</v>
      </c>
      <c r="E46"/>
      <c r="F46" s="91"/>
      <c r="G46" s="91"/>
      <c r="H46"/>
      <c r="I46"/>
    </row>
    <row r="47" spans="1:9" ht="16.5" x14ac:dyDescent="0.3">
      <c r="A47" s="93" t="s">
        <v>161</v>
      </c>
      <c r="B47" s="94" t="s">
        <v>123</v>
      </c>
      <c r="C47" s="92" t="s">
        <v>132</v>
      </c>
      <c r="E47"/>
      <c r="F47" s="91"/>
      <c r="G47" s="91"/>
      <c r="H47"/>
      <c r="I47"/>
    </row>
    <row r="48" spans="1:9" ht="16.5" x14ac:dyDescent="0.3">
      <c r="A48" s="93" t="s">
        <v>161</v>
      </c>
      <c r="B48" s="94" t="s">
        <v>123</v>
      </c>
      <c r="C48" s="92" t="s">
        <v>133</v>
      </c>
      <c r="E48"/>
      <c r="F48" s="91"/>
      <c r="G48" s="91"/>
      <c r="H48"/>
      <c r="I48"/>
    </row>
    <row r="49" spans="1:9" ht="16.5" x14ac:dyDescent="0.3">
      <c r="A49" s="93" t="s">
        <v>161</v>
      </c>
      <c r="B49" s="94" t="s">
        <v>123</v>
      </c>
      <c r="C49" s="92" t="s">
        <v>134</v>
      </c>
      <c r="E49"/>
      <c r="F49" s="91"/>
      <c r="G49" s="91"/>
      <c r="H49"/>
      <c r="I49"/>
    </row>
    <row r="50" spans="1:9" ht="16.5" x14ac:dyDescent="0.3">
      <c r="A50" s="93" t="s">
        <v>161</v>
      </c>
      <c r="B50" s="94" t="s">
        <v>123</v>
      </c>
      <c r="C50" s="92" t="s">
        <v>135</v>
      </c>
      <c r="E50"/>
      <c r="F50" s="91"/>
      <c r="G50" s="91"/>
      <c r="H50"/>
      <c r="I50"/>
    </row>
    <row r="51" spans="1:9" ht="16.5" x14ac:dyDescent="0.3">
      <c r="A51" s="93" t="s">
        <v>161</v>
      </c>
      <c r="B51" s="94" t="s">
        <v>123</v>
      </c>
      <c r="C51" s="92" t="s">
        <v>136</v>
      </c>
      <c r="E51"/>
      <c r="F51" s="91"/>
      <c r="G51" s="91"/>
      <c r="H51"/>
      <c r="I51"/>
    </row>
    <row r="52" spans="1:9" ht="16.5" x14ac:dyDescent="0.3">
      <c r="A52" s="93" t="s">
        <v>161</v>
      </c>
      <c r="B52" s="94" t="s">
        <v>123</v>
      </c>
      <c r="C52" s="92" t="s">
        <v>137</v>
      </c>
      <c r="E52"/>
      <c r="F52" s="91"/>
      <c r="G52" s="91"/>
      <c r="H52"/>
      <c r="I52"/>
    </row>
    <row r="53" spans="1:9" ht="16.5" x14ac:dyDescent="0.3">
      <c r="A53" s="93" t="s">
        <v>161</v>
      </c>
      <c r="B53" s="94" t="s">
        <v>123</v>
      </c>
      <c r="C53" s="92" t="s">
        <v>138</v>
      </c>
      <c r="E53"/>
      <c r="F53" s="91"/>
      <c r="G53" s="91"/>
      <c r="H53"/>
      <c r="I53"/>
    </row>
    <row r="54" spans="1:9" ht="16.5" x14ac:dyDescent="0.3">
      <c r="A54" s="93" t="s">
        <v>161</v>
      </c>
      <c r="B54" s="94" t="s">
        <v>123</v>
      </c>
      <c r="C54" s="92" t="s">
        <v>139</v>
      </c>
      <c r="E54"/>
      <c r="F54" s="91"/>
      <c r="G54" s="91"/>
      <c r="H54"/>
      <c r="I54"/>
    </row>
    <row r="55" spans="1:9" ht="16.5" x14ac:dyDescent="0.3">
      <c r="A55" s="93" t="s">
        <v>161</v>
      </c>
      <c r="B55" s="94" t="s">
        <v>123</v>
      </c>
      <c r="C55" s="92" t="s">
        <v>140</v>
      </c>
      <c r="E55"/>
      <c r="F55" s="91"/>
      <c r="G55" s="91"/>
      <c r="H55"/>
      <c r="I55"/>
    </row>
    <row r="56" spans="1:9" ht="16.5" x14ac:dyDescent="0.3">
      <c r="A56" s="93" t="s">
        <v>161</v>
      </c>
      <c r="B56" s="94" t="s">
        <v>123</v>
      </c>
      <c r="C56" s="92" t="s">
        <v>141</v>
      </c>
      <c r="E56"/>
      <c r="F56" s="91"/>
      <c r="G56" s="91"/>
      <c r="H56"/>
      <c r="I56"/>
    </row>
    <row r="57" spans="1:9" ht="16.5" x14ac:dyDescent="0.3">
      <c r="A57" s="93" t="s">
        <v>162</v>
      </c>
      <c r="B57" s="98" t="s">
        <v>86</v>
      </c>
      <c r="C57" s="97" t="s">
        <v>87</v>
      </c>
      <c r="E57"/>
      <c r="F57" s="91"/>
      <c r="G57" s="91"/>
      <c r="H57"/>
      <c r="I57"/>
    </row>
    <row r="58" spans="1:9" ht="16.5" x14ac:dyDescent="0.3">
      <c r="A58" s="93" t="s">
        <v>162</v>
      </c>
      <c r="B58" s="98" t="s">
        <v>86</v>
      </c>
      <c r="C58" s="92" t="s">
        <v>142</v>
      </c>
      <c r="E58"/>
      <c r="F58" s="91"/>
      <c r="G58" s="91"/>
      <c r="H58"/>
      <c r="I58"/>
    </row>
    <row r="59" spans="1:9" ht="16.5" x14ac:dyDescent="0.3">
      <c r="A59" s="93" t="s">
        <v>162</v>
      </c>
      <c r="B59" s="98" t="s">
        <v>86</v>
      </c>
      <c r="C59" s="97" t="s">
        <v>89</v>
      </c>
      <c r="E59"/>
      <c r="F59" s="91"/>
      <c r="G59" s="91"/>
      <c r="H59"/>
      <c r="I59"/>
    </row>
    <row r="60" spans="1:9" ht="16.5" x14ac:dyDescent="0.3">
      <c r="A60" s="93" t="s">
        <v>162</v>
      </c>
      <c r="B60" s="98" t="s">
        <v>86</v>
      </c>
      <c r="C60" s="97" t="s">
        <v>90</v>
      </c>
      <c r="E60"/>
      <c r="F60" s="91"/>
      <c r="G60" s="91"/>
      <c r="H60"/>
      <c r="I60"/>
    </row>
    <row r="61" spans="1:9" ht="16.5" x14ac:dyDescent="0.3">
      <c r="A61" s="93" t="s">
        <v>162</v>
      </c>
      <c r="B61" s="98" t="s">
        <v>86</v>
      </c>
      <c r="C61" s="97" t="s">
        <v>91</v>
      </c>
      <c r="E61"/>
      <c r="F61" s="91"/>
      <c r="G61" s="91"/>
      <c r="H61"/>
      <c r="I61"/>
    </row>
    <row r="62" spans="1:9" ht="16.5" x14ac:dyDescent="0.3">
      <c r="A62" s="93" t="s">
        <v>162</v>
      </c>
      <c r="B62" s="98" t="s">
        <v>86</v>
      </c>
      <c r="C62" s="97" t="s">
        <v>92</v>
      </c>
      <c r="E62"/>
      <c r="F62" s="91"/>
      <c r="G62" s="91"/>
      <c r="H62"/>
      <c r="I62"/>
    </row>
    <row r="63" spans="1:9" ht="16.5" x14ac:dyDescent="0.3">
      <c r="A63" s="93" t="s">
        <v>162</v>
      </c>
      <c r="B63" s="98" t="s">
        <v>86</v>
      </c>
      <c r="C63" s="97" t="s">
        <v>93</v>
      </c>
      <c r="E63"/>
      <c r="F63" s="91"/>
      <c r="G63" s="91"/>
      <c r="H63"/>
      <c r="I63"/>
    </row>
    <row r="64" spans="1:9" ht="16.5" x14ac:dyDescent="0.3">
      <c r="A64" s="93" t="s">
        <v>162</v>
      </c>
      <c r="B64" s="98" t="s">
        <v>86</v>
      </c>
      <c r="C64" s="92" t="s">
        <v>143</v>
      </c>
      <c r="E64"/>
      <c r="F64" s="91"/>
      <c r="G64" s="91"/>
      <c r="H64"/>
      <c r="I64"/>
    </row>
    <row r="65" spans="1:9" ht="16.5" x14ac:dyDescent="0.3">
      <c r="A65" s="93" t="s">
        <v>162</v>
      </c>
      <c r="B65" s="98" t="s">
        <v>86</v>
      </c>
      <c r="C65" s="97" t="s">
        <v>95</v>
      </c>
      <c r="E65"/>
      <c r="F65" s="91"/>
      <c r="G65" s="91"/>
      <c r="H65"/>
      <c r="I65"/>
    </row>
    <row r="66" spans="1:9" ht="16.5" x14ac:dyDescent="0.3">
      <c r="A66" s="93" t="s">
        <v>162</v>
      </c>
      <c r="B66" s="98" t="s">
        <v>86</v>
      </c>
      <c r="C66" s="97" t="s">
        <v>96</v>
      </c>
      <c r="E66"/>
      <c r="F66" s="91"/>
      <c r="G66" s="91"/>
      <c r="H66"/>
      <c r="I66"/>
    </row>
    <row r="67" spans="1:9" ht="16.5" x14ac:dyDescent="0.3">
      <c r="A67" s="93" t="s">
        <v>162</v>
      </c>
      <c r="B67" s="98" t="s">
        <v>86</v>
      </c>
      <c r="C67" s="97" t="s">
        <v>97</v>
      </c>
      <c r="E67"/>
      <c r="F67" s="91"/>
      <c r="G67" s="91"/>
      <c r="H67"/>
      <c r="I67"/>
    </row>
    <row r="68" spans="1:9" ht="16.5" x14ac:dyDescent="0.3">
      <c r="A68" s="93" t="s">
        <v>162</v>
      </c>
      <c r="B68" s="98" t="s">
        <v>86</v>
      </c>
      <c r="C68" s="97" t="s">
        <v>98</v>
      </c>
      <c r="E68"/>
      <c r="F68" s="91"/>
      <c r="G68" s="91"/>
      <c r="H68"/>
      <c r="I68"/>
    </row>
    <row r="69" spans="1:9" ht="16.5" x14ac:dyDescent="0.3">
      <c r="A69" s="93" t="s">
        <v>162</v>
      </c>
      <c r="B69" s="98" t="s">
        <v>86</v>
      </c>
      <c r="C69" s="97" t="s">
        <v>99</v>
      </c>
      <c r="E69"/>
      <c r="F69" s="91"/>
      <c r="G69" s="91"/>
      <c r="H69"/>
      <c r="I69"/>
    </row>
    <row r="70" spans="1:9" ht="16.5" x14ac:dyDescent="0.3">
      <c r="A70" s="93" t="s">
        <v>162</v>
      </c>
      <c r="B70" s="98" t="s">
        <v>86</v>
      </c>
      <c r="C70" s="97" t="s">
        <v>100</v>
      </c>
      <c r="E70"/>
      <c r="F70" s="91"/>
      <c r="G70" s="91"/>
      <c r="H70"/>
      <c r="I70"/>
    </row>
    <row r="71" spans="1:9" ht="16.5" x14ac:dyDescent="0.3">
      <c r="A71" s="93" t="s">
        <v>162</v>
      </c>
      <c r="B71" s="98" t="s">
        <v>86</v>
      </c>
      <c r="C71" s="97" t="s">
        <v>101</v>
      </c>
      <c r="E71"/>
      <c r="F71" s="91"/>
      <c r="G71" s="91"/>
      <c r="H71"/>
      <c r="I71"/>
    </row>
    <row r="72" spans="1:9" ht="16.5" x14ac:dyDescent="0.3">
      <c r="A72" s="93" t="s">
        <v>162</v>
      </c>
      <c r="B72" s="98" t="s">
        <v>86</v>
      </c>
      <c r="C72" s="97" t="s">
        <v>102</v>
      </c>
      <c r="E72"/>
      <c r="F72" s="91"/>
      <c r="G72" s="91"/>
      <c r="H72"/>
      <c r="I72"/>
    </row>
    <row r="73" spans="1:9" ht="16.5" x14ac:dyDescent="0.3">
      <c r="A73" s="93" t="s">
        <v>162</v>
      </c>
      <c r="B73" s="98" t="s">
        <v>86</v>
      </c>
      <c r="C73" s="92" t="s">
        <v>144</v>
      </c>
      <c r="E73"/>
      <c r="F73" s="91"/>
      <c r="G73" s="91"/>
      <c r="H73"/>
      <c r="I73"/>
    </row>
    <row r="74" spans="1:9" ht="16.5" x14ac:dyDescent="0.3">
      <c r="A74" s="93" t="s">
        <v>162</v>
      </c>
      <c r="B74" s="98" t="s">
        <v>86</v>
      </c>
      <c r="C74" s="92" t="s">
        <v>104</v>
      </c>
      <c r="E74"/>
      <c r="F74" s="91"/>
      <c r="G74" s="91"/>
      <c r="H74"/>
      <c r="I74"/>
    </row>
    <row r="75" spans="1:9" ht="16.5" x14ac:dyDescent="0.3">
      <c r="A75" s="93" t="s">
        <v>162</v>
      </c>
      <c r="B75" s="94" t="s">
        <v>105</v>
      </c>
      <c r="C75" s="92" t="s">
        <v>106</v>
      </c>
      <c r="E75"/>
      <c r="F75" s="91"/>
      <c r="G75" s="91"/>
      <c r="H75"/>
      <c r="I75"/>
    </row>
    <row r="76" spans="1:9" ht="16.5" x14ac:dyDescent="0.3">
      <c r="A76" s="93" t="s">
        <v>162</v>
      </c>
      <c r="B76" s="94" t="s">
        <v>105</v>
      </c>
      <c r="C76" s="92" t="s">
        <v>107</v>
      </c>
      <c r="E76"/>
      <c r="F76" s="91"/>
      <c r="G76" s="91"/>
      <c r="H76"/>
      <c r="I76"/>
    </row>
    <row r="77" spans="1:9" ht="16.5" x14ac:dyDescent="0.3">
      <c r="A77" s="93" t="s">
        <v>162</v>
      </c>
      <c r="B77" s="94" t="s">
        <v>105</v>
      </c>
      <c r="C77" s="92" t="s">
        <v>108</v>
      </c>
      <c r="E77"/>
      <c r="F77" s="91"/>
      <c r="G77" s="91"/>
      <c r="H77"/>
      <c r="I77"/>
    </row>
    <row r="78" spans="1:9" ht="16.5" x14ac:dyDescent="0.3">
      <c r="A78" s="93" t="s">
        <v>162</v>
      </c>
      <c r="B78" s="94" t="s">
        <v>105</v>
      </c>
      <c r="C78" s="92" t="s">
        <v>109</v>
      </c>
      <c r="E78"/>
      <c r="F78" s="91"/>
      <c r="G78" s="91"/>
      <c r="H78"/>
      <c r="I78"/>
    </row>
    <row r="79" spans="1:9" ht="16.5" x14ac:dyDescent="0.3">
      <c r="A79" s="93" t="s">
        <v>162</v>
      </c>
      <c r="B79" s="94" t="s">
        <v>105</v>
      </c>
      <c r="C79" s="92" t="s">
        <v>110</v>
      </c>
      <c r="E79"/>
      <c r="F79" s="91"/>
      <c r="G79" s="91"/>
      <c r="H79"/>
      <c r="I79"/>
    </row>
    <row r="80" spans="1:9" ht="16.5" x14ac:dyDescent="0.3">
      <c r="A80" s="93" t="s">
        <v>162</v>
      </c>
      <c r="B80" s="94" t="s">
        <v>105</v>
      </c>
      <c r="C80" s="92" t="s">
        <v>111</v>
      </c>
      <c r="E80"/>
      <c r="F80" s="91"/>
      <c r="G80" s="91"/>
      <c r="H80"/>
      <c r="I80"/>
    </row>
    <row r="81" spans="1:9" ht="16.5" x14ac:dyDescent="0.3">
      <c r="A81" s="93" t="s">
        <v>162</v>
      </c>
      <c r="B81" s="94" t="s">
        <v>105</v>
      </c>
      <c r="C81" s="92" t="s">
        <v>112</v>
      </c>
      <c r="E81"/>
      <c r="F81" s="91"/>
      <c r="G81" s="91"/>
      <c r="H81"/>
      <c r="I81"/>
    </row>
    <row r="82" spans="1:9" ht="16.5" x14ac:dyDescent="0.3">
      <c r="A82" s="93" t="s">
        <v>162</v>
      </c>
      <c r="B82" s="94" t="s">
        <v>105</v>
      </c>
      <c r="C82" s="92" t="s">
        <v>145</v>
      </c>
      <c r="E82"/>
      <c r="F82" s="91"/>
      <c r="G82" s="91"/>
      <c r="H82"/>
      <c r="I82"/>
    </row>
    <row r="83" spans="1:9" ht="16.5" x14ac:dyDescent="0.3">
      <c r="A83" s="93" t="s">
        <v>162</v>
      </c>
      <c r="B83" s="94" t="s">
        <v>105</v>
      </c>
      <c r="C83" s="92" t="s">
        <v>113</v>
      </c>
      <c r="E83"/>
      <c r="F83" s="91"/>
      <c r="G83" s="91"/>
      <c r="H83"/>
      <c r="I83"/>
    </row>
    <row r="84" spans="1:9" ht="16.5" x14ac:dyDescent="0.3">
      <c r="A84" s="93" t="s">
        <v>162</v>
      </c>
      <c r="B84" s="94" t="s">
        <v>105</v>
      </c>
      <c r="C84" s="92" t="s">
        <v>114</v>
      </c>
      <c r="E84"/>
      <c r="F84" s="91"/>
      <c r="G84" s="91"/>
      <c r="H84"/>
      <c r="I84"/>
    </row>
    <row r="85" spans="1:9" ht="16.5" x14ac:dyDescent="0.3">
      <c r="A85" s="93" t="s">
        <v>162</v>
      </c>
      <c r="B85" s="94" t="s">
        <v>105</v>
      </c>
      <c r="C85" s="97" t="s">
        <v>115</v>
      </c>
      <c r="E85"/>
      <c r="F85" s="91"/>
      <c r="G85" s="91"/>
      <c r="H85"/>
      <c r="I85"/>
    </row>
    <row r="86" spans="1:9" ht="16.5" x14ac:dyDescent="0.3">
      <c r="A86" s="93" t="s">
        <v>162</v>
      </c>
      <c r="B86" s="94" t="s">
        <v>105</v>
      </c>
      <c r="C86" s="92" t="s">
        <v>116</v>
      </c>
      <c r="E86"/>
      <c r="F86" s="91"/>
      <c r="G86" s="91"/>
      <c r="H86"/>
      <c r="I86"/>
    </row>
    <row r="87" spans="1:9" ht="16.5" x14ac:dyDescent="0.3">
      <c r="A87" s="93" t="s">
        <v>162</v>
      </c>
      <c r="B87" s="94" t="s">
        <v>105</v>
      </c>
      <c r="C87" s="97" t="s">
        <v>117</v>
      </c>
      <c r="E87"/>
      <c r="F87" s="91"/>
      <c r="G87" s="91"/>
      <c r="H87"/>
      <c r="I87"/>
    </row>
    <row r="88" spans="1:9" ht="16.5" x14ac:dyDescent="0.3">
      <c r="A88" s="93" t="s">
        <v>162</v>
      </c>
      <c r="B88" s="94" t="s">
        <v>105</v>
      </c>
      <c r="C88" s="97" t="s">
        <v>118</v>
      </c>
      <c r="E88"/>
      <c r="F88" s="91"/>
      <c r="G88" s="91"/>
      <c r="H88"/>
      <c r="I88"/>
    </row>
    <row r="89" spans="1:9" ht="16.5" x14ac:dyDescent="0.3">
      <c r="A89" s="93" t="s">
        <v>162</v>
      </c>
      <c r="B89" s="94" t="s">
        <v>105</v>
      </c>
      <c r="C89" s="97" t="s">
        <v>119</v>
      </c>
      <c r="E89"/>
      <c r="F89" s="91"/>
      <c r="G89" s="91"/>
      <c r="H89"/>
      <c r="I89"/>
    </row>
    <row r="90" spans="1:9" ht="16.5" x14ac:dyDescent="0.3">
      <c r="A90" s="93" t="s">
        <v>162</v>
      </c>
      <c r="B90" s="94" t="s">
        <v>105</v>
      </c>
      <c r="C90" s="97" t="s">
        <v>120</v>
      </c>
      <c r="E90"/>
      <c r="F90" s="91"/>
      <c r="G90" s="91"/>
      <c r="H90"/>
      <c r="I90"/>
    </row>
    <row r="91" spans="1:9" ht="16.5" x14ac:dyDescent="0.3">
      <c r="A91" s="93" t="s">
        <v>162</v>
      </c>
      <c r="B91" s="94" t="s">
        <v>105</v>
      </c>
      <c r="C91" s="97" t="s">
        <v>121</v>
      </c>
      <c r="E91"/>
      <c r="F91" s="91"/>
      <c r="G91" s="91"/>
      <c r="H91"/>
      <c r="I91"/>
    </row>
    <row r="92" spans="1:9" ht="16.5" x14ac:dyDescent="0.3">
      <c r="A92" s="93" t="s">
        <v>162</v>
      </c>
      <c r="B92" s="94" t="s">
        <v>105</v>
      </c>
      <c r="C92" s="92" t="s">
        <v>122</v>
      </c>
      <c r="E92"/>
      <c r="F92" s="91"/>
      <c r="G92" s="91"/>
      <c r="H92"/>
      <c r="I92"/>
    </row>
    <row r="93" spans="1:9" ht="16.5" x14ac:dyDescent="0.3">
      <c r="A93" s="93" t="s">
        <v>162</v>
      </c>
      <c r="B93" s="94" t="s">
        <v>105</v>
      </c>
      <c r="C93" s="96" t="s">
        <v>104</v>
      </c>
      <c r="E93"/>
      <c r="F93" s="91"/>
      <c r="G93" s="91"/>
      <c r="H93"/>
      <c r="I93"/>
    </row>
    <row r="94" spans="1:9" ht="16.5" x14ac:dyDescent="0.3">
      <c r="A94" s="93" t="s">
        <v>162</v>
      </c>
      <c r="B94" s="98" t="s">
        <v>123</v>
      </c>
      <c r="C94" s="97" t="s">
        <v>146</v>
      </c>
      <c r="E94"/>
      <c r="F94" s="91"/>
      <c r="G94" s="91"/>
      <c r="H94"/>
      <c r="I94"/>
    </row>
    <row r="95" spans="1:9" ht="16.5" x14ac:dyDescent="0.3">
      <c r="A95" s="93" t="s">
        <v>162</v>
      </c>
      <c r="B95" s="98" t="s">
        <v>123</v>
      </c>
      <c r="C95" s="92" t="s">
        <v>125</v>
      </c>
      <c r="E95"/>
      <c r="F95" s="91"/>
      <c r="G95" s="91"/>
      <c r="H95"/>
      <c r="I95"/>
    </row>
    <row r="96" spans="1:9" ht="16.5" x14ac:dyDescent="0.3">
      <c r="A96" s="93" t="s">
        <v>162</v>
      </c>
      <c r="B96" s="98" t="s">
        <v>123</v>
      </c>
      <c r="C96" s="92" t="s">
        <v>126</v>
      </c>
      <c r="E96"/>
      <c r="F96" s="91"/>
      <c r="G96" s="91"/>
      <c r="H96"/>
      <c r="I96"/>
    </row>
    <row r="97" spans="1:9" ht="16.5" x14ac:dyDescent="0.3">
      <c r="A97" s="93" t="s">
        <v>162</v>
      </c>
      <c r="B97" s="98" t="s">
        <v>123</v>
      </c>
      <c r="C97" s="92" t="s">
        <v>127</v>
      </c>
      <c r="E97"/>
      <c r="F97" s="91"/>
      <c r="G97" s="91"/>
      <c r="H97"/>
      <c r="I97"/>
    </row>
    <row r="98" spans="1:9" ht="16.5" x14ac:dyDescent="0.3">
      <c r="A98" s="93" t="s">
        <v>162</v>
      </c>
      <c r="B98" s="98" t="s">
        <v>123</v>
      </c>
      <c r="C98" s="92" t="s">
        <v>128</v>
      </c>
      <c r="E98"/>
      <c r="F98" s="91"/>
      <c r="G98" s="91"/>
      <c r="H98"/>
      <c r="I98"/>
    </row>
    <row r="99" spans="1:9" ht="16.5" x14ac:dyDescent="0.3">
      <c r="A99" s="93" t="s">
        <v>162</v>
      </c>
      <c r="B99" s="98" t="s">
        <v>123</v>
      </c>
      <c r="C99" s="92" t="s">
        <v>129</v>
      </c>
      <c r="E99"/>
      <c r="F99" s="91"/>
      <c r="G99" s="91"/>
      <c r="H99"/>
      <c r="I99"/>
    </row>
    <row r="100" spans="1:9" ht="16.5" x14ac:dyDescent="0.3">
      <c r="A100" s="93" t="s">
        <v>162</v>
      </c>
      <c r="B100" s="98" t="s">
        <v>123</v>
      </c>
      <c r="C100" s="92" t="s">
        <v>130</v>
      </c>
      <c r="E100"/>
      <c r="F100" s="91"/>
      <c r="G100" s="91"/>
      <c r="H100"/>
      <c r="I100"/>
    </row>
    <row r="101" spans="1:9" ht="16.5" x14ac:dyDescent="0.25">
      <c r="A101" s="93" t="s">
        <v>162</v>
      </c>
      <c r="B101" s="98" t="s">
        <v>123</v>
      </c>
      <c r="C101" s="99" t="s">
        <v>147</v>
      </c>
      <c r="E101"/>
      <c r="F101" s="91"/>
      <c r="G101" s="91"/>
      <c r="H101"/>
      <c r="I101"/>
    </row>
    <row r="102" spans="1:9" ht="16.5" x14ac:dyDescent="0.3">
      <c r="A102" s="93" t="s">
        <v>162</v>
      </c>
      <c r="B102" s="98" t="s">
        <v>123</v>
      </c>
      <c r="C102" s="92" t="s">
        <v>148</v>
      </c>
      <c r="E102"/>
      <c r="F102" s="91"/>
      <c r="G102" s="91"/>
      <c r="H102"/>
      <c r="I102"/>
    </row>
    <row r="103" spans="1:9" ht="16.5" x14ac:dyDescent="0.3">
      <c r="A103" s="93" t="s">
        <v>162</v>
      </c>
      <c r="B103" s="98" t="s">
        <v>123</v>
      </c>
      <c r="C103" s="97" t="s">
        <v>133</v>
      </c>
      <c r="E103"/>
      <c r="F103" s="91"/>
      <c r="G103" s="91"/>
      <c r="H103"/>
      <c r="I103"/>
    </row>
    <row r="104" spans="1:9" ht="16.5" x14ac:dyDescent="0.3">
      <c r="A104" s="93" t="s">
        <v>162</v>
      </c>
      <c r="B104" s="98" t="s">
        <v>123</v>
      </c>
      <c r="C104" s="97" t="s">
        <v>134</v>
      </c>
      <c r="E104"/>
      <c r="F104" s="91"/>
      <c r="G104" s="91"/>
      <c r="H104"/>
      <c r="I104"/>
    </row>
    <row r="105" spans="1:9" ht="16.5" x14ac:dyDescent="0.3">
      <c r="A105" s="93" t="s">
        <v>162</v>
      </c>
      <c r="B105" s="98" t="s">
        <v>123</v>
      </c>
      <c r="C105" s="92" t="s">
        <v>149</v>
      </c>
      <c r="E105"/>
      <c r="F105" s="91"/>
      <c r="G105" s="91"/>
      <c r="H105"/>
      <c r="I105"/>
    </row>
    <row r="106" spans="1:9" ht="16.5" x14ac:dyDescent="0.3">
      <c r="A106" s="93" t="s">
        <v>162</v>
      </c>
      <c r="B106" s="98" t="s">
        <v>123</v>
      </c>
      <c r="C106" s="97" t="s">
        <v>135</v>
      </c>
      <c r="E106"/>
      <c r="F106" s="91"/>
      <c r="G106" s="91"/>
      <c r="H106"/>
      <c r="I106"/>
    </row>
    <row r="107" spans="1:9" ht="16.5" x14ac:dyDescent="0.3">
      <c r="A107" s="93" t="s">
        <v>162</v>
      </c>
      <c r="B107" s="98" t="s">
        <v>123</v>
      </c>
      <c r="C107" s="92" t="s">
        <v>150</v>
      </c>
      <c r="E107"/>
      <c r="F107" s="91"/>
      <c r="G107" s="91"/>
      <c r="H107"/>
      <c r="I107"/>
    </row>
    <row r="108" spans="1:9" ht="16.5" x14ac:dyDescent="0.3">
      <c r="A108" s="93" t="s">
        <v>162</v>
      </c>
      <c r="B108" s="98" t="s">
        <v>123</v>
      </c>
      <c r="C108" s="97" t="s">
        <v>136</v>
      </c>
      <c r="E108"/>
      <c r="F108" s="91"/>
      <c r="G108" s="91"/>
      <c r="H108"/>
      <c r="I108"/>
    </row>
    <row r="109" spans="1:9" ht="16.5" x14ac:dyDescent="0.3">
      <c r="A109" s="93" t="s">
        <v>162</v>
      </c>
      <c r="B109" s="98" t="s">
        <v>123</v>
      </c>
      <c r="C109" s="97" t="s">
        <v>137</v>
      </c>
      <c r="E109"/>
      <c r="F109" s="91"/>
      <c r="G109" s="91"/>
      <c r="H109"/>
      <c r="I109"/>
    </row>
    <row r="110" spans="1:9" ht="16.5" x14ac:dyDescent="0.3">
      <c r="A110" s="93" t="s">
        <v>162</v>
      </c>
      <c r="B110" s="98" t="s">
        <v>123</v>
      </c>
      <c r="C110" s="97" t="s">
        <v>138</v>
      </c>
      <c r="E110"/>
      <c r="F110" s="91"/>
      <c r="G110" s="91"/>
      <c r="H110"/>
      <c r="I110"/>
    </row>
    <row r="111" spans="1:9" ht="16.5" x14ac:dyDescent="0.3">
      <c r="A111" s="93" t="s">
        <v>162</v>
      </c>
      <c r="B111" s="98" t="s">
        <v>123</v>
      </c>
      <c r="C111" s="97" t="s">
        <v>139</v>
      </c>
      <c r="E111"/>
      <c r="F111" s="91"/>
      <c r="G111" s="91"/>
      <c r="H111"/>
      <c r="I111"/>
    </row>
    <row r="112" spans="1:9" ht="16.5" x14ac:dyDescent="0.3">
      <c r="A112" s="93" t="s">
        <v>162</v>
      </c>
      <c r="B112" s="98" t="s">
        <v>123</v>
      </c>
      <c r="C112" s="97" t="s">
        <v>140</v>
      </c>
      <c r="E112"/>
      <c r="F112" s="91"/>
      <c r="G112" s="91"/>
      <c r="H112"/>
      <c r="I112"/>
    </row>
    <row r="113" spans="1:9" ht="16.5" x14ac:dyDescent="0.3">
      <c r="A113" s="93" t="s">
        <v>162</v>
      </c>
      <c r="B113" s="98" t="s">
        <v>123</v>
      </c>
      <c r="C113" s="97" t="s">
        <v>141</v>
      </c>
      <c r="E113"/>
      <c r="F113" s="91"/>
      <c r="G113" s="91"/>
      <c r="H113"/>
      <c r="I113"/>
    </row>
    <row r="114" spans="1:9" ht="16.5" x14ac:dyDescent="0.3">
      <c r="A114" s="93" t="s">
        <v>162</v>
      </c>
      <c r="B114" s="98" t="s">
        <v>123</v>
      </c>
      <c r="C114" s="97" t="s">
        <v>151</v>
      </c>
      <c r="E114"/>
      <c r="F114" s="91"/>
      <c r="G114" s="91"/>
      <c r="H114"/>
      <c r="I114"/>
    </row>
    <row r="115" spans="1:9" ht="16.5" x14ac:dyDescent="0.3">
      <c r="A115" s="93" t="s">
        <v>162</v>
      </c>
      <c r="B115" s="98" t="s">
        <v>123</v>
      </c>
      <c r="C115" s="97" t="s">
        <v>152</v>
      </c>
      <c r="E115"/>
      <c r="F115" s="91"/>
      <c r="G115" s="91"/>
      <c r="H115"/>
      <c r="I115"/>
    </row>
    <row r="116" spans="1:9" ht="16.5" x14ac:dyDescent="0.3">
      <c r="A116" s="93" t="s">
        <v>162</v>
      </c>
      <c r="B116" s="98" t="s">
        <v>123</v>
      </c>
      <c r="C116" s="97" t="s">
        <v>153</v>
      </c>
      <c r="E116"/>
      <c r="F116" s="91"/>
      <c r="G116" s="91"/>
      <c r="H116"/>
      <c r="I116"/>
    </row>
    <row r="117" spans="1:9" ht="16.5" x14ac:dyDescent="0.3">
      <c r="A117" s="93" t="s">
        <v>162</v>
      </c>
      <c r="B117" s="98" t="s">
        <v>123</v>
      </c>
      <c r="C117" s="97" t="s">
        <v>154</v>
      </c>
      <c r="E117"/>
      <c r="F117" s="91"/>
      <c r="G117" s="91"/>
      <c r="H117"/>
      <c r="I117"/>
    </row>
    <row r="118" spans="1:9" x14ac:dyDescent="0.25">
      <c r="E118"/>
      <c r="F118"/>
      <c r="G118"/>
      <c r="H118"/>
      <c r="I118"/>
    </row>
    <row r="119" spans="1:9" x14ac:dyDescent="0.25">
      <c r="E119"/>
      <c r="F119"/>
      <c r="G119"/>
      <c r="H119"/>
      <c r="I119"/>
    </row>
    <row r="120" spans="1:9" x14ac:dyDescent="0.25">
      <c r="E120"/>
      <c r="F120"/>
      <c r="G120"/>
      <c r="H120"/>
      <c r="I120"/>
    </row>
    <row r="121" spans="1:9" x14ac:dyDescent="0.25">
      <c r="E121"/>
      <c r="F121"/>
      <c r="G121"/>
      <c r="H121"/>
      <c r="I121"/>
    </row>
    <row r="122" spans="1:9" x14ac:dyDescent="0.25">
      <c r="E122"/>
      <c r="F122"/>
      <c r="G122"/>
      <c r="H122"/>
      <c r="I122"/>
    </row>
    <row r="123" spans="1:9" x14ac:dyDescent="0.25">
      <c r="E123"/>
      <c r="F123"/>
      <c r="G123"/>
      <c r="H123"/>
      <c r="I123"/>
    </row>
    <row r="124" spans="1:9" x14ac:dyDescent="0.25">
      <c r="E124"/>
      <c r="F124"/>
      <c r="G124"/>
      <c r="H124"/>
      <c r="I124"/>
    </row>
    <row r="125" spans="1:9" x14ac:dyDescent="0.25">
      <c r="E125"/>
      <c r="F125"/>
      <c r="G125"/>
      <c r="H125"/>
      <c r="I125"/>
    </row>
    <row r="126" spans="1:9" x14ac:dyDescent="0.25">
      <c r="E126"/>
      <c r="F126"/>
      <c r="G126"/>
      <c r="H126"/>
      <c r="I126"/>
    </row>
    <row r="127" spans="1:9" x14ac:dyDescent="0.25">
      <c r="E127"/>
      <c r="F127"/>
      <c r="G127"/>
      <c r="H127"/>
      <c r="I127"/>
    </row>
    <row r="128" spans="1:9" x14ac:dyDescent="0.25">
      <c r="E128"/>
      <c r="F128"/>
      <c r="G128"/>
      <c r="H128"/>
      <c r="I128"/>
    </row>
    <row r="129" spans="5:9" x14ac:dyDescent="0.25">
      <c r="E129"/>
      <c r="F129"/>
      <c r="G129"/>
      <c r="H129"/>
      <c r="I129"/>
    </row>
    <row r="130" spans="5:9" x14ac:dyDescent="0.25">
      <c r="E130"/>
      <c r="F130"/>
      <c r="G130"/>
      <c r="H130"/>
      <c r="I130"/>
    </row>
    <row r="131" spans="5:9" x14ac:dyDescent="0.25">
      <c r="E131"/>
      <c r="F131"/>
      <c r="G131"/>
      <c r="H131"/>
      <c r="I131"/>
    </row>
    <row r="132" spans="5:9" x14ac:dyDescent="0.25">
      <c r="E132"/>
      <c r="F132"/>
      <c r="G132"/>
      <c r="H132"/>
      <c r="I132"/>
    </row>
    <row r="133" spans="5:9" x14ac:dyDescent="0.25">
      <c r="E133"/>
      <c r="F133"/>
      <c r="G133"/>
      <c r="H133"/>
      <c r="I133"/>
    </row>
    <row r="134" spans="5:9" x14ac:dyDescent="0.25">
      <c r="E134"/>
      <c r="F134"/>
      <c r="G134"/>
      <c r="H134"/>
      <c r="I134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4</vt:i4>
      </vt:variant>
    </vt:vector>
  </HeadingPairs>
  <TitlesOfParts>
    <vt:vector size="9" baseType="lpstr">
      <vt:lpstr>1.1 Case data_general</vt:lpstr>
      <vt:lpstr>1.2 Drugs&amp;Med</vt:lpstr>
      <vt:lpstr>1.3 Supplies_Medical</vt:lpstr>
      <vt:lpstr>1.4 Staff time_Clinical service</vt:lpstr>
      <vt:lpstr>Depts</vt:lpstr>
      <vt:lpstr>'1.3 Supplies_Medical'!Drugs</vt:lpstr>
      <vt:lpstr>Drugs</vt:lpstr>
      <vt:lpstr>'1.1 Case data_general'!Print_Area</vt:lpstr>
      <vt:lpstr>'1.2 Drugs&amp;Med'!Print_Area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PHIC-5</cp:lastModifiedBy>
  <dcterms:created xsi:type="dcterms:W3CDTF">2018-05-11T08:46:15Z</dcterms:created>
  <dcterms:modified xsi:type="dcterms:W3CDTF">2018-05-30T09:18:31Z</dcterms:modified>
</cp:coreProperties>
</file>