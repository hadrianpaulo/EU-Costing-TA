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Drugs&amp;Med'!$C$11:$C$15</definedName>
    <definedName name="_xlnm.Print_Area" localSheetId="0">'1.1 Case data_general'!$B$1:$F$71</definedName>
    <definedName name="_xlnm.Print_Area" localSheetId="1">'1.2 Drugs&amp;Med'!$B$2:$J$19</definedName>
  </definedNames>
  <calcPr calcId="144525"/>
</workbook>
</file>

<file path=xl/calcChain.xml><?xml version="1.0" encoding="utf-8"?>
<calcChain xmlns="http://schemas.openxmlformats.org/spreadsheetml/2006/main">
  <c r="G37" i="9" l="1"/>
  <c r="G36" i="9"/>
  <c r="J18" i="2" l="1"/>
  <c r="J17" i="2"/>
  <c r="J16" i="2"/>
  <c r="G35" i="9" l="1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<sst xmlns="http://schemas.openxmlformats.org/spreadsheetml/2006/main" count="506" uniqueCount="205">
  <si>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</si>
  <si>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</si>
  <si>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</si>
  <si>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</si>
  <si>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</si>
  <si>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</si>
  <si>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</si>
  <si>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</si>
  <si>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</si>
  <si>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</si>
  <si>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</si>
  <si>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</si>
  <si>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</si>
  <si>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</si>
  <si>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</si>
  <si>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</si>
  <si>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</si>
  <si>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</si>
  <si>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</si>
  <si>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</si>
  <si>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</si>
  <si>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</si>
  <si>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</si>
  <si>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</si>
  <si>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</si>
  <si>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</si>
  <si>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</si>
  <si>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</si>
  <si>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</si>
  <si>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</si>
  <si>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</si>
  <si>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</si>
  <si>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</si>
  <si>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</si>
  <si>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</si>
  <si>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</si>
  <si>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</si>
  <si>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</si>
  <si>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</si>
  <si>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</si>
  <si>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</si>
  <si>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</si>
  <si>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</si>
  <si>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</si>
  <si>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</si>
  <si>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</si>
  <si>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</si>
  <si>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</si>
  <si>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</si>
  <si>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</si>
  <si>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</si>
  <si>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</si>
  <si>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</si>
  <si>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</si>
  <si>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</si>
  <si>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</si>
  <si>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</si>
  <si>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</si>
  <si>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</si>
  <si>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</si>
  <si>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</si>
  <si>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</si>
  <si>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</si>
  <si>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</si>
  <si>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</si>
  <si>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</si>
  <si>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</si>
  <si>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</si>
  <si>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</si>
  <si>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</si>
  <si>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</si>
  <si>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</si>
  <si>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</si>
  <si>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</si>
  <si>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</si>
  <si>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</si>
  <si>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</si>
  <si>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</si>
  <si>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</si>
  <si>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</si>
  <si>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</si>
  <si>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</si>
  <si>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</si>
  <si>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</si>
  <si>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</si>
  <si>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</si>
  <si>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</si>
  <si>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</si>
  <si>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</si>
  <si>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</si>
  <si>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</si>
  <si>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</si>
  <si>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</si>
  <si>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</si>
  <si>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</si>
  <si>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</si>
  <si>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</si>
  <si>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</si>
  <si>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</si>
  <si>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</si>
  <si>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</si>
  <si>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</si>
  <si>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</si>
  <si>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</si>
  <si>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</si>
  <si>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</si>
  <si>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</si>
  <si>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</si>
  <si>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</si>
  <si>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</si>
  <si>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</si>
  <si>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</si>
  <si>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</si>
  <si>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</si>
  <si>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</si>
  <si>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</si>
  <si>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</si>
  <si>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</si>
  <si>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</si>
  <si>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</si>
  <si>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</si>
  <si>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</si>
  <si>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</si>
  <si>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</si>
  <si>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</si>
  <si>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</si>
  <si>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</si>
  <si>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</si>
  <si>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</si>
  <si>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</si>
  <si>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</si>
  <si>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</si>
  <si>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</si>
  <si>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</si>
  <si>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</si>
  <si>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</si>
  <si>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</si>
  <si>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</si>
  <si>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</si>
  <si>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</si>
  <si>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</si>
  <si>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</si>
  <si>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</si>
  <si>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</si>
  <si>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</si>
  <si>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</si>
  <si>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</si>
  <si>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</si>
  <si>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</si>
  <si>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</si>
  <si>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</si>
  <si>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</si>
  <si>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</si>
  <si>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</si>
  <si>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</si>
  <si>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</si>
  <si>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</si>
  <si>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</si>
  <si>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</si>
  <si>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</si>
  <si>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</si>
  <si>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</si>
  <si>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</si>
  <si>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</si>
  <si>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</si>
  <si>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</si>
  <si>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</si>
  <si>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</si>
  <si>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</si>
  <si>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</si>
  <si>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</si>
  <si>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</si>
  <si>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</si>
  <si>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</si>
  <si>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</si>
  <si>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</si>
  <si>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</si>
  <si>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</si>
  <si>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</si>
  <si>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CATGUT 2-0 ABSORBABLE SURGICAL SUTURE AT LEAST 75CM,  WITH AT LEAST 35-37MM X ½ CIRCLE ROUND TAPER NEEDLE</t>
  </si>
  <si>
    <t>SET</t>
  </si>
  <si>
    <t>(D5LRS 1L) 5% DEXTROSE IN LACTATED RINGERS SOLUTION 1000ML (D5 LRS) X 12S</t>
  </si>
  <si>
    <t>MEFENAMIC ACID 500MG IN BLISTER FOIL PACK</t>
  </si>
  <si>
    <t>FERROUS SULFATE + FOLIC ACID 200MG./400MCG (DONATION)</t>
  </si>
  <si>
    <t>VIAL</t>
  </si>
  <si>
    <t>CAPSULE</t>
  </si>
  <si>
    <t>1L</t>
  </si>
  <si>
    <t>500MG</t>
  </si>
  <si>
    <t>200MG</t>
  </si>
  <si>
    <t>CALCIUM CARBONATE 500MG BLISTER/FOIL PACK</t>
  </si>
  <si>
    <t>CASE RATE</t>
  </si>
  <si>
    <t>PF CASE</t>
  </si>
  <si>
    <t>CEFALEXIN MONOHYDRATE 500MG IN BLISTER FOIL PACK</t>
  </si>
  <si>
    <t>BOTTLE</t>
  </si>
  <si>
    <t>AMPULE</t>
  </si>
  <si>
    <t>NGT 8 STRAIGHT, 40CM (CPR NEEDED)</t>
  </si>
  <si>
    <t>MATERNITY PAD  X 8</t>
  </si>
  <si>
    <t>OXYTOCIN MALEATE 10MCG INJECTION 10 UNITS/ML-1ML</t>
  </si>
  <si>
    <t>10MCG</t>
  </si>
  <si>
    <t>HYOSCINE N-BUTYLBROMIDE 20MG/ML-1ML</t>
  </si>
  <si>
    <t>URINALYSIS (UA)</t>
  </si>
  <si>
    <t>20MG</t>
  </si>
  <si>
    <t>PAID BY PATIENT</t>
  </si>
  <si>
    <t>168083/73948</t>
  </si>
  <si>
    <t>AMPICILLIN SODIUM 500MG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</si>
</sst>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6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C63" sqref="C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57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55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55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55" t="s">
        <v>200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23" t="s">
        <v>19</v>
      </c>
      <c r="C38" s="124"/>
      <c r="D38" s="121"/>
      <c r="E38" s="124"/>
      <c r="F38" s="12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155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3" t="s">
        <v>43</v>
      </c>
      <c r="C43" s="124"/>
      <c r="D43" s="121"/>
      <c r="E43" s="124"/>
      <c r="F43" s="12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>
        <v>0</v>
      </c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52</v>
      </c>
      <c r="C45" s="121"/>
      <c r="D45" s="121"/>
      <c r="E45" s="121"/>
      <c r="F45" s="12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20" t="s">
        <v>20</v>
      </c>
      <c r="C50" s="121"/>
      <c r="D50" s="121"/>
      <c r="E50" s="121"/>
      <c r="F50" s="122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190</v>
      </c>
      <c r="D60" s="55">
        <v>3000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191</v>
      </c>
      <c r="D61" s="55">
        <v>2000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202</v>
      </c>
      <c r="D62" s="55"/>
      <c r="E62" s="55"/>
      <c r="F62" s="55">
        <v>957.11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5000</v>
      </c>
      <c r="E71" s="59">
        <f>SUM(E60:E70)</f>
        <v>0</v>
      </c>
      <c r="F71" s="59">
        <f>SUM(F60:F70)</f>
        <v>957.11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E34:E37 D60:F69 C34:C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topLeftCell="B1"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197</v>
      </c>
      <c r="D11" s="27" t="s">
        <v>194</v>
      </c>
      <c r="E11" s="27" t="s">
        <v>198</v>
      </c>
      <c r="F11" s="118">
        <v>1</v>
      </c>
      <c r="G11" s="55">
        <v>2</v>
      </c>
      <c r="H11" s="118">
        <v>2</v>
      </c>
      <c r="I11" s="119">
        <v>8.52</v>
      </c>
      <c r="J11" s="55">
        <f>H11*I11</f>
        <v>17.04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181</v>
      </c>
      <c r="D12" s="27" t="s">
        <v>193</v>
      </c>
      <c r="E12" s="27" t="s">
        <v>186</v>
      </c>
      <c r="F12" s="118">
        <v>1</v>
      </c>
      <c r="G12" s="55">
        <v>1</v>
      </c>
      <c r="H12" s="118">
        <v>1</v>
      </c>
      <c r="I12" s="119">
        <v>49.33</v>
      </c>
      <c r="J12" s="55">
        <f t="shared" ref="J12:J18" si="0">H12*I12</f>
        <v>49.33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199</v>
      </c>
      <c r="D13" s="27" t="s">
        <v>184</v>
      </c>
      <c r="E13" s="27" t="s">
        <v>201</v>
      </c>
      <c r="F13" s="118">
        <v>3</v>
      </c>
      <c r="G13" s="55">
        <v>3</v>
      </c>
      <c r="H13" s="118">
        <v>9</v>
      </c>
      <c r="I13" s="119">
        <v>25.79</v>
      </c>
      <c r="J13" s="55">
        <f t="shared" si="0"/>
        <v>232.10999999999999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204</v>
      </c>
      <c r="D14" s="27" t="s">
        <v>185</v>
      </c>
      <c r="E14" s="27" t="s">
        <v>187</v>
      </c>
      <c r="F14" s="118">
        <v>2</v>
      </c>
      <c r="G14" s="55">
        <v>5</v>
      </c>
      <c r="H14" s="118">
        <v>10</v>
      </c>
      <c r="I14" s="119">
        <v>10.92</v>
      </c>
      <c r="J14" s="55">
        <f t="shared" si="0"/>
        <v>109.2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182</v>
      </c>
      <c r="D15" s="27" t="s">
        <v>185</v>
      </c>
      <c r="E15" s="27" t="s">
        <v>187</v>
      </c>
      <c r="F15" s="118">
        <v>3</v>
      </c>
      <c r="G15" s="55">
        <v>3</v>
      </c>
      <c r="H15" s="118">
        <v>9</v>
      </c>
      <c r="I15" s="119">
        <v>0.97</v>
      </c>
      <c r="J15" s="55">
        <f t="shared" si="0"/>
        <v>8.73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183</v>
      </c>
      <c r="D16" s="27" t="s">
        <v>185</v>
      </c>
      <c r="E16" s="27" t="s">
        <v>188</v>
      </c>
      <c r="F16" s="118">
        <v>1</v>
      </c>
      <c r="G16" s="55">
        <v>100</v>
      </c>
      <c r="H16" s="118">
        <v>100</v>
      </c>
      <c r="I16" s="119">
        <v>1.27</v>
      </c>
      <c r="J16" s="55">
        <f t="shared" si="0"/>
        <v>127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189</v>
      </c>
      <c r="D17" s="27" t="s">
        <v>185</v>
      </c>
      <c r="E17" s="27" t="s">
        <v>187</v>
      </c>
      <c r="F17" s="118">
        <v>2</v>
      </c>
      <c r="G17" s="55">
        <v>10</v>
      </c>
      <c r="H17" s="118">
        <v>20</v>
      </c>
      <c r="I17" s="119">
        <v>1.83</v>
      </c>
      <c r="J17" s="55">
        <f t="shared" si="0"/>
        <v>36.6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192</v>
      </c>
      <c r="D18" s="27" t="s">
        <v>185</v>
      </c>
      <c r="E18" s="27" t="s">
        <v>187</v>
      </c>
      <c r="F18" s="118">
        <v>3</v>
      </c>
      <c r="G18" s="55">
        <v>7</v>
      </c>
      <c r="H18" s="118">
        <v>21</v>
      </c>
      <c r="I18" s="119">
        <v>2.87</v>
      </c>
      <c r="J18" s="55">
        <f t="shared" si="0"/>
        <v>60.27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8">
    <cfRule type="duplicateValues" dxfId="1" priority="1"/>
  </conditionalFormatting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D30" sqref="D3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195</v>
      </c>
      <c r="D28" s="117" t="s">
        <v>164</v>
      </c>
      <c r="E28" s="118">
        <v>3</v>
      </c>
      <c r="F28" s="119">
        <v>7.8</v>
      </c>
      <c r="G28" s="116">
        <f>+E28*F28</f>
        <v>23.4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174</v>
      </c>
      <c r="D29" s="117" t="s">
        <v>164</v>
      </c>
      <c r="E29" s="118">
        <v>3</v>
      </c>
      <c r="F29" s="119">
        <v>5</v>
      </c>
      <c r="G29" s="116">
        <f t="shared" ref="G29:G37" si="0">+E29*F29</f>
        <v>15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173</v>
      </c>
      <c r="D30" s="117" t="s">
        <v>164</v>
      </c>
      <c r="E30" s="118">
        <v>4</v>
      </c>
      <c r="F30" s="119">
        <v>1.6</v>
      </c>
      <c r="G30" s="116">
        <f t="shared" si="0"/>
        <v>6.4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172</v>
      </c>
      <c r="D31" s="117" t="s">
        <v>164</v>
      </c>
      <c r="E31" s="118">
        <v>4</v>
      </c>
      <c r="F31" s="119">
        <v>1.6</v>
      </c>
      <c r="G31" s="116">
        <f t="shared" si="0"/>
        <v>6.4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175</v>
      </c>
      <c r="D32" s="117" t="s">
        <v>164</v>
      </c>
      <c r="E32" s="118">
        <v>3</v>
      </c>
      <c r="F32" s="119">
        <v>2.77</v>
      </c>
      <c r="G32" s="116">
        <f t="shared" si="0"/>
        <v>8.31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176</v>
      </c>
      <c r="D33" s="117" t="s">
        <v>164</v>
      </c>
      <c r="E33" s="118">
        <v>1</v>
      </c>
      <c r="F33" s="119">
        <v>3.25</v>
      </c>
      <c r="G33" s="116">
        <f t="shared" si="0"/>
        <v>3.25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177</v>
      </c>
      <c r="D34" s="117" t="s">
        <v>164</v>
      </c>
      <c r="E34" s="118">
        <v>1</v>
      </c>
      <c r="F34" s="119">
        <v>5</v>
      </c>
      <c r="G34" s="116">
        <f t="shared" si="0"/>
        <v>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196</v>
      </c>
      <c r="D35" s="117" t="s">
        <v>164</v>
      </c>
      <c r="E35" s="118">
        <v>2</v>
      </c>
      <c r="F35" s="119">
        <v>250</v>
      </c>
      <c r="G35" s="116">
        <f t="shared" si="0"/>
        <v>500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179</v>
      </c>
      <c r="D36" s="117" t="s">
        <v>164</v>
      </c>
      <c r="E36" s="118">
        <v>2</v>
      </c>
      <c r="F36" s="119">
        <v>118.67</v>
      </c>
      <c r="G36" s="116">
        <f t="shared" si="0"/>
        <v>237.34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171</v>
      </c>
      <c r="D37" s="117" t="s">
        <v>164</v>
      </c>
      <c r="E37" s="118">
        <v>1</v>
      </c>
      <c r="F37" s="119">
        <v>11.73</v>
      </c>
      <c r="G37" s="116">
        <f t="shared" si="0"/>
        <v>11.73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1" t="s">
        <v>29</v>
      </c>
      <c r="C38" s="142"/>
      <c r="D38" s="142"/>
      <c r="E38" s="142"/>
      <c r="F38" s="142"/>
      <c r="G38" s="143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conditionalFormatting sqref="C28:C37">
    <cfRule type="duplicateValues" dxfId="0" priority="1"/>
  </conditionalFormatting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180</v>
      </c>
      <c r="E28" s="55"/>
      <c r="F28" s="55"/>
      <c r="G28" s="55" t="s">
        <v>178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2018-05-30T09:37:37Z</dcterms:modified>
</cp:coreProperties>
</file>