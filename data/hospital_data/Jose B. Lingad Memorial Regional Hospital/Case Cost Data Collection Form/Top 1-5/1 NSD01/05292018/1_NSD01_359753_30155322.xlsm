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Supplies_Medical'!$C$15:$C$51</definedName>
    <definedName name="Drugs">'1.2 Drugs&amp;Med'!$C$11:$C$15</definedName>
    <definedName name="_xlnm.Print_Area" localSheetId="0">'1.1 Case data_general'!$B$1:$F$70</definedName>
    <definedName name="_xlnm.Print_Area" localSheetId="1">'1.2 Drugs&amp;Med'!$B$2:$J$16</definedName>
  </definedNames>
  <calcPr calcId="144525"/>
</workbook>
</file>

<file path=xl/calcChain.xml><?xml version="1.0" encoding="utf-8"?>
<calcChain xmlns="http://schemas.openxmlformats.org/spreadsheetml/2006/main">
  <c r="G40" i="9" l="1"/>
  <c r="G39" i="9"/>
  <c r="G38" i="9"/>
  <c r="G37" i="9" l="1"/>
  <c r="G36" i="9"/>
  <c r="G35" i="9" l="1"/>
  <c r="G34" i="9"/>
  <c r="G33" i="9"/>
  <c r="G32" i="9"/>
  <c r="G31" i="9"/>
  <c r="G30" i="9"/>
  <c r="G29" i="9"/>
  <c r="G28" i="9"/>
  <c r="J12" i="2" l="1"/>
  <c r="J13" i="2"/>
  <c r="J14" i="2"/>
  <c r="J15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0" i="1"/>
  <c r="E70" i="1"/>
  <c r="D70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<sst xmlns="http://schemas.openxmlformats.org/spreadsheetml/2006/main" count="502" uniqueCount="205">
  <si>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</si>
  <si>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</si>
  <si>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</si>
  <si>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</si>
  <si>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</si>
  <si>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</si>
  <si>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</si>
  <si>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</si>
  <si>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</si>
  <si>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</si>
  <si>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</si>
  <si>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</si>
  <si>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</si>
  <si>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</si>
  <si>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</si>
  <si>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</si>
  <si>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</si>
  <si>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</si>
  <si>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</si>
  <si>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</si>
  <si>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</si>
  <si>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</si>
  <si>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</si>
  <si>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</si>
  <si>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</si>
  <si>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</si>
  <si>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</si>
  <si>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</si>
  <si>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</si>
  <si>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</si>
  <si>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</si>
  <si>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</si>
  <si>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</si>
  <si>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</si>
  <si>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</si>
  <si>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</si>
  <si>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</si>
  <si>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</si>
  <si>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</si>
  <si>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</si>
  <si>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</si>
  <si>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</si>
  <si>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</si>
  <si>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</si>
  <si>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</si>
  <si>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</si>
  <si>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</si>
  <si>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</si>
  <si>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</si>
  <si>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</si>
  <si>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</si>
  <si>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</si>
  <si>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</si>
  <si>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</si>
  <si>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</si>
  <si>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</si>
  <si>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</si>
  <si>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</si>
  <si>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</si>
  <si>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</si>
  <si>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</si>
  <si>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</si>
  <si>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</si>
  <si>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</si>
  <si>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</si>
  <si>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</si>
  <si>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</si>
  <si>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</si>
  <si>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</si>
  <si>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</si>
  <si>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</si>
  <si>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</si>
  <si>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</si>
  <si>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</si>
  <si>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</si>
  <si>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</si>
  <si>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</si>
  <si>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</si>
  <si>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</si>
  <si>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</si>
  <si>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</si>
  <si>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</si>
  <si>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</si>
  <si>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</si>
  <si>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</si>
  <si>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</si>
  <si>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</si>
  <si>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</si>
  <si>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</si>
  <si>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</si>
  <si>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</si>
  <si>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</si>
  <si>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</si>
  <si>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</si>
  <si>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</si>
  <si>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</si>
  <si>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</si>
  <si>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</si>
  <si>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</si>
  <si>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</si>
  <si>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</si>
  <si>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</si>
  <si>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</si>
  <si>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</si>
  <si>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</si>
  <si>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</si>
  <si>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</si>
  <si>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</si>
  <si>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</si>
  <si>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</si>
  <si>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</si>
  <si>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</si>
  <si>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</si>
  <si>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</si>
  <si>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</si>
  <si>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</si>
  <si>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</si>
  <si>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</si>
  <si>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</si>
  <si>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</si>
  <si>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</si>
  <si>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</si>
  <si>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</si>
  <si>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</si>
  <si>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</si>
  <si>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</si>
  <si>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</si>
  <si>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</si>
  <si>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</si>
  <si>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</si>
  <si>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</si>
  <si>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</si>
  <si>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</si>
  <si>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</si>
  <si>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</si>
  <si>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</si>
  <si>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</si>
  <si>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</si>
  <si>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</si>
  <si>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</si>
  <si>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</si>
  <si>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</si>
  <si>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</si>
  <si>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</si>
  <si>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</si>
  <si>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</si>
  <si>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</si>
  <si>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</si>
  <si>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</si>
  <si>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</si>
  <si>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</si>
  <si>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</si>
  <si>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</si>
  <si>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</si>
  <si>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</si>
  <si>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</si>
  <si>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</si>
  <si>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</si>
  <si>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</si>
  <si>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</si>
  <si>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</si>
  <si>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</si>
  <si>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</si>
  <si>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</si>
  <si>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PC</t>
  </si>
  <si>
    <t>NSD01</t>
  </si>
  <si>
    <t>O80.0</t>
  </si>
  <si>
    <t>Z37.0</t>
  </si>
  <si>
    <t>CBC, TYPING, HBSAG</t>
  </si>
  <si>
    <t>RAPID PLASMA REAGIN (RPR)</t>
  </si>
  <si>
    <t>BLOOD EXTRACTION FEE</t>
  </si>
  <si>
    <t>ADULT DIAPER WITH HIGH LIQUID ABSORBENCY</t>
  </si>
  <si>
    <t>DISPOSABLE INSULIN SYRINGE 1CC G 30 0.3 X 8MM BOX OF 100'S ( SHORT NEEDLE ULTRAFINE ) (CPR NEEDED)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</si>
  <si>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</si>
  <si>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</si>
  <si>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</si>
  <si>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</si>
  <si>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CORD CLAMP (UMBILICAL) X 100S, STERILE</t>
  </si>
  <si>
    <t>NEONATE WRIST TAG (ID BRACELET)X 100 (PINK/BLUE)</t>
  </si>
  <si>
    <t>+RC[-2]*RC[-1]</t>
  </si>
  <si>
    <t>SET</t>
  </si>
  <si>
    <t>PHYTOMENADIONE ( VITAMIN K ) 10MG/1ML</t>
  </si>
  <si>
    <t>ERYTHROMYCIN  EYE OINTMENT 0.5%, 3.5G</t>
  </si>
  <si>
    <t>FERROUS SULFATE + FOLIC ACID 200MG./400MCG (DONATION)</t>
  </si>
  <si>
    <t>VIAL</t>
  </si>
  <si>
    <t>TUBE</t>
  </si>
  <si>
    <t>CAPSULE</t>
  </si>
  <si>
    <t>10MG</t>
  </si>
  <si>
    <t>3.5G</t>
  </si>
  <si>
    <t>500MG</t>
  </si>
  <si>
    <t>200MG</t>
  </si>
  <si>
    <t>ROLL</t>
  </si>
  <si>
    <t>ULTRASOUND PRINTING PAPER 110MM X 20MM (HIGH DENSITY) (DURICO TYPE 1)</t>
  </si>
  <si>
    <t>CASE RATE</t>
  </si>
  <si>
    <t>PF CASE</t>
  </si>
  <si>
    <t>NBB</t>
  </si>
  <si>
    <t>CEFALEXIN MONOHYDRATE 500MG IN BLISTER FOIL PACK</t>
  </si>
  <si>
    <t>AMPULE</t>
  </si>
  <si>
    <t>NGT 8 STRAIGHT, 40CM (CPR NEEDED)</t>
  </si>
  <si>
    <t>MATERNITY PAD  X 8</t>
  </si>
  <si>
    <t>METHYLERGOMETRINE MALEATE 200MCG AMP</t>
  </si>
  <si>
    <t>200MCG</t>
  </si>
  <si>
    <t>FOLEY CATHETER FR 14, 2 WAY, BOX OF 20</t>
  </si>
  <si>
    <t>359753/73905</t>
  </si>
  <si>
    <t>NGT 5, STRAIGHT 40 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</si>
</sst>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6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0" fillId="0" borderId="21" xfId="0" applyBorder="1" applyProtection="1">
      <protection locked="0"/>
    </xf>
    <xf numFmtId="164" fontId="0" fillId="0" borderId="21" xfId="1" applyFont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0" fillId="0" borderId="0" xfId="0" applyProtection="1">
      <protection locked="0"/>
    </xf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41</xdr:row>
          <xdr:rowOff>28575</xdr:rowOff>
        </xdr:from>
        <xdr:to>
          <xdr:col>1</xdr:col>
          <xdr:colOff>771525</xdr:colOff>
          <xdr:row>41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41</xdr:row>
          <xdr:rowOff>28575</xdr:rowOff>
        </xdr:from>
        <xdr:to>
          <xdr:col>1</xdr:col>
          <xdr:colOff>1543050</xdr:colOff>
          <xdr:row>41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7"/>
  <sheetViews>
    <sheetView tabSelected="1" zoomScaleNormal="100" workbookViewId="0">
      <selection activeCell="D35" sqref="D3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5" t="s">
        <v>59</v>
      </c>
      <c r="C12" s="126"/>
      <c r="D12" s="126"/>
      <c r="E12" s="126"/>
      <c r="F12" s="127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8" t="s">
        <v>2</v>
      </c>
      <c r="C13" s="129"/>
      <c r="D13" s="129"/>
      <c r="E13" s="129"/>
      <c r="F13" s="130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8" t="s">
        <v>4</v>
      </c>
      <c r="C14" s="129"/>
      <c r="D14" s="129"/>
      <c r="E14" s="129"/>
      <c r="F14" s="130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1" t="s">
        <v>60</v>
      </c>
      <c r="C15" s="132"/>
      <c r="D15" s="132"/>
      <c r="E15" s="132"/>
      <c r="F15" s="13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203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20" t="s">
        <v>15</v>
      </c>
      <c r="C18" s="121"/>
      <c r="D18" s="121"/>
      <c r="E18" s="121"/>
      <c r="F18" s="122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20" t="s">
        <v>51</v>
      </c>
      <c r="C22" s="121"/>
      <c r="D22" s="121"/>
      <c r="E22" s="121"/>
      <c r="F22" s="12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 t="s">
        <v>163</v>
      </c>
      <c r="E23" s="55">
        <v>1</v>
      </c>
      <c r="F23" s="55">
        <v>1.5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3" t="s">
        <v>42</v>
      </c>
      <c r="C28" s="124"/>
      <c r="D28" s="124"/>
      <c r="E28" s="124"/>
      <c r="F28" s="134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20" t="s">
        <v>18</v>
      </c>
      <c r="C33" s="121"/>
      <c r="D33" s="121"/>
      <c r="E33" s="121"/>
      <c r="F33" s="122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57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55" t="s">
        <v>169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55" t="s">
        <v>170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23" t="s">
        <v>19</v>
      </c>
      <c r="C37" s="124"/>
      <c r="D37" s="121"/>
      <c r="E37" s="124"/>
      <c r="F37" s="122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155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23" t="s">
        <v>43</v>
      </c>
      <c r="C42" s="124"/>
      <c r="D42" s="121"/>
      <c r="E42" s="124"/>
      <c r="F42" s="122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44</v>
      </c>
      <c r="C43" s="13"/>
      <c r="D43" s="13"/>
      <c r="E43" s="16">
        <v>0</v>
      </c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20" t="s">
        <v>52</v>
      </c>
      <c r="C44" s="121"/>
      <c r="D44" s="121"/>
      <c r="E44" s="121"/>
      <c r="F44" s="122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20" t="s">
        <v>20</v>
      </c>
      <c r="C49" s="121"/>
      <c r="D49" s="121"/>
      <c r="E49" s="121"/>
      <c r="F49" s="122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54</v>
      </c>
      <c r="C58" s="17" t="s">
        <v>50</v>
      </c>
      <c r="D58" s="17" t="s">
        <v>55</v>
      </c>
      <c r="E58" s="18" t="s">
        <v>56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193</v>
      </c>
      <c r="D59" s="55">
        <v>3000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194</v>
      </c>
      <c r="D60" s="55">
        <v>2000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 t="s">
        <v>195</v>
      </c>
      <c r="D61" s="55"/>
      <c r="E61" s="55">
        <v>481.39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7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8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9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10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4.9000000000000004" customHeight="1" thickBot="1" x14ac:dyDescent="0.35">
      <c r="A69" s="1"/>
      <c r="B69" s="1"/>
      <c r="C69" s="1"/>
      <c r="D69" s="58"/>
      <c r="E69" s="58"/>
      <c r="F69" s="5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Top="1" x14ac:dyDescent="0.3">
      <c r="A70" s="1"/>
      <c r="B70" s="11"/>
      <c r="C70" s="4" t="s">
        <v>22</v>
      </c>
      <c r="D70" s="59">
        <f>SUM(D59:D69)</f>
        <v>5000</v>
      </c>
      <c r="E70" s="59">
        <f>SUM(E59:E69)</f>
        <v>481.39</v>
      </c>
      <c r="F70" s="59">
        <f>SUM(F59:F69)</f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</sheetData>
  <sheetProtection password="C2E9" sheet="1" objects="1" scenarios="1"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4:F44"/>
  </mergeCells>
  <dataValidations count="1">
    <dataValidation type="decimal" operator="greaterThanOrEqual" allowBlank="1" showInputMessage="1" showErrorMessage="1" sqref="E32 E38:E41 E43 E23:F27 E45:F48 E50:F55 E34:E36 D59:F68 C34:C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6"/>
  <sheetViews>
    <sheetView topLeftCell="B1" workbookViewId="0">
      <selection activeCell="F16" sqref="F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5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5" t="s">
        <v>63</v>
      </c>
      <c r="C8" s="136"/>
      <c r="D8" s="136"/>
      <c r="E8" s="136"/>
      <c r="F8" s="136"/>
      <c r="G8" s="136"/>
      <c r="H8" s="136"/>
      <c r="I8" s="136"/>
      <c r="J8" s="137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118" t="s">
        <v>182</v>
      </c>
      <c r="D11" s="27" t="s">
        <v>185</v>
      </c>
      <c r="E11" s="27" t="s">
        <v>188</v>
      </c>
      <c r="F11" s="118">
        <v>1</v>
      </c>
      <c r="G11" s="55">
        <v>1</v>
      </c>
      <c r="H11" s="55">
        <v>1</v>
      </c>
      <c r="I11" s="55">
        <v>21</v>
      </c>
      <c r="J11" s="55">
        <f>H11*I11</f>
        <v>21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118" t="s">
        <v>181</v>
      </c>
      <c r="D12" s="27" t="s">
        <v>184</v>
      </c>
      <c r="E12" s="27" t="s">
        <v>187</v>
      </c>
      <c r="F12" s="118">
        <v>1</v>
      </c>
      <c r="G12" s="55">
        <v>1</v>
      </c>
      <c r="H12" s="55">
        <v>1</v>
      </c>
      <c r="I12" s="55">
        <v>21.31</v>
      </c>
      <c r="J12" s="55">
        <f t="shared" ref="J12:J15" si="0">H12*I12</f>
        <v>21.31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118" t="s">
        <v>200</v>
      </c>
      <c r="D13" s="27" t="s">
        <v>197</v>
      </c>
      <c r="E13" s="27" t="s">
        <v>201</v>
      </c>
      <c r="F13" s="118">
        <v>1</v>
      </c>
      <c r="G13" s="55">
        <v>1</v>
      </c>
      <c r="H13" s="55">
        <v>1</v>
      </c>
      <c r="I13" s="55">
        <v>20</v>
      </c>
      <c r="J13" s="55">
        <f t="shared" si="0"/>
        <v>20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118" t="s">
        <v>183</v>
      </c>
      <c r="D14" s="27" t="s">
        <v>186</v>
      </c>
      <c r="E14" s="27" t="s">
        <v>190</v>
      </c>
      <c r="F14" s="118">
        <v>1</v>
      </c>
      <c r="G14" s="55">
        <v>100</v>
      </c>
      <c r="H14" s="55">
        <v>100</v>
      </c>
      <c r="I14" s="55">
        <v>1.27</v>
      </c>
      <c r="J14" s="55">
        <f t="shared" si="0"/>
        <v>127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118" t="s">
        <v>196</v>
      </c>
      <c r="D15" s="27" t="s">
        <v>186</v>
      </c>
      <c r="E15" s="27" t="s">
        <v>189</v>
      </c>
      <c r="F15" s="118">
        <v>3</v>
      </c>
      <c r="G15" s="55">
        <v>7</v>
      </c>
      <c r="H15" s="55">
        <v>21</v>
      </c>
      <c r="I15" s="55">
        <v>2.87</v>
      </c>
      <c r="J15" s="55">
        <f t="shared" si="0"/>
        <v>60.27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25">
      <c r="A16" s="33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</row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</sheetData>
  <sheetProtection password="C2E9" sheet="1" objects="1" scenarios="1" formatColumns="0" formatRows="0" sort="0" autoFilter="0"/>
  <mergeCells count="1">
    <mergeCell ref="B8:J8"/>
  </mergeCells>
  <conditionalFormatting sqref="C11:C15">
    <cfRule type="duplicateValues" dxfId="6" priority="1"/>
  </conditionalFormatting>
  <dataValidations count="1">
    <dataValidation type="decimal" operator="greaterThanOrEqual" allowBlank="1" showInputMessage="1" showErrorMessage="1" sqref="F11:J15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5"/>
  <sheetViews>
    <sheetView topLeftCell="A10" workbookViewId="0">
      <selection activeCell="C30" sqref="C30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13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8" t="s">
        <v>23</v>
      </c>
      <c r="C7" s="139"/>
      <c r="D7" s="139"/>
      <c r="E7" s="139"/>
      <c r="F7" s="139"/>
      <c r="G7" s="140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4" t="s">
        <v>24</v>
      </c>
      <c r="C8" s="145"/>
      <c r="D8" s="145"/>
      <c r="E8" s="145"/>
      <c r="F8" s="145"/>
      <c r="G8" s="146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4" t="s">
        <v>68</v>
      </c>
      <c r="C9" s="145"/>
      <c r="D9" s="145"/>
      <c r="E9" s="145"/>
      <c r="F9" s="145"/>
      <c r="G9" s="146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4" t="s">
        <v>25</v>
      </c>
      <c r="C10" s="145"/>
      <c r="D10" s="145"/>
      <c r="E10" s="145"/>
      <c r="F10" s="145"/>
      <c r="G10" s="146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4" t="s">
        <v>26</v>
      </c>
      <c r="C11" s="145"/>
      <c r="D11" s="145"/>
      <c r="E11" s="145"/>
      <c r="F11" s="145"/>
      <c r="G11" s="146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7" t="s">
        <v>27</v>
      </c>
      <c r="C12" s="148"/>
      <c r="D12" s="148"/>
      <c r="E12" s="148"/>
      <c r="F12" s="148"/>
      <c r="G12" s="149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1" t="s">
        <v>71</v>
      </c>
      <c r="C15" s="142"/>
      <c r="D15" s="142"/>
      <c r="E15" s="142"/>
      <c r="F15" s="142"/>
      <c r="G15" s="143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1" t="s">
        <v>75</v>
      </c>
      <c r="C27" s="142"/>
      <c r="D27" s="142"/>
      <c r="E27" s="142"/>
      <c r="F27" s="142"/>
      <c r="G27" s="143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8" t="s">
        <v>192</v>
      </c>
      <c r="D28" s="117" t="s">
        <v>191</v>
      </c>
      <c r="E28" s="118">
        <v>1</v>
      </c>
      <c r="F28" s="119">
        <v>100</v>
      </c>
      <c r="G28" s="116">
        <f>+E28*F28</f>
        <v>100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8" t="s">
        <v>202</v>
      </c>
      <c r="D29" s="117" t="s">
        <v>164</v>
      </c>
      <c r="E29" s="118">
        <v>1</v>
      </c>
      <c r="F29" s="119">
        <v>22</v>
      </c>
      <c r="G29" s="116">
        <f t="shared" ref="G29:G40" si="0">+E29*F29</f>
        <v>22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118" t="s">
        <v>172</v>
      </c>
      <c r="D30" s="117" t="s">
        <v>164</v>
      </c>
      <c r="E30" s="118">
        <v>4</v>
      </c>
      <c r="F30" s="119">
        <v>11.73</v>
      </c>
      <c r="G30" s="116">
        <f t="shared" si="0"/>
        <v>46.92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118" t="s">
        <v>173</v>
      </c>
      <c r="D31" s="117" t="s">
        <v>164</v>
      </c>
      <c r="E31" s="118">
        <v>4</v>
      </c>
      <c r="F31" s="119">
        <v>1.6</v>
      </c>
      <c r="G31" s="116">
        <f t="shared" si="0"/>
        <v>6.4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118" t="s">
        <v>174</v>
      </c>
      <c r="D32" s="117" t="s">
        <v>164</v>
      </c>
      <c r="E32" s="118">
        <v>6</v>
      </c>
      <c r="F32" s="119">
        <v>1.6</v>
      </c>
      <c r="G32" s="116">
        <f t="shared" si="0"/>
        <v>9.6000000000000014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118" t="s">
        <v>175</v>
      </c>
      <c r="D33" s="117" t="s">
        <v>164</v>
      </c>
      <c r="E33" s="118">
        <v>6</v>
      </c>
      <c r="F33" s="119">
        <v>5</v>
      </c>
      <c r="G33" s="116">
        <f t="shared" si="0"/>
        <v>30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118" t="s">
        <v>176</v>
      </c>
      <c r="D34" s="117" t="s">
        <v>164</v>
      </c>
      <c r="E34" s="118">
        <v>2</v>
      </c>
      <c r="F34" s="119">
        <v>2.77</v>
      </c>
      <c r="G34" s="116">
        <f t="shared" si="0"/>
        <v>5.54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118" t="s">
        <v>171</v>
      </c>
      <c r="D35" s="117" t="s">
        <v>164</v>
      </c>
      <c r="E35" s="118">
        <v>1</v>
      </c>
      <c r="F35" s="119">
        <v>20.97</v>
      </c>
      <c r="G35" s="116">
        <f t="shared" si="0"/>
        <v>20.97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118" t="s">
        <v>198</v>
      </c>
      <c r="D36" s="117" t="s">
        <v>164</v>
      </c>
      <c r="E36" s="118">
        <v>1</v>
      </c>
      <c r="F36" s="119">
        <v>7.8</v>
      </c>
      <c r="G36" s="116">
        <f t="shared" si="0"/>
        <v>7.8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118" t="s">
        <v>199</v>
      </c>
      <c r="D37" s="117" t="s">
        <v>164</v>
      </c>
      <c r="E37" s="118">
        <v>2</v>
      </c>
      <c r="F37" s="119">
        <v>250</v>
      </c>
      <c r="G37" s="116">
        <f t="shared" si="0"/>
        <v>500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118" t="s">
        <v>204</v>
      </c>
      <c r="D38" s="117" t="s">
        <v>164</v>
      </c>
      <c r="E38" s="118">
        <v>1</v>
      </c>
      <c r="F38" s="119">
        <v>9.33</v>
      </c>
      <c r="G38" s="116">
        <f t="shared" si="0"/>
        <v>9.33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118" t="s">
        <v>178</v>
      </c>
      <c r="D39" s="117" t="s">
        <v>164</v>
      </c>
      <c r="E39" s="118">
        <v>1</v>
      </c>
      <c r="F39" s="119">
        <v>5</v>
      </c>
      <c r="G39" s="116">
        <f t="shared" si="0"/>
        <v>5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118" t="s">
        <v>177</v>
      </c>
      <c r="D40" s="117" t="s">
        <v>164</v>
      </c>
      <c r="E40" s="118">
        <v>1</v>
      </c>
      <c r="F40" s="119">
        <v>3.25</v>
      </c>
      <c r="G40" s="116">
        <f t="shared" si="0"/>
        <v>3.25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141" t="s">
        <v>29</v>
      </c>
      <c r="C41" s="142"/>
      <c r="D41" s="142"/>
      <c r="E41" s="142"/>
      <c r="F41" s="142"/>
      <c r="G41" s="143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2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3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4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5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6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7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8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9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10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A52" s="44"/>
      <c r="B52" s="39"/>
      <c r="C52" s="44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A53" s="44"/>
      <c r="B53" s="39"/>
      <c r="C53" s="44"/>
      <c r="D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41:G41"/>
    <mergeCell ref="B8:G8"/>
    <mergeCell ref="B9:G9"/>
    <mergeCell ref="B10:G10"/>
    <mergeCell ref="B11:G11"/>
    <mergeCell ref="B12:G12"/>
    <mergeCell ref="B15:G15"/>
  </mergeCells>
  <conditionalFormatting sqref="C28:C40">
    <cfRule type="duplicateValues" dxfId="1" priority="1"/>
  </conditionalFormatting>
  <dataValidations count="1">
    <dataValidation type="decimal" operator="greaterThanOrEqual" allowBlank="1" showInputMessage="1" showErrorMessage="1" sqref="E16:G51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41</xdr:row>
                    <xdr:rowOff>28575</xdr:rowOff>
                  </from>
                  <to>
                    <xdr:col>1</xdr:col>
                    <xdr:colOff>771525</xdr:colOff>
                    <xdr:row>41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41</xdr:row>
                    <xdr:rowOff>28575</xdr:rowOff>
                  </from>
                  <to>
                    <xdr:col>1</xdr:col>
                    <xdr:colOff>1543050</xdr:colOff>
                    <xdr:row>41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B49" sqref="B49:G4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50" t="s">
        <v>32</v>
      </c>
      <c r="E11" s="151"/>
      <c r="F11" s="151"/>
      <c r="G11" s="151"/>
      <c r="H11" s="151"/>
      <c r="I11" s="151"/>
      <c r="J11" s="151"/>
      <c r="K11" s="151"/>
      <c r="L11" s="151"/>
      <c r="M11" s="151"/>
      <c r="N11" s="152"/>
      <c r="P11" s="153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4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 t="s">
        <v>180</v>
      </c>
      <c r="E28" s="55"/>
      <c r="F28" s="55"/>
      <c r="G28" s="55" t="s">
        <v>179</v>
      </c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2018-05-30T09:56:11Z</dcterms:modified>
</cp:coreProperties>
</file>