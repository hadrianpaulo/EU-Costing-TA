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Drugs&amp;Med'!$C$11:$C$15</definedName>
    <definedName name="_xlnm.Print_Area" localSheetId="0">'1.1 Case data_general'!$B$1:$F$71</definedName>
    <definedName name="_xlnm.Print_Area" localSheetId="1">'1.2 Drugs&amp;Med'!$B$2:$J$24</definedName>
  </definedNames>
  <calcPr calcId="144525"/>
</workbook>
</file>

<file path=xl/calcChain.xml><?xml version="1.0" encoding="utf-8"?>
<calcChain xmlns="http://schemas.openxmlformats.org/spreadsheetml/2006/main">
  <c r="G44" i="9" l="1"/>
  <c r="J23" i="2"/>
  <c r="J22" i="2"/>
  <c r="J21" i="2"/>
  <c r="J20" i="2"/>
  <c r="J19" i="2"/>
  <c r="J18" i="2"/>
  <c r="G43" i="9"/>
  <c r="G42" i="9"/>
  <c r="J17" i="2"/>
  <c r="J16" i="2"/>
  <c r="G41" i="9" l="1"/>
  <c r="G40" i="9"/>
  <c r="G39" i="9"/>
  <c r="G38" i="9" l="1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<sst xmlns="http://schemas.openxmlformats.org/spreadsheetml/2006/main" count="535" uniqueCount="225">
  <si>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</si>
  <si>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</si>
  <si>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</si>
  <si>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</si>
  <si>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</si>
  <si>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</si>
  <si>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</si>
  <si>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</si>
  <si>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</si>
  <si>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</si>
  <si>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</si>
  <si>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</si>
  <si>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</si>
  <si>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</si>
  <si>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</si>
  <si>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</si>
  <si>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</si>
  <si>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</si>
  <si>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</si>
  <si>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</si>
  <si>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</si>
  <si>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</si>
  <si>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</si>
  <si>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</si>
  <si>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</si>
  <si>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</si>
  <si>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</si>
  <si>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</si>
  <si>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</si>
  <si>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</si>
  <si>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</si>
  <si>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</si>
  <si>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</si>
  <si>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</si>
  <si>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</si>
  <si>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</si>
  <si>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</si>
  <si>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</si>
  <si>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</si>
  <si>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</si>
  <si>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</si>
  <si>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</si>
  <si>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</si>
  <si>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</si>
  <si>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</si>
  <si>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</si>
  <si>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</si>
  <si>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</si>
  <si>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</si>
  <si>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</si>
  <si>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</si>
  <si>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</si>
  <si>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</si>
  <si>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</si>
  <si>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</si>
  <si>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</si>
  <si>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</si>
  <si>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</si>
  <si>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</si>
  <si>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</si>
  <si>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</si>
  <si>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</si>
  <si>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</si>
  <si>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</si>
  <si>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</si>
  <si>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</si>
  <si>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</si>
  <si>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</si>
  <si>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</si>
  <si>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</si>
  <si>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</si>
  <si>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</si>
  <si>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</si>
  <si>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</si>
  <si>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</si>
  <si>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</si>
  <si>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</si>
  <si>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</si>
  <si>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</si>
  <si>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</si>
  <si>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</si>
  <si>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</si>
  <si>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</si>
  <si>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</si>
  <si>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</si>
  <si>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</si>
  <si>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</si>
  <si>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</si>
  <si>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</si>
  <si>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</si>
  <si>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</si>
  <si>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</si>
  <si>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</si>
  <si>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</si>
  <si>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</si>
  <si>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</si>
  <si>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</si>
  <si>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</si>
  <si>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</si>
  <si>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</si>
  <si>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</si>
  <si>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</si>
  <si>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</si>
  <si>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</si>
  <si>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</si>
  <si>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</si>
  <si>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</si>
  <si>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</si>
  <si>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</si>
  <si>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</si>
  <si>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</si>
  <si>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</si>
  <si>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</si>
  <si>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</si>
  <si>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</si>
  <si>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</si>
  <si>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</si>
  <si>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</si>
  <si>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</si>
  <si>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</si>
  <si>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</si>
  <si>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</si>
  <si>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</si>
  <si>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</si>
  <si>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</si>
  <si>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</si>
  <si>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</si>
  <si>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</si>
  <si>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</si>
  <si>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</si>
  <si>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</si>
  <si>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</si>
  <si>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</si>
  <si>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</si>
  <si>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</si>
  <si>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</si>
  <si>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</si>
  <si>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</si>
  <si>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</si>
  <si>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</si>
  <si>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</si>
  <si>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</si>
  <si>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</si>
  <si>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</si>
  <si>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</si>
  <si>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</si>
  <si>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</si>
  <si>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</si>
  <si>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</si>
  <si>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</si>
  <si>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</si>
  <si>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</si>
  <si>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</si>
  <si>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</si>
  <si>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</si>
  <si>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</si>
  <si>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</si>
  <si>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</si>
  <si>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</si>
  <si>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</si>
  <si>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</si>
  <si>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</si>
  <si>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</si>
  <si>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</si>
  <si>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</si>
  <si>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</si>
  <si>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</si>
  <si>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</si>
  <si>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RAPID PLASMA REAGIN (RPR)</t>
  </si>
  <si>
    <t>BLOOD EXTRACTION FEE</t>
  </si>
  <si>
    <t>+RC[-2]*RC[-1]</t>
  </si>
  <si>
    <t>SET</t>
  </si>
  <si>
    <t>CASE RATE</t>
  </si>
  <si>
    <t>PF CASE</t>
  </si>
  <si>
    <t>FERROUS SULFATE + FOLIC ACID 200MG./400MCG (DONATION)</t>
  </si>
  <si>
    <t>CEFALEXIN MONOHYDRATE 500MG IN BLISTER FOIL PACK</t>
  </si>
  <si>
    <t>PHYTOMENADIONE ( VITAMIN K ) 10MG/1ML</t>
  </si>
  <si>
    <t>ERYTHROMYCIN  EYE OINTMENT 0.5%, 3.5G</t>
  </si>
  <si>
    <t>OXYTOCIN MALEATE 10MCG INJECTION 10 UNITS/ML-1ML</t>
  </si>
  <si>
    <t>(D5LRS 1L) 5% DEXTROSE IN LACTATED RINGERS SOLUTION 1000ML (D5 LRS) X 12S</t>
  </si>
  <si>
    <t>200MG</t>
  </si>
  <si>
    <t>500MG</t>
  </si>
  <si>
    <t>10MG</t>
  </si>
  <si>
    <t>3.5G</t>
  </si>
  <si>
    <t>10MCG</t>
  </si>
  <si>
    <t>1L</t>
  </si>
  <si>
    <t>AMPULE</t>
  </si>
  <si>
    <t>CAPSULE</t>
  </si>
  <si>
    <t>VIAL</t>
  </si>
  <si>
    <t>TUBE</t>
  </si>
  <si>
    <t>BOTTLE</t>
  </si>
  <si>
    <t>CATGUT 2-0 ABSORBABLE SURGICAL SUTURE AT LEAST 75CM,  WITH AT LEAST 35-37MM X ½ CIRCLE ROUND TAPER NEEDLE</t>
  </si>
  <si>
    <t>ULTRASOUND PRINTING PAPER 110MM X 20MM (HIGH DENSITY) (DURICO TYPE 1)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</si>
  <si>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</si>
  <si>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</si>
  <si>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</si>
  <si>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</si>
  <si>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</si>
  <si>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DISPOSABLE FACE MASK, EAR LOOP 3 FOLDS X 50S</t>
  </si>
  <si>
    <t>DISPOSABLE HEAD CAP X 100S GARTERIZED</t>
  </si>
  <si>
    <t>MEDICAL GLOVES W/ CUFF, STERILE LATEX, NATURAL RUBBER: BOX OF 50''''S  WARD USE SIZE 7</t>
  </si>
  <si>
    <t>CORD CLAMP (UMBILICAL) X 100S, STERILE</t>
  </si>
  <si>
    <t>NEONATE WRIST TAG (ID BRACELET)X 100 (PINK/BLUE)</t>
  </si>
  <si>
    <t>NGT 8 STRAIGHT, 40CM (CPR NEEDED)</t>
  </si>
  <si>
    <t>PC</t>
  </si>
  <si>
    <t>ROLL</t>
  </si>
  <si>
    <t>PAIR</t>
  </si>
  <si>
    <t>357619/73251</t>
  </si>
  <si>
    <t>WBC &amp; DIFFERENTIAL COUNT</t>
  </si>
  <si>
    <t>NBB</t>
  </si>
  <si>
    <t>LIDOCAINE HCI 2%-5ML PRESERVATIVE-FREE REGARDLESS OF CONTAINER</t>
  </si>
  <si>
    <t>HYOSCINE N-BUTYLBROMIDE 20MG/ML-1ML</t>
  </si>
  <si>
    <t>TOBRAMYCIN 0.3%-5ML EYE DROP SOLUTION</t>
  </si>
  <si>
    <t>MEFENAMIC ACID 500MG IN BLISTER FOIL PACK</t>
  </si>
  <si>
    <t>CALCIUM CARBONATE 500MG BLISTER/FOIL PACK</t>
  </si>
  <si>
    <t>METRONIDAZOLE 500MG IN BLISTER FOIL PACK</t>
  </si>
  <si>
    <t>CEFUROXIME 500MG IN BLISTER FOIL PACK</t>
  </si>
  <si>
    <t>2%-5ML</t>
  </si>
  <si>
    <t>20MG</t>
  </si>
  <si>
    <t>0.3%-5ML</t>
  </si>
  <si>
    <t>POLYAMP</t>
  </si>
  <si>
    <t>ADULT DIAPER WITH HIGH LIQUID ABSORBENCY</t>
  </si>
  <si>
    <t>IV CATHETER GAUGE 20</t>
  </si>
  <si>
    <t>MATERNITY PAD  X 8</t>
  </si>
  <si>
    <t>FAST ABSORBING POLYGLACTIN SYNTHETIC, ABSORBABLE RAPIDE 2-0 SUTURE 140CM, W/ 36MM X 1/2 ROUND DOUBLE REVERSE CUTTING AND ROUND BODIED NEEDLE (DOUBLE ARM)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</si>
</sst>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 t="s">
        <v>163</v>
      </c>
      <c r="E23" s="55">
        <v>1</v>
      </c>
      <c r="F23" s="55">
        <v>1.6666666666666667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208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3" t="s">
        <v>19</v>
      </c>
      <c r="C38" s="124"/>
      <c r="D38" s="121"/>
      <c r="E38" s="124"/>
      <c r="F38" s="12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3" t="s">
        <v>43</v>
      </c>
      <c r="C43" s="124"/>
      <c r="D43" s="121"/>
      <c r="E43" s="124"/>
      <c r="F43" s="1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>
        <v>0</v>
      </c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52</v>
      </c>
      <c r="C45" s="121"/>
      <c r="D45" s="121"/>
      <c r="E45" s="121"/>
      <c r="F45" s="12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20" t="s">
        <v>20</v>
      </c>
      <c r="C50" s="121"/>
      <c r="D50" s="121"/>
      <c r="E50" s="121"/>
      <c r="F50" s="12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172</v>
      </c>
      <c r="D60" s="55">
        <v>3000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173</v>
      </c>
      <c r="D61" s="55">
        <v>2000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209</v>
      </c>
      <c r="D62" s="55"/>
      <c r="E62" s="55">
        <v>3116.79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5000</v>
      </c>
      <c r="E71" s="59">
        <f>SUM(E60:E70)</f>
        <v>3116.79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E34:E37 D60:F6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4"/>
  <sheetViews>
    <sheetView topLeftCell="B1" workbookViewId="0">
      <selection activeCell="F24" sqref="F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210</v>
      </c>
      <c r="D11" s="27" t="s">
        <v>220</v>
      </c>
      <c r="E11" s="27" t="s">
        <v>217</v>
      </c>
      <c r="F11" s="118">
        <v>1</v>
      </c>
      <c r="G11" s="55">
        <v>2</v>
      </c>
      <c r="H11" s="118">
        <v>2</v>
      </c>
      <c r="I11" s="119">
        <v>30.4</v>
      </c>
      <c r="J11" s="55">
        <f>H11*I11</f>
        <v>60.8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178</v>
      </c>
      <c r="D12" s="27" t="s">
        <v>186</v>
      </c>
      <c r="E12" s="27" t="s">
        <v>184</v>
      </c>
      <c r="F12" s="118">
        <v>3</v>
      </c>
      <c r="G12" s="55">
        <v>2</v>
      </c>
      <c r="H12" s="118">
        <v>5</v>
      </c>
      <c r="I12" s="119">
        <v>8.52</v>
      </c>
      <c r="J12" s="55">
        <f t="shared" ref="J12:J23" si="0">H12*I12</f>
        <v>42.599999999999994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176</v>
      </c>
      <c r="D13" s="27" t="s">
        <v>188</v>
      </c>
      <c r="E13" s="27" t="s">
        <v>182</v>
      </c>
      <c r="F13" s="118">
        <v>1</v>
      </c>
      <c r="G13" s="55">
        <v>1</v>
      </c>
      <c r="H13" s="118">
        <v>1</v>
      </c>
      <c r="I13" s="119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177</v>
      </c>
      <c r="D14" s="27" t="s">
        <v>189</v>
      </c>
      <c r="E14" s="27" t="s">
        <v>183</v>
      </c>
      <c r="F14" s="118">
        <v>1</v>
      </c>
      <c r="G14" s="55">
        <v>1</v>
      </c>
      <c r="H14" s="118">
        <v>1</v>
      </c>
      <c r="I14" s="119">
        <v>21</v>
      </c>
      <c r="J14" s="55">
        <f t="shared" si="0"/>
        <v>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211</v>
      </c>
      <c r="D15" s="27" t="s">
        <v>188</v>
      </c>
      <c r="E15" s="27" t="s">
        <v>218</v>
      </c>
      <c r="F15" s="118">
        <v>1</v>
      </c>
      <c r="G15" s="55">
        <v>2</v>
      </c>
      <c r="H15" s="118">
        <v>2</v>
      </c>
      <c r="I15" s="119">
        <v>25.79</v>
      </c>
      <c r="J15" s="55">
        <f t="shared" si="0"/>
        <v>51.58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179</v>
      </c>
      <c r="D16" s="27" t="s">
        <v>190</v>
      </c>
      <c r="E16" s="27" t="s">
        <v>185</v>
      </c>
      <c r="F16" s="118">
        <v>1</v>
      </c>
      <c r="G16" s="55">
        <v>1</v>
      </c>
      <c r="H16" s="118">
        <v>1</v>
      </c>
      <c r="I16" s="119">
        <v>49.33</v>
      </c>
      <c r="J16" s="55">
        <f t="shared" si="0"/>
        <v>49.33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212</v>
      </c>
      <c r="D17" s="27" t="s">
        <v>190</v>
      </c>
      <c r="E17" s="27" t="s">
        <v>219</v>
      </c>
      <c r="F17" s="118">
        <v>1</v>
      </c>
      <c r="G17" s="55">
        <v>1</v>
      </c>
      <c r="H17" s="118">
        <v>1</v>
      </c>
      <c r="I17" s="119">
        <v>246.67</v>
      </c>
      <c r="J17" s="55">
        <f t="shared" si="0"/>
        <v>246.67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213</v>
      </c>
      <c r="D18" s="27" t="s">
        <v>187</v>
      </c>
      <c r="E18" s="27" t="s">
        <v>181</v>
      </c>
      <c r="F18" s="118">
        <v>2</v>
      </c>
      <c r="G18" s="55">
        <v>5</v>
      </c>
      <c r="H18" s="118">
        <v>10</v>
      </c>
      <c r="I18" s="119">
        <v>0.97</v>
      </c>
      <c r="J18" s="55">
        <f t="shared" si="0"/>
        <v>9.6999999999999993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174</v>
      </c>
      <c r="D19" s="27" t="s">
        <v>187</v>
      </c>
      <c r="E19" s="27" t="s">
        <v>180</v>
      </c>
      <c r="F19" s="118">
        <v>1</v>
      </c>
      <c r="G19" s="55">
        <v>100</v>
      </c>
      <c r="H19" s="118">
        <v>100</v>
      </c>
      <c r="I19" s="119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8" t="s">
        <v>214</v>
      </c>
      <c r="D20" s="27" t="s">
        <v>187</v>
      </c>
      <c r="E20" s="27" t="s">
        <v>181</v>
      </c>
      <c r="F20" s="118">
        <v>3</v>
      </c>
      <c r="G20" s="55">
        <v>10</v>
      </c>
      <c r="H20" s="118">
        <v>30</v>
      </c>
      <c r="I20" s="119">
        <v>1.83</v>
      </c>
      <c r="J20" s="55">
        <f t="shared" si="0"/>
        <v>54.900000000000006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18" t="s">
        <v>175</v>
      </c>
      <c r="D21" s="27" t="s">
        <v>187</v>
      </c>
      <c r="E21" s="27" t="s">
        <v>181</v>
      </c>
      <c r="F21" s="118">
        <v>3</v>
      </c>
      <c r="G21" s="55">
        <v>7</v>
      </c>
      <c r="H21" s="118">
        <v>21</v>
      </c>
      <c r="I21" s="119">
        <v>2.87</v>
      </c>
      <c r="J21" s="55">
        <f t="shared" si="0"/>
        <v>60.27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118" t="s">
        <v>215</v>
      </c>
      <c r="D22" s="27" t="s">
        <v>187</v>
      </c>
      <c r="E22" s="27" t="s">
        <v>181</v>
      </c>
      <c r="F22" s="118">
        <v>3</v>
      </c>
      <c r="G22" s="55">
        <v>7</v>
      </c>
      <c r="H22" s="118">
        <v>21</v>
      </c>
      <c r="I22" s="119">
        <v>1.93</v>
      </c>
      <c r="J22" s="55">
        <f t="shared" si="0"/>
        <v>40.53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118" t="s">
        <v>216</v>
      </c>
      <c r="D23" s="27" t="s">
        <v>187</v>
      </c>
      <c r="E23" s="27" t="s">
        <v>181</v>
      </c>
      <c r="F23" s="118">
        <v>2</v>
      </c>
      <c r="G23" s="55">
        <v>7</v>
      </c>
      <c r="H23" s="118">
        <v>14</v>
      </c>
      <c r="I23" s="119">
        <v>11.72</v>
      </c>
      <c r="J23" s="55">
        <f t="shared" si="0"/>
        <v>164.08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25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3">
    <cfRule type="duplicateValues" dxfId="7" priority="1"/>
  </conditionalFormatting>
  <dataValidations count="1">
    <dataValidation type="decimal" operator="greaterThanOrEqual" allowBlank="1" showInputMessage="1" showErrorMessage="1" sqref="F11:J2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0" workbookViewId="0">
      <selection activeCell="D44" sqref="D4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192</v>
      </c>
      <c r="D28" s="117" t="s">
        <v>205</v>
      </c>
      <c r="E28" s="118">
        <v>1</v>
      </c>
      <c r="F28" s="119">
        <v>100</v>
      </c>
      <c r="G28" s="116">
        <f>+E28*F28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221</v>
      </c>
      <c r="D29" s="117" t="s">
        <v>204</v>
      </c>
      <c r="E29" s="118">
        <v>2</v>
      </c>
      <c r="F29" s="119">
        <v>20.97</v>
      </c>
      <c r="G29" s="116">
        <f t="shared" ref="G29:G44" si="0">+E29*F29</f>
        <v>41.94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193</v>
      </c>
      <c r="D30" s="117" t="s">
        <v>204</v>
      </c>
      <c r="E30" s="118">
        <v>7</v>
      </c>
      <c r="F30" s="119">
        <v>11.73</v>
      </c>
      <c r="G30" s="116">
        <f t="shared" si="0"/>
        <v>82.11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197</v>
      </c>
      <c r="D31" s="117" t="s">
        <v>204</v>
      </c>
      <c r="E31" s="118">
        <v>17</v>
      </c>
      <c r="F31" s="119">
        <v>2.77</v>
      </c>
      <c r="G31" s="116">
        <f t="shared" si="0"/>
        <v>47.09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203</v>
      </c>
      <c r="D32" s="117" t="s">
        <v>204</v>
      </c>
      <c r="E32" s="118">
        <v>2</v>
      </c>
      <c r="F32" s="119">
        <v>7.8</v>
      </c>
      <c r="G32" s="116">
        <f t="shared" si="0"/>
        <v>15.6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222</v>
      </c>
      <c r="D33" s="117" t="s">
        <v>204</v>
      </c>
      <c r="E33" s="118">
        <v>2</v>
      </c>
      <c r="F33" s="119">
        <v>13.6</v>
      </c>
      <c r="G33" s="116">
        <f t="shared" si="0"/>
        <v>27.2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194</v>
      </c>
      <c r="D34" s="117" t="s">
        <v>204</v>
      </c>
      <c r="E34" s="118">
        <v>4</v>
      </c>
      <c r="F34" s="119">
        <v>1.6</v>
      </c>
      <c r="G34" s="116">
        <f t="shared" si="0"/>
        <v>6.4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195</v>
      </c>
      <c r="D35" s="117" t="s">
        <v>204</v>
      </c>
      <c r="E35" s="118">
        <v>14</v>
      </c>
      <c r="F35" s="119">
        <v>1.6</v>
      </c>
      <c r="G35" s="116">
        <f t="shared" si="0"/>
        <v>22.400000000000002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196</v>
      </c>
      <c r="D36" s="117" t="s">
        <v>204</v>
      </c>
      <c r="E36" s="118">
        <v>14</v>
      </c>
      <c r="F36" s="119">
        <v>5</v>
      </c>
      <c r="G36" s="116">
        <f t="shared" si="0"/>
        <v>70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198</v>
      </c>
      <c r="D37" s="117" t="s">
        <v>204</v>
      </c>
      <c r="E37" s="118">
        <v>1</v>
      </c>
      <c r="F37" s="119">
        <v>1.0900000000000001</v>
      </c>
      <c r="G37" s="116">
        <f t="shared" si="0"/>
        <v>1.0900000000000001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199</v>
      </c>
      <c r="D38" s="117" t="s">
        <v>204</v>
      </c>
      <c r="E38" s="118">
        <v>1</v>
      </c>
      <c r="F38" s="119">
        <v>1.27</v>
      </c>
      <c r="G38" s="116">
        <f t="shared" si="0"/>
        <v>1.27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200</v>
      </c>
      <c r="D39" s="117" t="s">
        <v>206</v>
      </c>
      <c r="E39" s="118">
        <v>5</v>
      </c>
      <c r="F39" s="119">
        <v>15</v>
      </c>
      <c r="G39" s="116">
        <f t="shared" si="0"/>
        <v>75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201</v>
      </c>
      <c r="D40" s="117" t="s">
        <v>204</v>
      </c>
      <c r="E40" s="118">
        <v>1</v>
      </c>
      <c r="F40" s="119">
        <v>3.25</v>
      </c>
      <c r="G40" s="116">
        <f t="shared" si="0"/>
        <v>3.25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202</v>
      </c>
      <c r="D41" s="117" t="s">
        <v>204</v>
      </c>
      <c r="E41" s="118">
        <v>1</v>
      </c>
      <c r="F41" s="119">
        <v>5</v>
      </c>
      <c r="G41" s="116">
        <f t="shared" si="0"/>
        <v>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118" t="s">
        <v>191</v>
      </c>
      <c r="D42" s="117" t="s">
        <v>204</v>
      </c>
      <c r="E42" s="118">
        <v>1</v>
      </c>
      <c r="F42" s="119">
        <v>118.67</v>
      </c>
      <c r="G42" s="116">
        <f t="shared" si="0"/>
        <v>118.67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118" t="s">
        <v>223</v>
      </c>
      <c r="D43" s="117" t="s">
        <v>204</v>
      </c>
      <c r="E43" s="118">
        <v>2</v>
      </c>
      <c r="F43" s="119">
        <v>250</v>
      </c>
      <c r="G43" s="116">
        <f t="shared" si="0"/>
        <v>500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118" t="s">
        <v>224</v>
      </c>
      <c r="D44" s="117" t="s">
        <v>204</v>
      </c>
      <c r="E44" s="118">
        <v>1</v>
      </c>
      <c r="F44" s="119">
        <v>340</v>
      </c>
      <c r="G44" s="116">
        <f t="shared" si="0"/>
        <v>340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41" t="s">
        <v>29</v>
      </c>
      <c r="C45" s="142"/>
      <c r="D45" s="142"/>
      <c r="E45" s="142"/>
      <c r="F45" s="142"/>
      <c r="G45" s="143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5:G45"/>
    <mergeCell ref="B8:G8"/>
    <mergeCell ref="B9:G9"/>
    <mergeCell ref="B10:G10"/>
    <mergeCell ref="B11:G11"/>
    <mergeCell ref="B12:G12"/>
    <mergeCell ref="B15:G15"/>
  </mergeCells>
  <conditionalFormatting sqref="C28:C44">
    <cfRule type="duplicateValues" dxfId="1" priority="1"/>
  </conditionalFormatting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171</v>
      </c>
      <c r="E28" s="55"/>
      <c r="F28" s="55"/>
      <c r="G28" s="55" t="s">
        <v>170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2018-05-30T11:43:10Z</dcterms:modified>
</cp:coreProperties>
</file>