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Drugs&amp;Med'!$C$11:$C$15</definedName>
    <definedName name="_xlnm.Print_Area" localSheetId="0">'1.1 Case data_general'!$B$1:$F$74</definedName>
    <definedName name="_xlnm.Print_Area" localSheetId="1">'1.2 Drugs&amp;Med'!$B$2:$J$18</definedName>
  </definedNames>
  <calcPr calcId="144525"/>
</workbook>
</file>

<file path=xl/calcChain.xml><?xml version="1.0" encoding="utf-8"?>
<calcChain xmlns="http://schemas.openxmlformats.org/spreadsheetml/2006/main">
  <c r="G43" i="9" l="1"/>
  <c r="G42" i="9"/>
  <c r="J17" i="2"/>
  <c r="J16" i="2"/>
  <c r="G41" i="9" l="1"/>
  <c r="G40" i="9"/>
  <c r="G39" i="9"/>
  <c r="G38" i="9" l="1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<sst xmlns="http://schemas.openxmlformats.org/spreadsheetml/2006/main" count="514" uniqueCount="214">
  <si>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</si>
  <si>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</si>
  <si>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</si>
  <si>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</si>
  <si>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</si>
  <si>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</si>
  <si>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</si>
  <si>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</si>
  <si>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</si>
  <si>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</si>
  <si>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</si>
  <si>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</si>
  <si>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</si>
  <si>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</si>
  <si>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</si>
  <si>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</si>
  <si>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</si>
  <si>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</si>
  <si>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</si>
  <si>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</si>
  <si>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</si>
  <si>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</si>
  <si>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</si>
  <si>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</si>
  <si>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</si>
  <si>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</si>
  <si>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</si>
  <si>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</si>
  <si>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</si>
  <si>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</si>
  <si>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</si>
  <si>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</si>
  <si>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</si>
  <si>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</si>
  <si>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</si>
  <si>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</si>
  <si>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</si>
  <si>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</si>
  <si>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</si>
  <si>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</si>
  <si>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</si>
  <si>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</si>
  <si>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</si>
  <si>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</si>
  <si>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</si>
  <si>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</si>
  <si>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</si>
  <si>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</si>
  <si>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</si>
  <si>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</si>
  <si>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</si>
  <si>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</si>
  <si>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</si>
  <si>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</si>
  <si>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</si>
  <si>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</si>
  <si>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</si>
  <si>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</si>
  <si>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</si>
  <si>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</si>
  <si>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</si>
  <si>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</si>
  <si>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</si>
  <si>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</si>
  <si>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</si>
  <si>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</si>
  <si>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</si>
  <si>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</si>
  <si>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</si>
  <si>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</si>
  <si>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</si>
  <si>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</si>
  <si>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</si>
  <si>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</si>
  <si>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</si>
  <si>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</si>
  <si>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</si>
  <si>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</si>
  <si>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</si>
  <si>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</si>
  <si>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</si>
  <si>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</si>
  <si>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</si>
  <si>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</si>
  <si>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</si>
  <si>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</si>
  <si>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</si>
  <si>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</si>
  <si>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</si>
  <si>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</si>
  <si>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</si>
  <si>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</si>
  <si>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</si>
  <si>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</si>
  <si>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</si>
  <si>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</si>
  <si>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</si>
  <si>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</si>
  <si>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</si>
  <si>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</si>
  <si>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</si>
  <si>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</si>
  <si>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</si>
  <si>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</si>
  <si>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</si>
  <si>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</si>
  <si>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</si>
  <si>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</si>
  <si>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</si>
  <si>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</si>
  <si>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</si>
  <si>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</si>
  <si>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</si>
  <si>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</si>
  <si>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</si>
  <si>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</si>
  <si>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</si>
  <si>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</si>
  <si>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</si>
  <si>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</si>
  <si>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</si>
  <si>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</si>
  <si>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</si>
  <si>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</si>
  <si>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</si>
  <si>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</si>
  <si>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</si>
  <si>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</si>
  <si>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</si>
  <si>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</si>
  <si>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</si>
  <si>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</si>
  <si>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</si>
  <si>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</si>
  <si>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</si>
  <si>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</si>
  <si>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</si>
  <si>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</si>
  <si>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</si>
  <si>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</si>
  <si>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</si>
  <si>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</si>
  <si>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</si>
  <si>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</si>
  <si>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</si>
  <si>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</si>
  <si>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</si>
  <si>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</si>
  <si>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</si>
  <si>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</si>
  <si>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</si>
  <si>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</si>
  <si>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</si>
  <si>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</si>
  <si>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</si>
  <si>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</si>
  <si>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</si>
  <si>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</si>
  <si>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</si>
  <si>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</si>
  <si>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</si>
  <si>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</si>
  <si>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</si>
  <si>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</si>
  <si>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NSD01</t>
  </si>
  <si>
    <t>O80.0</t>
  </si>
  <si>
    <t>Z37.0</t>
  </si>
  <si>
    <t>CBC, TYPING, HBSAG</t>
  </si>
  <si>
    <t>RAPID PLASMA REAGIN (RPR)</t>
  </si>
  <si>
    <t>BLOOD EXTRACTION FEE</t>
  </si>
  <si>
    <t>+RC[-2]*RC[-1]</t>
  </si>
  <si>
    <t>SET</t>
  </si>
  <si>
    <t>CASE RATE</t>
  </si>
  <si>
    <t>PF CASE</t>
  </si>
  <si>
    <t>359594/73837</t>
  </si>
  <si>
    <t>Z30.2</t>
  </si>
  <si>
    <t>METHYLERGOMETRINE MALEATE 200MCG AMP</t>
  </si>
  <si>
    <t>FERROUS SULFATE + FOLIC ACID 200MG./400MCG (DONATION)</t>
  </si>
  <si>
    <t>CEFALEXIN MONOHYDRATE 500MG IN BLISTER FOIL PACK</t>
  </si>
  <si>
    <t>PHYTOMENADIONE ( VITAMIN K ) 10MG/1ML</t>
  </si>
  <si>
    <t>ERYTHROMYCIN  EYE OINTMENT 0.5%, 3.5G</t>
  </si>
  <si>
    <t>OXYTOCIN MALEATE 10MCG INJECTION 10 UNITS/ML-1ML</t>
  </si>
  <si>
    <t>(D5LRS 1L) 5% DEXTROSE IN LACTATED RINGERS SOLUTION 1000ML (D5 LRS) X 12S</t>
  </si>
  <si>
    <t>200MCG</t>
  </si>
  <si>
    <t>200MG</t>
  </si>
  <si>
    <t>500MG</t>
  </si>
  <si>
    <t>10MG</t>
  </si>
  <si>
    <t>3.5G</t>
  </si>
  <si>
    <t>10MCG</t>
  </si>
  <si>
    <t>1L</t>
  </si>
  <si>
    <t>AMPULE</t>
  </si>
  <si>
    <t>CAPSULE</t>
  </si>
  <si>
    <t>VIAL</t>
  </si>
  <si>
    <t>TUBE</t>
  </si>
  <si>
    <t>BOTTLE</t>
  </si>
  <si>
    <t>CATGUT 2-0 ABSORBABLE SURGICAL SUTURE AT LEAST 75CM,  WITH AT LEAST 35-37MM X ½ CIRCLE ROUND TAPER NEEDLE</t>
  </si>
  <si>
    <t>IV SET W/ AIRWAY FOR IV PUSH, VACOSET/MACRODRIP, ADULT</t>
  </si>
  <si>
    <t>IV CATHETER GAUGE 18</t>
  </si>
  <si>
    <t>ULTRASOUND PRINTING PAPER 110MM X 20MM (HIGH DENSITY) (DURICO TYPE 1)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</si>
  <si>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</si>
  <si>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</si>
  <si>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</si>
  <si>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</si>
  <si>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</si>
  <si>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DISPOSABLE FACE MASK, EAR LOOP 3 FOLDS X 50S</t>
  </si>
  <si>
    <t>DISPOSABLE HEAD CAP X 100S GARTERIZED</t>
  </si>
  <si>
    <t>MEDICAL GLOVES W/ CUFF, STERILE LATEX, NATURAL RUBBER: BOX OF 50''''S  WARD USE SIZE 7</t>
  </si>
  <si>
    <t>CORD CLAMP (UMBILICAL) X 100S, STERILE</t>
  </si>
  <si>
    <t>NEONATE WRIST TAG (ID BRACELET)X 100 (PINK/BLUE)</t>
  </si>
  <si>
    <t>NGT 8 COILED, 100 CM (CPR NEEDED)</t>
  </si>
  <si>
    <t>NGT 8 STRAIGHT, 40CM (CPR NEEDED)</t>
  </si>
  <si>
    <t>PC</t>
  </si>
  <si>
    <t>ROLL</t>
  </si>
  <si>
    <t>PAIR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</si>
</sst>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175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 t="s">
        <v>163</v>
      </c>
      <c r="E23" s="55">
        <v>1</v>
      </c>
      <c r="F23" s="55">
        <v>1.6666666666666667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>
        <v>58300</v>
      </c>
      <c r="D54" s="28"/>
      <c r="E54" s="55">
        <v>1</v>
      </c>
      <c r="F54" s="55">
        <v>0.16666666666666666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172</v>
      </c>
      <c r="D63" s="55">
        <v>4096.6000000000004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173</v>
      </c>
      <c r="D64" s="55">
        <v>2800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6896.6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topLeftCell="B1"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176</v>
      </c>
      <c r="D11" s="27" t="s">
        <v>190</v>
      </c>
      <c r="E11" s="27" t="s">
        <v>183</v>
      </c>
      <c r="F11" s="118">
        <v>1</v>
      </c>
      <c r="G11" s="55">
        <v>1</v>
      </c>
      <c r="H11" s="118">
        <v>1</v>
      </c>
      <c r="I11" s="119">
        <v>20</v>
      </c>
      <c r="J11" s="55">
        <f>H11*I11</f>
        <v>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177</v>
      </c>
      <c r="D12" s="27" t="s">
        <v>191</v>
      </c>
      <c r="E12" s="27" t="s">
        <v>184</v>
      </c>
      <c r="F12" s="118">
        <v>1</v>
      </c>
      <c r="G12" s="55">
        <v>100</v>
      </c>
      <c r="H12" s="118">
        <v>100</v>
      </c>
      <c r="I12" s="119">
        <v>1.27</v>
      </c>
      <c r="J12" s="55">
        <f t="shared" ref="J12:J17" si="0">H12*I12</f>
        <v>127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178</v>
      </c>
      <c r="D13" s="27" t="s">
        <v>191</v>
      </c>
      <c r="E13" s="27" t="s">
        <v>185</v>
      </c>
      <c r="F13" s="118">
        <v>3</v>
      </c>
      <c r="G13" s="55">
        <v>7</v>
      </c>
      <c r="H13" s="118">
        <v>21</v>
      </c>
      <c r="I13" s="119">
        <v>2.87</v>
      </c>
      <c r="J13" s="55">
        <f t="shared" si="0"/>
        <v>60.27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179</v>
      </c>
      <c r="D14" s="27" t="s">
        <v>192</v>
      </c>
      <c r="E14" s="27" t="s">
        <v>186</v>
      </c>
      <c r="F14" s="118">
        <v>1</v>
      </c>
      <c r="G14" s="55">
        <v>1</v>
      </c>
      <c r="H14" s="118">
        <v>1</v>
      </c>
      <c r="I14" s="119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180</v>
      </c>
      <c r="D15" s="27" t="s">
        <v>193</v>
      </c>
      <c r="E15" s="27" t="s">
        <v>187</v>
      </c>
      <c r="F15" s="118">
        <v>1</v>
      </c>
      <c r="G15" s="55">
        <v>1</v>
      </c>
      <c r="H15" s="118">
        <v>1</v>
      </c>
      <c r="I15" s="119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181</v>
      </c>
      <c r="D16" s="27" t="s">
        <v>190</v>
      </c>
      <c r="E16" s="27" t="s">
        <v>188</v>
      </c>
      <c r="F16" s="118">
        <v>3</v>
      </c>
      <c r="G16" s="55">
        <v>2</v>
      </c>
      <c r="H16" s="118">
        <v>6</v>
      </c>
      <c r="I16" s="119">
        <v>8.52</v>
      </c>
      <c r="J16" s="55">
        <f t="shared" si="0"/>
        <v>51.12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182</v>
      </c>
      <c r="D17" s="27" t="s">
        <v>194</v>
      </c>
      <c r="E17" s="27" t="s">
        <v>189</v>
      </c>
      <c r="F17" s="118">
        <v>1</v>
      </c>
      <c r="G17" s="55">
        <v>3</v>
      </c>
      <c r="H17" s="118">
        <v>3</v>
      </c>
      <c r="I17" s="119">
        <v>49.33</v>
      </c>
      <c r="J17" s="55">
        <f t="shared" si="0"/>
        <v>147.99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7">
    <cfRule type="duplicateValues" dxfId="4" priority="1"/>
  </conditionalFormatting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0" workbookViewId="0">
      <selection activeCell="F43" sqref="F4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16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195</v>
      </c>
      <c r="D28" s="117" t="s">
        <v>211</v>
      </c>
      <c r="E28" s="118">
        <v>2</v>
      </c>
      <c r="F28" s="119">
        <v>118.67</v>
      </c>
      <c r="G28" s="116">
        <f>+E28*F28</f>
        <v>237.34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196</v>
      </c>
      <c r="D29" s="117" t="s">
        <v>171</v>
      </c>
      <c r="E29" s="118">
        <v>1</v>
      </c>
      <c r="F29" s="119">
        <v>14</v>
      </c>
      <c r="G29" s="116">
        <f t="shared" ref="G29:G43" si="0">+E29*F29</f>
        <v>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197</v>
      </c>
      <c r="D30" s="117" t="s">
        <v>211</v>
      </c>
      <c r="E30" s="118">
        <v>1</v>
      </c>
      <c r="F30" s="119">
        <v>13.13</v>
      </c>
      <c r="G30" s="116">
        <f t="shared" si="0"/>
        <v>13.13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198</v>
      </c>
      <c r="D31" s="117" t="s">
        <v>212</v>
      </c>
      <c r="E31" s="118">
        <v>1</v>
      </c>
      <c r="F31" s="119">
        <v>100</v>
      </c>
      <c r="G31" s="116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199</v>
      </c>
      <c r="D32" s="117" t="s">
        <v>211</v>
      </c>
      <c r="E32" s="118">
        <v>5</v>
      </c>
      <c r="F32" s="119">
        <v>11.73</v>
      </c>
      <c r="G32" s="116">
        <f t="shared" si="0"/>
        <v>58.650000000000006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200</v>
      </c>
      <c r="D33" s="117" t="s">
        <v>211</v>
      </c>
      <c r="E33" s="118">
        <v>13</v>
      </c>
      <c r="F33" s="119">
        <v>1.6</v>
      </c>
      <c r="G33" s="116">
        <f t="shared" si="0"/>
        <v>20.8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201</v>
      </c>
      <c r="D34" s="117" t="s">
        <v>211</v>
      </c>
      <c r="E34" s="118">
        <v>15</v>
      </c>
      <c r="F34" s="119">
        <v>1.6</v>
      </c>
      <c r="G34" s="116">
        <f t="shared" si="0"/>
        <v>24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202</v>
      </c>
      <c r="D35" s="117" t="s">
        <v>211</v>
      </c>
      <c r="E35" s="118">
        <v>15</v>
      </c>
      <c r="F35" s="119">
        <v>5</v>
      </c>
      <c r="G35" s="116">
        <f t="shared" si="0"/>
        <v>75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203</v>
      </c>
      <c r="D36" s="117" t="s">
        <v>211</v>
      </c>
      <c r="E36" s="118">
        <v>14</v>
      </c>
      <c r="F36" s="119">
        <v>2.77</v>
      </c>
      <c r="G36" s="116">
        <f t="shared" si="0"/>
        <v>38.78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204</v>
      </c>
      <c r="D37" s="117" t="s">
        <v>211</v>
      </c>
      <c r="E37" s="118">
        <v>1</v>
      </c>
      <c r="F37" s="119">
        <v>1.0900000000000001</v>
      </c>
      <c r="G37" s="116">
        <f t="shared" si="0"/>
        <v>1.0900000000000001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205</v>
      </c>
      <c r="D38" s="117" t="s">
        <v>211</v>
      </c>
      <c r="E38" s="118">
        <v>1</v>
      </c>
      <c r="F38" s="119">
        <v>1.27</v>
      </c>
      <c r="G38" s="116">
        <f t="shared" si="0"/>
        <v>1.27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206</v>
      </c>
      <c r="D39" s="117" t="s">
        <v>213</v>
      </c>
      <c r="E39" s="118">
        <v>5</v>
      </c>
      <c r="F39" s="119">
        <v>15</v>
      </c>
      <c r="G39" s="116">
        <f t="shared" si="0"/>
        <v>75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207</v>
      </c>
      <c r="D40" s="117" t="s">
        <v>211</v>
      </c>
      <c r="E40" s="118">
        <v>1</v>
      </c>
      <c r="F40" s="119">
        <v>3.25</v>
      </c>
      <c r="G40" s="116">
        <f t="shared" si="0"/>
        <v>3.25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208</v>
      </c>
      <c r="D41" s="117" t="s">
        <v>211</v>
      </c>
      <c r="E41" s="118">
        <v>1</v>
      </c>
      <c r="F41" s="119">
        <v>5</v>
      </c>
      <c r="G41" s="116">
        <f t="shared" si="0"/>
        <v>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118" t="s">
        <v>209</v>
      </c>
      <c r="D42" s="117" t="s">
        <v>211</v>
      </c>
      <c r="E42" s="118">
        <v>1</v>
      </c>
      <c r="F42" s="119">
        <v>7.8</v>
      </c>
      <c r="G42" s="116">
        <f t="shared" si="0"/>
        <v>7.8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118" t="s">
        <v>210</v>
      </c>
      <c r="D43" s="117" t="s">
        <v>211</v>
      </c>
      <c r="E43" s="118">
        <v>1</v>
      </c>
      <c r="F43" s="119">
        <v>7.8</v>
      </c>
      <c r="G43" s="116">
        <f t="shared" si="0"/>
        <v>7.8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41" t="s">
        <v>29</v>
      </c>
      <c r="C44" s="142"/>
      <c r="D44" s="142"/>
      <c r="E44" s="142"/>
      <c r="F44" s="142"/>
      <c r="G44" s="143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4:G44"/>
    <mergeCell ref="B8:G8"/>
    <mergeCell ref="B9:G9"/>
    <mergeCell ref="B10:G10"/>
    <mergeCell ref="B11:G11"/>
    <mergeCell ref="B12:G12"/>
    <mergeCell ref="B15:G15"/>
  </mergeCells>
  <conditionalFormatting sqref="C28:C43">
    <cfRule type="duplicateValues" dxfId="0" priority="1"/>
  </conditionalFormatting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171</v>
      </c>
      <c r="E28" s="55"/>
      <c r="F28" s="55"/>
      <c r="G28" s="55" t="s">
        <v>170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2018-05-30T11:18:53Z</dcterms:modified>
</cp:coreProperties>
</file>