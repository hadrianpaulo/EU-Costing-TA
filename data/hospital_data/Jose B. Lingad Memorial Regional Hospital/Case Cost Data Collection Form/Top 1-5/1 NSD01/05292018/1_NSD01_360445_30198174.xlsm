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Drugs&amp;Med'!$C$11:$C$15</definedName>
    <definedName name="_xlnm.Print_Area" localSheetId="0">'1.1 Case data_general'!$B$1:$F$74</definedName>
    <definedName name="_xlnm.Print_Area" localSheetId="1">'1.2 Drugs&amp;Med'!$B$2:$J$19</definedName>
  </definedNames>
  <calcPr calcId="144525"/>
</workbook>
</file>

<file path=xl/calcChain.xml><?xml version="1.0" encoding="utf-8"?>
<calcChain xmlns="http://schemas.openxmlformats.org/spreadsheetml/2006/main">
  <c r="J18" i="2" l="1"/>
  <c r="J17" i="2"/>
  <c r="J16" i="2"/>
  <c r="G41" i="9" l="1"/>
  <c r="G40" i="9"/>
  <c r="G39" i="9"/>
  <c r="G38" i="9" l="1"/>
  <c r="G37" i="9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<sst xmlns="http://schemas.openxmlformats.org/spreadsheetml/2006/main" count="512" uniqueCount="211">
  <si>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</si>
  <si>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</si>
  <si>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</si>
  <si>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</si>
  <si>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</si>
  <si>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</si>
  <si>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</si>
  <si>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</si>
  <si>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</si>
  <si>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</si>
  <si>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</si>
  <si>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</si>
  <si>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</si>
  <si>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</si>
  <si>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</si>
  <si>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</si>
  <si>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</si>
  <si>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</si>
  <si>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</si>
  <si>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</si>
  <si>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</si>
  <si>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</si>
  <si>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</si>
  <si>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</si>
  <si>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</si>
  <si>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</si>
  <si>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</si>
  <si>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</si>
  <si>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</si>
  <si>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</si>
  <si>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</si>
  <si>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</si>
  <si>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</si>
  <si>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</si>
  <si>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</si>
  <si>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</si>
  <si>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</si>
  <si>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</si>
  <si>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</si>
  <si>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</si>
  <si>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</si>
  <si>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</si>
  <si>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</si>
  <si>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</si>
  <si>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</si>
  <si>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</si>
  <si>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</si>
  <si>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</si>
  <si>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</si>
  <si>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</si>
  <si>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</si>
  <si>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</si>
  <si>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</si>
  <si>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</si>
  <si>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</si>
  <si>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</si>
  <si>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</si>
  <si>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</si>
  <si>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</si>
  <si>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</si>
  <si>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</si>
  <si>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</si>
  <si>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</si>
  <si>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</si>
  <si>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</si>
  <si>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</si>
  <si>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</si>
  <si>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</si>
  <si>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</si>
  <si>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</si>
  <si>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</si>
  <si>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</si>
  <si>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</si>
  <si>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</si>
  <si>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</si>
  <si>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</si>
  <si>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</si>
  <si>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</si>
  <si>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</si>
  <si>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</si>
  <si>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</si>
  <si>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</si>
  <si>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</si>
  <si>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</si>
  <si>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</si>
  <si>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</si>
  <si>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</si>
  <si>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</si>
  <si>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</si>
  <si>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</si>
  <si>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</si>
  <si>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</si>
  <si>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</si>
  <si>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</si>
  <si>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</si>
  <si>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</si>
  <si>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</si>
  <si>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</si>
  <si>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</si>
  <si>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</si>
  <si>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</si>
  <si>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</si>
  <si>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</si>
  <si>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</si>
  <si>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</si>
  <si>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</si>
  <si>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</si>
  <si>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</si>
  <si>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</si>
  <si>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</si>
  <si>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</si>
  <si>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</si>
  <si>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</si>
  <si>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</si>
  <si>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</si>
  <si>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</si>
  <si>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</si>
  <si>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</si>
  <si>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</si>
  <si>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</si>
  <si>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</si>
  <si>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</si>
  <si>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</si>
  <si>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</si>
  <si>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</si>
  <si>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</si>
  <si>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</si>
  <si>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</si>
  <si>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</si>
  <si>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</si>
  <si>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</si>
  <si>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</si>
  <si>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</si>
  <si>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</si>
  <si>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</si>
  <si>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</si>
  <si>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</si>
  <si>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</si>
  <si>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</si>
  <si>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</si>
  <si>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</si>
  <si>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</si>
  <si>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</si>
  <si>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</si>
  <si>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</si>
  <si>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</si>
  <si>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</si>
  <si>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</si>
  <si>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</si>
  <si>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</si>
  <si>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</si>
  <si>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</si>
  <si>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</si>
  <si>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</si>
  <si>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</si>
  <si>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</si>
  <si>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</si>
  <si>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</si>
  <si>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</si>
  <si>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</si>
  <si>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</si>
  <si>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</si>
  <si>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</si>
  <si>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</si>
  <si>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</si>
  <si>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</si>
  <si>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</si>
  <si>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</si>
  <si>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</si>
  <si>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</si>
  <si>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IV SET W/ AIRWAY FOR IV PUSH, VACOSET/MACRODRIP, ADULT</t>
  </si>
  <si>
    <t>IV CATHETER GAUGE 18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</si>
  <si>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</si>
  <si>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</si>
  <si>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</si>
  <si>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</si>
  <si>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</si>
  <si>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</si>
  <si>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</si>
  <si>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</si>
  <si>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SET</t>
  </si>
  <si>
    <t>(D5LRS 1L) 5% DEXTROSE IN LACTATED RINGERS SOLUTION 1000ML (D5 LRS) X 12S</t>
  </si>
  <si>
    <t>PHYTOMENADIONE ( VITAMIN K ) 10MG/1ML</t>
  </si>
  <si>
    <t>ERYTHROMYCIN  EYE OINTMENT 0.5%, 3.5G</t>
  </si>
  <si>
    <t>MEFENAMIC ACID 500MG IN BLISTER FOIL PACK</t>
  </si>
  <si>
    <t>FERROUS SULFATE + FOLIC ACID 200MG./400MCG (DONATION)</t>
  </si>
  <si>
    <t>VIAL</t>
  </si>
  <si>
    <t>TUBE</t>
  </si>
  <si>
    <t>CAPSULE</t>
  </si>
  <si>
    <t>1L</t>
  </si>
  <si>
    <t>10MG</t>
  </si>
  <si>
    <t>3.5G</t>
  </si>
  <si>
    <t>500MG</t>
  </si>
  <si>
    <t>200MG</t>
  </si>
  <si>
    <t>MEDICAL GLOVES W/ CUFF, STERILE LATEX, NATURAL RUBBER: BOX OF 50'S  WARD USE SIZE 6 1/2</t>
  </si>
  <si>
    <t>PAIR</t>
  </si>
  <si>
    <t>CASE RATE</t>
  </si>
  <si>
    <t>PF CASE</t>
  </si>
  <si>
    <t>NBB</t>
  </si>
  <si>
    <t>CEFALEXIN MONOHYDRATE 500MG IN BLISTER FOIL PACK</t>
  </si>
  <si>
    <t>BOTTLE</t>
  </si>
  <si>
    <t>AMPULE</t>
  </si>
  <si>
    <t>MATERNITY PAD  X 8</t>
  </si>
  <si>
    <t>DISPOSABLE HEAD CAP X 100S GARTERIZED</t>
  </si>
  <si>
    <t>OXYTOCIN MALEATE 10MCG INJECTION 10 UNITS/ML-1ML</t>
  </si>
  <si>
    <t>METHYLERGOMETRINE MALEATE 200MCG AMP</t>
  </si>
  <si>
    <t>10MCG</t>
  </si>
  <si>
    <t>200MCG</t>
  </si>
  <si>
    <t>OXYGEN NASAL CANNULA WITH THREAD CONNECTOR FOR ADULT (CURVED FLAIRED TIP)</t>
  </si>
  <si>
    <t>OXYGEN MASK ADULT W/ CONNECTING TUBE</t>
  </si>
  <si>
    <t>360445/74207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</si>
</sst>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5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C17" sqref="C1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210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0" t="s">
        <v>51</v>
      </c>
      <c r="C22" s="121"/>
      <c r="D22" s="121"/>
      <c r="E22" s="121"/>
      <c r="F22" s="1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3" t="s">
        <v>42</v>
      </c>
      <c r="C28" s="124"/>
      <c r="D28" s="124"/>
      <c r="E28" s="124"/>
      <c r="F28" s="1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0" t="s">
        <v>18</v>
      </c>
      <c r="C33" s="121"/>
      <c r="D33" s="121"/>
      <c r="E33" s="121"/>
      <c r="F33" s="1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3" t="s">
        <v>19</v>
      </c>
      <c r="C41" s="124"/>
      <c r="D41" s="121"/>
      <c r="E41" s="124"/>
      <c r="F41" s="12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3" t="s">
        <v>43</v>
      </c>
      <c r="C46" s="124"/>
      <c r="D46" s="121"/>
      <c r="E46" s="124"/>
      <c r="F46" s="12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20" t="s">
        <v>52</v>
      </c>
      <c r="C48" s="121"/>
      <c r="D48" s="121"/>
      <c r="E48" s="121"/>
      <c r="F48" s="12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20" t="s">
        <v>20</v>
      </c>
      <c r="C53" s="121"/>
      <c r="D53" s="121"/>
      <c r="E53" s="121"/>
      <c r="F53" s="12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196</v>
      </c>
      <c r="D63" s="55">
        <v>3000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197</v>
      </c>
      <c r="D64" s="55">
        <v>2000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198</v>
      </c>
      <c r="D65" s="55"/>
      <c r="E65" s="55">
        <v>732.85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5000</v>
      </c>
      <c r="E74" s="59">
        <f>SUM(E63:E73)</f>
        <v>732.85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9"/>
  <sheetViews>
    <sheetView topLeftCell="B1" workbookViewId="0">
      <selection activeCell="D14" sqref="D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 t="s">
        <v>181</v>
      </c>
      <c r="D11" s="27" t="s">
        <v>200</v>
      </c>
      <c r="E11" s="27" t="s">
        <v>189</v>
      </c>
      <c r="F11" s="118">
        <v>1</v>
      </c>
      <c r="G11" s="55">
        <v>1</v>
      </c>
      <c r="H11" s="118">
        <v>1</v>
      </c>
      <c r="I11" s="119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 t="s">
        <v>204</v>
      </c>
      <c r="D12" s="27" t="s">
        <v>201</v>
      </c>
      <c r="E12" s="27" t="s">
        <v>206</v>
      </c>
      <c r="F12" s="118">
        <v>1</v>
      </c>
      <c r="G12" s="55">
        <v>2</v>
      </c>
      <c r="H12" s="118">
        <v>2</v>
      </c>
      <c r="I12" s="119">
        <v>8.52</v>
      </c>
      <c r="J12" s="55">
        <f t="shared" ref="J12:J18" si="0">H12*I12</f>
        <v>17.04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 t="s">
        <v>205</v>
      </c>
      <c r="D13" s="27" t="s">
        <v>201</v>
      </c>
      <c r="E13" s="27" t="s">
        <v>207</v>
      </c>
      <c r="F13" s="118">
        <v>1</v>
      </c>
      <c r="G13" s="55">
        <v>3</v>
      </c>
      <c r="H13" s="118">
        <v>3</v>
      </c>
      <c r="I13" s="119">
        <v>20</v>
      </c>
      <c r="J13" s="55">
        <f t="shared" si="0"/>
        <v>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182</v>
      </c>
      <c r="D14" s="27" t="s">
        <v>186</v>
      </c>
      <c r="E14" s="27" t="s">
        <v>190</v>
      </c>
      <c r="F14" s="118">
        <v>1</v>
      </c>
      <c r="G14" s="55">
        <v>1</v>
      </c>
      <c r="H14" s="118">
        <v>1</v>
      </c>
      <c r="I14" s="119">
        <v>21.31</v>
      </c>
      <c r="J14" s="55">
        <f t="shared" si="0"/>
        <v>21.31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183</v>
      </c>
      <c r="D15" s="27" t="s">
        <v>187</v>
      </c>
      <c r="E15" s="27" t="s">
        <v>191</v>
      </c>
      <c r="F15" s="118">
        <v>1</v>
      </c>
      <c r="G15" s="55">
        <v>1</v>
      </c>
      <c r="H15" s="118">
        <v>1</v>
      </c>
      <c r="I15" s="119">
        <v>21</v>
      </c>
      <c r="J15" s="55">
        <f t="shared" si="0"/>
        <v>21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8" t="s">
        <v>184</v>
      </c>
      <c r="D16" s="27" t="s">
        <v>188</v>
      </c>
      <c r="E16" s="27" t="s">
        <v>192</v>
      </c>
      <c r="F16" s="118">
        <v>3</v>
      </c>
      <c r="G16" s="55">
        <v>3</v>
      </c>
      <c r="H16" s="118">
        <v>9</v>
      </c>
      <c r="I16" s="119">
        <v>0.97</v>
      </c>
      <c r="J16" s="55">
        <f t="shared" si="0"/>
        <v>8.73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8" t="s">
        <v>185</v>
      </c>
      <c r="D17" s="27" t="s">
        <v>188</v>
      </c>
      <c r="E17" s="27" t="s">
        <v>193</v>
      </c>
      <c r="F17" s="118">
        <v>1</v>
      </c>
      <c r="G17" s="55">
        <v>100</v>
      </c>
      <c r="H17" s="118">
        <v>100</v>
      </c>
      <c r="I17" s="119">
        <v>1.27</v>
      </c>
      <c r="J17" s="55">
        <f t="shared" si="0"/>
        <v>127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18" t="s">
        <v>199</v>
      </c>
      <c r="D18" s="27" t="s">
        <v>188</v>
      </c>
      <c r="E18" s="27" t="s">
        <v>192</v>
      </c>
      <c r="F18" s="118">
        <v>3</v>
      </c>
      <c r="G18" s="55">
        <v>7</v>
      </c>
      <c r="H18" s="118">
        <v>21</v>
      </c>
      <c r="I18" s="119">
        <v>2.87</v>
      </c>
      <c r="J18" s="55">
        <f t="shared" si="0"/>
        <v>60.27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2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</row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8">
    <cfRule type="duplicateValues" dxfId="1" priority="1"/>
  </conditionalFormatting>
  <dataValidations count="1">
    <dataValidation type="decimal" operator="greaterThanOrEqual" allowBlank="1" showInputMessage="1" showErrorMessage="1" sqref="F11:J1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topLeftCell="A10" workbookViewId="0">
      <selection activeCell="A42" sqref="A42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14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 t="s">
        <v>171</v>
      </c>
      <c r="D28" s="117" t="s">
        <v>164</v>
      </c>
      <c r="E28" s="118">
        <v>1</v>
      </c>
      <c r="F28" s="119">
        <v>13.13</v>
      </c>
      <c r="G28" s="116">
        <f>+E28*F28</f>
        <v>13.13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 t="s">
        <v>170</v>
      </c>
      <c r="D29" s="117" t="s">
        <v>180</v>
      </c>
      <c r="E29" s="118">
        <v>1</v>
      </c>
      <c r="F29" s="119">
        <v>14</v>
      </c>
      <c r="G29" s="116">
        <f t="shared" ref="G29:G41" si="0">+E29*F29</f>
        <v>14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 t="s">
        <v>208</v>
      </c>
      <c r="D30" s="117" t="s">
        <v>164</v>
      </c>
      <c r="E30" s="118">
        <v>1</v>
      </c>
      <c r="F30" s="119">
        <v>15.44</v>
      </c>
      <c r="G30" s="116">
        <f t="shared" si="0"/>
        <v>15.44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 t="s">
        <v>173</v>
      </c>
      <c r="D31" s="117" t="s">
        <v>164</v>
      </c>
      <c r="E31" s="118">
        <v>3</v>
      </c>
      <c r="F31" s="119">
        <v>1.6</v>
      </c>
      <c r="G31" s="116">
        <f t="shared" si="0"/>
        <v>4.8000000000000007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 t="s">
        <v>174</v>
      </c>
      <c r="D32" s="117" t="s">
        <v>164</v>
      </c>
      <c r="E32" s="118">
        <v>3</v>
      </c>
      <c r="F32" s="119">
        <v>1.6</v>
      </c>
      <c r="G32" s="116">
        <f t="shared" si="0"/>
        <v>4.8000000000000007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118" t="s">
        <v>175</v>
      </c>
      <c r="D33" s="117" t="s">
        <v>164</v>
      </c>
      <c r="E33" s="118">
        <v>3</v>
      </c>
      <c r="F33" s="119">
        <v>5</v>
      </c>
      <c r="G33" s="116">
        <f t="shared" si="0"/>
        <v>15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118" t="s">
        <v>176</v>
      </c>
      <c r="D34" s="117" t="s">
        <v>164</v>
      </c>
      <c r="E34" s="118">
        <v>6</v>
      </c>
      <c r="F34" s="119">
        <v>2.77</v>
      </c>
      <c r="G34" s="116">
        <f t="shared" si="0"/>
        <v>16.62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118" t="s">
        <v>209</v>
      </c>
      <c r="D35" s="117" t="s">
        <v>164</v>
      </c>
      <c r="E35" s="118">
        <v>1</v>
      </c>
      <c r="F35" s="119">
        <v>37.130000000000003</v>
      </c>
      <c r="G35" s="116">
        <f t="shared" si="0"/>
        <v>37.130000000000003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118" t="s">
        <v>202</v>
      </c>
      <c r="D36" s="117" t="s">
        <v>164</v>
      </c>
      <c r="E36" s="118">
        <v>1</v>
      </c>
      <c r="F36" s="119">
        <v>250</v>
      </c>
      <c r="G36" s="116">
        <f t="shared" si="0"/>
        <v>250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118" t="s">
        <v>177</v>
      </c>
      <c r="D37" s="117" t="s">
        <v>164</v>
      </c>
      <c r="E37" s="118">
        <v>1</v>
      </c>
      <c r="F37" s="119">
        <v>3.25</v>
      </c>
      <c r="G37" s="116">
        <f t="shared" si="0"/>
        <v>3.25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118" t="s">
        <v>178</v>
      </c>
      <c r="D38" s="117" t="s">
        <v>164</v>
      </c>
      <c r="E38" s="118">
        <v>1</v>
      </c>
      <c r="F38" s="119">
        <v>5</v>
      </c>
      <c r="G38" s="116">
        <f t="shared" si="0"/>
        <v>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118" t="s">
        <v>172</v>
      </c>
      <c r="D39" s="117" t="s">
        <v>164</v>
      </c>
      <c r="E39" s="118">
        <v>1</v>
      </c>
      <c r="F39" s="119">
        <v>11.73</v>
      </c>
      <c r="G39" s="116">
        <f t="shared" si="0"/>
        <v>11.73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118" t="s">
        <v>203</v>
      </c>
      <c r="D40" s="117" t="s">
        <v>164</v>
      </c>
      <c r="E40" s="118">
        <v>1</v>
      </c>
      <c r="F40" s="119">
        <v>1.27</v>
      </c>
      <c r="G40" s="116">
        <f t="shared" si="0"/>
        <v>1.27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118" t="s">
        <v>194</v>
      </c>
      <c r="D41" s="117" t="s">
        <v>195</v>
      </c>
      <c r="E41" s="118">
        <v>3</v>
      </c>
      <c r="F41" s="119">
        <v>12</v>
      </c>
      <c r="G41" s="116">
        <f t="shared" si="0"/>
        <v>36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41" t="s">
        <v>29</v>
      </c>
      <c r="C42" s="142"/>
      <c r="D42" s="142"/>
      <c r="E42" s="142"/>
      <c r="F42" s="142"/>
      <c r="G42" s="143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2:G42"/>
    <mergeCell ref="B8:G8"/>
    <mergeCell ref="B9:G9"/>
    <mergeCell ref="B10:G10"/>
    <mergeCell ref="B11:G11"/>
    <mergeCell ref="B12:G12"/>
    <mergeCell ref="B15:G15"/>
  </mergeCells>
  <conditionalFormatting sqref="C28:C41">
    <cfRule type="duplicateValues" dxfId="0" priority="1"/>
  </conditionalFormatting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180</v>
      </c>
      <c r="E28" s="55"/>
      <c r="F28" s="55"/>
      <c r="G28" s="55" t="s">
        <v>179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2018-05-30T06:59:04Z</dcterms:modified>
</cp:coreProperties>
</file>