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Supplies_Medical'!$C$15:$C$47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36" i="9" l="1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<sst xmlns="http://schemas.openxmlformats.org/spreadsheetml/2006/main" count="500" uniqueCount="204">
  <si>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</si>
  <si>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</si>
  <si>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</si>
  <si>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</si>
  <si>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</si>
  <si>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</si>
  <si>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</si>
  <si>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</si>
  <si>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</si>
  <si>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</si>
  <si>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</si>
  <si>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</si>
  <si>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</si>
  <si>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</si>
  <si>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</si>
  <si>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</si>
  <si>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</si>
  <si>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</si>
  <si>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</si>
  <si>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</si>
  <si>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</si>
  <si>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</si>
  <si>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</si>
  <si>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</si>
  <si>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</si>
  <si>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</si>
  <si>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</si>
  <si>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</si>
  <si>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</si>
  <si>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</si>
  <si>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</si>
  <si>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</si>
  <si>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</si>
  <si>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</si>
  <si>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</si>
  <si>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</si>
  <si>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</si>
  <si>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</si>
  <si>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</si>
  <si>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</si>
  <si>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</si>
  <si>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</si>
  <si>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</si>
  <si>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</si>
  <si>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</si>
  <si>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</si>
  <si>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</si>
  <si>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</si>
  <si>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</si>
  <si>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</si>
  <si>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</si>
  <si>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</si>
  <si>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</si>
  <si>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</si>
  <si>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</si>
  <si>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</si>
  <si>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</si>
  <si>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</si>
  <si>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</si>
  <si>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</si>
  <si>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</si>
  <si>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</si>
  <si>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</si>
  <si>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</si>
  <si>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</si>
  <si>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</si>
  <si>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</si>
  <si>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</si>
  <si>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</si>
  <si>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</si>
  <si>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</si>
  <si>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</si>
  <si>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</si>
  <si>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</si>
  <si>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</si>
  <si>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</si>
  <si>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</si>
  <si>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</si>
  <si>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</si>
  <si>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</si>
  <si>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</si>
  <si>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</si>
  <si>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</si>
  <si>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</si>
  <si>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</si>
  <si>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</si>
  <si>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</si>
  <si>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</si>
  <si>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</si>
  <si>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</si>
  <si>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</si>
  <si>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</si>
  <si>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</si>
  <si>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</si>
  <si>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</si>
  <si>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</si>
  <si>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</si>
  <si>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</si>
  <si>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</si>
  <si>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</si>
  <si>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</si>
  <si>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</si>
  <si>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</si>
  <si>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</si>
  <si>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</si>
  <si>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</si>
  <si>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</si>
  <si>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</si>
  <si>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</si>
  <si>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</si>
  <si>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</si>
  <si>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</si>
  <si>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</si>
  <si>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</si>
  <si>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</si>
  <si>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</si>
  <si>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</si>
  <si>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</si>
  <si>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</si>
  <si>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</si>
  <si>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</si>
  <si>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</si>
  <si>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</si>
  <si>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</si>
  <si>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</si>
  <si>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</si>
  <si>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</si>
  <si>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</si>
  <si>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</si>
  <si>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</si>
  <si>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</si>
  <si>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</si>
  <si>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</si>
  <si>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</si>
  <si>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</si>
  <si>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</si>
  <si>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</si>
  <si>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</si>
  <si>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</si>
  <si>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</si>
  <si>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</si>
  <si>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</si>
  <si>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</si>
  <si>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</si>
  <si>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</si>
  <si>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</si>
  <si>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</si>
  <si>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</si>
  <si>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</si>
  <si>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</si>
  <si>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</si>
  <si>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</si>
  <si>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</si>
  <si>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</si>
  <si>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</si>
  <si>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</si>
  <si>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</si>
  <si>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</si>
  <si>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</si>
  <si>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</si>
  <si>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</si>
  <si>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</si>
  <si>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</si>
  <si>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</si>
  <si>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</si>
  <si>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</si>
  <si>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</si>
  <si>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</si>
  <si>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</si>
  <si>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</si>
  <si>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</si>
  <si>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IV SET W/ AIRWAY FOR IV PUSH, VACOSET/MACRODRIP, ADULT</t>
  </si>
  <si>
    <t>IV CATHETER GAUGE 18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</si>
  <si>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</si>
  <si>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</si>
  <si>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</si>
  <si>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5ML G 23, W/ NEEDLE X 100S</t>
  </si>
  <si>
    <t>CORD CLAMP (UMBILICAL) X 100S, STERILE</t>
  </si>
  <si>
    <t>MATERNITY PAD  X 8</t>
  </si>
  <si>
    <t>+RC[-2]*RC[-1]</t>
  </si>
  <si>
    <t>SET</t>
  </si>
  <si>
    <t>OXYTOCIN MALEATE 10MCG INJECTION 10 UNITS/ML-1ML</t>
  </si>
  <si>
    <t>(D5LRS 1L) 5% DEXTROSE IN LACTATED RINGERS SOLUTION 1000ML (D5 LRS) X 12S</t>
  </si>
  <si>
    <t>PHYTOMENADIONE ( VITAMIN K ) 10MG/1ML</t>
  </si>
  <si>
    <t>ERYTHROMYCIN  EYE OINTMENT 0.5%, 3.5G</t>
  </si>
  <si>
    <t>MEFENAMIC ACID 500MG IN BLISTER FOIL PACK</t>
  </si>
  <si>
    <t>FERROUS SULFATE + FOLIC ACID 200MG./400MCG (DONATION)</t>
  </si>
  <si>
    <t>VIAL</t>
  </si>
  <si>
    <t>FLUID</t>
  </si>
  <si>
    <t>TUBE</t>
  </si>
  <si>
    <t>CAPSULE</t>
  </si>
  <si>
    <t>10MCG</t>
  </si>
  <si>
    <t>1L</t>
  </si>
  <si>
    <t>10MG</t>
  </si>
  <si>
    <t>3.5G</t>
  </si>
  <si>
    <t>500MG</t>
  </si>
  <si>
    <t>200MG</t>
  </si>
  <si>
    <t>360392/74135</t>
  </si>
  <si>
    <t>DISPOSABLE HEAD CAP X 100S GARTERIZED</t>
  </si>
  <si>
    <t>CEFALEXIN MONOHYDRATE 500MG IN BLISTER FOIL PACK</t>
  </si>
  <si>
    <t>AMPULE</t>
  </si>
  <si>
    <t>CASE RATE</t>
  </si>
  <si>
    <t>PF CASE RATE</t>
  </si>
  <si>
    <t>NBB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</si>
</sst>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5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28575</xdr:rowOff>
        </xdr:from>
        <xdr:to>
          <xdr:col>1</xdr:col>
          <xdr:colOff>771525</xdr:colOff>
          <xdr:row>37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37</xdr:row>
          <xdr:rowOff>28575</xdr:rowOff>
        </xdr:from>
        <xdr:to>
          <xdr:col>1</xdr:col>
          <xdr:colOff>1543050</xdr:colOff>
          <xdr:row>37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197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3" t="s">
        <v>19</v>
      </c>
      <c r="C41" s="124"/>
      <c r="D41" s="121"/>
      <c r="E41" s="124"/>
      <c r="F41" s="1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3" t="s">
        <v>43</v>
      </c>
      <c r="C46" s="124"/>
      <c r="D46" s="121"/>
      <c r="E46" s="124"/>
      <c r="F46" s="1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0" t="s">
        <v>52</v>
      </c>
      <c r="C48" s="121"/>
      <c r="D48" s="121"/>
      <c r="E48" s="121"/>
      <c r="F48" s="1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0" t="s">
        <v>20</v>
      </c>
      <c r="C53" s="121"/>
      <c r="D53" s="121"/>
      <c r="E53" s="121"/>
      <c r="F53" s="12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201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202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203</v>
      </c>
      <c r="D65" s="55"/>
      <c r="E65" s="55">
        <v>1085.1199999999999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5000</v>
      </c>
      <c r="E74" s="59">
        <f>SUM(E63:E73)</f>
        <v>1085.1199999999999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" workbookViewId="0">
      <selection activeCell="G15" sqref="G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184</v>
      </c>
      <c r="D11" s="27" t="s">
        <v>189</v>
      </c>
      <c r="E11" s="27" t="s">
        <v>194</v>
      </c>
      <c r="F11" s="118">
        <v>1</v>
      </c>
      <c r="G11" s="55">
        <v>1</v>
      </c>
      <c r="H11" s="118">
        <v>1</v>
      </c>
      <c r="I11" s="119">
        <v>21</v>
      </c>
      <c r="J11" s="55">
        <f>H11*I11</f>
        <v>21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183</v>
      </c>
      <c r="D12" s="27" t="s">
        <v>187</v>
      </c>
      <c r="E12" s="27" t="s">
        <v>193</v>
      </c>
      <c r="F12" s="118">
        <v>1</v>
      </c>
      <c r="G12" s="55">
        <v>1</v>
      </c>
      <c r="H12" s="118">
        <v>1</v>
      </c>
      <c r="I12" s="119">
        <v>21.31</v>
      </c>
      <c r="J12" s="55">
        <f t="shared" ref="J12:J26" si="0">H12*I12</f>
        <v>21.31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182</v>
      </c>
      <c r="D13" s="27" t="s">
        <v>188</v>
      </c>
      <c r="E13" s="27" t="s">
        <v>192</v>
      </c>
      <c r="F13" s="118">
        <v>1</v>
      </c>
      <c r="G13" s="55">
        <v>1</v>
      </c>
      <c r="H13" s="118">
        <v>1</v>
      </c>
      <c r="I13" s="119">
        <v>49.33</v>
      </c>
      <c r="J13" s="55">
        <f t="shared" si="0"/>
        <v>49.33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181</v>
      </c>
      <c r="D14" s="27" t="s">
        <v>200</v>
      </c>
      <c r="E14" s="27" t="s">
        <v>191</v>
      </c>
      <c r="F14" s="118">
        <v>3</v>
      </c>
      <c r="G14" s="55">
        <v>1</v>
      </c>
      <c r="H14" s="118">
        <v>3</v>
      </c>
      <c r="I14" s="119">
        <v>8.52</v>
      </c>
      <c r="J14" s="55">
        <f t="shared" si="0"/>
        <v>25.56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185</v>
      </c>
      <c r="D15" s="27" t="s">
        <v>190</v>
      </c>
      <c r="E15" s="27" t="s">
        <v>195</v>
      </c>
      <c r="F15" s="118">
        <v>3</v>
      </c>
      <c r="G15" s="55">
        <v>3</v>
      </c>
      <c r="H15" s="118">
        <v>9</v>
      </c>
      <c r="I15" s="119">
        <v>0.97</v>
      </c>
      <c r="J15" s="55">
        <f t="shared" si="0"/>
        <v>8.73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186</v>
      </c>
      <c r="D16" s="27" t="s">
        <v>190</v>
      </c>
      <c r="E16" s="27" t="s">
        <v>196</v>
      </c>
      <c r="F16" s="118">
        <v>1</v>
      </c>
      <c r="G16" s="55">
        <v>100</v>
      </c>
      <c r="H16" s="118">
        <v>100</v>
      </c>
      <c r="I16" s="119">
        <v>1.27</v>
      </c>
      <c r="J16" s="55">
        <f t="shared" si="0"/>
        <v>127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8" t="s">
        <v>199</v>
      </c>
      <c r="D17" s="27" t="s">
        <v>190</v>
      </c>
      <c r="E17" s="27" t="s">
        <v>195</v>
      </c>
      <c r="F17" s="118">
        <v>3</v>
      </c>
      <c r="G17" s="55">
        <v>7</v>
      </c>
      <c r="H17" s="118">
        <v>21</v>
      </c>
      <c r="I17" s="119">
        <v>2.87</v>
      </c>
      <c r="J17" s="55">
        <f t="shared" si="0"/>
        <v>60.27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/>
      <c r="D18" s="27"/>
      <c r="E18" s="27"/>
      <c r="F18" s="118"/>
      <c r="G18" s="55"/>
      <c r="H18" s="118"/>
      <c r="I18" s="119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18"/>
      <c r="D19" s="27"/>
      <c r="E19" s="27"/>
      <c r="F19" s="118"/>
      <c r="G19" s="55"/>
      <c r="H19" s="118"/>
      <c r="I19" s="119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conditionalFormatting sqref="C11:C17">
    <cfRule type="duplicateValues" dxfId="1" priority="1"/>
  </conditionalFormatting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1"/>
  <sheetViews>
    <sheetView workbookViewId="0">
      <selection activeCell="F36" sqref="F36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171</v>
      </c>
      <c r="D28" s="117" t="s">
        <v>180</v>
      </c>
      <c r="E28" s="118">
        <v>1</v>
      </c>
      <c r="F28" s="119">
        <v>14</v>
      </c>
      <c r="G28" s="116">
        <f>+E28*F28</f>
        <v>14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172</v>
      </c>
      <c r="D29" s="117" t="s">
        <v>164</v>
      </c>
      <c r="E29" s="118">
        <v>1</v>
      </c>
      <c r="F29" s="119">
        <v>13.13</v>
      </c>
      <c r="G29" s="116">
        <f t="shared" ref="G29:G36" si="0">+E29*F29</f>
        <v>13.13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178</v>
      </c>
      <c r="D30" s="117" t="s">
        <v>164</v>
      </c>
      <c r="E30" s="118">
        <v>1</v>
      </c>
      <c r="F30" s="119">
        <v>250</v>
      </c>
      <c r="G30" s="116">
        <f t="shared" si="0"/>
        <v>250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177</v>
      </c>
      <c r="D31" s="117" t="s">
        <v>164</v>
      </c>
      <c r="E31" s="118">
        <v>1</v>
      </c>
      <c r="F31" s="119">
        <v>3.25</v>
      </c>
      <c r="G31" s="116">
        <f t="shared" si="0"/>
        <v>3.25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173</v>
      </c>
      <c r="D32" s="117" t="s">
        <v>164</v>
      </c>
      <c r="E32" s="118">
        <v>2</v>
      </c>
      <c r="F32" s="119">
        <v>20.97</v>
      </c>
      <c r="G32" s="116">
        <f t="shared" si="0"/>
        <v>41.94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118" t="s">
        <v>198</v>
      </c>
      <c r="D33" s="117" t="s">
        <v>164</v>
      </c>
      <c r="E33" s="118">
        <v>1</v>
      </c>
      <c r="F33" s="119">
        <v>1.27</v>
      </c>
      <c r="G33" s="116">
        <f t="shared" si="0"/>
        <v>1.27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118" t="s">
        <v>174</v>
      </c>
      <c r="D34" s="117" t="s">
        <v>164</v>
      </c>
      <c r="E34" s="118">
        <v>1</v>
      </c>
      <c r="F34" s="119">
        <v>11.73</v>
      </c>
      <c r="G34" s="116">
        <f t="shared" si="0"/>
        <v>11.73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118" t="s">
        <v>175</v>
      </c>
      <c r="D35" s="117" t="s">
        <v>164</v>
      </c>
      <c r="E35" s="118">
        <v>1</v>
      </c>
      <c r="F35" s="119">
        <v>1.6</v>
      </c>
      <c r="G35" s="116">
        <f t="shared" si="0"/>
        <v>1.6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9</v>
      </c>
      <c r="C36" s="118" t="s">
        <v>176</v>
      </c>
      <c r="D36" s="117" t="s">
        <v>164</v>
      </c>
      <c r="E36" s="118">
        <v>1</v>
      </c>
      <c r="F36" s="119">
        <v>5</v>
      </c>
      <c r="G36" s="116">
        <f t="shared" si="0"/>
        <v>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141" t="s">
        <v>29</v>
      </c>
      <c r="C37" s="142"/>
      <c r="D37" s="142"/>
      <c r="E37" s="142"/>
      <c r="F37" s="142"/>
      <c r="G37" s="143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.75" customHeight="1" x14ac:dyDescent="0.25"/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7:G37"/>
    <mergeCell ref="B8:G8"/>
    <mergeCell ref="B9:G9"/>
    <mergeCell ref="B10:G10"/>
    <mergeCell ref="B11:G11"/>
    <mergeCell ref="B12:G12"/>
    <mergeCell ref="B15:G15"/>
  </mergeCells>
  <conditionalFormatting sqref="C28:C36">
    <cfRule type="duplicateValues" dxfId="0" priority="1"/>
  </conditionalFormatting>
  <dataValidations count="1">
    <dataValidation type="decimal" operator="greaterThanOrEqual" allowBlank="1" showInputMessage="1" showErrorMessage="1" sqref="E16:G4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37</xdr:row>
                    <xdr:rowOff>28575</xdr:rowOff>
                  </from>
                  <to>
                    <xdr:col>1</xdr:col>
                    <xdr:colOff>771525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37</xdr:row>
                    <xdr:rowOff>28575</xdr:rowOff>
                  </from>
                  <to>
                    <xdr:col>1</xdr:col>
                    <xdr:colOff>1543050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180</v>
      </c>
      <c r="E28" s="55"/>
      <c r="F28" s="55"/>
      <c r="G28" s="55" t="s">
        <v>179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2018-05-30T04:32:20Z</dcterms:modified>
</cp:coreProperties>
</file>