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9" i="2" l="1"/>
  <c r="J18" i="2"/>
  <c r="J17" i="2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<sst xmlns="http://schemas.openxmlformats.org/spreadsheetml/2006/main" count="516" uniqueCount="213">
  <si>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</si>
  <si>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</si>
  <si>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</si>
  <si>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</si>
  <si>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</si>
  <si>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</si>
  <si>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</si>
  <si>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</si>
  <si>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</si>
  <si>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</si>
  <si>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</si>
  <si>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</si>
  <si>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</si>
  <si>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</si>
  <si>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</si>
  <si>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</si>
  <si>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</si>
  <si>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</si>
  <si>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</si>
  <si>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</si>
  <si>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</si>
  <si>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</si>
  <si>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</si>
  <si>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</si>
  <si>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</si>
  <si>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</si>
  <si>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</si>
  <si>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</si>
  <si>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</si>
  <si>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</si>
  <si>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</si>
  <si>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</si>
  <si>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</si>
  <si>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</si>
  <si>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</si>
  <si>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</si>
  <si>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</si>
  <si>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</si>
  <si>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</si>
  <si>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</si>
  <si>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</si>
  <si>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</si>
  <si>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</si>
  <si>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</si>
  <si>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</si>
  <si>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</si>
  <si>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</si>
  <si>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</si>
  <si>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</si>
  <si>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</si>
  <si>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</si>
  <si>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</si>
  <si>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</si>
  <si>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</si>
  <si>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</si>
  <si>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</si>
  <si>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</si>
  <si>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</si>
  <si>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</si>
  <si>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</si>
  <si>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</si>
  <si>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</si>
  <si>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</si>
  <si>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</si>
  <si>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</si>
  <si>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</si>
  <si>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</si>
  <si>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</si>
  <si>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</si>
  <si>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</si>
  <si>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</si>
  <si>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</si>
  <si>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</si>
  <si>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</si>
  <si>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</si>
  <si>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</si>
  <si>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</si>
  <si>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</si>
  <si>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</si>
  <si>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</si>
  <si>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</si>
  <si>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</si>
  <si>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</si>
  <si>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</si>
  <si>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</si>
  <si>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</si>
  <si>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</si>
  <si>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</si>
  <si>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</si>
  <si>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</si>
  <si>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</si>
  <si>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</si>
  <si>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</si>
  <si>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</si>
  <si>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</si>
  <si>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</si>
  <si>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</si>
  <si>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</si>
  <si>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</si>
  <si>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</si>
  <si>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</si>
  <si>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</si>
  <si>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</si>
  <si>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</si>
  <si>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</si>
  <si>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</si>
  <si>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</si>
  <si>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</si>
  <si>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</si>
  <si>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</si>
  <si>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</si>
  <si>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</si>
  <si>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</si>
  <si>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</si>
  <si>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</si>
  <si>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</si>
  <si>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</si>
  <si>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</si>
  <si>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</si>
  <si>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</si>
  <si>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</si>
  <si>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</si>
  <si>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</si>
  <si>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</si>
  <si>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</si>
  <si>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</si>
  <si>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</si>
  <si>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</si>
  <si>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</si>
  <si>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</si>
  <si>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</si>
  <si>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</si>
  <si>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</si>
  <si>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</si>
  <si>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</si>
  <si>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</si>
  <si>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</si>
  <si>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</si>
  <si>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</si>
  <si>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</si>
  <si>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</si>
  <si>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</si>
  <si>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</si>
  <si>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</si>
  <si>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</si>
  <si>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</si>
  <si>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</si>
  <si>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</si>
  <si>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</si>
  <si>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</si>
  <si>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</si>
  <si>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</si>
  <si>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</si>
  <si>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</si>
  <si>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</si>
  <si>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</si>
  <si>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</si>
  <si>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</si>
  <si>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</si>
  <si>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</si>
  <si>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</si>
  <si>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</si>
  <si>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</si>
  <si>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</si>
  <si>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</si>
  <si>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</si>
  <si>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</si>
  <si>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</si>
  <si>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</si>
  <si>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</si>
  <si>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</si>
  <si>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</si>
  <si>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</si>
  <si>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</si>
  <si>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</si>
  <si>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</si>
  <si>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</si>
  <si>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</si>
  <si>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</si>
  <si>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</si>
  <si>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</si>
  <si>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MATERNITY PAD  X 8</t>
  </si>
  <si>
    <t>+RC[-2]*RC[-1]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</si>
  <si>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</si>
  <si>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</si>
  <si>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</si>
  <si>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</si>
  <si>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PHYTOMENADIONE ( VITAMIN K ) 10MG/1ML</t>
  </si>
  <si>
    <t>ERYTHROMYCIN  EYE OINTMENT 0.5%, 3.5G</t>
  </si>
  <si>
    <t>HYOSCINE N-BUTYLBROMIDE 20MG/ML-1ML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</si>
  <si>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</si>
  <si>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</si>
  <si>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</si>
  <si>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</si>
  <si>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</si>
  <si>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</si>
  <si>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10MCG</t>
  </si>
  <si>
    <t>1L</t>
  </si>
  <si>
    <t>10MG</t>
  </si>
  <si>
    <t>3.5G</t>
  </si>
  <si>
    <t>20MG</t>
  </si>
  <si>
    <t>500MG</t>
  </si>
  <si>
    <t>200MG</t>
  </si>
  <si>
    <t>CEFALEXIN MONOHYDRATE 500MG IN BLISTER FOIL PACK</t>
  </si>
  <si>
    <t>AMPULE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</si>
  <si>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</si>
  <si>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</si>
  <si>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354427/74084</t>
  </si>
  <si>
    <t>Z-FOLD PAPER FOR FETAL CHART 30-240BPM X 40S (152MM X 90MM X 150 SHEETS)</t>
  </si>
  <si>
    <t>(PLAIN LRS 1L) LACTATED RINGER''''S SOLUTION 1000ML (PLAIN LRS 1L) X 12S</t>
  </si>
  <si>
    <t>CASE RATE</t>
  </si>
  <si>
    <t>PF CASE RATE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</si>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</sst>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210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211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212</v>
      </c>
      <c r="D65" s="55"/>
      <c r="E65" s="55"/>
      <c r="F65" s="55">
        <v>1284.68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0</v>
      </c>
      <c r="F74" s="59">
        <f>SUM(F63:F73)</f>
        <v>1284.68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G14" sqref="G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187</v>
      </c>
      <c r="D11" s="27" t="s">
        <v>192</v>
      </c>
      <c r="E11" s="27" t="s">
        <v>198</v>
      </c>
      <c r="F11" s="118">
        <v>1</v>
      </c>
      <c r="G11" s="55">
        <v>1</v>
      </c>
      <c r="H11" s="118">
        <v>1</v>
      </c>
      <c r="I11" s="119">
        <v>21.31</v>
      </c>
      <c r="J11" s="55">
        <f>H11*I11</f>
        <v>21.31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188</v>
      </c>
      <c r="D12" s="27" t="s">
        <v>194</v>
      </c>
      <c r="E12" s="27" t="s">
        <v>199</v>
      </c>
      <c r="F12" s="118">
        <v>1</v>
      </c>
      <c r="G12" s="55">
        <v>1</v>
      </c>
      <c r="H12" s="118">
        <v>1</v>
      </c>
      <c r="I12" s="119">
        <v>21</v>
      </c>
      <c r="J12" s="55">
        <f t="shared" ref="J12:J19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186</v>
      </c>
      <c r="D13" s="27" t="s">
        <v>193</v>
      </c>
      <c r="E13" s="27" t="s">
        <v>197</v>
      </c>
      <c r="F13" s="118">
        <v>1</v>
      </c>
      <c r="G13" s="55">
        <v>2</v>
      </c>
      <c r="H13" s="118">
        <v>2</v>
      </c>
      <c r="I13" s="119">
        <v>49.33</v>
      </c>
      <c r="J13" s="55">
        <f t="shared" si="0"/>
        <v>98.66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189</v>
      </c>
      <c r="D14" s="27" t="s">
        <v>204</v>
      </c>
      <c r="E14" s="27" t="s">
        <v>200</v>
      </c>
      <c r="F14" s="118">
        <v>2</v>
      </c>
      <c r="G14" s="55">
        <v>2</v>
      </c>
      <c r="H14" s="118">
        <v>4</v>
      </c>
      <c r="I14" s="119">
        <v>25.79</v>
      </c>
      <c r="J14" s="55">
        <f t="shared" si="0"/>
        <v>103.16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190</v>
      </c>
      <c r="D15" s="27" t="s">
        <v>195</v>
      </c>
      <c r="E15" s="27" t="s">
        <v>201</v>
      </c>
      <c r="F15" s="118">
        <v>3</v>
      </c>
      <c r="G15" s="55">
        <v>3</v>
      </c>
      <c r="H15" s="118">
        <v>9</v>
      </c>
      <c r="I15" s="119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191</v>
      </c>
      <c r="D16" s="27" t="s">
        <v>195</v>
      </c>
      <c r="E16" s="27" t="s">
        <v>202</v>
      </c>
      <c r="F16" s="118">
        <v>1</v>
      </c>
      <c r="G16" s="55">
        <v>100</v>
      </c>
      <c r="H16" s="118">
        <v>100</v>
      </c>
      <c r="I16" s="119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203</v>
      </c>
      <c r="D17" s="27" t="s">
        <v>195</v>
      </c>
      <c r="E17" s="27" t="s">
        <v>201</v>
      </c>
      <c r="F17" s="118">
        <v>3</v>
      </c>
      <c r="G17" s="55">
        <v>7</v>
      </c>
      <c r="H17" s="118">
        <v>21</v>
      </c>
      <c r="I17" s="119">
        <v>2.87</v>
      </c>
      <c r="J17" s="55">
        <f t="shared" si="0"/>
        <v>60.27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209</v>
      </c>
      <c r="D18" s="27" t="s">
        <v>193</v>
      </c>
      <c r="E18" s="27" t="s">
        <v>197</v>
      </c>
      <c r="F18" s="118">
        <v>1</v>
      </c>
      <c r="G18" s="55">
        <v>1</v>
      </c>
      <c r="H18" s="118">
        <v>1</v>
      </c>
      <c r="I18" s="119">
        <v>49.33</v>
      </c>
      <c r="J18" s="55">
        <f t="shared" si="0"/>
        <v>49.33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185</v>
      </c>
      <c r="D19" s="27" t="s">
        <v>204</v>
      </c>
      <c r="E19" s="27" t="s">
        <v>196</v>
      </c>
      <c r="F19" s="118">
        <v>1</v>
      </c>
      <c r="G19" s="55">
        <v>1</v>
      </c>
      <c r="H19" s="118">
        <v>1</v>
      </c>
      <c r="I19" s="119">
        <v>8.52</v>
      </c>
      <c r="J19" s="55">
        <f t="shared" si="0"/>
        <v>8.52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workbookViewId="0">
      <selection activeCell="D29" sqref="D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183</v>
      </c>
      <c r="D28" s="117" t="s">
        <v>164</v>
      </c>
      <c r="E28" s="118">
        <v>2</v>
      </c>
      <c r="F28" s="119">
        <v>118.67</v>
      </c>
      <c r="G28" s="116">
        <f>+E28*F28</f>
        <v>237.34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181</v>
      </c>
      <c r="D29" s="117" t="s">
        <v>164</v>
      </c>
      <c r="E29" s="118">
        <v>3</v>
      </c>
      <c r="F29" s="119">
        <v>250</v>
      </c>
      <c r="G29" s="116">
        <f t="shared" ref="G29:G41" si="0">+E29*F29</f>
        <v>750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172</v>
      </c>
      <c r="D30" s="117" t="s">
        <v>164</v>
      </c>
      <c r="E30" s="118">
        <v>2</v>
      </c>
      <c r="F30" s="119">
        <v>13.13</v>
      </c>
      <c r="G30" s="116">
        <f t="shared" si="0"/>
        <v>26.26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179</v>
      </c>
      <c r="D31" s="117" t="s">
        <v>164</v>
      </c>
      <c r="E31" s="118">
        <v>1</v>
      </c>
      <c r="F31" s="119">
        <v>3.25</v>
      </c>
      <c r="G31" s="116">
        <f t="shared" si="0"/>
        <v>3.25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180</v>
      </c>
      <c r="D32" s="117" t="s">
        <v>164</v>
      </c>
      <c r="E32" s="118">
        <v>1</v>
      </c>
      <c r="F32" s="119">
        <v>5</v>
      </c>
      <c r="G32" s="116">
        <f t="shared" si="0"/>
        <v>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174</v>
      </c>
      <c r="D33" s="117" t="s">
        <v>164</v>
      </c>
      <c r="E33" s="118">
        <v>1</v>
      </c>
      <c r="F33" s="119">
        <v>11.73</v>
      </c>
      <c r="G33" s="116">
        <f t="shared" si="0"/>
        <v>11.73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175</v>
      </c>
      <c r="D34" s="117" t="s">
        <v>164</v>
      </c>
      <c r="E34" s="118">
        <v>4</v>
      </c>
      <c r="F34" s="119">
        <v>1.6</v>
      </c>
      <c r="G34" s="116">
        <f t="shared" si="0"/>
        <v>6.4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176</v>
      </c>
      <c r="D35" s="117" t="s">
        <v>164</v>
      </c>
      <c r="E35" s="118">
        <v>1</v>
      </c>
      <c r="F35" s="119">
        <v>1.6</v>
      </c>
      <c r="G35" s="116">
        <f t="shared" si="0"/>
        <v>1.6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177</v>
      </c>
      <c r="D36" s="117" t="s">
        <v>164</v>
      </c>
      <c r="E36" s="118">
        <v>1</v>
      </c>
      <c r="F36" s="119">
        <v>5</v>
      </c>
      <c r="G36" s="116">
        <f t="shared" si="0"/>
        <v>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173</v>
      </c>
      <c r="D37" s="117" t="s">
        <v>164</v>
      </c>
      <c r="E37" s="118">
        <v>2</v>
      </c>
      <c r="F37" s="119">
        <v>20.97</v>
      </c>
      <c r="G37" s="116">
        <f t="shared" si="0"/>
        <v>41.94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208</v>
      </c>
      <c r="D38" s="117" t="s">
        <v>164</v>
      </c>
      <c r="E38" s="118">
        <v>1</v>
      </c>
      <c r="F38" s="119">
        <v>100</v>
      </c>
      <c r="G38" s="116">
        <f t="shared" si="0"/>
        <v>100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178</v>
      </c>
      <c r="D39" s="117" t="s">
        <v>164</v>
      </c>
      <c r="E39" s="118">
        <v>5</v>
      </c>
      <c r="F39" s="119">
        <v>2.77</v>
      </c>
      <c r="G39" s="116">
        <f t="shared" si="0"/>
        <v>13.85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171</v>
      </c>
      <c r="D40" s="117" t="s">
        <v>184</v>
      </c>
      <c r="E40" s="118">
        <v>1</v>
      </c>
      <c r="F40" s="119">
        <v>14</v>
      </c>
      <c r="G40" s="116">
        <f t="shared" si="0"/>
        <v>14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205</v>
      </c>
      <c r="D41" s="117" t="s">
        <v>206</v>
      </c>
      <c r="E41" s="118">
        <v>1</v>
      </c>
      <c r="F41" s="119">
        <v>105.33</v>
      </c>
      <c r="G41" s="116">
        <f t="shared" si="0"/>
        <v>105.33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41" t="s">
        <v>29</v>
      </c>
      <c r="C42" s="142"/>
      <c r="D42" s="142"/>
      <c r="E42" s="142"/>
      <c r="F42" s="142"/>
      <c r="G42" s="143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2:G42"/>
    <mergeCell ref="B8:G8"/>
    <mergeCell ref="B9:G9"/>
    <mergeCell ref="B10:G10"/>
    <mergeCell ref="B11:G11"/>
    <mergeCell ref="B12:G12"/>
    <mergeCell ref="B15:G15"/>
  </mergeCells>
  <conditionalFormatting sqref="C28:C41">
    <cfRule type="duplicateValues" dxfId="0" priority="1"/>
  </conditionalFormatting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184</v>
      </c>
      <c r="E28" s="55"/>
      <c r="F28" s="55"/>
      <c r="G28" s="55" t="s">
        <v>182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2018-05-30T04:29:23Z</dcterms:modified>
</cp:coreProperties>
</file>