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Drugs&amp;Med'!$B$2:$J$19</definedName>
  </definedNames>
  <calcPr calcId="144525"/>
</workbook>
</file>

<file path=xl/calcChain.xml><?xml version="1.0" encoding="utf-8"?>
<calcChain xmlns="http://schemas.openxmlformats.org/spreadsheetml/2006/main">
  <c r="G45" i="9" l="1"/>
  <c r="G44" i="9"/>
  <c r="G43" i="9"/>
  <c r="G42" i="9"/>
  <c r="G41" i="9"/>
  <c r="G40" i="9"/>
  <c r="G39" i="9"/>
  <c r="G38" i="9"/>
  <c r="G37" i="9"/>
  <c r="J18" i="2" l="1"/>
  <c r="J17" i="2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<sst xmlns="http://schemas.openxmlformats.org/spreadsheetml/2006/main" count="521" uniqueCount="217">
  <si>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</si>
  <si>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</si>
  <si>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</si>
  <si>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</si>
  <si>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</si>
  <si>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</si>
  <si>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</si>
  <si>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</si>
  <si>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</si>
  <si>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</si>
  <si>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</si>
  <si>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</si>
  <si>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</si>
  <si>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</si>
  <si>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</si>
  <si>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</si>
  <si>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</si>
  <si>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</si>
  <si>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</si>
  <si>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</si>
  <si>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</si>
  <si>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</si>
  <si>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</si>
  <si>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</si>
  <si>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</si>
  <si>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</si>
  <si>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</si>
  <si>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</si>
  <si>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</si>
  <si>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</si>
  <si>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</si>
  <si>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</si>
  <si>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</si>
  <si>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</si>
  <si>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</si>
  <si>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</si>
  <si>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</si>
  <si>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</si>
  <si>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</si>
  <si>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</si>
  <si>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</si>
  <si>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</si>
  <si>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</si>
  <si>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</si>
  <si>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</si>
  <si>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</si>
  <si>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</si>
  <si>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</si>
  <si>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</si>
  <si>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</si>
  <si>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</si>
  <si>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</si>
  <si>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</si>
  <si>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</si>
  <si>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</si>
  <si>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</si>
  <si>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</si>
  <si>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</si>
  <si>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</si>
  <si>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</si>
  <si>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</si>
  <si>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</si>
  <si>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</si>
  <si>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</si>
  <si>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</si>
  <si>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</si>
  <si>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</si>
  <si>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</si>
  <si>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</si>
  <si>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</si>
  <si>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</si>
  <si>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</si>
  <si>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</si>
  <si>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</si>
  <si>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</si>
  <si>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</si>
  <si>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</si>
  <si>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</si>
  <si>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</si>
  <si>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</si>
  <si>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</si>
  <si>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</si>
  <si>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</si>
  <si>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</si>
  <si>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</si>
  <si>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</si>
  <si>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</si>
  <si>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</si>
  <si>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</si>
  <si>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</si>
  <si>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</si>
  <si>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</si>
  <si>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</si>
  <si>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</si>
  <si>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</si>
  <si>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</si>
  <si>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</si>
  <si>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</si>
  <si>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</si>
  <si>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</si>
  <si>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</si>
  <si>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</si>
  <si>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</si>
  <si>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</si>
  <si>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</si>
  <si>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</si>
  <si>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</si>
  <si>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</si>
  <si>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</si>
  <si>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</si>
  <si>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</si>
  <si>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</si>
  <si>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</si>
  <si>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</si>
  <si>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</si>
  <si>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</si>
  <si>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</si>
  <si>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</si>
  <si>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</si>
  <si>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</si>
  <si>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</si>
  <si>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</si>
  <si>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</si>
  <si>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</si>
  <si>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</si>
  <si>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</si>
  <si>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</si>
  <si>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</si>
  <si>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</si>
  <si>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</si>
  <si>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</si>
  <si>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</si>
  <si>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</si>
  <si>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</si>
  <si>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</si>
  <si>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</si>
  <si>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</si>
  <si>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</si>
  <si>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</si>
  <si>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</si>
  <si>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</si>
  <si>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</si>
  <si>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</si>
  <si>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</si>
  <si>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</si>
  <si>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</si>
  <si>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</si>
  <si>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</si>
  <si>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</si>
  <si>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</si>
  <si>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</si>
  <si>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</si>
  <si>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</si>
  <si>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</si>
  <si>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</si>
  <si>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</si>
  <si>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</si>
  <si>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</si>
  <si>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</si>
  <si>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</si>
  <si>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</si>
  <si>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</si>
  <si>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</si>
  <si>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</si>
  <si>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</si>
  <si>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</si>
  <si>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</si>
  <si>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</si>
  <si>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</si>
  <si>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</si>
  <si>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</si>
  <si>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</si>
  <si>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</si>
  <si>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</si>
  <si>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</si>
  <si>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</si>
  <si>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</si>
  <si>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</si>
  <si>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</si>
  <si>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</si>
  <si>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</si>
  <si>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CATGUT 2-0 ABSORBABLE SURGICAL SUTURE AT LEAST 75CM,  WITH AT LEAST 35-37MM X ½ CIRCLE ROUND TAPER NEEDLE</t>
  </si>
  <si>
    <t>SET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</si>
  <si>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</si>
  <si>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</si>
  <si>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</si>
  <si>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</si>
  <si>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</si>
  <si>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VIAL</t>
  </si>
  <si>
    <t>FLUID</t>
  </si>
  <si>
    <t>TUBE</t>
  </si>
  <si>
    <t>CAPSULE</t>
  </si>
  <si>
    <t>1L</t>
  </si>
  <si>
    <t>10MG</t>
  </si>
  <si>
    <t>3.5G</t>
  </si>
  <si>
    <t>500MG</t>
  </si>
  <si>
    <t>200MG</t>
  </si>
  <si>
    <t>ROLL</t>
  </si>
  <si>
    <t>ULTRASOUND PRINTING PAPER 110MM X 20MM (HIGH DENSITY) (DURICO TYPE 1)</t>
  </si>
  <si>
    <t>MEDICAL GLOVES W/ CUFF, STERILE LATEX, NATURAL RUBBER: BOX OF 50'S  WARD USE SIZE 6 1/2</t>
  </si>
  <si>
    <t>PAIR</t>
  </si>
  <si>
    <t>CASE RATE</t>
  </si>
  <si>
    <t>PF CASE</t>
  </si>
  <si>
    <t>PAID BY PATIENT</t>
  </si>
  <si>
    <t>Z-FOLD PAPER FOR FETAL CHART 30-240BPM X 40S (152MM X 90MM X 150 SHEETS)</t>
  </si>
  <si>
    <t>MATERNITY PAD  X 8</t>
  </si>
  <si>
    <t>DISPOSABLE HEAD CAP X 100S GARTERIZED</t>
  </si>
  <si>
    <t>NGT 8 STRAIGHT, 40CM (CPR NEEDED)</t>
  </si>
  <si>
    <t>OXYTOCIN MALEATE 10MCG INJECTION 10 UNITS/ML-1ML</t>
  </si>
  <si>
    <t>10MCG</t>
  </si>
  <si>
    <t>AMPULE</t>
  </si>
  <si>
    <t>CEFALEXIN MONOHYDRATE 500MG IN BLISTER FOIL PACK</t>
  </si>
  <si>
    <t>HYOSCINE N-BUTYLBROMIDE 20MG/ML-1ML</t>
  </si>
  <si>
    <t>20MG</t>
  </si>
  <si>
    <t>217124/74381</t>
  </si>
  <si>
    <t>IV CATHETER GAUGE 20</t>
  </si>
  <si>
    <t>DISPOSABLE FACE MASK, EAR LOOP 3 FOLDS X 50S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</si>
</sst>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169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21" t="s">
        <v>19</v>
      </c>
      <c r="C36" s="122"/>
      <c r="D36" s="119"/>
      <c r="E36" s="122"/>
      <c r="F36" s="120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43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44</v>
      </c>
      <c r="C42" s="13"/>
      <c r="D42" s="13"/>
      <c r="E42" s="16">
        <v>0</v>
      </c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52</v>
      </c>
      <c r="C43" s="119"/>
      <c r="D43" s="119"/>
      <c r="E43" s="119"/>
      <c r="F43" s="120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20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54</v>
      </c>
      <c r="C57" s="17" t="s">
        <v>50</v>
      </c>
      <c r="D57" s="17" t="s">
        <v>55</v>
      </c>
      <c r="E57" s="18" t="s">
        <v>56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201</v>
      </c>
      <c r="D58" s="55">
        <v>3000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202</v>
      </c>
      <c r="D59" s="55">
        <v>2000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203</v>
      </c>
      <c r="D60" s="55"/>
      <c r="E60" s="55"/>
      <c r="F60" s="55">
        <v>918.64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0</v>
      </c>
      <c r="F69" s="59">
        <f>SUM(F58:F68)</f>
        <v>918.64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32:F32"/>
    <mergeCell ref="B27:F27"/>
    <mergeCell ref="B36:F36"/>
    <mergeCell ref="B43:F43"/>
  </mergeCells>
  <dataValidations count="1">
    <dataValidation type="decimal" operator="greaterThanOrEqual" allowBlank="1" showInputMessage="1" showErrorMessage="1" sqref="E31 E37:E40 E42 E22:F26 E44:F47 E49:F54 E33:E35 D58:F6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9"/>
  <sheetViews>
    <sheetView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8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31" t="s">
        <v>183</v>
      </c>
      <c r="D11" s="27" t="s">
        <v>189</v>
      </c>
      <c r="E11" s="27" t="s">
        <v>192</v>
      </c>
      <c r="F11" s="55">
        <v>1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31" t="s">
        <v>184</v>
      </c>
      <c r="D12" s="27" t="s">
        <v>188</v>
      </c>
      <c r="E12" s="27" t="s">
        <v>193</v>
      </c>
      <c r="F12" s="55">
        <v>1</v>
      </c>
      <c r="G12" s="55">
        <v>1</v>
      </c>
      <c r="H12" s="55">
        <v>1</v>
      </c>
      <c r="I12" s="55">
        <v>21.31</v>
      </c>
      <c r="J12" s="55">
        <f t="shared" ref="J12:J18" si="0">H12*I12</f>
        <v>21.31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31" t="s">
        <v>185</v>
      </c>
      <c r="D13" s="27" t="s">
        <v>190</v>
      </c>
      <c r="E13" s="27" t="s">
        <v>194</v>
      </c>
      <c r="F13" s="55">
        <v>1</v>
      </c>
      <c r="G13" s="55">
        <v>1</v>
      </c>
      <c r="H13" s="55">
        <v>1</v>
      </c>
      <c r="I13" s="55">
        <v>21</v>
      </c>
      <c r="J13" s="55">
        <f t="shared" si="0"/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31" t="s">
        <v>208</v>
      </c>
      <c r="D14" s="27" t="s">
        <v>210</v>
      </c>
      <c r="E14" s="27" t="s">
        <v>209</v>
      </c>
      <c r="F14" s="55">
        <v>2</v>
      </c>
      <c r="G14" s="55">
        <v>3</v>
      </c>
      <c r="H14" s="55">
        <v>5</v>
      </c>
      <c r="I14" s="55">
        <v>8.52</v>
      </c>
      <c r="J14" s="55">
        <f t="shared" si="0"/>
        <v>42.599999999999994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31" t="s">
        <v>212</v>
      </c>
      <c r="D15" s="27" t="s">
        <v>188</v>
      </c>
      <c r="E15" s="27" t="s">
        <v>213</v>
      </c>
      <c r="F15" s="55">
        <v>1</v>
      </c>
      <c r="G15" s="55">
        <v>2</v>
      </c>
      <c r="H15" s="55">
        <v>2</v>
      </c>
      <c r="I15" s="55">
        <v>25.79</v>
      </c>
      <c r="J15" s="55">
        <f t="shared" si="0"/>
        <v>51.58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31" t="s">
        <v>186</v>
      </c>
      <c r="D16" s="27" t="s">
        <v>191</v>
      </c>
      <c r="E16" s="27" t="s">
        <v>195</v>
      </c>
      <c r="F16" s="55">
        <v>3</v>
      </c>
      <c r="G16" s="55">
        <v>3</v>
      </c>
      <c r="H16" s="55">
        <v>9</v>
      </c>
      <c r="I16" s="55">
        <v>0.97</v>
      </c>
      <c r="J16" s="55">
        <f t="shared" si="0"/>
        <v>8.73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31" t="s">
        <v>187</v>
      </c>
      <c r="D17" s="27" t="s">
        <v>191</v>
      </c>
      <c r="E17" s="27" t="s">
        <v>196</v>
      </c>
      <c r="F17" s="55">
        <v>1</v>
      </c>
      <c r="G17" s="55">
        <v>100</v>
      </c>
      <c r="H17" s="55">
        <v>100</v>
      </c>
      <c r="I17" s="55">
        <v>1.27</v>
      </c>
      <c r="J17" s="55">
        <f t="shared" si="0"/>
        <v>127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31" t="s">
        <v>211</v>
      </c>
      <c r="D18" s="27" t="s">
        <v>191</v>
      </c>
      <c r="E18" s="27" t="s">
        <v>195</v>
      </c>
      <c r="F18" s="55">
        <v>3</v>
      </c>
      <c r="G18" s="55">
        <v>7</v>
      </c>
      <c r="H18" s="55">
        <v>21</v>
      </c>
      <c r="I18" s="55">
        <v>2.87</v>
      </c>
      <c r="J18" s="55">
        <f t="shared" si="0"/>
        <v>60.27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8">
    <cfRule type="duplicateValues" dxfId="17" priority="21"/>
  </conditionalFormatting>
  <dataValidations count="1">
    <dataValidation type="decimal" operator="greaterThanOrEqual" allowBlank="1" showInputMessage="1" showErrorMessage="1" sqref="F11:J18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workbookViewId="0">
      <selection activeCell="D1" sqref="D1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18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215</v>
      </c>
      <c r="D28" s="117" t="s">
        <v>164</v>
      </c>
      <c r="E28" s="116">
        <v>2</v>
      </c>
      <c r="F28" s="116">
        <v>13.13</v>
      </c>
      <c r="G28" s="116">
        <f>+E28*F28</f>
        <v>26.26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31" t="s">
        <v>171</v>
      </c>
      <c r="D29" s="117" t="s">
        <v>182</v>
      </c>
      <c r="E29" s="116">
        <v>1</v>
      </c>
      <c r="F29" s="116">
        <v>14</v>
      </c>
      <c r="G29" s="116">
        <f t="shared" ref="G29:G45" si="0">+E29*F29</f>
        <v>14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31" t="s">
        <v>198</v>
      </c>
      <c r="D30" s="117" t="s">
        <v>197</v>
      </c>
      <c r="E30" s="116">
        <v>1</v>
      </c>
      <c r="F30" s="116">
        <v>100</v>
      </c>
      <c r="G30" s="116">
        <f t="shared" si="0"/>
        <v>100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31" t="s">
        <v>177</v>
      </c>
      <c r="D31" s="117" t="s">
        <v>164</v>
      </c>
      <c r="E31" s="116">
        <v>7</v>
      </c>
      <c r="F31" s="116">
        <v>2.77</v>
      </c>
      <c r="G31" s="116">
        <f t="shared" si="0"/>
        <v>19.39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31" t="s">
        <v>173</v>
      </c>
      <c r="D32" s="117" t="s">
        <v>164</v>
      </c>
      <c r="E32" s="116">
        <v>4</v>
      </c>
      <c r="F32" s="116">
        <v>11.73</v>
      </c>
      <c r="G32" s="116">
        <f t="shared" si="0"/>
        <v>46.92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31" t="s">
        <v>174</v>
      </c>
      <c r="D33" s="117" t="s">
        <v>164</v>
      </c>
      <c r="E33" s="116">
        <v>4</v>
      </c>
      <c r="F33" s="116">
        <v>1.6</v>
      </c>
      <c r="G33" s="116">
        <f t="shared" si="0"/>
        <v>6.4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31" t="s">
        <v>175</v>
      </c>
      <c r="D34" s="117" t="s">
        <v>164</v>
      </c>
      <c r="E34" s="116">
        <v>5</v>
      </c>
      <c r="F34" s="116">
        <v>1.6</v>
      </c>
      <c r="G34" s="116">
        <f t="shared" si="0"/>
        <v>8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31" t="s">
        <v>176</v>
      </c>
      <c r="D35" s="117" t="s">
        <v>164</v>
      </c>
      <c r="E35" s="116">
        <v>5</v>
      </c>
      <c r="F35" s="116">
        <v>5</v>
      </c>
      <c r="G35" s="116">
        <f t="shared" si="0"/>
        <v>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31" t="s">
        <v>216</v>
      </c>
      <c r="D36" s="117" t="s">
        <v>164</v>
      </c>
      <c r="E36" s="116">
        <v>1</v>
      </c>
      <c r="F36" s="116">
        <v>1.0900000000000001</v>
      </c>
      <c r="G36" s="116">
        <f t="shared" si="0"/>
        <v>1.0900000000000001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31" t="s">
        <v>206</v>
      </c>
      <c r="D37" s="117" t="s">
        <v>164</v>
      </c>
      <c r="E37" s="116">
        <v>1</v>
      </c>
      <c r="F37" s="116">
        <v>1.27</v>
      </c>
      <c r="G37" s="116">
        <f t="shared" si="0"/>
        <v>1.27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31" t="s">
        <v>181</v>
      </c>
      <c r="D38" s="117" t="s">
        <v>164</v>
      </c>
      <c r="E38" s="116">
        <v>1</v>
      </c>
      <c r="F38" s="116">
        <v>118.67</v>
      </c>
      <c r="G38" s="116">
        <f t="shared" si="0"/>
        <v>118.67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31" t="s">
        <v>178</v>
      </c>
      <c r="D39" s="117" t="s">
        <v>164</v>
      </c>
      <c r="E39" s="116">
        <v>1</v>
      </c>
      <c r="F39" s="116">
        <v>3.25</v>
      </c>
      <c r="G39" s="116">
        <f t="shared" si="0"/>
        <v>3.25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31" t="s">
        <v>179</v>
      </c>
      <c r="D40" s="117" t="s">
        <v>164</v>
      </c>
      <c r="E40" s="116">
        <v>1</v>
      </c>
      <c r="F40" s="116">
        <v>5</v>
      </c>
      <c r="G40" s="116">
        <f t="shared" si="0"/>
        <v>5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31" t="s">
        <v>199</v>
      </c>
      <c r="D41" s="117" t="s">
        <v>200</v>
      </c>
      <c r="E41" s="116">
        <v>5</v>
      </c>
      <c r="F41" s="116">
        <v>12</v>
      </c>
      <c r="G41" s="116">
        <f t="shared" si="0"/>
        <v>60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31" t="s">
        <v>205</v>
      </c>
      <c r="D42" s="117" t="s">
        <v>164</v>
      </c>
      <c r="E42" s="116">
        <v>2</v>
      </c>
      <c r="F42" s="116">
        <v>250</v>
      </c>
      <c r="G42" s="116">
        <f t="shared" si="0"/>
        <v>500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31" t="s">
        <v>207</v>
      </c>
      <c r="D43" s="117" t="s">
        <v>164</v>
      </c>
      <c r="E43" s="116">
        <v>2</v>
      </c>
      <c r="F43" s="116">
        <v>7.8</v>
      </c>
      <c r="G43" s="116">
        <f t="shared" si="0"/>
        <v>15.6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31" t="s">
        <v>172</v>
      </c>
      <c r="D44" s="117" t="s">
        <v>164</v>
      </c>
      <c r="E44" s="116">
        <v>1</v>
      </c>
      <c r="F44" s="116">
        <v>20.97</v>
      </c>
      <c r="G44" s="116">
        <f t="shared" si="0"/>
        <v>20.97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31" t="s">
        <v>204</v>
      </c>
      <c r="D45" s="117" t="s">
        <v>197</v>
      </c>
      <c r="E45" s="116">
        <v>1</v>
      </c>
      <c r="F45" s="116">
        <v>100</v>
      </c>
      <c r="G45" s="116">
        <f t="shared" si="0"/>
        <v>100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9" t="s">
        <v>29</v>
      </c>
      <c r="C46" s="140"/>
      <c r="D46" s="140"/>
      <c r="E46" s="140"/>
      <c r="F46" s="140"/>
      <c r="G46" s="141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6:G46"/>
    <mergeCell ref="B8:G8"/>
    <mergeCell ref="B9:G9"/>
    <mergeCell ref="B10:G10"/>
    <mergeCell ref="B11:G11"/>
    <mergeCell ref="B12:G12"/>
    <mergeCell ref="B15:G15"/>
  </mergeCells>
  <conditionalFormatting sqref="C29">
    <cfRule type="duplicateValues" dxfId="16" priority="25"/>
  </conditionalFormatting>
  <conditionalFormatting sqref="C30">
    <cfRule type="duplicateValues" dxfId="15" priority="24"/>
  </conditionalFormatting>
  <conditionalFormatting sqref="C31">
    <cfRule type="duplicateValues" dxfId="14" priority="23"/>
  </conditionalFormatting>
  <conditionalFormatting sqref="C32">
    <cfRule type="duplicateValues" dxfId="13" priority="22"/>
  </conditionalFormatting>
  <conditionalFormatting sqref="C33">
    <cfRule type="duplicateValues" dxfId="12" priority="21"/>
  </conditionalFormatting>
  <conditionalFormatting sqref="C34">
    <cfRule type="duplicateValues" dxfId="11" priority="20"/>
  </conditionalFormatting>
  <conditionalFormatting sqref="C35">
    <cfRule type="duplicateValues" dxfId="10" priority="19"/>
  </conditionalFormatting>
  <conditionalFormatting sqref="C36">
    <cfRule type="duplicateValues" dxfId="9" priority="18"/>
  </conditionalFormatting>
  <conditionalFormatting sqref="C37">
    <cfRule type="duplicateValues" dxfId="8" priority="9"/>
  </conditionalFormatting>
  <conditionalFormatting sqref="C38">
    <cfRule type="duplicateValues" dxfId="7" priority="8"/>
  </conditionalFormatting>
  <conditionalFormatting sqref="C39">
    <cfRule type="duplicateValues" dxfId="6" priority="7"/>
  </conditionalFormatting>
  <conditionalFormatting sqref="C40">
    <cfRule type="duplicateValues" dxfId="5" priority="6"/>
  </conditionalFormatting>
  <conditionalFormatting sqref="C41">
    <cfRule type="duplicateValues" dxfId="4" priority="5"/>
  </conditionalFormatting>
  <conditionalFormatting sqref="C42">
    <cfRule type="duplicateValues" dxfId="3" priority="4"/>
  </conditionalFormatting>
  <conditionalFormatting sqref="C43">
    <cfRule type="duplicateValues" dxfId="2" priority="3"/>
  </conditionalFormatting>
  <conditionalFormatting sqref="C44">
    <cfRule type="duplicateValues" dxfId="1" priority="2"/>
  </conditionalFormatting>
  <conditionalFormatting sqref="C45">
    <cfRule type="duplicateValues" dxfId="0" priority="1"/>
  </conditionalFormatting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182</v>
      </c>
      <c r="E28" s="55"/>
      <c r="F28" s="55"/>
      <c r="G28" s="55" t="s">
        <v>180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2018-06-04T02:45:07Z</dcterms:modified>
</cp:coreProperties>
</file>