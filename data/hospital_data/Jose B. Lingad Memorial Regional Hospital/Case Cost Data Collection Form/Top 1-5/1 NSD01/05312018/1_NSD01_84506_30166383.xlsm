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J18" i="2" l="1"/>
  <c r="J17" i="2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<sst xmlns="http://schemas.openxmlformats.org/spreadsheetml/2006/main" count="503" uniqueCount="206">
  <si>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</si>
  <si>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</si>
  <si>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</si>
  <si>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</si>
  <si>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</si>
  <si>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</si>
  <si>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</si>
  <si>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</si>
  <si>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</si>
  <si>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</si>
  <si>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</si>
  <si>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</si>
  <si>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</si>
  <si>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</si>
  <si>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</si>
  <si>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</si>
  <si>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</si>
  <si>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</si>
  <si>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</si>
  <si>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</si>
  <si>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</si>
  <si>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</si>
  <si>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</si>
  <si>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</si>
  <si>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</si>
  <si>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</si>
  <si>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</si>
  <si>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</si>
  <si>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</si>
  <si>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</si>
  <si>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</si>
  <si>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</si>
  <si>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</si>
  <si>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</si>
  <si>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</si>
  <si>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</si>
  <si>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</si>
  <si>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</si>
  <si>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</si>
  <si>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</si>
  <si>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</si>
  <si>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</si>
  <si>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</si>
  <si>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</si>
  <si>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</si>
  <si>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</si>
  <si>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</si>
  <si>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</si>
  <si>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</si>
  <si>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</si>
  <si>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</si>
  <si>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</si>
  <si>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</si>
  <si>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</si>
  <si>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</si>
  <si>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</si>
  <si>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</si>
  <si>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</si>
  <si>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</si>
  <si>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</si>
  <si>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</si>
  <si>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</si>
  <si>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</si>
  <si>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</si>
  <si>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</si>
  <si>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</si>
  <si>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</si>
  <si>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</si>
  <si>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</si>
  <si>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</si>
  <si>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</si>
  <si>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</si>
  <si>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</si>
  <si>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</si>
  <si>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</si>
  <si>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</si>
  <si>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</si>
  <si>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</si>
  <si>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</si>
  <si>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</si>
  <si>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</si>
  <si>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</si>
  <si>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</si>
  <si>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</si>
  <si>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</si>
  <si>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</si>
  <si>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</si>
  <si>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</si>
  <si>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</si>
  <si>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</si>
  <si>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</si>
  <si>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</si>
  <si>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</si>
  <si>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</si>
  <si>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</si>
  <si>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</si>
  <si>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</si>
  <si>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</si>
  <si>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</si>
  <si>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</si>
  <si>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</si>
  <si>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</si>
  <si>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</si>
  <si>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</si>
  <si>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</si>
  <si>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</si>
  <si>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</si>
  <si>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</si>
  <si>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</si>
  <si>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</si>
  <si>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</si>
  <si>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</si>
  <si>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</si>
  <si>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</si>
  <si>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</si>
  <si>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</si>
  <si>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</si>
  <si>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</si>
  <si>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</si>
  <si>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</si>
  <si>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</si>
  <si>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</si>
  <si>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</si>
  <si>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</si>
  <si>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</si>
  <si>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</si>
  <si>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</si>
  <si>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</si>
  <si>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</si>
  <si>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</si>
  <si>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</si>
  <si>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</si>
  <si>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</si>
  <si>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</si>
  <si>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</si>
  <si>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</si>
  <si>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</si>
  <si>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</si>
  <si>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</si>
  <si>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</si>
  <si>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</si>
  <si>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</si>
  <si>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</si>
  <si>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</si>
  <si>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</si>
  <si>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</si>
  <si>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</si>
  <si>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</si>
  <si>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</si>
  <si>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</si>
  <si>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</si>
  <si>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</si>
  <si>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</si>
  <si>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</si>
  <si>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</si>
  <si>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</si>
  <si>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</si>
  <si>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</si>
  <si>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</si>
  <si>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</si>
  <si>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</si>
  <si>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</si>
  <si>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</si>
  <si>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</si>
  <si>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</si>
  <si>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</si>
  <si>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</si>
  <si>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</si>
  <si>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</si>
  <si>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</si>
  <si>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</si>
  <si>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</si>
  <si>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</si>
  <si>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</si>
  <si>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</si>
  <si>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</si>
  <si>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</si>
  <si>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</si>
  <si>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</si>
  <si>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</si>
  <si>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</si>
  <si>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</si>
  <si>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</si>
  <si>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</si>
  <si>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</si>
  <si>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</si>
  <si>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</si>
  <si>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</si>
  <si>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</si>
  <si>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</si>
  <si>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</si>
  <si>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</si>
  <si>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</si>
  <si>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</si>
  <si>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</si>
  <si>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CASE RATE</t>
  </si>
  <si>
    <t>PF CASE</t>
  </si>
  <si>
    <t>NBB</t>
  </si>
  <si>
    <t>MATERNITY PAD  X 8</t>
  </si>
  <si>
    <t>OXYTOCIN MALEATE 10MCG INJECTION 10 UNITS/ML-1ML</t>
  </si>
  <si>
    <t>METHYLERGOMETRINE MALEATE 200MCG AMP</t>
  </si>
  <si>
    <t>10MCG</t>
  </si>
  <si>
    <t>200MCG</t>
  </si>
  <si>
    <t>AMPULE</t>
  </si>
  <si>
    <t>84506/74249</t>
  </si>
  <si>
    <t>CEFALEXIN MONOHYDRATE 500MG IN BLISTER 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</si>
</sst>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>
        <v>0</v>
      </c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195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196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197</v>
      </c>
      <c r="D60" s="55"/>
      <c r="E60" s="55">
        <v>628.51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628.51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181</v>
      </c>
      <c r="D11" s="27" t="s">
        <v>187</v>
      </c>
      <c r="E11" s="27" t="s">
        <v>190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200</v>
      </c>
      <c r="D12" s="27" t="s">
        <v>203</v>
      </c>
      <c r="E12" s="27" t="s">
        <v>202</v>
      </c>
      <c r="F12" s="55">
        <v>1</v>
      </c>
      <c r="G12" s="55">
        <v>2</v>
      </c>
      <c r="H12" s="55">
        <v>2</v>
      </c>
      <c r="I12" s="55">
        <v>20</v>
      </c>
      <c r="J12" s="55">
        <f t="shared" ref="J12:J18" si="0">H12*I12</f>
        <v>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199</v>
      </c>
      <c r="D13" s="27" t="s">
        <v>203</v>
      </c>
      <c r="E13" s="27" t="s">
        <v>201</v>
      </c>
      <c r="F13" s="55">
        <v>1</v>
      </c>
      <c r="G13" s="55">
        <v>3</v>
      </c>
      <c r="H13" s="55">
        <v>3</v>
      </c>
      <c r="I13" s="55">
        <v>8.52</v>
      </c>
      <c r="J13" s="55">
        <f t="shared" si="0"/>
        <v>25.56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182</v>
      </c>
      <c r="D14" s="27" t="s">
        <v>186</v>
      </c>
      <c r="E14" s="27" t="s">
        <v>191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183</v>
      </c>
      <c r="D15" s="27" t="s">
        <v>188</v>
      </c>
      <c r="E15" s="27" t="s">
        <v>192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184</v>
      </c>
      <c r="D16" s="27" t="s">
        <v>189</v>
      </c>
      <c r="E16" s="27" t="s">
        <v>193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185</v>
      </c>
      <c r="D17" s="27" t="s">
        <v>189</v>
      </c>
      <c r="E17" s="27" t="s">
        <v>194</v>
      </c>
      <c r="F17" s="55">
        <v>1</v>
      </c>
      <c r="G17" s="55">
        <v>100</v>
      </c>
      <c r="H17" s="55">
        <v>100</v>
      </c>
      <c r="I17" s="55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205</v>
      </c>
      <c r="D18" s="27" t="s">
        <v>189</v>
      </c>
      <c r="E18" s="27" t="s">
        <v>193</v>
      </c>
      <c r="F18" s="55">
        <v>3</v>
      </c>
      <c r="G18" s="55">
        <v>7</v>
      </c>
      <c r="H18" s="55">
        <v>21</v>
      </c>
      <c r="I18" s="55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0" priority="17"/>
  </conditionalFormatting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0" workbookViewId="0">
      <selection activeCell="D35" sqref="D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171</v>
      </c>
      <c r="D28" s="117" t="s">
        <v>180</v>
      </c>
      <c r="E28" s="116">
        <v>1</v>
      </c>
      <c r="F28" s="116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172</v>
      </c>
      <c r="D29" s="117" t="s">
        <v>164</v>
      </c>
      <c r="E29" s="116">
        <v>1</v>
      </c>
      <c r="F29" s="116">
        <v>13.13</v>
      </c>
      <c r="G29" s="116">
        <f t="shared" ref="G29:G36" si="0">+E29*F29</f>
        <v>13.13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198</v>
      </c>
      <c r="D30" s="117" t="s">
        <v>164</v>
      </c>
      <c r="E30" s="116">
        <v>1</v>
      </c>
      <c r="F30" s="116">
        <v>250</v>
      </c>
      <c r="G30" s="116">
        <f t="shared" si="0"/>
        <v>250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177</v>
      </c>
      <c r="D31" s="117" t="s">
        <v>164</v>
      </c>
      <c r="E31" s="116">
        <v>1</v>
      </c>
      <c r="F31" s="116">
        <v>3.25</v>
      </c>
      <c r="G31" s="116">
        <f t="shared" si="0"/>
        <v>3.25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173</v>
      </c>
      <c r="D32" s="117" t="s">
        <v>164</v>
      </c>
      <c r="E32" s="116">
        <v>1</v>
      </c>
      <c r="F32" s="116">
        <v>11.73</v>
      </c>
      <c r="G32" s="116">
        <f t="shared" si="0"/>
        <v>11.73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31" t="s">
        <v>174</v>
      </c>
      <c r="D33" s="117" t="s">
        <v>164</v>
      </c>
      <c r="E33" s="116">
        <v>1</v>
      </c>
      <c r="F33" s="116">
        <v>1.6</v>
      </c>
      <c r="G33" s="116">
        <f t="shared" si="0"/>
        <v>1.6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31" t="s">
        <v>175</v>
      </c>
      <c r="D34" s="117" t="s">
        <v>164</v>
      </c>
      <c r="E34" s="116">
        <v>1</v>
      </c>
      <c r="F34" s="116">
        <v>1.6</v>
      </c>
      <c r="G34" s="116">
        <f t="shared" si="0"/>
        <v>1.6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31" t="s">
        <v>176</v>
      </c>
      <c r="D35" s="117" t="s">
        <v>164</v>
      </c>
      <c r="E35" s="116">
        <v>2</v>
      </c>
      <c r="F35" s="116">
        <v>5</v>
      </c>
      <c r="G35" s="116">
        <f t="shared" si="0"/>
        <v>10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31" t="s">
        <v>178</v>
      </c>
      <c r="D36" s="117" t="s">
        <v>164</v>
      </c>
      <c r="E36" s="116">
        <v>1</v>
      </c>
      <c r="F36" s="116">
        <v>5</v>
      </c>
      <c r="G36" s="116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9" t="s">
        <v>29</v>
      </c>
      <c r="C37" s="140"/>
      <c r="D37" s="140"/>
      <c r="E37" s="140"/>
      <c r="F37" s="140"/>
      <c r="G37" s="141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8" priority="16"/>
  </conditionalFormatting>
  <conditionalFormatting sqref="C30">
    <cfRule type="duplicateValues" dxfId="7" priority="15"/>
  </conditionalFormatting>
  <conditionalFormatting sqref="C31">
    <cfRule type="duplicateValues" dxfId="6" priority="14"/>
  </conditionalFormatting>
  <conditionalFormatting sqref="C32">
    <cfRule type="duplicateValues" dxfId="5" priority="13"/>
  </conditionalFormatting>
  <conditionalFormatting sqref="C33">
    <cfRule type="duplicateValues" dxfId="4" priority="12"/>
  </conditionalFormatting>
  <conditionalFormatting sqref="C34">
    <cfRule type="duplicateValues" dxfId="3" priority="11"/>
  </conditionalFormatting>
  <conditionalFormatting sqref="C35">
    <cfRule type="duplicateValues" dxfId="2" priority="10"/>
  </conditionalFormatting>
  <conditionalFormatting sqref="C36">
    <cfRule type="duplicateValues" dxfId="1" priority="9"/>
  </conditionalFormatting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2018-06-04T02:07:13Z</dcterms:modified>
</cp:coreProperties>
</file>