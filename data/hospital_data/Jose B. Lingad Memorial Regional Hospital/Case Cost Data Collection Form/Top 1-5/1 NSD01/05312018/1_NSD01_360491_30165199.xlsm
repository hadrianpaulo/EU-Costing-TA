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Supplies_Medical'!$C$15:$C$54</definedName>
    <definedName name="Drugs">'1.2 Drugs&amp;Med'!$C$11:$C$16</definedName>
    <definedName name="_xlnm.Print_Area" localSheetId="0">'1.1 Case data_general'!$B$1:$F$71</definedName>
    <definedName name="_xlnm.Print_Area" localSheetId="1">'1.2 Drugs&amp;Med'!$B$2:$J$22</definedName>
  </definedNames>
  <calcPr calcId="144525"/>
</workbook>
</file>

<file path=xl/calcChain.xml><?xml version="1.0" encoding="utf-8"?>
<calcChain xmlns="http://schemas.openxmlformats.org/spreadsheetml/2006/main">
  <c r="J21" i="2" l="1"/>
  <c r="J20" i="2"/>
  <c r="G43" i="9"/>
  <c r="G42" i="9"/>
  <c r="G41" i="9" l="1"/>
  <c r="G40" i="9"/>
  <c r="G39" i="9"/>
  <c r="J19" i="2" l="1"/>
  <c r="J18" i="2"/>
  <c r="J17" i="2"/>
  <c r="G38" i="9"/>
  <c r="G37" i="9"/>
  <c r="G36" i="9"/>
  <c r="G35" i="9"/>
  <c r="G34" i="9"/>
  <c r="G33" i="9"/>
  <c r="G32" i="9"/>
  <c r="G31" i="9"/>
  <c r="G30" i="9"/>
  <c r="G29" i="9"/>
  <c r="G28" i="9"/>
  <c r="J12" i="2" l="1"/>
  <c r="J13" i="2"/>
  <c r="J14" i="2"/>
  <c r="J15" i="2"/>
  <c r="J1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<sst xmlns="http://schemas.openxmlformats.org/spreadsheetml/2006/main" count="528" uniqueCount="219">
  <si>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</si>
  <si>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</si>
  <si>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</si>
  <si>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</si>
  <si>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</si>
  <si>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</si>
  <si>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</si>
  <si>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</si>
  <si>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</si>
  <si>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</si>
  <si>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</si>
  <si>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</si>
  <si>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</si>
  <si>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</si>
  <si>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</si>
  <si>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</si>
  <si>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</si>
  <si>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</si>
  <si>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</si>
  <si>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</si>
  <si>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</si>
  <si>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</si>
  <si>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</si>
  <si>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</si>
  <si>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</si>
  <si>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</si>
  <si>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</si>
  <si>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</si>
  <si>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</si>
  <si>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</si>
  <si>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</si>
  <si>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</si>
  <si>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</si>
  <si>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</si>
  <si>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</si>
  <si>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</si>
  <si>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</si>
  <si>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</si>
  <si>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</si>
  <si>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</si>
  <si>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</si>
  <si>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</si>
  <si>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</si>
  <si>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</si>
  <si>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</si>
  <si>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</si>
  <si>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</si>
  <si>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</si>
  <si>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</si>
  <si>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</si>
  <si>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</si>
  <si>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</si>
  <si>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</si>
  <si>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</si>
  <si>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</si>
  <si>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</si>
  <si>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</si>
  <si>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</si>
  <si>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</si>
  <si>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</si>
  <si>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</si>
  <si>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</si>
  <si>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</si>
  <si>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</si>
  <si>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</si>
  <si>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</si>
  <si>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</si>
  <si>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</si>
  <si>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</si>
  <si>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</si>
  <si>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</si>
  <si>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</si>
  <si>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</si>
  <si>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</si>
  <si>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</si>
  <si>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</si>
  <si>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</si>
  <si>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</si>
  <si>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</si>
  <si>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</si>
  <si>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</si>
  <si>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</si>
  <si>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</si>
  <si>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</si>
  <si>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</si>
  <si>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</si>
  <si>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</si>
  <si>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</si>
  <si>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</si>
  <si>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</si>
  <si>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</si>
  <si>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</si>
  <si>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</si>
  <si>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</si>
  <si>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</si>
  <si>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</si>
  <si>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</si>
  <si>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</si>
  <si>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</si>
  <si>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</si>
  <si>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</si>
  <si>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</si>
  <si>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</si>
  <si>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</si>
  <si>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</si>
  <si>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</si>
  <si>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</si>
  <si>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</si>
  <si>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</si>
  <si>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</si>
  <si>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</si>
  <si>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</si>
  <si>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</si>
  <si>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</si>
  <si>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</si>
  <si>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</si>
  <si>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</si>
  <si>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</si>
  <si>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</si>
  <si>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</si>
  <si>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</si>
  <si>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</si>
  <si>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</si>
  <si>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</si>
  <si>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</si>
  <si>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</si>
  <si>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</si>
  <si>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</si>
  <si>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</si>
  <si>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</si>
  <si>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</si>
  <si>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</si>
  <si>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</si>
  <si>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</si>
  <si>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</si>
  <si>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</si>
  <si>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</si>
  <si>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</si>
  <si>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</si>
  <si>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</si>
  <si>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</si>
  <si>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</si>
  <si>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</si>
  <si>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</si>
  <si>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</si>
  <si>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</si>
  <si>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</si>
  <si>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</si>
  <si>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</si>
  <si>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</si>
  <si>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</si>
  <si>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</si>
  <si>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</si>
  <si>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</si>
  <si>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</si>
  <si>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</si>
  <si>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</si>
  <si>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</si>
  <si>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</si>
  <si>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</si>
  <si>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</si>
  <si>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</si>
  <si>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</si>
  <si>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MINOR</t>
  </si>
  <si>
    <t>PC</t>
  </si>
  <si>
    <t>NSD01</t>
  </si>
  <si>
    <t>O80.0</t>
  </si>
  <si>
    <t>Z37.0</t>
  </si>
  <si>
    <t>CBC, TYPING, HBSAG</t>
  </si>
  <si>
    <t>RAPID PLASMA REAGIN (RPR)</t>
  </si>
  <si>
    <t>BLOOD EXTRACTION FEE</t>
  </si>
  <si>
    <t>IV SET W/ AIRWAY FOR IV PUSH, VACOSET/MACRODRIP, ADULT</t>
  </si>
  <si>
    <t>IV CATHETER GAUGE 18</t>
  </si>
  <si>
    <t>ADULT DIAPER WITH HIGH LIQUID ABSORBENCY</t>
  </si>
  <si>
    <t>DISPOSABLE INSULIN SYRINGE 1CC G 30 0.3 X 8MM BOX OF 100'S ( SHORT NEEDLE ULTRAFINE ) (CPR NEEDED)</t>
  </si>
  <si>
    <t>DISPOSABLE SYRINGE 1ML G 25, W/ NEEDLE X 100S (CPR NEEDED)</t>
  </si>
  <si>
    <t>DISPOSABLE SYRINGE 3ML G 23, W/ NEEDLE X 100S (CPR NEEDED)</t>
  </si>
  <si>
    <t>DISPOSABLE SYRINGE 5ML G 23, W/ NEEDLE X 100S</t>
  </si>
  <si>
    <t>DISPOSABLE SYRINGE 10ML G 21, W/ NEEDLE X 100S (CPR NEEDED)</t>
  </si>
  <si>
    <t>CORD CLAMP (UMBILICAL) X 100S, STERILE</t>
  </si>
  <si>
    <t>NEONATE WRIST TAG (ID BRACELET)X 100 (PINK/BLUE)</t>
  </si>
  <si>
    <t>+RC[-2]*RC[-1]</t>
  </si>
  <si>
    <t>SET</t>
  </si>
  <si>
    <t>(D5LRS 1L) 5% DEXTROSE IN LACTATED RINGERS SOLUTION 1000ML (D5 LRS) X 12S</t>
  </si>
  <si>
    <t>PHYTOMENADIONE ( VITAMIN K ) 10MG/1ML</t>
  </si>
  <si>
    <t>ERYTHROMYCIN  EYE OINTMENT 0.5%, 3.5G</t>
  </si>
  <si>
    <t>MEFENAMIC ACID 500MG IN BLISTER FOIL PACK</t>
  </si>
  <si>
    <t>FERROUS SULFATE + FOLIC ACID 200MG./400MCG (DONATION)</t>
  </si>
  <si>
    <t>CEFUROXIME 500MG IN BLISTER FOIL PACK</t>
  </si>
  <si>
    <t>VIAL</t>
  </si>
  <si>
    <t>FLUID</t>
  </si>
  <si>
    <t>TUBE</t>
  </si>
  <si>
    <t>CAPSULE</t>
  </si>
  <si>
    <t>1L</t>
  </si>
  <si>
    <t>10MG</t>
  </si>
  <si>
    <t>3.5G</t>
  </si>
  <si>
    <t>500MG</t>
  </si>
  <si>
    <t>200MG</t>
  </si>
  <si>
    <t>ROLL</t>
  </si>
  <si>
    <t>ULTRASOUND PRINTING PAPER 110MM X 20MM (HIGH DENSITY) (DURICO TYPE 1)</t>
  </si>
  <si>
    <t>CASE RATE</t>
  </si>
  <si>
    <t>PF CASE</t>
  </si>
  <si>
    <t>360491/74188</t>
  </si>
  <si>
    <t>WBC &amp; DIFFERENTIAL COUNT</t>
  </si>
  <si>
    <t>CBC</t>
  </si>
  <si>
    <t>PAID BY PATIENT</t>
  </si>
  <si>
    <t>Z-FOLD PAPER FOR FETAL CHART 30-240BPM X 40S (152MM X 90MM X 150 SHEETS)</t>
  </si>
  <si>
    <t>MATERNITY PAD  X 8</t>
  </si>
  <si>
    <t>DISPOSABLE HEAD CAP X 100S GARTERIZED</t>
  </si>
  <si>
    <t>NGT 8 STRAIGHT, 40CM (CPR NEEDED)</t>
  </si>
  <si>
    <t>OXYGEN NASAL CANNULA WITH THREAD CONNECTOR FOR ADULT (CURVED FLAIRED TIP)</t>
  </si>
  <si>
    <t>OXYTOCIN MALEATE 10MCG INJECTION 10 UNITS/ML-1ML</t>
  </si>
  <si>
    <t>METHYLERGOMETRINE MALEATE 200MCG AMP</t>
  </si>
  <si>
    <t>METRONIDAZOLE 500MG IN BLISTER FOIL PACK</t>
  </si>
  <si>
    <t>PARACETAMOL (ACETAMINOPHEN) 500MG IN BLISTER FOIL PACK</t>
  </si>
  <si>
    <t>TRANEXAMIC ACID 500MG IN BLISTER FOIL PACK</t>
  </si>
  <si>
    <t>10MCG</t>
  </si>
  <si>
    <t>200MCG</t>
  </si>
  <si>
    <t>AMPULE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</si>
</sst>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  <xf numFmtId="164" fontId="13" fillId="0" borderId="3" applyFont="0" applyFill="0" applyBorder="0" applyAlignment="0" applyProtection="0"/>
  </cellStyleXfs>
  <cellXfs count="153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164" fontId="10" fillId="5" borderId="21" xfId="4" applyFont="1" applyFill="1" applyBorder="1" applyProtection="1">
      <protection locked="0"/>
    </xf>
    <xf numFmtId="0" fontId="10" fillId="0" borderId="1" xfId="2" applyFont="1" applyBorder="1" applyAlignment="1" applyProtection="1">
      <alignment horizontal="center" wrapText="1"/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5">
    <cellStyle name="Comma" xfId="1" builtinId="3"/>
    <cellStyle name="Comma 2" xfId="4"/>
    <cellStyle name="Linked Cell" xfId="3" builtinId="24"/>
    <cellStyle name="Normal" xfId="0" builtinId="0"/>
    <cellStyle name="Normal 2" xfId="2"/>
  </cellStyles>
  <dxfs count="2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733425</xdr:colOff>
          <xdr:row>21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1504950</xdr:colOff>
          <xdr:row>21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32</xdr:row>
          <xdr:rowOff>19050</xdr:rowOff>
        </xdr:from>
        <xdr:to>
          <xdr:col>1</xdr:col>
          <xdr:colOff>733425</xdr:colOff>
          <xdr:row>32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32</xdr:row>
          <xdr:rowOff>19050</xdr:rowOff>
        </xdr:from>
        <xdr:to>
          <xdr:col>1</xdr:col>
          <xdr:colOff>1504950</xdr:colOff>
          <xdr:row>32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44</xdr:row>
          <xdr:rowOff>28575</xdr:rowOff>
        </xdr:from>
        <xdr:to>
          <xdr:col>1</xdr:col>
          <xdr:colOff>771525</xdr:colOff>
          <xdr:row>44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44</xdr:row>
          <xdr:rowOff>28575</xdr:rowOff>
        </xdr:from>
        <xdr:to>
          <xdr:col>1</xdr:col>
          <xdr:colOff>1543050</xdr:colOff>
          <xdr:row>44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abSelected="1" zoomScaleNormal="100" workbookViewId="0"/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5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3" t="s">
        <v>59</v>
      </c>
      <c r="C12" s="124"/>
      <c r="D12" s="124"/>
      <c r="E12" s="124"/>
      <c r="F12" s="125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6" t="s">
        <v>2</v>
      </c>
      <c r="C13" s="127"/>
      <c r="D13" s="127"/>
      <c r="E13" s="127"/>
      <c r="F13" s="128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6" t="s">
        <v>4</v>
      </c>
      <c r="C14" s="127"/>
      <c r="D14" s="127"/>
      <c r="E14" s="127"/>
      <c r="F14" s="128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9" t="s">
        <v>60</v>
      </c>
      <c r="C15" s="130"/>
      <c r="D15" s="130"/>
      <c r="E15" s="130"/>
      <c r="F15" s="13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202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8" t="s">
        <v>15</v>
      </c>
      <c r="C18" s="119"/>
      <c r="D18" s="119"/>
      <c r="E18" s="119"/>
      <c r="F18" s="120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167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thickBot="1" x14ac:dyDescent="0.35">
      <c r="A21" s="1"/>
      <c r="B21" s="118" t="s">
        <v>51</v>
      </c>
      <c r="C21" s="119"/>
      <c r="D21" s="119"/>
      <c r="E21" s="119"/>
      <c r="F21" s="120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1</v>
      </c>
      <c r="C22" s="27" t="s">
        <v>165</v>
      </c>
      <c r="D22" s="29" t="s">
        <v>163</v>
      </c>
      <c r="E22" s="55">
        <v>1</v>
      </c>
      <c r="F22" s="55">
        <v>1.5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2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3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4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5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thickBot="1" x14ac:dyDescent="0.35">
      <c r="A27" s="1"/>
      <c r="B27" s="121" t="s">
        <v>42</v>
      </c>
      <c r="C27" s="122"/>
      <c r="D27" s="122"/>
      <c r="E27" s="122"/>
      <c r="F27" s="132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110" t="s">
        <v>158</v>
      </c>
      <c r="C28" s="113" t="s">
        <v>162</v>
      </c>
      <c r="D28" s="13"/>
      <c r="E28" s="13"/>
      <c r="F28" s="1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4" t="s">
        <v>123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4" t="s">
        <v>160</v>
      </c>
      <c r="C30" s="114" t="s">
        <v>140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5" t="s">
        <v>17</v>
      </c>
      <c r="C31" s="7"/>
      <c r="D31" s="7"/>
      <c r="E31" s="56">
        <v>4</v>
      </c>
      <c r="F31" s="7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thickBot="1" x14ac:dyDescent="0.35">
      <c r="A32" s="1"/>
      <c r="B32" s="118" t="s">
        <v>18</v>
      </c>
      <c r="C32" s="119"/>
      <c r="D32" s="119"/>
      <c r="E32" s="119"/>
      <c r="F32" s="120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30">
        <v>1</v>
      </c>
      <c r="C33" s="31" t="s">
        <v>168</v>
      </c>
      <c r="D33" s="23"/>
      <c r="E33" s="57">
        <v>1</v>
      </c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2</v>
      </c>
      <c r="C34" s="27" t="s">
        <v>169</v>
      </c>
      <c r="D34" s="23"/>
      <c r="E34" s="55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3</v>
      </c>
      <c r="C35" s="27" t="s">
        <v>170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4</v>
      </c>
      <c r="C36" s="27" t="s">
        <v>203</v>
      </c>
      <c r="D36" s="23"/>
      <c r="E36" s="55">
        <v>2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5</v>
      </c>
      <c r="C37" s="27" t="s">
        <v>204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21" t="s">
        <v>19</v>
      </c>
      <c r="C38" s="122"/>
      <c r="D38" s="119"/>
      <c r="E38" s="122"/>
      <c r="F38" s="120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21" t="s">
        <v>43</v>
      </c>
      <c r="C43" s="122"/>
      <c r="D43" s="119"/>
      <c r="E43" s="122"/>
      <c r="F43" s="120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44</v>
      </c>
      <c r="C44" s="13"/>
      <c r="D44" s="13"/>
      <c r="E44" s="16">
        <v>0</v>
      </c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8" t="s">
        <v>52</v>
      </c>
      <c r="C45" s="119"/>
      <c r="D45" s="119"/>
      <c r="E45" s="119"/>
      <c r="F45" s="120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8" t="s">
        <v>20</v>
      </c>
      <c r="C50" s="119"/>
      <c r="D50" s="119"/>
      <c r="E50" s="119"/>
      <c r="F50" s="120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54</v>
      </c>
      <c r="C59" s="17" t="s">
        <v>50</v>
      </c>
      <c r="D59" s="17" t="s">
        <v>55</v>
      </c>
      <c r="E59" s="18" t="s">
        <v>56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200</v>
      </c>
      <c r="D60" s="55">
        <v>3000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201</v>
      </c>
      <c r="D61" s="55">
        <v>2000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205</v>
      </c>
      <c r="D62" s="55"/>
      <c r="E62" s="55"/>
      <c r="F62" s="55">
        <v>2468.14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5000</v>
      </c>
      <c r="E71" s="59">
        <f>SUM(E60:E70)</f>
        <v>0</v>
      </c>
      <c r="F71" s="59">
        <f>SUM(F60:F70)</f>
        <v>2468.14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password="C2E9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1:F21"/>
    <mergeCell ref="B32:F32"/>
    <mergeCell ref="B27:F27"/>
    <mergeCell ref="B38:F38"/>
    <mergeCell ref="B45:F45"/>
  </mergeCells>
  <dataValidations count="1">
    <dataValidation type="decimal" operator="greaterThanOrEqual" allowBlank="1" showInputMessage="1" showErrorMessage="1" sqref="E31 E39:E42 E44 E22:F26 E46:F49 E51:F56 E33:E37 D60:F69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733425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1504950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32</xdr:row>
                    <xdr:rowOff>19050</xdr:rowOff>
                  </from>
                  <to>
                    <xdr:col>1</xdr:col>
                    <xdr:colOff>733425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32</xdr:row>
                    <xdr:rowOff>19050</xdr:rowOff>
                  </from>
                  <to>
                    <xdr:col>1</xdr:col>
                    <xdr:colOff>1504950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C29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2"/>
  <sheetViews>
    <sheetView topLeftCell="B1" workbookViewId="0">
      <selection activeCell="F22" sqref="F22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NSD01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11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3" t="s">
        <v>63</v>
      </c>
      <c r="C8" s="134"/>
      <c r="D8" s="134"/>
      <c r="E8" s="134"/>
      <c r="F8" s="134"/>
      <c r="G8" s="134"/>
      <c r="H8" s="134"/>
      <c r="I8" s="134"/>
      <c r="J8" s="135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31" t="s">
        <v>183</v>
      </c>
      <c r="D11" s="27" t="s">
        <v>190</v>
      </c>
      <c r="E11" s="27" t="s">
        <v>193</v>
      </c>
      <c r="F11" s="55">
        <v>1</v>
      </c>
      <c r="G11" s="55">
        <v>1</v>
      </c>
      <c r="H11" s="55">
        <v>1</v>
      </c>
      <c r="I11" s="55">
        <v>49.33</v>
      </c>
      <c r="J11" s="55">
        <f>H11*I11</f>
        <v>49.33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31" t="s">
        <v>211</v>
      </c>
      <c r="D12" s="27" t="s">
        <v>218</v>
      </c>
      <c r="E12" s="27" t="s">
        <v>216</v>
      </c>
      <c r="F12" s="55">
        <v>1</v>
      </c>
      <c r="G12" s="55">
        <v>4</v>
      </c>
      <c r="H12" s="55">
        <v>4</v>
      </c>
      <c r="I12" s="55">
        <v>8.52</v>
      </c>
      <c r="J12" s="55">
        <f t="shared" ref="J12:J21" si="0">H12*I12</f>
        <v>34.08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31" t="s">
        <v>212</v>
      </c>
      <c r="D13" s="27" t="s">
        <v>218</v>
      </c>
      <c r="E13" s="27" t="s">
        <v>217</v>
      </c>
      <c r="F13" s="55">
        <v>1</v>
      </c>
      <c r="G13" s="55">
        <v>2</v>
      </c>
      <c r="H13" s="55">
        <v>2</v>
      </c>
      <c r="I13" s="55">
        <v>20</v>
      </c>
      <c r="J13" s="55">
        <f t="shared" si="0"/>
        <v>40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31" t="s">
        <v>184</v>
      </c>
      <c r="D14" s="27" t="s">
        <v>189</v>
      </c>
      <c r="E14" s="27" t="s">
        <v>194</v>
      </c>
      <c r="F14" s="55">
        <v>1</v>
      </c>
      <c r="G14" s="55">
        <v>1</v>
      </c>
      <c r="H14" s="55">
        <v>1</v>
      </c>
      <c r="I14" s="55">
        <v>21.31</v>
      </c>
      <c r="J14" s="55">
        <f t="shared" si="0"/>
        <v>21.31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31" t="s">
        <v>185</v>
      </c>
      <c r="D15" s="27" t="s">
        <v>191</v>
      </c>
      <c r="E15" s="27" t="s">
        <v>195</v>
      </c>
      <c r="F15" s="55">
        <v>1</v>
      </c>
      <c r="G15" s="55">
        <v>1</v>
      </c>
      <c r="H15" s="55">
        <v>1</v>
      </c>
      <c r="I15" s="55">
        <v>21</v>
      </c>
      <c r="J15" s="55">
        <f t="shared" si="0"/>
        <v>21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31" t="s">
        <v>186</v>
      </c>
      <c r="D16" s="27" t="s">
        <v>192</v>
      </c>
      <c r="E16" s="27" t="s">
        <v>196</v>
      </c>
      <c r="F16" s="55">
        <v>3</v>
      </c>
      <c r="G16" s="55">
        <v>3</v>
      </c>
      <c r="H16" s="55">
        <v>9</v>
      </c>
      <c r="I16" s="55">
        <v>0.97</v>
      </c>
      <c r="J16" s="55">
        <f t="shared" si="0"/>
        <v>8.73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31" t="s">
        <v>213</v>
      </c>
      <c r="D17" s="27" t="s">
        <v>192</v>
      </c>
      <c r="E17" s="27" t="s">
        <v>196</v>
      </c>
      <c r="F17" s="55">
        <v>3</v>
      </c>
      <c r="G17" s="55">
        <v>7</v>
      </c>
      <c r="H17" s="55">
        <v>21</v>
      </c>
      <c r="I17" s="55">
        <v>1.93</v>
      </c>
      <c r="J17" s="55">
        <f t="shared" si="0"/>
        <v>40.53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31" t="s">
        <v>187</v>
      </c>
      <c r="D18" s="27" t="s">
        <v>192</v>
      </c>
      <c r="E18" s="27" t="s">
        <v>197</v>
      </c>
      <c r="F18" s="55">
        <v>1</v>
      </c>
      <c r="G18" s="55">
        <v>100</v>
      </c>
      <c r="H18" s="55">
        <v>100</v>
      </c>
      <c r="I18" s="55">
        <v>1.27</v>
      </c>
      <c r="J18" s="55">
        <f t="shared" si="0"/>
        <v>127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31" t="s">
        <v>188</v>
      </c>
      <c r="D19" s="27" t="s">
        <v>192</v>
      </c>
      <c r="E19" s="27" t="s">
        <v>196</v>
      </c>
      <c r="F19" s="55">
        <v>2</v>
      </c>
      <c r="G19" s="55">
        <v>6</v>
      </c>
      <c r="H19" s="55">
        <v>13</v>
      </c>
      <c r="I19" s="55">
        <v>11.72</v>
      </c>
      <c r="J19" s="55">
        <f t="shared" si="0"/>
        <v>152.36000000000001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31" t="s">
        <v>214</v>
      </c>
      <c r="D20" s="27" t="s">
        <v>192</v>
      </c>
      <c r="E20" s="27" t="s">
        <v>196</v>
      </c>
      <c r="F20" s="55">
        <v>2</v>
      </c>
      <c r="G20" s="55">
        <v>5</v>
      </c>
      <c r="H20" s="55">
        <v>10</v>
      </c>
      <c r="I20" s="55">
        <v>0.31</v>
      </c>
      <c r="J20" s="55">
        <f t="shared" si="0"/>
        <v>3.1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31" t="s">
        <v>215</v>
      </c>
      <c r="D21" s="27" t="s">
        <v>192</v>
      </c>
      <c r="E21" s="27" t="s">
        <v>196</v>
      </c>
      <c r="F21" s="55">
        <v>3</v>
      </c>
      <c r="G21" s="55">
        <v>3</v>
      </c>
      <c r="H21" s="55">
        <v>9</v>
      </c>
      <c r="I21" s="55">
        <v>7.84</v>
      </c>
      <c r="J21" s="55">
        <f t="shared" si="0"/>
        <v>70.56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25">
      <c r="A22" s="33"/>
      <c r="B22" s="34"/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</row>
    <row r="23" spans="1:20" ht="15.75" customHeight="1" x14ac:dyDescent="0.25"/>
    <row r="24" spans="1:20" ht="15.75" customHeight="1" x14ac:dyDescent="0.25"/>
    <row r="25" spans="1:20" ht="15.75" customHeight="1" x14ac:dyDescent="0.25"/>
    <row r="26" spans="1:20" ht="15.75" customHeight="1" x14ac:dyDescent="0.25"/>
    <row r="27" spans="1:20" ht="15.75" customHeight="1" x14ac:dyDescent="0.25"/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password="C2E9" sheet="1" objects="1" scenarios="1" formatColumns="0" formatRows="0" sort="0" autoFilter="0"/>
  <mergeCells count="1">
    <mergeCell ref="B8:J8"/>
  </mergeCells>
  <conditionalFormatting sqref="C11:C19">
    <cfRule type="duplicateValues" dxfId="19" priority="3"/>
  </conditionalFormatting>
  <conditionalFormatting sqref="C20">
    <cfRule type="duplicateValues" dxfId="18" priority="2"/>
  </conditionalFormatting>
  <conditionalFormatting sqref="C21">
    <cfRule type="duplicateValues" dxfId="0" priority="1"/>
  </conditionalFormatting>
  <dataValidations count="1">
    <dataValidation type="decimal" operator="greaterThanOrEqual" allowBlank="1" showInputMessage="1" showErrorMessage="1" sqref="F11:J21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8"/>
  <sheetViews>
    <sheetView workbookViewId="0">
      <selection activeCell="D43" sqref="D43"/>
    </sheetView>
  </sheetViews>
  <sheetFormatPr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9.1406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NSD01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16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6" t="s">
        <v>23</v>
      </c>
      <c r="C7" s="137"/>
      <c r="D7" s="137"/>
      <c r="E7" s="137"/>
      <c r="F7" s="137"/>
      <c r="G7" s="138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2" t="s">
        <v>24</v>
      </c>
      <c r="C8" s="143"/>
      <c r="D8" s="143"/>
      <c r="E8" s="143"/>
      <c r="F8" s="143"/>
      <c r="G8" s="144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2" t="s">
        <v>68</v>
      </c>
      <c r="C9" s="143"/>
      <c r="D9" s="143"/>
      <c r="E9" s="143"/>
      <c r="F9" s="143"/>
      <c r="G9" s="144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2" t="s">
        <v>25</v>
      </c>
      <c r="C10" s="143"/>
      <c r="D10" s="143"/>
      <c r="E10" s="143"/>
      <c r="F10" s="143"/>
      <c r="G10" s="144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2" t="s">
        <v>26</v>
      </c>
      <c r="C11" s="143"/>
      <c r="D11" s="143"/>
      <c r="E11" s="143"/>
      <c r="F11" s="143"/>
      <c r="G11" s="144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5" t="s">
        <v>27</v>
      </c>
      <c r="C12" s="146"/>
      <c r="D12" s="146"/>
      <c r="E12" s="146"/>
      <c r="F12" s="146"/>
      <c r="G12" s="147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9" t="s">
        <v>71</v>
      </c>
      <c r="C15" s="140"/>
      <c r="D15" s="140"/>
      <c r="E15" s="140"/>
      <c r="F15" s="140"/>
      <c r="G15" s="141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9" t="s">
        <v>75</v>
      </c>
      <c r="C27" s="140"/>
      <c r="D27" s="140"/>
      <c r="E27" s="140"/>
      <c r="F27" s="140"/>
      <c r="G27" s="141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 t="s">
        <v>171</v>
      </c>
      <c r="D28" s="117" t="s">
        <v>182</v>
      </c>
      <c r="E28" s="116">
        <v>1</v>
      </c>
      <c r="F28" s="116">
        <v>14</v>
      </c>
      <c r="G28" s="116">
        <f>+E28*F28</f>
        <v>14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31" t="s">
        <v>172</v>
      </c>
      <c r="D29" s="117" t="s">
        <v>164</v>
      </c>
      <c r="E29" s="116">
        <v>2</v>
      </c>
      <c r="F29" s="116">
        <v>13.13</v>
      </c>
      <c r="G29" s="116">
        <f t="shared" ref="G29:G43" si="0">+E29*F29</f>
        <v>26.26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31" t="s">
        <v>199</v>
      </c>
      <c r="D30" s="117" t="s">
        <v>198</v>
      </c>
      <c r="E30" s="116">
        <v>1</v>
      </c>
      <c r="F30" s="116">
        <v>100</v>
      </c>
      <c r="G30" s="116">
        <f t="shared" si="0"/>
        <v>100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31" t="s">
        <v>173</v>
      </c>
      <c r="D31" s="117" t="s">
        <v>164</v>
      </c>
      <c r="E31" s="116">
        <v>1</v>
      </c>
      <c r="F31" s="116">
        <v>20.97</v>
      </c>
      <c r="G31" s="116">
        <f t="shared" si="0"/>
        <v>20.97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31" t="s">
        <v>206</v>
      </c>
      <c r="D32" s="117" t="s">
        <v>198</v>
      </c>
      <c r="E32" s="116">
        <v>1</v>
      </c>
      <c r="F32" s="116">
        <v>100</v>
      </c>
      <c r="G32" s="116">
        <f t="shared" si="0"/>
        <v>100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31" t="s">
        <v>175</v>
      </c>
      <c r="D33" s="117" t="s">
        <v>164</v>
      </c>
      <c r="E33" s="116">
        <v>4</v>
      </c>
      <c r="F33" s="116">
        <v>1.6</v>
      </c>
      <c r="G33" s="116">
        <f t="shared" si="0"/>
        <v>6.4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31" t="s">
        <v>176</v>
      </c>
      <c r="D34" s="117" t="s">
        <v>164</v>
      </c>
      <c r="E34" s="116">
        <v>4</v>
      </c>
      <c r="F34" s="116">
        <v>1.6</v>
      </c>
      <c r="G34" s="116">
        <f t="shared" si="0"/>
        <v>6.4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31" t="s">
        <v>177</v>
      </c>
      <c r="D35" s="117" t="s">
        <v>164</v>
      </c>
      <c r="E35" s="116">
        <v>4</v>
      </c>
      <c r="F35" s="116">
        <v>5</v>
      </c>
      <c r="G35" s="116">
        <f t="shared" si="0"/>
        <v>20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31" t="s">
        <v>178</v>
      </c>
      <c r="D36" s="117" t="s">
        <v>164</v>
      </c>
      <c r="E36" s="116">
        <v>6</v>
      </c>
      <c r="F36" s="116">
        <v>2.77</v>
      </c>
      <c r="G36" s="116">
        <f t="shared" si="0"/>
        <v>16.62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31" t="s">
        <v>207</v>
      </c>
      <c r="D37" s="117" t="s">
        <v>164</v>
      </c>
      <c r="E37" s="116">
        <v>1</v>
      </c>
      <c r="F37" s="116">
        <v>250</v>
      </c>
      <c r="G37" s="116">
        <f t="shared" si="0"/>
        <v>250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11</v>
      </c>
      <c r="C38" s="31" t="s">
        <v>179</v>
      </c>
      <c r="D38" s="117" t="s">
        <v>164</v>
      </c>
      <c r="E38" s="116">
        <v>1</v>
      </c>
      <c r="F38" s="116">
        <v>3.25</v>
      </c>
      <c r="G38" s="116">
        <f t="shared" si="0"/>
        <v>3.25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12</v>
      </c>
      <c r="C39" s="31" t="s">
        <v>180</v>
      </c>
      <c r="D39" s="117" t="s">
        <v>164</v>
      </c>
      <c r="E39" s="116">
        <v>1</v>
      </c>
      <c r="F39" s="116">
        <v>5</v>
      </c>
      <c r="G39" s="116">
        <f t="shared" si="0"/>
        <v>5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13</v>
      </c>
      <c r="C40" s="31" t="s">
        <v>208</v>
      </c>
      <c r="D40" s="117" t="s">
        <v>164</v>
      </c>
      <c r="E40" s="116">
        <v>1</v>
      </c>
      <c r="F40" s="116">
        <v>1.27</v>
      </c>
      <c r="G40" s="116">
        <f t="shared" si="0"/>
        <v>1.27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14</v>
      </c>
      <c r="C41" s="31" t="s">
        <v>209</v>
      </c>
      <c r="D41" s="117" t="s">
        <v>164</v>
      </c>
      <c r="E41" s="116">
        <v>1</v>
      </c>
      <c r="F41" s="116">
        <v>7.8</v>
      </c>
      <c r="G41" s="116">
        <f t="shared" si="0"/>
        <v>7.8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15</v>
      </c>
      <c r="C42" s="31" t="s">
        <v>174</v>
      </c>
      <c r="D42" s="117" t="s">
        <v>164</v>
      </c>
      <c r="E42" s="116">
        <v>1</v>
      </c>
      <c r="F42" s="116">
        <v>11.73</v>
      </c>
      <c r="G42" s="116">
        <f t="shared" si="0"/>
        <v>11.73</v>
      </c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16</v>
      </c>
      <c r="C43" s="31" t="s">
        <v>210</v>
      </c>
      <c r="D43" s="117" t="s">
        <v>164</v>
      </c>
      <c r="E43" s="116">
        <v>1</v>
      </c>
      <c r="F43" s="116">
        <v>15.44</v>
      </c>
      <c r="G43" s="116">
        <f t="shared" si="0"/>
        <v>15.44</v>
      </c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139" t="s">
        <v>29</v>
      </c>
      <c r="C44" s="140"/>
      <c r="D44" s="140"/>
      <c r="E44" s="140"/>
      <c r="F44" s="140"/>
      <c r="G44" s="141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2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3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4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5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6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7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8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9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10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A55" s="44"/>
      <c r="B55" s="39"/>
      <c r="C55" s="44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A56" s="44"/>
      <c r="B56" s="39"/>
      <c r="C56" s="44"/>
      <c r="D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</sheetData>
  <sheetProtection password="C2E9" sheet="1" objects="1" scenarios="1" formatColumns="0" formatRows="0" sort="0" autoFilter="0"/>
  <mergeCells count="9">
    <mergeCell ref="B7:G7"/>
    <mergeCell ref="B27:G27"/>
    <mergeCell ref="B44:G44"/>
    <mergeCell ref="B8:G8"/>
    <mergeCell ref="B9:G9"/>
    <mergeCell ref="B10:G10"/>
    <mergeCell ref="B11:G11"/>
    <mergeCell ref="B12:G12"/>
    <mergeCell ref="B15:G15"/>
  </mergeCells>
  <conditionalFormatting sqref="C29">
    <cfRule type="duplicateValues" dxfId="15" priority="15"/>
  </conditionalFormatting>
  <conditionalFormatting sqref="C30">
    <cfRule type="duplicateValues" dxfId="14" priority="14"/>
  </conditionalFormatting>
  <conditionalFormatting sqref="C31">
    <cfRule type="duplicateValues" dxfId="13" priority="13"/>
  </conditionalFormatting>
  <conditionalFormatting sqref="C32">
    <cfRule type="duplicateValues" dxfId="12" priority="12"/>
  </conditionalFormatting>
  <conditionalFormatting sqref="C33">
    <cfRule type="duplicateValues" dxfId="11" priority="11"/>
  </conditionalFormatting>
  <conditionalFormatting sqref="C34">
    <cfRule type="duplicateValues" dxfId="10" priority="10"/>
  </conditionalFormatting>
  <conditionalFormatting sqref="C35">
    <cfRule type="duplicateValues" dxfId="9" priority="9"/>
  </conditionalFormatting>
  <conditionalFormatting sqref="C36">
    <cfRule type="duplicateValues" dxfId="8" priority="8"/>
  </conditionalFormatting>
  <conditionalFormatting sqref="C37">
    <cfRule type="duplicateValues" dxfId="7" priority="7"/>
  </conditionalFormatting>
  <conditionalFormatting sqref="C38">
    <cfRule type="duplicateValues" dxfId="6" priority="6"/>
  </conditionalFormatting>
  <conditionalFormatting sqref="C39">
    <cfRule type="duplicateValues" dxfId="5" priority="5"/>
  </conditionalFormatting>
  <conditionalFormatting sqref="C40">
    <cfRule type="duplicateValues" dxfId="4" priority="4"/>
  </conditionalFormatting>
  <conditionalFormatting sqref="C41">
    <cfRule type="duplicateValues" dxfId="3" priority="3"/>
  </conditionalFormatting>
  <conditionalFormatting sqref="C42">
    <cfRule type="duplicateValues" dxfId="2" priority="2"/>
  </conditionalFormatting>
  <conditionalFormatting sqref="C43">
    <cfRule type="duplicateValues" dxfId="1" priority="1"/>
  </conditionalFormatting>
  <dataValidations count="1">
    <dataValidation type="decimal" operator="greaterThanOrEqual" allowBlank="1" showInputMessage="1" showErrorMessage="1" sqref="E16:G54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44</xdr:row>
                    <xdr:rowOff>28575</xdr:rowOff>
                  </from>
                  <to>
                    <xdr:col>1</xdr:col>
                    <xdr:colOff>771525</xdr:colOff>
                    <xdr:row>44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44</xdr:row>
                    <xdr:rowOff>28575</xdr:rowOff>
                  </from>
                  <to>
                    <xdr:col>1</xdr:col>
                    <xdr:colOff>1543050</xdr:colOff>
                    <xdr:row>44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B49" sqref="B49:G49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NSD01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8" t="s">
        <v>32</v>
      </c>
      <c r="E11" s="149"/>
      <c r="F11" s="149"/>
      <c r="G11" s="149"/>
      <c r="H11" s="149"/>
      <c r="I11" s="149"/>
      <c r="J11" s="149"/>
      <c r="K11" s="149"/>
      <c r="L11" s="149"/>
      <c r="M11" s="149"/>
      <c r="N11" s="150"/>
      <c r="P11" s="151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2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 t="s">
        <v>182</v>
      </c>
      <c r="E28" s="55"/>
      <c r="F28" s="55"/>
      <c r="G28" s="55" t="s">
        <v>181</v>
      </c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data_general'!$C$28</f>
        <v>Level II and III</v>
      </c>
      <c r="G1" s="112" t="str">
        <f>'1.1 Case data_general'!$C$29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PHIC-5</cp:lastModifiedBy>
  <dcterms:created xsi:type="dcterms:W3CDTF">2018-05-11T08:46:15Z</dcterms:created>
  <dcterms:modified xsi:type="dcterms:W3CDTF">2018-06-04T01:19:42Z</dcterms:modified>
</cp:coreProperties>
</file>