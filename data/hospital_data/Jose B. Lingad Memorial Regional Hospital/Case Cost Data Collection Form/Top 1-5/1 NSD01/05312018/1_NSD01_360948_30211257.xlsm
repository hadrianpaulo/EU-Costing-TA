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Supplies_Medical'!$C$15:$C$50</definedName>
    <definedName name="Drugs">'1.2 Drugs&amp;Med'!$C$11:$C$16</definedName>
    <definedName name="_xlnm.Print_Area" localSheetId="0">'1.1 Case data_general'!$B$1:$F$68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9" i="2" l="1"/>
  <c r="G39" i="9"/>
  <c r="G38" i="9"/>
  <c r="G37" i="9"/>
  <c r="J18" i="2" l="1"/>
  <c r="J17" i="2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68" i="1"/>
  <c r="E68" i="1"/>
  <c r="D68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<sst xmlns="http://schemas.openxmlformats.org/spreadsheetml/2006/main" count="511" uniqueCount="209">
  <si>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</si>
  <si>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</si>
  <si>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</si>
  <si>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</si>
  <si>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</si>
  <si>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</si>
  <si>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</si>
  <si>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</si>
  <si>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</si>
  <si>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</si>
  <si>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</si>
  <si>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</si>
  <si>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</si>
  <si>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</si>
  <si>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</si>
  <si>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</si>
  <si>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</si>
  <si>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</si>
  <si>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</si>
  <si>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</si>
  <si>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</si>
  <si>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</si>
  <si>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</si>
  <si>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</si>
  <si>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</si>
  <si>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</si>
  <si>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</si>
  <si>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</si>
  <si>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</si>
  <si>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</si>
  <si>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</si>
  <si>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</si>
  <si>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</si>
  <si>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</si>
  <si>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</si>
  <si>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</si>
  <si>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</si>
  <si>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</si>
  <si>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</si>
  <si>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</si>
  <si>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</si>
  <si>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</si>
  <si>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</si>
  <si>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</si>
  <si>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</si>
  <si>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</si>
  <si>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</si>
  <si>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</si>
  <si>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</si>
  <si>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</si>
  <si>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</si>
  <si>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</si>
  <si>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</si>
  <si>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</si>
  <si>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</si>
  <si>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</si>
  <si>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</si>
  <si>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</si>
  <si>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</si>
  <si>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</si>
  <si>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</si>
  <si>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</si>
  <si>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</si>
  <si>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</si>
  <si>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</si>
  <si>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</si>
  <si>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</si>
  <si>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</si>
  <si>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</si>
  <si>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</si>
  <si>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</si>
  <si>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</si>
  <si>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</si>
  <si>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</si>
  <si>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</si>
  <si>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</si>
  <si>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</si>
  <si>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</si>
  <si>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</si>
  <si>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</si>
  <si>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</si>
  <si>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</si>
  <si>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</si>
  <si>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</si>
  <si>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</si>
  <si>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</si>
  <si>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</si>
  <si>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</si>
  <si>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</si>
  <si>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</si>
  <si>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</si>
  <si>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</si>
  <si>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</si>
  <si>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</si>
  <si>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</si>
  <si>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</si>
  <si>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</si>
  <si>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</si>
  <si>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</si>
  <si>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</si>
  <si>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</si>
  <si>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</si>
  <si>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</si>
  <si>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</si>
  <si>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</si>
  <si>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</si>
  <si>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</si>
  <si>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</si>
  <si>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</si>
  <si>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</si>
  <si>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</si>
  <si>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</si>
  <si>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</si>
  <si>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</si>
  <si>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</si>
  <si>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</si>
  <si>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</si>
  <si>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</si>
  <si>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</si>
  <si>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</si>
  <si>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</si>
  <si>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</si>
  <si>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</si>
  <si>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</si>
  <si>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</si>
  <si>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</si>
  <si>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</si>
  <si>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</si>
  <si>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</si>
  <si>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</si>
  <si>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</si>
  <si>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</si>
  <si>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</si>
  <si>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</si>
  <si>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</si>
  <si>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</si>
  <si>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</si>
  <si>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</si>
  <si>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</si>
  <si>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</si>
  <si>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</si>
  <si>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</si>
  <si>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</si>
  <si>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</si>
  <si>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</si>
  <si>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</si>
  <si>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</si>
  <si>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</si>
  <si>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</si>
  <si>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</si>
  <si>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</si>
  <si>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</si>
  <si>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</si>
  <si>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</si>
  <si>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</si>
  <si>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</si>
  <si>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</si>
  <si>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</si>
  <si>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</si>
  <si>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</si>
  <si>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</si>
  <si>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</si>
  <si>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</si>
  <si>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</si>
  <si>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</si>
  <si>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</si>
  <si>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</si>
  <si>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</si>
  <si>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</si>
  <si>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</si>
  <si>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IV SET W/ AIRWAY FOR IV PUSH, VACOSET/MACRODRIP, ADULT</t>
  </si>
  <si>
    <t>IV CATHETER GAUGE 18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</si>
  <si>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</si>
  <si>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</si>
  <si>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</si>
  <si>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</si>
  <si>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</si>
  <si>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</si>
  <si>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</si>
  <si>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</si>
  <si>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</si>
  <si>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</si>
  <si>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</si>
  <si>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</si>
  <si>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</si>
  <si>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</si>
  <si>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VIAL</t>
  </si>
  <si>
    <t>FLUID</t>
  </si>
  <si>
    <t>TUBE</t>
  </si>
  <si>
    <t>CAPSULE</t>
  </si>
  <si>
    <t>1L</t>
  </si>
  <si>
    <t>10MG</t>
  </si>
  <si>
    <t>3.5G</t>
  </si>
  <si>
    <t>500MG</t>
  </si>
  <si>
    <t>200MG</t>
  </si>
  <si>
    <t>CALCIUM CARBONATE 500MG BLISTER/FOIL PACK</t>
  </si>
  <si>
    <t>MEDICAL GLOVES W/ CUFF, STERILE LATEX, NATURAL RUBBER: BOX OF 50'S  WARD USE SIZE 6 1/2</t>
  </si>
  <si>
    <t>PAIR</t>
  </si>
  <si>
    <t>CASE RATE</t>
  </si>
  <si>
    <t>PF CASE</t>
  </si>
  <si>
    <t>NBB</t>
  </si>
  <si>
    <t>MATERNITY PAD  X 8</t>
  </si>
  <si>
    <t>NGT 8 STRAIGHT, 40CM (CPR NEEDED)</t>
  </si>
  <si>
    <t>OXYTOCIN MALEATE 10MCG INJECTION 10 UNITS/ML-1ML</t>
  </si>
  <si>
    <t>10MCG</t>
  </si>
  <si>
    <t>AMPULE</t>
  </si>
  <si>
    <t>CEFALEXIN MONOHYDRATE 500MG IN BLISTER FOIL PACK</t>
  </si>
  <si>
    <t>360948/74330</t>
  </si>
  <si>
    <t>HYOSCINE N-BUTYLBROMIDE 10MG IN BLISTER FOIL PACK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</si>
</sst>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35</xdr:row>
          <xdr:rowOff>19050</xdr:rowOff>
        </xdr:from>
        <xdr:to>
          <xdr:col>1</xdr:col>
          <xdr:colOff>733425</xdr:colOff>
          <xdr:row>35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35</xdr:row>
          <xdr:rowOff>19050</xdr:rowOff>
        </xdr:from>
        <xdr:to>
          <xdr:col>1</xdr:col>
          <xdr:colOff>1504950</xdr:colOff>
          <xdr:row>35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56</xdr:row>
          <xdr:rowOff>19050</xdr:rowOff>
        </xdr:from>
        <xdr:to>
          <xdr:col>1</xdr:col>
          <xdr:colOff>733425</xdr:colOff>
          <xdr:row>56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56</xdr:row>
          <xdr:rowOff>19050</xdr:rowOff>
        </xdr:from>
        <xdr:to>
          <xdr:col>1</xdr:col>
          <xdr:colOff>1504950</xdr:colOff>
          <xdr:row>56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28575</xdr:rowOff>
        </xdr:from>
        <xdr:to>
          <xdr:col>1</xdr:col>
          <xdr:colOff>771525</xdr:colOff>
          <xdr:row>40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40</xdr:row>
          <xdr:rowOff>28575</xdr:rowOff>
        </xdr:from>
        <xdr:to>
          <xdr:col>1</xdr:col>
          <xdr:colOff>1543050</xdr:colOff>
          <xdr:row>40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5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2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207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165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3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168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169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thickBot="1" x14ac:dyDescent="0.35">
      <c r="A35" s="1"/>
      <c r="B35" s="121" t="s">
        <v>19</v>
      </c>
      <c r="C35" s="122"/>
      <c r="D35" s="119"/>
      <c r="E35" s="122"/>
      <c r="F35" s="120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1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2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3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4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21" t="s">
        <v>43</v>
      </c>
      <c r="C40" s="122"/>
      <c r="D40" s="119"/>
      <c r="E40" s="122"/>
      <c r="F40" s="120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14" t="s">
        <v>44</v>
      </c>
      <c r="C41" s="13"/>
      <c r="D41" s="13"/>
      <c r="E41" s="16">
        <v>0</v>
      </c>
      <c r="F41" s="13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52</v>
      </c>
      <c r="C42" s="119"/>
      <c r="D42" s="119"/>
      <c r="E42" s="119"/>
      <c r="F42" s="120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20"/>
      <c r="B43" s="30">
        <v>1</v>
      </c>
      <c r="C43" s="31"/>
      <c r="D43" s="32"/>
      <c r="E43" s="57"/>
      <c r="F43" s="5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20"/>
      <c r="B44" s="30">
        <v>2</v>
      </c>
      <c r="C44" s="31"/>
      <c r="D44" s="32"/>
      <c r="E44" s="57"/>
      <c r="F44" s="57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20"/>
      <c r="B45" s="26">
        <v>3</v>
      </c>
      <c r="C45" s="27"/>
      <c r="D45" s="28"/>
      <c r="E45" s="55"/>
      <c r="F45" s="55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26">
        <v>4</v>
      </c>
      <c r="C46" s="27"/>
      <c r="D46" s="28"/>
      <c r="E46" s="55"/>
      <c r="F46" s="55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20</v>
      </c>
      <c r="C47" s="119"/>
      <c r="D47" s="119"/>
      <c r="E47" s="119"/>
      <c r="F47" s="120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1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2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5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6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5"/>
      <c r="C54" s="25"/>
      <c r="D54" s="25"/>
      <c r="E54" s="25"/>
      <c r="F54" s="2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57.75" customHeight="1" thickBot="1" x14ac:dyDescent="0.35">
      <c r="A56" s="1"/>
      <c r="B56" s="17" t="s">
        <v>54</v>
      </c>
      <c r="C56" s="17" t="s">
        <v>50</v>
      </c>
      <c r="D56" s="17" t="s">
        <v>55</v>
      </c>
      <c r="E56" s="18" t="s">
        <v>56</v>
      </c>
      <c r="F56" s="19" t="s">
        <v>21</v>
      </c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2">
        <v>1</v>
      </c>
      <c r="C57" s="27" t="s">
        <v>198</v>
      </c>
      <c r="D57" s="55">
        <v>3000</v>
      </c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0">
        <v>2</v>
      </c>
      <c r="C58" s="27" t="s">
        <v>199</v>
      </c>
      <c r="D58" s="55">
        <v>2000</v>
      </c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0">
        <v>3</v>
      </c>
      <c r="C59" s="27" t="s">
        <v>200</v>
      </c>
      <c r="D59" s="55"/>
      <c r="E59" s="55">
        <v>1030.8</v>
      </c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0">
        <v>4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5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6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7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8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9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10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4.9000000000000004" customHeight="1" thickBot="1" x14ac:dyDescent="0.35">
      <c r="A67" s="1"/>
      <c r="B67" s="1"/>
      <c r="C67" s="1"/>
      <c r="D67" s="58"/>
      <c r="E67" s="58"/>
      <c r="F67" s="58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thickTop="1" x14ac:dyDescent="0.3">
      <c r="A68" s="1"/>
      <c r="B68" s="11"/>
      <c r="C68" s="4" t="s">
        <v>22</v>
      </c>
      <c r="D68" s="59">
        <f>SUM(D57:D67)</f>
        <v>5000</v>
      </c>
      <c r="E68" s="59">
        <f>SUM(E57:E67)</f>
        <v>1030.8</v>
      </c>
      <c r="F68" s="59">
        <f>SUM(F57:F67)</f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</sheetData>
  <sheetProtection password="C2E9" sheet="1" objects="1" scenarios="1" formatColumns="0" formatRows="0" sort="0" autoFilter="0"/>
  <mergeCells count="12">
    <mergeCell ref="B47:F47"/>
    <mergeCell ref="B40:F40"/>
    <mergeCell ref="B12:F12"/>
    <mergeCell ref="B13:F13"/>
    <mergeCell ref="B14:F14"/>
    <mergeCell ref="B15:F15"/>
    <mergeCell ref="B18:F18"/>
    <mergeCell ref="B21:F21"/>
    <mergeCell ref="B32:F32"/>
    <mergeCell ref="B27:F27"/>
    <mergeCell ref="B35:F35"/>
    <mergeCell ref="B42:F42"/>
  </mergeCells>
  <dataValidations count="1">
    <dataValidation type="decimal" operator="greaterThanOrEqual" allowBlank="1" showInputMessage="1" showErrorMessage="1" sqref="E31 E36:E39 E41 E22:F26 E43:F46 E48:F53 E33:E34 D57:F6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35</xdr:row>
                    <xdr:rowOff>19050</xdr:rowOff>
                  </from>
                  <to>
                    <xdr:col>1</xdr:col>
                    <xdr:colOff>733425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35</xdr:row>
                    <xdr:rowOff>19050</xdr:rowOff>
                  </from>
                  <to>
                    <xdr:col>1</xdr:col>
                    <xdr:colOff>1504950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56</xdr:row>
                    <xdr:rowOff>19050</xdr:rowOff>
                  </from>
                  <to>
                    <xdr:col>1</xdr:col>
                    <xdr:colOff>733425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56</xdr:row>
                    <xdr:rowOff>19050</xdr:rowOff>
                  </from>
                  <to>
                    <xdr:col>1</xdr:col>
                    <xdr:colOff>1504950</xdr:colOff>
                    <xdr:row>56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F20" sqref="F2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31" t="s">
        <v>181</v>
      </c>
      <c r="D11" s="27" t="s">
        <v>187</v>
      </c>
      <c r="E11" s="27" t="s">
        <v>190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31" t="s">
        <v>203</v>
      </c>
      <c r="D12" s="27" t="s">
        <v>205</v>
      </c>
      <c r="E12" s="27" t="s">
        <v>204</v>
      </c>
      <c r="F12" s="55">
        <v>1</v>
      </c>
      <c r="G12" s="55">
        <v>1</v>
      </c>
      <c r="H12" s="55">
        <v>1</v>
      </c>
      <c r="I12" s="55">
        <v>8.52</v>
      </c>
      <c r="J12" s="55">
        <f t="shared" ref="J12:J19" si="0">H12*I12</f>
        <v>8.52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31" t="s">
        <v>208</v>
      </c>
      <c r="D13" s="27" t="s">
        <v>186</v>
      </c>
      <c r="E13" s="27" t="s">
        <v>191</v>
      </c>
      <c r="F13" s="55">
        <v>2</v>
      </c>
      <c r="G13" s="55">
        <v>2</v>
      </c>
      <c r="H13" s="55">
        <v>4</v>
      </c>
      <c r="I13" s="55">
        <v>5.49</v>
      </c>
      <c r="J13" s="55">
        <f t="shared" si="0"/>
        <v>21.96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31" t="s">
        <v>182</v>
      </c>
      <c r="D14" s="27" t="s">
        <v>186</v>
      </c>
      <c r="E14" s="27" t="s">
        <v>191</v>
      </c>
      <c r="F14" s="55">
        <v>1</v>
      </c>
      <c r="G14" s="55">
        <v>1</v>
      </c>
      <c r="H14" s="55">
        <v>1</v>
      </c>
      <c r="I14" s="55">
        <v>21.31</v>
      </c>
      <c r="J14" s="55">
        <f t="shared" si="0"/>
        <v>21.31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31" t="s">
        <v>183</v>
      </c>
      <c r="D15" s="27" t="s">
        <v>188</v>
      </c>
      <c r="E15" s="27" t="s">
        <v>192</v>
      </c>
      <c r="F15" s="55">
        <v>1</v>
      </c>
      <c r="G15" s="55">
        <v>1</v>
      </c>
      <c r="H15" s="55">
        <v>1</v>
      </c>
      <c r="I15" s="55">
        <v>21</v>
      </c>
      <c r="J15" s="55">
        <f t="shared" si="0"/>
        <v>21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31" t="s">
        <v>184</v>
      </c>
      <c r="D16" s="27" t="s">
        <v>189</v>
      </c>
      <c r="E16" s="27" t="s">
        <v>193</v>
      </c>
      <c r="F16" s="55">
        <v>3</v>
      </c>
      <c r="G16" s="55">
        <v>3</v>
      </c>
      <c r="H16" s="55">
        <v>9</v>
      </c>
      <c r="I16" s="55">
        <v>0.97</v>
      </c>
      <c r="J16" s="55">
        <f t="shared" si="0"/>
        <v>8.73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31" t="s">
        <v>185</v>
      </c>
      <c r="D17" s="27" t="s">
        <v>189</v>
      </c>
      <c r="E17" s="27" t="s">
        <v>194</v>
      </c>
      <c r="F17" s="55">
        <v>1</v>
      </c>
      <c r="G17" s="55">
        <v>100</v>
      </c>
      <c r="H17" s="55">
        <v>100</v>
      </c>
      <c r="I17" s="55">
        <v>1.27</v>
      </c>
      <c r="J17" s="55">
        <f t="shared" si="0"/>
        <v>127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31" t="s">
        <v>195</v>
      </c>
      <c r="D18" s="27" t="s">
        <v>189</v>
      </c>
      <c r="E18" s="27" t="s">
        <v>193</v>
      </c>
      <c r="F18" s="55">
        <v>3</v>
      </c>
      <c r="G18" s="55">
        <v>10</v>
      </c>
      <c r="H18" s="55">
        <v>30</v>
      </c>
      <c r="I18" s="55">
        <v>1.83</v>
      </c>
      <c r="J18" s="55">
        <f t="shared" si="0"/>
        <v>54.900000000000006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31" t="s">
        <v>206</v>
      </c>
      <c r="D19" s="27" t="s">
        <v>189</v>
      </c>
      <c r="E19" s="27" t="s">
        <v>193</v>
      </c>
      <c r="F19" s="55">
        <v>3</v>
      </c>
      <c r="G19" s="55">
        <v>7</v>
      </c>
      <c r="H19" s="55">
        <v>21</v>
      </c>
      <c r="I19" s="55">
        <v>2.87</v>
      </c>
      <c r="J19" s="55">
        <f t="shared" si="0"/>
        <v>60.27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8">
    <cfRule type="duplicateValues" dxfId="12" priority="18"/>
  </conditionalFormatting>
  <conditionalFormatting sqref="C19">
    <cfRule type="duplicateValues" dxfId="0" priority="1"/>
  </conditionalFormatting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4"/>
  <sheetViews>
    <sheetView topLeftCell="A10" workbookViewId="0">
      <selection activeCell="D39" sqref="D3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9" t="s">
        <v>75</v>
      </c>
      <c r="C27" s="140"/>
      <c r="D27" s="140"/>
      <c r="E27" s="140"/>
      <c r="F27" s="140"/>
      <c r="G27" s="141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171</v>
      </c>
      <c r="D28" s="117" t="s">
        <v>164</v>
      </c>
      <c r="E28" s="116">
        <v>1</v>
      </c>
      <c r="F28" s="116">
        <v>13.13</v>
      </c>
      <c r="G28" s="116">
        <f>+E28*F28</f>
        <v>13.13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31" t="s">
        <v>170</v>
      </c>
      <c r="D29" s="117" t="s">
        <v>180</v>
      </c>
      <c r="E29" s="116">
        <v>1</v>
      </c>
      <c r="F29" s="116">
        <v>14</v>
      </c>
      <c r="G29" s="116">
        <f t="shared" ref="G29:G39" si="0">+E29*F29</f>
        <v>14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31" t="s">
        <v>201</v>
      </c>
      <c r="D30" s="117" t="s">
        <v>164</v>
      </c>
      <c r="E30" s="116">
        <v>2</v>
      </c>
      <c r="F30" s="116">
        <v>250</v>
      </c>
      <c r="G30" s="116">
        <f t="shared" si="0"/>
        <v>500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31" t="s">
        <v>179</v>
      </c>
      <c r="D31" s="117" t="s">
        <v>164</v>
      </c>
      <c r="E31" s="116">
        <v>1</v>
      </c>
      <c r="F31" s="116">
        <v>118.67</v>
      </c>
      <c r="G31" s="116">
        <f t="shared" si="0"/>
        <v>118.67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31" t="s">
        <v>172</v>
      </c>
      <c r="D32" s="117" t="s">
        <v>164</v>
      </c>
      <c r="E32" s="116">
        <v>1</v>
      </c>
      <c r="F32" s="116">
        <v>11.73</v>
      </c>
      <c r="G32" s="116">
        <f t="shared" si="0"/>
        <v>11.73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31" t="s">
        <v>173</v>
      </c>
      <c r="D33" s="117" t="s">
        <v>164</v>
      </c>
      <c r="E33" s="116">
        <v>1</v>
      </c>
      <c r="F33" s="116">
        <v>1.6</v>
      </c>
      <c r="G33" s="116">
        <f t="shared" si="0"/>
        <v>1.6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31" t="s">
        <v>174</v>
      </c>
      <c r="D34" s="117" t="s">
        <v>164</v>
      </c>
      <c r="E34" s="116">
        <v>1</v>
      </c>
      <c r="F34" s="116">
        <v>1.6</v>
      </c>
      <c r="G34" s="116">
        <f t="shared" si="0"/>
        <v>1.6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31" t="s">
        <v>175</v>
      </c>
      <c r="D35" s="117" t="s">
        <v>164</v>
      </c>
      <c r="E35" s="116">
        <v>1</v>
      </c>
      <c r="F35" s="116">
        <v>5</v>
      </c>
      <c r="G35" s="116">
        <f t="shared" si="0"/>
        <v>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31" t="s">
        <v>176</v>
      </c>
      <c r="D36" s="117" t="s">
        <v>164</v>
      </c>
      <c r="E36" s="116">
        <v>1</v>
      </c>
      <c r="F36" s="116">
        <v>3.25</v>
      </c>
      <c r="G36" s="116">
        <f t="shared" si="0"/>
        <v>3.25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31" t="s">
        <v>177</v>
      </c>
      <c r="D37" s="117" t="s">
        <v>164</v>
      </c>
      <c r="E37" s="116">
        <v>1</v>
      </c>
      <c r="F37" s="116">
        <v>5</v>
      </c>
      <c r="G37" s="116">
        <f t="shared" si="0"/>
        <v>5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31" t="s">
        <v>196</v>
      </c>
      <c r="D38" s="117" t="s">
        <v>197</v>
      </c>
      <c r="E38" s="116">
        <v>3</v>
      </c>
      <c r="F38" s="116">
        <v>12</v>
      </c>
      <c r="G38" s="116">
        <f t="shared" si="0"/>
        <v>36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31" t="s">
        <v>202</v>
      </c>
      <c r="D39" s="117" t="s">
        <v>164</v>
      </c>
      <c r="E39" s="116">
        <v>1</v>
      </c>
      <c r="F39" s="116">
        <v>7.8</v>
      </c>
      <c r="G39" s="116">
        <f t="shared" si="0"/>
        <v>7.8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139" t="s">
        <v>29</v>
      </c>
      <c r="C40" s="140"/>
      <c r="D40" s="140"/>
      <c r="E40" s="140"/>
      <c r="F40" s="140"/>
      <c r="G40" s="141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2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3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4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5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6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7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8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9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10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A51" s="44"/>
      <c r="B51" s="39"/>
      <c r="C51" s="44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A52" s="44"/>
      <c r="B52" s="39"/>
      <c r="C52" s="44"/>
      <c r="D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0:G40"/>
    <mergeCell ref="B8:G8"/>
    <mergeCell ref="B9:G9"/>
    <mergeCell ref="B10:G10"/>
    <mergeCell ref="B11:G11"/>
    <mergeCell ref="B12:G12"/>
    <mergeCell ref="B15:G15"/>
  </mergeCells>
  <conditionalFormatting sqref="C29">
    <cfRule type="duplicateValues" dxfId="11" priority="19"/>
  </conditionalFormatting>
  <conditionalFormatting sqref="C30">
    <cfRule type="duplicateValues" dxfId="10" priority="18"/>
  </conditionalFormatting>
  <conditionalFormatting sqref="C31">
    <cfRule type="duplicateValues" dxfId="9" priority="17"/>
  </conditionalFormatting>
  <conditionalFormatting sqref="C32">
    <cfRule type="duplicateValues" dxfId="8" priority="16"/>
  </conditionalFormatting>
  <conditionalFormatting sqref="C33">
    <cfRule type="duplicateValues" dxfId="7" priority="15"/>
  </conditionalFormatting>
  <conditionalFormatting sqref="C34">
    <cfRule type="duplicateValues" dxfId="6" priority="14"/>
  </conditionalFormatting>
  <conditionalFormatting sqref="C35">
    <cfRule type="duplicateValues" dxfId="5" priority="13"/>
  </conditionalFormatting>
  <conditionalFormatting sqref="C36">
    <cfRule type="duplicateValues" dxfId="4" priority="12"/>
  </conditionalFormatting>
  <conditionalFormatting sqref="C37">
    <cfRule type="duplicateValues" dxfId="3" priority="3"/>
  </conditionalFormatting>
  <conditionalFormatting sqref="C38">
    <cfRule type="duplicateValues" dxfId="2" priority="2"/>
  </conditionalFormatting>
  <conditionalFormatting sqref="C39">
    <cfRule type="duplicateValues" dxfId="1" priority="1"/>
  </conditionalFormatting>
  <dataValidations count="1">
    <dataValidation type="decimal" operator="greaterThanOrEqual" allowBlank="1" showInputMessage="1" showErrorMessage="1" sqref="E16:G5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40</xdr:row>
                    <xdr:rowOff>28575</xdr:rowOff>
                  </from>
                  <to>
                    <xdr:col>1</xdr:col>
                    <xdr:colOff>771525</xdr:colOff>
                    <xdr:row>40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40</xdr:row>
                    <xdr:rowOff>28575</xdr:rowOff>
                  </from>
                  <to>
                    <xdr:col>1</xdr:col>
                    <xdr:colOff>1543050</xdr:colOff>
                    <xdr:row>40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180</v>
      </c>
      <c r="E28" s="55"/>
      <c r="F28" s="55"/>
      <c r="G28" s="55" t="s">
        <v>178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2018-06-04T02:17:18Z</dcterms:modified>
</cp:coreProperties>
</file>