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Drugs&amp;Med'!$C$11:$C$15</definedName>
    <definedName name="_xlnm.Print_Area" localSheetId="0">'1.1 Case data_general'!$B$1:$F$70</definedName>
    <definedName name="_xlnm.Print_Area" localSheetId="1">'1.2 Drugs&amp;Med'!$B$2:$J$21</definedName>
  </definedNames>
  <calcPr calcId="144525"/>
</workbook>
</file>

<file path=xl/calcChain.xml><?xml version="1.0" encoding="utf-8"?>
<calcChain xmlns="http://schemas.openxmlformats.org/spreadsheetml/2006/main">
  <c r="G45" i="9" l="1"/>
  <c r="G44" i="9"/>
  <c r="G43" i="9"/>
  <c r="G42" i="9"/>
  <c r="G41" i="9"/>
  <c r="G40" i="9"/>
  <c r="G39" i="9"/>
  <c r="G38" i="9"/>
  <c r="G37" i="9"/>
  <c r="G36" i="9"/>
  <c r="G35" i="9"/>
  <c r="J20" i="2"/>
  <c r="G34" i="9"/>
  <c r="G33" i="9"/>
  <c r="G32" i="9"/>
  <c r="G31" i="9"/>
  <c r="J19" i="2"/>
  <c r="J18" i="2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<sst xmlns="http://schemas.openxmlformats.org/spreadsheetml/2006/main" count="541" uniqueCount="228">
  <si>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</si>
  <si>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</si>
  <si>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</si>
  <si>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</si>
  <si>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</si>
  <si>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</si>
  <si>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</si>
  <si>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</si>
  <si>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</si>
  <si>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</si>
  <si>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</si>
  <si>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</si>
  <si>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</si>
  <si>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</si>
  <si>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</si>
  <si>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</si>
  <si>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</si>
  <si>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</si>
  <si>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</si>
  <si>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</si>
  <si>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</si>
  <si>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</si>
  <si>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</si>
  <si>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</si>
  <si>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</si>
  <si>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</si>
  <si>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</si>
  <si>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</si>
  <si>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</si>
  <si>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</si>
  <si>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</si>
  <si>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</si>
  <si>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</si>
  <si>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</si>
  <si>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</si>
  <si>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</si>
  <si>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</si>
  <si>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</si>
  <si>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</si>
  <si>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</si>
  <si>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</si>
  <si>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</si>
  <si>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</si>
  <si>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</si>
  <si>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</si>
  <si>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</si>
  <si>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</si>
  <si>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</si>
  <si>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</si>
  <si>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</si>
  <si>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</si>
  <si>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</si>
  <si>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</si>
  <si>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</si>
  <si>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</si>
  <si>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</si>
  <si>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</si>
  <si>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</si>
  <si>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</si>
  <si>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</si>
  <si>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</si>
  <si>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</si>
  <si>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</si>
  <si>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</si>
  <si>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</si>
  <si>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</si>
  <si>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</si>
  <si>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</si>
  <si>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</si>
  <si>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</si>
  <si>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</si>
  <si>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</si>
  <si>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</si>
  <si>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</si>
  <si>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</si>
  <si>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</si>
  <si>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</si>
  <si>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</si>
  <si>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</si>
  <si>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</si>
  <si>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</si>
  <si>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</si>
  <si>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</si>
  <si>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</si>
  <si>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</si>
  <si>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</si>
  <si>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</si>
  <si>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</si>
  <si>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</si>
  <si>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</si>
  <si>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</si>
  <si>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</si>
  <si>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</si>
  <si>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</si>
  <si>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</si>
  <si>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</si>
  <si>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</si>
  <si>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</si>
  <si>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</si>
  <si>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</si>
  <si>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</si>
  <si>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</si>
  <si>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</si>
  <si>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</si>
  <si>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</si>
  <si>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</si>
  <si>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</si>
  <si>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</si>
  <si>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</si>
  <si>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</si>
  <si>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</si>
  <si>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</si>
  <si>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</si>
  <si>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</si>
  <si>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</si>
  <si>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</si>
  <si>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</si>
  <si>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</si>
  <si>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</si>
  <si>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</si>
  <si>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</si>
  <si>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</si>
  <si>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</si>
  <si>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</si>
  <si>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</si>
  <si>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</si>
  <si>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</si>
  <si>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</si>
  <si>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</si>
  <si>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</si>
  <si>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</si>
  <si>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</si>
  <si>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</si>
  <si>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</si>
  <si>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</si>
  <si>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</si>
  <si>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</si>
  <si>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</si>
  <si>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</si>
  <si>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</si>
  <si>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</si>
  <si>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</si>
  <si>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</si>
  <si>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</si>
  <si>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</si>
  <si>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</si>
  <si>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</si>
  <si>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</si>
  <si>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</si>
  <si>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</si>
  <si>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</si>
  <si>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</si>
  <si>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</si>
  <si>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</si>
  <si>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</si>
  <si>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</si>
  <si>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</si>
  <si>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</si>
  <si>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</si>
  <si>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</si>
  <si>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</si>
  <si>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</si>
  <si>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</si>
  <si>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</si>
  <si>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</si>
  <si>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</si>
  <si>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</si>
  <si>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</si>
  <si>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</si>
  <si>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</si>
  <si>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</si>
  <si>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</si>
  <si>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</si>
  <si>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</si>
  <si>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</si>
  <si>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</si>
  <si>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</si>
  <si>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</si>
  <si>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</si>
  <si>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</si>
  <si>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</si>
  <si>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</si>
  <si>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</si>
  <si>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</si>
  <si>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</si>
  <si>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</si>
  <si>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</si>
  <si>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CEFALEXIN MONOHYDRATE 500MG IN BLISTER FOIL PACK</t>
  </si>
  <si>
    <t>AMPULE</t>
  </si>
  <si>
    <t>NGT 8 STRAIGHT, 40CM (CPR NEEDED)</t>
  </si>
  <si>
    <t>MATERNITY PAD  X 8</t>
  </si>
  <si>
    <t>OXYTOCIN MALEATE 10MCG INJECTION 10 UNITS/ML-1ML</t>
  </si>
  <si>
    <t>10MCG</t>
  </si>
  <si>
    <t>METHYLERGOMETRINE MALEATE 200MCG AMP</t>
  </si>
  <si>
    <t>PHYTOMENADIONE ( VITAMIN K ) 10MG/1ML</t>
  </si>
  <si>
    <t>ERYTHROMYCIN  EYE OINTMENT 0.5%, 3.5G</t>
  </si>
  <si>
    <t>200MCG</t>
  </si>
  <si>
    <t>10MG</t>
  </si>
  <si>
    <t>3.5G</t>
  </si>
  <si>
    <t>TUBE</t>
  </si>
  <si>
    <t>FLUID</t>
  </si>
  <si>
    <t>ULTRASOUND PRINTING PAPER 110MM X 20MM (HIGH DENSITY) (DURICO TYPE 1)</t>
  </si>
  <si>
    <t>ADULT DIAPER WITH HIGH LIQUID ABSORBENCY</t>
  </si>
  <si>
    <t>IV CATHETER GAUGE 18</t>
  </si>
  <si>
    <t>IV SET W/ AIRWAY FOR IV PUSH, VACOSET/MACRODRIP, ADULT</t>
  </si>
  <si>
    <t>IV CATHETER GAUGE 20</t>
  </si>
  <si>
    <t>GAUZE SPONGE 4"X4", 8 PLY, 28X24 MESH, UNSTERILE,  W/O BLUE DETECTOR, PACK OF 100S (OS 4X4) (CPR NEEDED)</t>
  </si>
  <si>
    <t>DISPOSABLE FACE MASK, EAR LOOP 3 FOLDS X 50S</t>
  </si>
  <si>
    <t>DISPOSABLE HEAD CAP X 100S GARTERIZED</t>
  </si>
  <si>
    <t>MEDICAL GLOVES W/ CUFF, STERILE LATEX, NATURAL RUBBER: BOX OF 50'S  WARD USE SIZE 6 1/2</t>
  </si>
  <si>
    <t>ROLL</t>
  </si>
  <si>
    <t>PAIR</t>
  </si>
  <si>
    <t>RAPID PLASMA REAGIN (RPR)</t>
  </si>
  <si>
    <t>BLOOD EXTRACTION FEE</t>
  </si>
  <si>
    <t>CALCIUM CARBONATE 500MG BLISTER/FOIL PACK</t>
  </si>
  <si>
    <t>350477/74267</t>
  </si>
  <si>
    <t>Z30.2</t>
  </si>
  <si>
    <t>NALBUPHINE HCL 10MG/ML-1ML</t>
  </si>
  <si>
    <t>DIAZEPAM 5MG/ML-2ML (IM,IV)</t>
  </si>
  <si>
    <t>5MG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</si>
  <si>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</si>
  <si>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MEDICAL GLOVES W/ CUFF, STERILE LATEX, NATURAL RUBBER: BOX OF 50''S  WARD USE SIZE 7 1/2</t>
  </si>
  <si>
    <t>INDIVIDUAL DRESSING KIT CONTENTS: 5 STERILE OS 4 X 4 X 8, 5 STERILE COTTON BALLS, 1 PLASTIC FORCEP, 1 MEDIWRAP, PLASTIC TRAY W/ COMPARTMENT AND POVIDONE IODINE 10% (30ML)</t>
  </si>
  <si>
    <t>CATGUT 2-0 ABSORBABLE SURGICAL SUTURE AT LEAST 150CM, WITH AT LEAST 35-37MM  X 1/2 CIRCLE ROUND TAPER DOUBLE ARM NEEDLE</t>
  </si>
  <si>
    <t>FOLEY CATHETER FR 14, 2 WAY, BOX OF 20</t>
  </si>
  <si>
    <t>SURGICAL BLADE 15 BOX OF 100''''''''S UNIMEX/CHINA</t>
  </si>
  <si>
    <t>OXYGEN MASK ADULT W/ CONNECTING TUBE</t>
  </si>
  <si>
    <t>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</si>
</sst>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13" fillId="0" borderId="0" xfId="0" applyFo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topLeftCell="A30" zoomScale="115" zoomScaleNormal="115" workbookViewId="0">
      <selection activeCell="E51" sqref="E5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216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1.8333333333333333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57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57" t="s">
        <v>212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57" t="s">
        <v>213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22" t="s">
        <v>19</v>
      </c>
      <c r="C37" s="123"/>
      <c r="D37" s="120"/>
      <c r="E37" s="123"/>
      <c r="F37" s="12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118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22" t="s">
        <v>43</v>
      </c>
      <c r="C42" s="123"/>
      <c r="D42" s="120"/>
      <c r="E42" s="123"/>
      <c r="F42" s="12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44</v>
      </c>
      <c r="C43" s="13"/>
      <c r="D43" s="13"/>
      <c r="E43" s="16">
        <v>0</v>
      </c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52</v>
      </c>
      <c r="C44" s="120"/>
      <c r="D44" s="120"/>
      <c r="E44" s="120"/>
      <c r="F44" s="12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9" t="s">
        <v>20</v>
      </c>
      <c r="C49" s="120"/>
      <c r="D49" s="120"/>
      <c r="E49" s="120"/>
      <c r="F49" s="12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>
        <v>58600</v>
      </c>
      <c r="D50" s="28"/>
      <c r="E50" s="55">
        <v>1</v>
      </c>
      <c r="F50" s="55">
        <v>0.16666666666666666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54</v>
      </c>
      <c r="C58" s="17" t="s">
        <v>50</v>
      </c>
      <c r="D58" s="17" t="s">
        <v>55</v>
      </c>
      <c r="E58" s="18" t="s">
        <v>56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185</v>
      </c>
      <c r="D59" s="55">
        <v>4428.21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186</v>
      </c>
      <c r="D60" s="55">
        <v>3000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7428.21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E34:E36 D59:F68 C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1"/>
  <sheetViews>
    <sheetView topLeftCell="B1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200</v>
      </c>
      <c r="E11" s="27" t="s">
        <v>182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180</v>
      </c>
      <c r="E12" s="27" t="s">
        <v>197</v>
      </c>
      <c r="F12" s="55">
        <v>1</v>
      </c>
      <c r="G12" s="55">
        <v>1</v>
      </c>
      <c r="H12" s="55">
        <v>1</v>
      </c>
      <c r="I12" s="55">
        <v>21.31</v>
      </c>
      <c r="J12" s="55">
        <f t="shared" ref="J12:J20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195</v>
      </c>
      <c r="D13" s="27" t="s">
        <v>199</v>
      </c>
      <c r="E13" s="27" t="s">
        <v>198</v>
      </c>
      <c r="F13" s="55">
        <v>1</v>
      </c>
      <c r="G13" s="55">
        <v>1</v>
      </c>
      <c r="H13" s="55">
        <v>1</v>
      </c>
      <c r="I13" s="55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188</v>
      </c>
      <c r="E14" s="27" t="s">
        <v>196</v>
      </c>
      <c r="F14" s="55">
        <v>2</v>
      </c>
      <c r="G14" s="55">
        <v>1</v>
      </c>
      <c r="H14" s="55">
        <v>2</v>
      </c>
      <c r="I14" s="55">
        <v>20</v>
      </c>
      <c r="J14" s="55">
        <f t="shared" si="0"/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188</v>
      </c>
      <c r="E15" s="27" t="s">
        <v>192</v>
      </c>
      <c r="F15" s="55">
        <v>2</v>
      </c>
      <c r="G15" s="55">
        <v>2</v>
      </c>
      <c r="H15" s="55">
        <v>4</v>
      </c>
      <c r="I15" s="55">
        <v>8.52</v>
      </c>
      <c r="J15" s="55">
        <f t="shared" si="0"/>
        <v>34.08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179</v>
      </c>
      <c r="D16" s="27" t="s">
        <v>181</v>
      </c>
      <c r="E16" s="27" t="s">
        <v>184</v>
      </c>
      <c r="F16" s="55">
        <v>1</v>
      </c>
      <c r="G16" s="55">
        <v>100</v>
      </c>
      <c r="H16" s="55">
        <v>100</v>
      </c>
      <c r="I16" s="55">
        <v>1.27</v>
      </c>
      <c r="J16" s="55">
        <f t="shared" si="0"/>
        <v>127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214</v>
      </c>
      <c r="D17" s="27" t="s">
        <v>181</v>
      </c>
      <c r="E17" s="27" t="s">
        <v>183</v>
      </c>
      <c r="F17" s="55">
        <v>2</v>
      </c>
      <c r="G17" s="55">
        <v>7</v>
      </c>
      <c r="H17" s="55">
        <v>14</v>
      </c>
      <c r="I17" s="55">
        <v>1.83</v>
      </c>
      <c r="J17" s="55">
        <f t="shared" si="0"/>
        <v>25.62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187</v>
      </c>
      <c r="D18" s="27" t="s">
        <v>181</v>
      </c>
      <c r="E18" s="27" t="s">
        <v>183</v>
      </c>
      <c r="F18" s="55">
        <v>3</v>
      </c>
      <c r="G18" s="55">
        <v>7</v>
      </c>
      <c r="H18" s="55">
        <v>21</v>
      </c>
      <c r="I18" s="55">
        <v>2.87</v>
      </c>
      <c r="J18" s="55">
        <f t="shared" si="0"/>
        <v>60.27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217</v>
      </c>
      <c r="D19" s="27" t="s">
        <v>188</v>
      </c>
      <c r="E19" s="27" t="s">
        <v>197</v>
      </c>
      <c r="F19" s="55">
        <v>1</v>
      </c>
      <c r="G19" s="55">
        <v>1</v>
      </c>
      <c r="H19" s="55">
        <v>1</v>
      </c>
      <c r="I19" s="55">
        <v>61.77</v>
      </c>
      <c r="J19" s="55">
        <f t="shared" si="0"/>
        <v>61.77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218</v>
      </c>
      <c r="D20" s="27" t="s">
        <v>188</v>
      </c>
      <c r="E20" s="27" t="s">
        <v>219</v>
      </c>
      <c r="F20" s="55">
        <v>1</v>
      </c>
      <c r="G20" s="55">
        <v>1</v>
      </c>
      <c r="H20" s="55">
        <v>1</v>
      </c>
      <c r="I20" s="55">
        <v>90.96</v>
      </c>
      <c r="J20" s="55">
        <f t="shared" si="0"/>
        <v>90.96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2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0" workbookViewId="0">
      <selection activeCell="D45" sqref="D45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25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40" t="s">
        <v>75</v>
      </c>
      <c r="C20" s="141"/>
      <c r="D20" s="141"/>
      <c r="E20" s="141"/>
      <c r="F20" s="141"/>
      <c r="G20" s="142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203</v>
      </c>
      <c r="D21" s="117" t="s">
        <v>164</v>
      </c>
      <c r="E21" s="116">
        <v>1</v>
      </c>
      <c r="F21" s="116">
        <v>13.13</v>
      </c>
      <c r="G21" s="116">
        <f>+E21*F21</f>
        <v>13.13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201</v>
      </c>
      <c r="D22" s="117" t="s">
        <v>210</v>
      </c>
      <c r="E22" s="116">
        <v>1</v>
      </c>
      <c r="F22" s="116">
        <v>100</v>
      </c>
      <c r="G22" s="116">
        <f t="shared" ref="G22:G45" si="0">+E22*F22</f>
        <v>100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202</v>
      </c>
      <c r="D23" s="117" t="s">
        <v>164</v>
      </c>
      <c r="E23" s="116">
        <v>1</v>
      </c>
      <c r="F23" s="116">
        <v>20.97</v>
      </c>
      <c r="G23" s="116">
        <f t="shared" si="0"/>
        <v>20.97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220</v>
      </c>
      <c r="D24" s="117" t="s">
        <v>227</v>
      </c>
      <c r="E24" s="116">
        <v>1</v>
      </c>
      <c r="F24" s="116">
        <v>105.33</v>
      </c>
      <c r="G24" s="116">
        <f t="shared" si="0"/>
        <v>105.33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189</v>
      </c>
      <c r="D25" s="117" t="s">
        <v>164</v>
      </c>
      <c r="E25" s="116">
        <v>1</v>
      </c>
      <c r="F25" s="116">
        <v>7.8</v>
      </c>
      <c r="G25" s="116">
        <f t="shared" si="0"/>
        <v>7.8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190</v>
      </c>
      <c r="D26" s="117" t="s">
        <v>164</v>
      </c>
      <c r="E26" s="116">
        <v>1</v>
      </c>
      <c r="F26" s="116">
        <v>250</v>
      </c>
      <c r="G26" s="116">
        <f t="shared" si="0"/>
        <v>250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169</v>
      </c>
      <c r="D27" s="117" t="s">
        <v>164</v>
      </c>
      <c r="E27" s="116">
        <v>2</v>
      </c>
      <c r="F27" s="116">
        <v>11.73</v>
      </c>
      <c r="G27" s="116">
        <f t="shared" si="0"/>
        <v>23.46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170</v>
      </c>
      <c r="D28" s="117" t="s">
        <v>164</v>
      </c>
      <c r="E28" s="116">
        <v>2</v>
      </c>
      <c r="F28" s="116">
        <v>1.6</v>
      </c>
      <c r="G28" s="116">
        <f t="shared" si="0"/>
        <v>3.2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171</v>
      </c>
      <c r="D29" s="117" t="s">
        <v>164</v>
      </c>
      <c r="E29" s="116">
        <v>3</v>
      </c>
      <c r="F29" s="116">
        <v>1.6</v>
      </c>
      <c r="G29" s="116">
        <f t="shared" si="0"/>
        <v>4.8000000000000007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172</v>
      </c>
      <c r="D30" s="117" t="s">
        <v>164</v>
      </c>
      <c r="E30" s="116">
        <v>3</v>
      </c>
      <c r="F30" s="116">
        <v>5</v>
      </c>
      <c r="G30" s="116">
        <f t="shared" si="0"/>
        <v>15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173</v>
      </c>
      <c r="D31" s="117" t="s">
        <v>164</v>
      </c>
      <c r="E31" s="116">
        <v>5</v>
      </c>
      <c r="F31" s="116">
        <v>2.77</v>
      </c>
      <c r="G31" s="116">
        <f t="shared" si="0"/>
        <v>13.85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209</v>
      </c>
      <c r="D32" s="117" t="s">
        <v>211</v>
      </c>
      <c r="E32" s="116">
        <v>6</v>
      </c>
      <c r="F32" s="116">
        <v>12</v>
      </c>
      <c r="G32" s="116">
        <f t="shared" si="0"/>
        <v>72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13</v>
      </c>
      <c r="C33" s="27" t="s">
        <v>221</v>
      </c>
      <c r="D33" s="117" t="s">
        <v>211</v>
      </c>
      <c r="E33" s="116">
        <v>2</v>
      </c>
      <c r="F33" s="116">
        <v>10.67</v>
      </c>
      <c r="G33" s="116">
        <f t="shared" si="0"/>
        <v>21.34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14</v>
      </c>
      <c r="C34" s="27" t="s">
        <v>174</v>
      </c>
      <c r="D34" s="117" t="s">
        <v>164</v>
      </c>
      <c r="E34" s="116">
        <v>1</v>
      </c>
      <c r="F34" s="116">
        <v>3.25</v>
      </c>
      <c r="G34" s="116">
        <f t="shared" si="0"/>
        <v>3.25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15</v>
      </c>
      <c r="C35" s="27" t="s">
        <v>175</v>
      </c>
      <c r="D35" s="117" t="s">
        <v>164</v>
      </c>
      <c r="E35" s="116">
        <v>1</v>
      </c>
      <c r="F35" s="116">
        <v>5</v>
      </c>
      <c r="G35" s="116">
        <f t="shared" si="0"/>
        <v>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16</v>
      </c>
      <c r="C36" s="27" t="s">
        <v>222</v>
      </c>
      <c r="D36" s="117" t="s">
        <v>227</v>
      </c>
      <c r="E36" s="116">
        <v>5</v>
      </c>
      <c r="F36" s="116">
        <v>85.72</v>
      </c>
      <c r="G36" s="116">
        <f t="shared" si="0"/>
        <v>428.6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17</v>
      </c>
      <c r="C37" s="27" t="s">
        <v>223</v>
      </c>
      <c r="D37" s="117" t="s">
        <v>164</v>
      </c>
      <c r="E37" s="116">
        <v>1</v>
      </c>
      <c r="F37" s="116">
        <v>222.2</v>
      </c>
      <c r="G37" s="116">
        <f t="shared" si="0"/>
        <v>222.2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18</v>
      </c>
      <c r="C38" s="27" t="s">
        <v>224</v>
      </c>
      <c r="D38" s="117" t="s">
        <v>164</v>
      </c>
      <c r="E38" s="116">
        <v>1</v>
      </c>
      <c r="F38" s="116">
        <v>22</v>
      </c>
      <c r="G38" s="116">
        <f t="shared" si="0"/>
        <v>22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19</v>
      </c>
      <c r="C39" s="27" t="s">
        <v>206</v>
      </c>
      <c r="D39" s="117" t="s">
        <v>164</v>
      </c>
      <c r="E39" s="116">
        <v>12</v>
      </c>
      <c r="F39" s="116">
        <v>1.51</v>
      </c>
      <c r="G39" s="116">
        <f t="shared" si="0"/>
        <v>18.12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20</v>
      </c>
      <c r="C40" s="27" t="s">
        <v>225</v>
      </c>
      <c r="D40" s="117" t="s">
        <v>164</v>
      </c>
      <c r="E40" s="116">
        <v>1</v>
      </c>
      <c r="F40" s="116">
        <v>2.0699999999999998</v>
      </c>
      <c r="G40" s="116">
        <f t="shared" si="0"/>
        <v>2.0699999999999998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21</v>
      </c>
      <c r="C41" s="27" t="s">
        <v>207</v>
      </c>
      <c r="D41" s="117" t="s">
        <v>164</v>
      </c>
      <c r="E41" s="116">
        <v>1</v>
      </c>
      <c r="F41" s="116">
        <v>1.0900000000000001</v>
      </c>
      <c r="G41" s="116">
        <f t="shared" si="0"/>
        <v>1.0900000000000001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22</v>
      </c>
      <c r="C42" s="27" t="s">
        <v>226</v>
      </c>
      <c r="D42" s="117" t="s">
        <v>164</v>
      </c>
      <c r="E42" s="116">
        <v>1</v>
      </c>
      <c r="F42" s="116">
        <v>37.130000000000003</v>
      </c>
      <c r="G42" s="116">
        <f t="shared" si="0"/>
        <v>37.130000000000003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23</v>
      </c>
      <c r="C43" s="27" t="s">
        <v>208</v>
      </c>
      <c r="D43" s="117" t="s">
        <v>164</v>
      </c>
      <c r="E43" s="116">
        <v>1</v>
      </c>
      <c r="F43" s="116">
        <v>1.27</v>
      </c>
      <c r="G43" s="116">
        <f t="shared" si="0"/>
        <v>1.27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24</v>
      </c>
      <c r="C44" s="27" t="s">
        <v>204</v>
      </c>
      <c r="D44" s="117" t="s">
        <v>177</v>
      </c>
      <c r="E44" s="116">
        <v>1</v>
      </c>
      <c r="F44" s="116">
        <v>14</v>
      </c>
      <c r="G44" s="116">
        <f t="shared" si="0"/>
        <v>14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25</v>
      </c>
      <c r="C45" s="27" t="s">
        <v>205</v>
      </c>
      <c r="D45" s="117" t="s">
        <v>164</v>
      </c>
      <c r="E45" s="116">
        <v>2</v>
      </c>
      <c r="F45" s="116">
        <v>13.13</v>
      </c>
      <c r="G45" s="116">
        <f t="shared" si="0"/>
        <v>26.26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40" t="s">
        <v>29</v>
      </c>
      <c r="C46" s="141"/>
      <c r="D46" s="141"/>
      <c r="E46" s="141"/>
      <c r="F46" s="141"/>
      <c r="G46" s="142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177</v>
      </c>
      <c r="E28" s="55"/>
      <c r="F28" s="55"/>
      <c r="G28" s="55" t="s">
        <v>176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2018-05-31T09:00:10Z</dcterms:modified>
</cp:coreProperties>
</file>