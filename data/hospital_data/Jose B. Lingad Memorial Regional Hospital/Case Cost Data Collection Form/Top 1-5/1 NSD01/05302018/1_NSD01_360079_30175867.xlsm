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Drugs&amp;Med'!$C$11:$C$15</definedName>
    <definedName name="_xlnm.Print_Area" localSheetId="0">'1.1 Case data_general'!$B$1:$F$69</definedName>
    <definedName name="_xlnm.Print_Area" localSheetId="1">'1.2 Drugs&amp;Med'!$B$2:$J$22</definedName>
  </definedNames>
  <calcPr calcId="144525"/>
</workbook>
</file>

<file path=xl/calcChain.xml><?xml version="1.0" encoding="utf-8"?>
<calcChain xmlns="http://schemas.openxmlformats.org/spreadsheetml/2006/main">
  <c r="G37" i="9" l="1"/>
  <c r="G36" i="9"/>
  <c r="G35" i="9"/>
  <c r="G34" i="9"/>
  <c r="G33" i="9"/>
  <c r="G32" i="9"/>
  <c r="G31" i="9"/>
  <c r="G30" i="9"/>
  <c r="J21" i="2"/>
  <c r="J20" i="2"/>
  <c r="J19" i="2"/>
  <c r="J18" i="2"/>
  <c r="J17" i="2" l="1"/>
  <c r="G29" i="9" l="1"/>
  <c r="J16" i="2" l="1"/>
  <c r="G28" i="9" l="1"/>
  <c r="G27" i="9"/>
  <c r="G26" i="9"/>
  <c r="G25" i="9"/>
  <c r="G24" i="9"/>
  <c r="G23" i="9"/>
  <c r="G22" i="9"/>
  <c r="G21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<sst xmlns="http://schemas.openxmlformats.org/spreadsheetml/2006/main" count="528" uniqueCount="223">
  <si>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</si>
  <si>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</si>
  <si>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</si>
  <si>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</si>
  <si>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</si>
  <si>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</si>
  <si>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</si>
  <si>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</si>
  <si>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</si>
  <si>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</si>
  <si>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</si>
  <si>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</si>
  <si>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</si>
  <si>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</si>
  <si>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</si>
  <si>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</si>
  <si>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</si>
  <si>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</si>
  <si>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</si>
  <si>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</si>
  <si>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</si>
  <si>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</si>
  <si>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</si>
  <si>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</si>
  <si>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</si>
  <si>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</si>
  <si>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</si>
  <si>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</si>
  <si>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</si>
  <si>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</si>
  <si>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</si>
  <si>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</si>
  <si>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</si>
  <si>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</si>
  <si>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</si>
  <si>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</si>
  <si>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</si>
  <si>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</si>
  <si>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</si>
  <si>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</si>
  <si>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</si>
  <si>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</si>
  <si>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</si>
  <si>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</si>
  <si>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</si>
  <si>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</si>
  <si>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</si>
  <si>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</si>
  <si>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</si>
  <si>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</si>
  <si>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</si>
  <si>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</si>
  <si>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</si>
  <si>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</si>
  <si>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</si>
  <si>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</si>
  <si>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</si>
  <si>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</si>
  <si>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</si>
  <si>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</si>
  <si>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</si>
  <si>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</si>
  <si>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</si>
  <si>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</si>
  <si>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</si>
  <si>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</si>
  <si>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</si>
  <si>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</si>
  <si>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</si>
  <si>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</si>
  <si>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</si>
  <si>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</si>
  <si>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</si>
  <si>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</si>
  <si>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</si>
  <si>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</si>
  <si>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</si>
  <si>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</si>
  <si>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</si>
  <si>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</si>
  <si>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</si>
  <si>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</si>
  <si>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</si>
  <si>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</si>
  <si>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</si>
  <si>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</si>
  <si>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</si>
  <si>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</si>
  <si>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</si>
  <si>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</si>
  <si>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</si>
  <si>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</si>
  <si>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</si>
  <si>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</si>
  <si>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</si>
  <si>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</si>
  <si>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</si>
  <si>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</si>
  <si>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</si>
  <si>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</si>
  <si>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</si>
  <si>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</si>
  <si>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</si>
  <si>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</si>
  <si>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</si>
  <si>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</si>
  <si>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</si>
  <si>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</si>
  <si>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</si>
  <si>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</si>
  <si>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</si>
  <si>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</si>
  <si>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</si>
  <si>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</si>
  <si>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</si>
  <si>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</si>
  <si>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</si>
  <si>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</si>
  <si>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</si>
  <si>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</si>
  <si>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</si>
  <si>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</si>
  <si>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</si>
  <si>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</si>
  <si>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</si>
  <si>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</si>
  <si>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</si>
  <si>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</si>
  <si>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</si>
  <si>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</si>
  <si>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</si>
  <si>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</si>
  <si>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</si>
  <si>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</si>
  <si>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</si>
  <si>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</si>
  <si>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</si>
  <si>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</si>
  <si>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</si>
  <si>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</si>
  <si>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</si>
  <si>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</si>
  <si>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</si>
  <si>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</si>
  <si>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</si>
  <si>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</si>
  <si>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</si>
  <si>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</si>
  <si>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</si>
  <si>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</si>
  <si>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</si>
  <si>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</si>
  <si>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</si>
  <si>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</si>
  <si>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</si>
  <si>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</si>
  <si>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</si>
  <si>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</si>
  <si>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</si>
  <si>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</si>
  <si>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</si>
  <si>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</si>
  <si>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</si>
  <si>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</si>
  <si>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</si>
  <si>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</si>
  <si>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</si>
  <si>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</si>
  <si>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</si>
  <si>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</si>
  <si>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</si>
  <si>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</si>
  <si>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</si>
  <si>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</si>
  <si>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</si>
  <si>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</si>
  <si>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+RC[-2]*RC[-1]</t>
  </si>
  <si>
    <t>SET</t>
  </si>
  <si>
    <t>(D5LRS 1L) 5% DEXTROSE IN LACTATED RINGERS SOLUTION 1000ML (D5 LRS) X 12S</t>
  </si>
  <si>
    <t>FERROUS SULFATE + FOLIC ACID 200MG./400MCG (DONATION)</t>
  </si>
  <si>
    <t>VIAL</t>
  </si>
  <si>
    <t>CAPSULE</t>
  </si>
  <si>
    <t>1L</t>
  </si>
  <si>
    <t>500MG</t>
  </si>
  <si>
    <t>200MG</t>
  </si>
  <si>
    <t>CASE RATE</t>
  </si>
  <si>
    <t>PF CASE</t>
  </si>
  <si>
    <t>CEFALEXIN MONOHYDRATE 500MG IN BLISTER FOIL PACK</t>
  </si>
  <si>
    <t>AMPULE</t>
  </si>
  <si>
    <t>NGT 8 STRAIGHT, 40CM (CPR NEEDED)</t>
  </si>
  <si>
    <t>MATERNITY PAD  X 8</t>
  </si>
  <si>
    <t>OXYTOCIN MALEATE 10MCG INJECTION 10 UNITS/ML-1ML</t>
  </si>
  <si>
    <t>10MCG</t>
  </si>
  <si>
    <t>PAID BY PATIENT</t>
  </si>
  <si>
    <t>METHYLERGOMETRINE MALEATE 200MCG AMP</t>
  </si>
  <si>
    <t>PHYTOMENADIONE ( VITAMIN K ) 10MG/1ML</t>
  </si>
  <si>
    <t>ERYTHROMYCIN  EYE OINTMENT 0.5%, 3.5G</t>
  </si>
  <si>
    <t>200MCG</t>
  </si>
  <si>
    <t>10MG</t>
  </si>
  <si>
    <t>3.5G</t>
  </si>
  <si>
    <t>TUBE</t>
  </si>
  <si>
    <t>FLUID</t>
  </si>
  <si>
    <t>IV CATHETER GAUGE 18</t>
  </si>
  <si>
    <t>MEDICAL GLOVES W/ CUFF, STERILE LATEX, NATURAL RUBBER: BOX OF 50'S  WARD USE SIZE 6 1/2</t>
  </si>
  <si>
    <t>ROLL</t>
  </si>
  <si>
    <t>PAIR</t>
  </si>
  <si>
    <t>RAPID PLASMA REAGIN (RPR)</t>
  </si>
  <si>
    <t>BLOOD EXTRACTION FEE</t>
  </si>
  <si>
    <t>CALCIUM CARBONATE 500MG BLISTER/FOIL PACK</t>
  </si>
  <si>
    <t>HYOSCINE N-BUTYLBROMIDE 20MG/ML-1ML</t>
  </si>
  <si>
    <t>20MG</t>
  </si>
  <si>
    <t>INDIVIDUAL IV KIT CONTENTS: 2 STERILE OS 2X2X2, 1 ALCOHOL PREP PAD ( 70% ISOPROPYL ALCOHOL, SIZE 1-1/4 X 1-1/2 INCHES), 1 POVIDONE-IODINE 10% PREP PAD, 1 TRANSPARENT FILM DRESSING, 1 ROLL ADHESIVE PLASTER, 1 TORNIQUET, 1 IV SITE TAG, BOX OF 25''''''''''''''''''''''''''''''''S/ BD IV START PAK/ USA</t>
  </si>
  <si>
    <t>MEDICAL GLOVES W/ CUFF, STERILE LATEX, NATURAL RUBBER: BOX OF 50''S  WARD USE SIZE 7 1/2</t>
  </si>
  <si>
    <t>INDIVIDUAL DRESSING KIT CONTENTS: 5 STERILE OS 4 X 4 X 8, 5 STERILE COTTON BALLS, 1 PLASTIC FORCEP, 1 MEDIWRAP, PLASTIC TRAY W/ COMPARTMENT AND POVIDONE IODINE 10% (30ML)</t>
  </si>
  <si>
    <t>KIT</t>
  </si>
  <si>
    <t>CATGUT 2-0 ABSORBABLE SURGICAL SUTURE AT LEAST 75CM,  WITH AT LEAST 35-37MM X ½ CIRCLE ROUND TAPER NEEDLE</t>
  </si>
  <si>
    <t>Z-FOLD PAPER FOR FETAL CHART 30-240BPM X 40S (152MM X 90MM X 150 SHEETS)</t>
  </si>
  <si>
    <t>EXAMINING GLOVES SIZE MEDIUM UNSTERILE (DONATION)</t>
  </si>
  <si>
    <t>360079/74268</t>
  </si>
  <si>
    <t>LIDOCAINE HCI 2%-5ML PRESERVATIVE-FREE REGARDLESS OF CONTAINER</t>
  </si>
  <si>
    <t>MEFENAMIC ACID 500MG IN BLISTER FOIL PACK</t>
  </si>
  <si>
    <t>POLYAMP</t>
  </si>
  <si>
    <t>2%-5ML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</si>
</sst>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13" fillId="0" borderId="0" xfId="0" applyFont="1" applyProtection="1">
      <protection locked="0"/>
    </xf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28575</xdr:rowOff>
        </xdr:from>
        <xdr:to>
          <xdr:col>1</xdr:col>
          <xdr:colOff>762000</xdr:colOff>
          <xdr:row>20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20</xdr:row>
          <xdr:rowOff>28575</xdr:rowOff>
        </xdr:from>
        <xdr:to>
          <xdr:col>1</xdr:col>
          <xdr:colOff>1533525</xdr:colOff>
          <xdr:row>20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abSelected="1" zoomScale="115" zoomScaleNormal="115" workbookViewId="0">
      <selection activeCell="B18" sqref="B18:F1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218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8" t="s">
        <v>51</v>
      </c>
      <c r="C21" s="119"/>
      <c r="D21" s="119"/>
      <c r="E21" s="119"/>
      <c r="F21" s="120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165</v>
      </c>
      <c r="D22" s="29" t="s">
        <v>163</v>
      </c>
      <c r="E22" s="55">
        <v>1</v>
      </c>
      <c r="F22" s="55">
        <v>1.6666666666666667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21" t="s">
        <v>42</v>
      </c>
      <c r="C27" s="122"/>
      <c r="D27" s="122"/>
      <c r="E27" s="122"/>
      <c r="F27" s="13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140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2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8" t="s">
        <v>18</v>
      </c>
      <c r="C32" s="119"/>
      <c r="D32" s="119"/>
      <c r="E32" s="119"/>
      <c r="F32" s="120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57" t="s">
        <v>168</v>
      </c>
      <c r="D33" s="23"/>
      <c r="E33" s="57">
        <v>1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57" t="s">
        <v>206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57" t="s">
        <v>207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21" t="s">
        <v>19</v>
      </c>
      <c r="C36" s="122"/>
      <c r="D36" s="119"/>
      <c r="E36" s="122"/>
      <c r="F36" s="120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153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1" t="s">
        <v>43</v>
      </c>
      <c r="C41" s="122"/>
      <c r="D41" s="119"/>
      <c r="E41" s="122"/>
      <c r="F41" s="12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44</v>
      </c>
      <c r="C42" s="13"/>
      <c r="D42" s="13"/>
      <c r="E42" s="16">
        <v>0</v>
      </c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52</v>
      </c>
      <c r="C43" s="119"/>
      <c r="D43" s="119"/>
      <c r="E43" s="119"/>
      <c r="F43" s="120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20</v>
      </c>
      <c r="C48" s="119"/>
      <c r="D48" s="119"/>
      <c r="E48" s="119"/>
      <c r="F48" s="12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54</v>
      </c>
      <c r="C57" s="17" t="s">
        <v>50</v>
      </c>
      <c r="D57" s="17" t="s">
        <v>55</v>
      </c>
      <c r="E57" s="18" t="s">
        <v>56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185</v>
      </c>
      <c r="D58" s="55">
        <v>3000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186</v>
      </c>
      <c r="D59" s="55">
        <v>2000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193</v>
      </c>
      <c r="D60" s="55"/>
      <c r="E60" s="55"/>
      <c r="F60" s="55">
        <v>1763.17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5000</v>
      </c>
      <c r="E69" s="59">
        <f>SUM(E58:E68)</f>
        <v>0</v>
      </c>
      <c r="F69" s="59">
        <f>SUM(F58:F68)</f>
        <v>1763.17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32:F32"/>
    <mergeCell ref="B27:F27"/>
    <mergeCell ref="B36:F36"/>
    <mergeCell ref="B43:F43"/>
  </mergeCells>
  <dataValidations count="1">
    <dataValidation type="decimal" operator="greaterThanOrEqual" allowBlank="1" showInputMessage="1" showErrorMessage="1" sqref="E31 E37:E40 E42 E22:F26 E44:F47 E49:F54 E33:E35 D58:F67 C3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2"/>
  <sheetViews>
    <sheetView topLeftCell="B1" workbookViewId="0">
      <selection activeCell="F22" sqref="F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219</v>
      </c>
      <c r="D11" s="27" t="s">
        <v>221</v>
      </c>
      <c r="E11" s="27" t="s">
        <v>222</v>
      </c>
      <c r="F11" s="55">
        <v>1</v>
      </c>
      <c r="G11" s="55">
        <v>2</v>
      </c>
      <c r="H11" s="55">
        <v>2</v>
      </c>
      <c r="I11" s="55">
        <v>30.4</v>
      </c>
      <c r="J11" s="55">
        <f>H11*I11</f>
        <v>60.8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191</v>
      </c>
      <c r="D12" s="27" t="s">
        <v>188</v>
      </c>
      <c r="E12" s="27" t="s">
        <v>192</v>
      </c>
      <c r="F12" s="55">
        <v>3</v>
      </c>
      <c r="G12" s="55">
        <v>2</v>
      </c>
      <c r="H12" s="55">
        <v>5</v>
      </c>
      <c r="I12" s="55">
        <v>8.52</v>
      </c>
      <c r="J12" s="55">
        <f t="shared" ref="J12:J21" si="0">H12*I12</f>
        <v>42.599999999999994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195</v>
      </c>
      <c r="D13" s="27" t="s">
        <v>180</v>
      </c>
      <c r="E13" s="27" t="s">
        <v>198</v>
      </c>
      <c r="F13" s="55">
        <v>1</v>
      </c>
      <c r="G13" s="55">
        <v>1</v>
      </c>
      <c r="H13" s="55">
        <v>1</v>
      </c>
      <c r="I13" s="55">
        <v>21.31</v>
      </c>
      <c r="J13" s="55">
        <f t="shared" si="0"/>
        <v>21.31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196</v>
      </c>
      <c r="D14" s="27" t="s">
        <v>200</v>
      </c>
      <c r="E14" s="27" t="s">
        <v>199</v>
      </c>
      <c r="F14" s="55">
        <v>1</v>
      </c>
      <c r="G14" s="55">
        <v>1</v>
      </c>
      <c r="H14" s="55">
        <v>1</v>
      </c>
      <c r="I14" s="55">
        <v>21</v>
      </c>
      <c r="J14" s="55">
        <f t="shared" si="0"/>
        <v>21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178</v>
      </c>
      <c r="D15" s="27" t="s">
        <v>201</v>
      </c>
      <c r="E15" s="27" t="s">
        <v>182</v>
      </c>
      <c r="F15" s="55">
        <v>1</v>
      </c>
      <c r="G15" s="55">
        <v>2</v>
      </c>
      <c r="H15" s="55">
        <v>2</v>
      </c>
      <c r="I15" s="55">
        <v>49.33</v>
      </c>
      <c r="J15" s="55">
        <f t="shared" si="0"/>
        <v>98.66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194</v>
      </c>
      <c r="D16" s="27" t="s">
        <v>188</v>
      </c>
      <c r="E16" s="27" t="s">
        <v>197</v>
      </c>
      <c r="F16" s="55">
        <v>1</v>
      </c>
      <c r="G16" s="55">
        <v>2</v>
      </c>
      <c r="H16" s="55">
        <v>2</v>
      </c>
      <c r="I16" s="55">
        <v>20</v>
      </c>
      <c r="J16" s="55">
        <f t="shared" si="0"/>
        <v>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209</v>
      </c>
      <c r="D17" s="27" t="s">
        <v>180</v>
      </c>
      <c r="E17" s="27" t="s">
        <v>210</v>
      </c>
      <c r="F17" s="55">
        <v>3</v>
      </c>
      <c r="G17" s="55">
        <v>2</v>
      </c>
      <c r="H17" s="55">
        <v>5</v>
      </c>
      <c r="I17" s="55">
        <v>25.79</v>
      </c>
      <c r="J17" s="55">
        <f t="shared" si="0"/>
        <v>128.94999999999999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220</v>
      </c>
      <c r="D18" s="27" t="s">
        <v>181</v>
      </c>
      <c r="E18" s="27" t="s">
        <v>183</v>
      </c>
      <c r="F18" s="55">
        <v>3</v>
      </c>
      <c r="G18" s="55">
        <v>3</v>
      </c>
      <c r="H18" s="55">
        <v>9</v>
      </c>
      <c r="I18" s="55">
        <v>0.97</v>
      </c>
      <c r="J18" s="55">
        <f t="shared" si="0"/>
        <v>8.73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179</v>
      </c>
      <c r="D19" s="27" t="s">
        <v>181</v>
      </c>
      <c r="E19" s="27" t="s">
        <v>184</v>
      </c>
      <c r="F19" s="55">
        <v>1</v>
      </c>
      <c r="G19" s="55">
        <v>100</v>
      </c>
      <c r="H19" s="55">
        <v>100</v>
      </c>
      <c r="I19" s="55">
        <v>1.27</v>
      </c>
      <c r="J19" s="55">
        <f t="shared" si="0"/>
        <v>127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208</v>
      </c>
      <c r="D20" s="27" t="s">
        <v>181</v>
      </c>
      <c r="E20" s="27" t="s">
        <v>183</v>
      </c>
      <c r="F20" s="55">
        <v>2</v>
      </c>
      <c r="G20" s="55">
        <v>7</v>
      </c>
      <c r="H20" s="55">
        <v>14</v>
      </c>
      <c r="I20" s="55">
        <v>1.83</v>
      </c>
      <c r="J20" s="55">
        <f t="shared" si="0"/>
        <v>25.62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187</v>
      </c>
      <c r="D21" s="27" t="s">
        <v>181</v>
      </c>
      <c r="E21" s="27" t="s">
        <v>183</v>
      </c>
      <c r="F21" s="55">
        <v>3</v>
      </c>
      <c r="G21" s="55">
        <v>7</v>
      </c>
      <c r="H21" s="55">
        <v>21</v>
      </c>
      <c r="I21" s="55">
        <v>2.87</v>
      </c>
      <c r="J21" s="55">
        <f t="shared" si="0"/>
        <v>60.27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25">
      <c r="A22" s="33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</row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D36" sqref="D36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17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139" t="s">
        <v>75</v>
      </c>
      <c r="C20" s="140"/>
      <c r="D20" s="140"/>
      <c r="E20" s="140"/>
      <c r="F20" s="140"/>
      <c r="G20" s="141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1</v>
      </c>
      <c r="C21" s="27" t="s">
        <v>211</v>
      </c>
      <c r="D21" s="117" t="s">
        <v>214</v>
      </c>
      <c r="E21" s="116">
        <v>1</v>
      </c>
      <c r="F21" s="116">
        <v>105.33</v>
      </c>
      <c r="G21" s="116">
        <f>+E21*F21</f>
        <v>105.33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2</v>
      </c>
      <c r="C22" s="27" t="s">
        <v>213</v>
      </c>
      <c r="D22" s="117" t="s">
        <v>214</v>
      </c>
      <c r="E22" s="116">
        <v>5</v>
      </c>
      <c r="F22" s="116">
        <v>85.72</v>
      </c>
      <c r="G22" s="116">
        <f t="shared" ref="G22:G37" si="0">+E22*F22</f>
        <v>428.6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3</v>
      </c>
      <c r="C23" s="27" t="s">
        <v>190</v>
      </c>
      <c r="D23" s="117" t="s">
        <v>164</v>
      </c>
      <c r="E23" s="116">
        <v>1</v>
      </c>
      <c r="F23" s="116">
        <v>250</v>
      </c>
      <c r="G23" s="116">
        <f t="shared" si="0"/>
        <v>250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4</v>
      </c>
      <c r="C24" s="27" t="s">
        <v>175</v>
      </c>
      <c r="D24" s="117" t="s">
        <v>164</v>
      </c>
      <c r="E24" s="116">
        <v>1</v>
      </c>
      <c r="F24" s="116">
        <v>5</v>
      </c>
      <c r="G24" s="116">
        <f t="shared" si="0"/>
        <v>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5</v>
      </c>
      <c r="C25" s="27" t="s">
        <v>174</v>
      </c>
      <c r="D25" s="117" t="s">
        <v>164</v>
      </c>
      <c r="E25" s="116">
        <v>1</v>
      </c>
      <c r="F25" s="116">
        <v>3.25</v>
      </c>
      <c r="G25" s="116">
        <f t="shared" si="0"/>
        <v>3.25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6</v>
      </c>
      <c r="C26" s="27" t="s">
        <v>215</v>
      </c>
      <c r="D26" s="117" t="s">
        <v>164</v>
      </c>
      <c r="E26" s="116">
        <v>2</v>
      </c>
      <c r="F26" s="116">
        <v>118.67</v>
      </c>
      <c r="G26" s="116">
        <f t="shared" si="0"/>
        <v>237.34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7</v>
      </c>
      <c r="C27" s="27" t="s">
        <v>203</v>
      </c>
      <c r="D27" s="117" t="s">
        <v>205</v>
      </c>
      <c r="E27" s="116">
        <v>2</v>
      </c>
      <c r="F27" s="116">
        <v>12</v>
      </c>
      <c r="G27" s="116">
        <f t="shared" si="0"/>
        <v>24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8</v>
      </c>
      <c r="C28" s="27" t="s">
        <v>212</v>
      </c>
      <c r="D28" s="117" t="s">
        <v>205</v>
      </c>
      <c r="E28" s="116">
        <v>2</v>
      </c>
      <c r="F28" s="116">
        <v>10.67</v>
      </c>
      <c r="G28" s="116">
        <f t="shared" si="0"/>
        <v>21.34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9</v>
      </c>
      <c r="C29" s="27" t="s">
        <v>171</v>
      </c>
      <c r="D29" s="117" t="s">
        <v>164</v>
      </c>
      <c r="E29" s="116">
        <v>7</v>
      </c>
      <c r="F29" s="116">
        <v>1.6</v>
      </c>
      <c r="G29" s="116">
        <f t="shared" si="0"/>
        <v>11.200000000000001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10</v>
      </c>
      <c r="C30" s="27" t="s">
        <v>172</v>
      </c>
      <c r="D30" s="117" t="s">
        <v>164</v>
      </c>
      <c r="E30" s="116">
        <v>7</v>
      </c>
      <c r="F30" s="116">
        <v>5</v>
      </c>
      <c r="G30" s="116">
        <f t="shared" si="0"/>
        <v>35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11</v>
      </c>
      <c r="C31" s="27" t="s">
        <v>173</v>
      </c>
      <c r="D31" s="117" t="s">
        <v>164</v>
      </c>
      <c r="E31" s="116">
        <v>3</v>
      </c>
      <c r="F31" s="116">
        <v>2.77</v>
      </c>
      <c r="G31" s="116">
        <f t="shared" si="0"/>
        <v>8.31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12</v>
      </c>
      <c r="C32" s="27" t="s">
        <v>202</v>
      </c>
      <c r="D32" s="117" t="s">
        <v>164</v>
      </c>
      <c r="E32" s="116">
        <v>1</v>
      </c>
      <c r="F32" s="116">
        <v>13.13</v>
      </c>
      <c r="G32" s="116">
        <f t="shared" si="0"/>
        <v>13.13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13</v>
      </c>
      <c r="C33" s="27" t="s">
        <v>189</v>
      </c>
      <c r="D33" s="117" t="s">
        <v>164</v>
      </c>
      <c r="E33" s="116">
        <v>3</v>
      </c>
      <c r="F33" s="116">
        <v>7.8</v>
      </c>
      <c r="G33" s="116">
        <f t="shared" si="0"/>
        <v>23.4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14</v>
      </c>
      <c r="C34" s="27" t="s">
        <v>217</v>
      </c>
      <c r="D34" s="117" t="s">
        <v>205</v>
      </c>
      <c r="E34" s="116">
        <v>3</v>
      </c>
      <c r="F34" s="116">
        <v>128</v>
      </c>
      <c r="G34" s="116">
        <f t="shared" si="0"/>
        <v>384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15</v>
      </c>
      <c r="C35" s="27" t="s">
        <v>216</v>
      </c>
      <c r="D35" s="117" t="s">
        <v>204</v>
      </c>
      <c r="E35" s="116">
        <v>1</v>
      </c>
      <c r="F35" s="116">
        <v>100</v>
      </c>
      <c r="G35" s="116">
        <f t="shared" si="0"/>
        <v>100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16</v>
      </c>
      <c r="C36" s="27" t="s">
        <v>169</v>
      </c>
      <c r="D36" s="117" t="s">
        <v>164</v>
      </c>
      <c r="E36" s="116">
        <v>1</v>
      </c>
      <c r="F36" s="116">
        <v>11.73</v>
      </c>
      <c r="G36" s="116">
        <f t="shared" si="0"/>
        <v>11.73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17</v>
      </c>
      <c r="C37" s="27" t="s">
        <v>170</v>
      </c>
      <c r="D37" s="117" t="s">
        <v>164</v>
      </c>
      <c r="E37" s="116">
        <v>1</v>
      </c>
      <c r="F37" s="116">
        <v>1.6</v>
      </c>
      <c r="G37" s="116">
        <f t="shared" si="0"/>
        <v>1.6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9" t="s">
        <v>29</v>
      </c>
      <c r="C38" s="140"/>
      <c r="D38" s="140"/>
      <c r="E38" s="140"/>
      <c r="F38" s="140"/>
      <c r="G38" s="141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password="C2E9" sheet="1" objects="1" scenarios="1" formatColumns="0" formatRows="0" sort="0" autoFilter="0"/>
  <mergeCells count="9">
    <mergeCell ref="B7:G7"/>
    <mergeCell ref="B20:G20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20</xdr:row>
                    <xdr:rowOff>28575</xdr:rowOff>
                  </from>
                  <to>
                    <xdr:col>1</xdr:col>
                    <xdr:colOff>762000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20</xdr:row>
                    <xdr:rowOff>28575</xdr:rowOff>
                  </from>
                  <to>
                    <xdr:col>1</xdr:col>
                    <xdr:colOff>1533525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177</v>
      </c>
      <c r="E28" s="55"/>
      <c r="F28" s="55"/>
      <c r="G28" s="55" t="s">
        <v>176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2018-05-31T09:53:30Z</dcterms:modified>
</cp:coreProperties>
</file>