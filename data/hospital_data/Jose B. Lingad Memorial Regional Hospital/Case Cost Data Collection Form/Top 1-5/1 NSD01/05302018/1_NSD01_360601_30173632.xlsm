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Supplies_Medical'!$C$15:$C$45</definedName>
    <definedName name="Drugs">'1.2 Drugs&amp;Med'!$C$11:$C$15</definedName>
    <definedName name="_xlnm.Print_Area" localSheetId="0">'1.1 Case data_general'!$B$1:$F$74</definedName>
    <definedName name="_xlnm.Print_Area" localSheetId="1">'1.2 Drugs&amp;Med'!$B$2:$J$21</definedName>
  </definedNames>
  <calcPr calcId="144525"/>
</workbook>
</file>

<file path=xl/calcChain.xml><?xml version="1.0" encoding="utf-8"?>
<calcChain xmlns="http://schemas.openxmlformats.org/spreadsheetml/2006/main">
  <c r="J20" i="2" l="1"/>
  <c r="G34" i="9"/>
  <c r="G33" i="9"/>
  <c r="G32" i="9"/>
  <c r="G31" i="9"/>
  <c r="J19" i="2"/>
  <c r="J18" i="2"/>
  <c r="J17" i="2"/>
  <c r="G30" i="9" l="1"/>
  <c r="G29" i="9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<sst xmlns="http://schemas.openxmlformats.org/spreadsheetml/2006/main" count="524" uniqueCount="222">
  <si>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</si>
  <si>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</si>
  <si>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</si>
  <si>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</si>
  <si>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</si>
  <si>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</si>
  <si>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</si>
  <si>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</si>
  <si>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</si>
  <si>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</si>
  <si>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</si>
  <si>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</si>
  <si>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</si>
  <si>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</si>
  <si>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</si>
  <si>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</si>
  <si>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</si>
  <si>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</si>
  <si>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</si>
  <si>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</si>
  <si>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</si>
  <si>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</si>
  <si>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</si>
  <si>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</si>
  <si>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</si>
  <si>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</si>
  <si>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</si>
  <si>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</si>
  <si>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</si>
  <si>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</si>
  <si>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</si>
  <si>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</si>
  <si>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</si>
  <si>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</si>
  <si>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</si>
  <si>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</si>
  <si>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</si>
  <si>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</si>
  <si>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</si>
  <si>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</si>
  <si>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</si>
  <si>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</si>
  <si>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</si>
  <si>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</si>
  <si>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</si>
  <si>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</si>
  <si>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</si>
  <si>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</si>
  <si>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</si>
  <si>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</si>
  <si>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</si>
  <si>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</si>
  <si>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</si>
  <si>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</si>
  <si>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</si>
  <si>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</si>
  <si>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</si>
  <si>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</si>
  <si>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</si>
  <si>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</si>
  <si>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</si>
  <si>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</si>
  <si>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</si>
  <si>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</si>
  <si>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</si>
  <si>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</si>
  <si>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</si>
  <si>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</si>
  <si>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</si>
  <si>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</si>
  <si>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</si>
  <si>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</si>
  <si>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</si>
  <si>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</si>
  <si>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</si>
  <si>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</si>
  <si>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</si>
  <si>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</si>
  <si>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</si>
  <si>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</si>
  <si>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</si>
  <si>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</si>
  <si>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</si>
  <si>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</si>
  <si>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</si>
  <si>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</si>
  <si>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</si>
  <si>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</si>
  <si>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</si>
  <si>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</si>
  <si>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</si>
  <si>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</si>
  <si>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</si>
  <si>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</si>
  <si>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</si>
  <si>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</si>
  <si>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</si>
  <si>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</si>
  <si>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</si>
  <si>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</si>
  <si>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</si>
  <si>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</si>
  <si>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</si>
  <si>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</si>
  <si>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</si>
  <si>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</si>
  <si>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</si>
  <si>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</si>
  <si>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</si>
  <si>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</si>
  <si>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</si>
  <si>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</si>
  <si>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</si>
  <si>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</si>
  <si>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</si>
  <si>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</si>
  <si>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</si>
  <si>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</si>
  <si>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</si>
  <si>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</si>
  <si>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</si>
  <si>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</si>
  <si>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</si>
  <si>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</si>
  <si>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</si>
  <si>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</si>
  <si>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</si>
  <si>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</si>
  <si>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</si>
  <si>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</si>
  <si>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</si>
  <si>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</si>
  <si>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</si>
  <si>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</si>
  <si>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</si>
  <si>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</si>
  <si>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</si>
  <si>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</si>
  <si>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</si>
  <si>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</si>
  <si>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</si>
  <si>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</si>
  <si>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</si>
  <si>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</si>
  <si>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</si>
  <si>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</si>
  <si>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</si>
  <si>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</si>
  <si>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</si>
  <si>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</si>
  <si>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</si>
  <si>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</si>
  <si>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</si>
  <si>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</si>
  <si>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</si>
  <si>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</si>
  <si>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</si>
  <si>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</si>
  <si>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</si>
  <si>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</si>
  <si>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</si>
  <si>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</si>
  <si>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</si>
  <si>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</si>
  <si>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</si>
  <si>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</si>
  <si>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</si>
  <si>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</si>
  <si>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</si>
  <si>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DISPOSABLE SYRINGE 1ML G 25, W/ NEEDLE X 100S (CPR NEEDED)</t>
  </si>
  <si>
    <t>DISPOSABLE SYRINGE 3ML G 23, W/ NEEDLE X 100S (CPR NEEDED)</t>
  </si>
  <si>
    <t>DISPOSABLE SYRINGE 5ML G 23, W/ NEEDLE X 100S</t>
  </si>
  <si>
    <t>+RC[-2]*RC[-1]</t>
  </si>
  <si>
    <t>SET</t>
  </si>
  <si>
    <t>(D5LRS 1L) 5% DEXTROSE IN LACTATED RINGERS SOLUTION 1000ML (D5 LRS) X 12S</t>
  </si>
  <si>
    <t>FERROUS SULFATE + FOLIC ACID 200MG./400MCG (DONATION)</t>
  </si>
  <si>
    <t>VIAL</t>
  </si>
  <si>
    <t>CAPSULE</t>
  </si>
  <si>
    <t>1L</t>
  </si>
  <si>
    <t>500MG</t>
  </si>
  <si>
    <t>200MG</t>
  </si>
  <si>
    <t>CASE RATE</t>
  </si>
  <si>
    <t>PF CASE</t>
  </si>
  <si>
    <t>CEFALEXIN MONOHYDRATE 500MG IN BLISTER FOIL PACK</t>
  </si>
  <si>
    <t>AMPULE</t>
  </si>
  <si>
    <t>NGT 8 STRAIGHT, 40CM (CPR NEEDED)</t>
  </si>
  <si>
    <t>MATERNITY PAD  X 8</t>
  </si>
  <si>
    <t>OXYTOCIN MALEATE 10MCG INJECTION 10 UNITS/ML-1ML</t>
  </si>
  <si>
    <t>10MCG</t>
  </si>
  <si>
    <t>PHYTOMENADIONE ( VITAMIN K ) 10MG/1ML</t>
  </si>
  <si>
    <t>ERYTHROMYCIN  EYE OINTMENT 0.5%, 3.5G</t>
  </si>
  <si>
    <t>10MG</t>
  </si>
  <si>
    <t>3.5G</t>
  </si>
  <si>
    <t>TUBE</t>
  </si>
  <si>
    <t>FLUID</t>
  </si>
  <si>
    <t>ULTRASOUND PRINTING PAPER 110MM X 20MM (HIGH DENSITY) (DURICO TYPE 1)</t>
  </si>
  <si>
    <t>IV CATHETER GAUGE 18</t>
  </si>
  <si>
    <t>MEDICAL GLOVES W/ CUFF, STERILE LATEX, NATURAL RUBBER: BOX OF 50'S  WARD USE SIZE 6 1/2</t>
  </si>
  <si>
    <t>ROLL</t>
  </si>
  <si>
    <t>PAIR</t>
  </si>
  <si>
    <t>RAPID PLASMA REAGIN (RPR)</t>
  </si>
  <si>
    <t>BLOOD EXTRACTION FEE</t>
  </si>
  <si>
    <t>CALCIUM CARBONATE 500MG BLISTER/FOIL PACK</t>
  </si>
  <si>
    <t>NBB</t>
  </si>
  <si>
    <t>HYOSCINE N-BUTYLBROMIDE 20MG/ML-1ML</t>
  </si>
  <si>
    <t>20MG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</si>
  <si>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</si>
  <si>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MEDICAL GLOVES W/ CUFF, STERILE LATEX, NATURAL RUBBER: BOX OF 50''S  WARD USE SIZE 7 1/2</t>
  </si>
  <si>
    <t>KIT</t>
  </si>
  <si>
    <t>360601/74263</t>
  </si>
  <si>
    <t>NA (SODIUM)</t>
  </si>
  <si>
    <t>CREATININE (CREA)</t>
  </si>
  <si>
    <t>K (POTASSIUM)</t>
  </si>
  <si>
    <t>RANDOM BLOOD SUGAR (RBS)</t>
  </si>
  <si>
    <t>URINALYSIS</t>
  </si>
  <si>
    <t>CARBOPROST 250MCG/ML-1ML</t>
  </si>
  <si>
    <t>(PLAIN LRS 1L) LACTATED RINGER''''S SOLUTION 1000ML (PLAIN LRS 1L) X 12S</t>
  </si>
  <si>
    <t>250MCG</t>
  </si>
  <si>
    <t>CATGUT 2-0 ABSORBABLE SURGICAL SUTURE AT LEAST 75CM,  WITH AT LEAST 35-37MM X ½ CIRCLE ROUND TAPER NEEDLE</t>
  </si>
  <si>
    <t>Z-FOLD PAPER FOR FETAL CHART 30-240BPM X 40S (152MM X 90MM X 150 SHEETS)</t>
  </si>
  <si>
    <t>EXAMINING GLOVES SIZE MEDIUM UNSTERILE (DONATION)</t>
  </si>
  <si>
    <t>HEPARIN LOCK BOX OF 100''''''''''''''''S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</si>
</sst>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3" fillId="0" borderId="0" xfId="0" applyFont="1" applyProtection="1"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28575</xdr:rowOff>
        </xdr:from>
        <xdr:to>
          <xdr:col>1</xdr:col>
          <xdr:colOff>771525</xdr:colOff>
          <xdr:row>35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35</xdr:row>
          <xdr:rowOff>28575</xdr:rowOff>
        </xdr:from>
        <xdr:to>
          <xdr:col>1</xdr:col>
          <xdr:colOff>1543050</xdr:colOff>
          <xdr:row>35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="115" zoomScaleNormal="115" workbookViewId="0">
      <selection activeCell="C66" sqref="C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165</v>
      </c>
      <c r="D22" s="29" t="s">
        <v>163</v>
      </c>
      <c r="E22" s="55">
        <v>1</v>
      </c>
      <c r="F22" s="55">
        <v>1.8333333333333333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57" t="s">
        <v>168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57" t="s">
        <v>200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57" t="s">
        <v>201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57" t="s">
        <v>210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5</v>
      </c>
      <c r="C37" s="57" t="s">
        <v>211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6</v>
      </c>
      <c r="C38" s="57" t="s">
        <v>212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7</v>
      </c>
      <c r="C39" s="57" t="s">
        <v>213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8</v>
      </c>
      <c r="C40" s="57" t="s">
        <v>214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153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181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182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203</v>
      </c>
      <c r="D65" s="55"/>
      <c r="E65" s="55">
        <v>2153.58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2153.58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1:F21"/>
    <mergeCell ref="B32:F32"/>
    <mergeCell ref="B27:F27"/>
    <mergeCell ref="B41:F41"/>
    <mergeCell ref="B48:F48"/>
  </mergeCells>
  <dataValidations count="1">
    <dataValidation type="decimal" operator="greaterThanOrEqual" allowBlank="1" showInputMessage="1" showErrorMessage="1" sqref="E31 E42:E45 E47 E22:F26 E49:F52 E54:F59 E33:E40 D63:F72 C3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1"/>
  <sheetViews>
    <sheetView topLeftCell="B1"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194</v>
      </c>
      <c r="E11" s="27" t="s">
        <v>178</v>
      </c>
      <c r="F11" s="55">
        <v>1</v>
      </c>
      <c r="G11" s="55">
        <v>1</v>
      </c>
      <c r="H11" s="55">
        <v>1</v>
      </c>
      <c r="I11" s="55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184</v>
      </c>
      <c r="E12" s="27" t="s">
        <v>188</v>
      </c>
      <c r="F12" s="55">
        <v>3</v>
      </c>
      <c r="G12" s="55">
        <v>2</v>
      </c>
      <c r="H12" s="55">
        <v>7</v>
      </c>
      <c r="I12" s="55">
        <v>8.52</v>
      </c>
      <c r="J12" s="55">
        <f t="shared" ref="J12:J20" si="0">H12*I12</f>
        <v>59.64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215</v>
      </c>
      <c r="D13" s="27" t="s">
        <v>184</v>
      </c>
      <c r="E13" s="27" t="s">
        <v>217</v>
      </c>
      <c r="F13" s="55">
        <v>1</v>
      </c>
      <c r="G13" s="55">
        <v>1</v>
      </c>
      <c r="H13" s="55">
        <v>1</v>
      </c>
      <c r="I13" s="55">
        <v>365.07</v>
      </c>
      <c r="J13" s="55">
        <f t="shared" si="0"/>
        <v>365.07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176</v>
      </c>
      <c r="E14" s="27" t="s">
        <v>191</v>
      </c>
      <c r="F14" s="55">
        <v>1</v>
      </c>
      <c r="G14" s="55">
        <v>1</v>
      </c>
      <c r="H14" s="55">
        <v>1</v>
      </c>
      <c r="I14" s="55">
        <v>21.31</v>
      </c>
      <c r="J14" s="55">
        <f t="shared" si="0"/>
        <v>21.31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193</v>
      </c>
      <c r="E15" s="27" t="s">
        <v>192</v>
      </c>
      <c r="F15" s="55">
        <v>1</v>
      </c>
      <c r="G15" s="55">
        <v>1</v>
      </c>
      <c r="H15" s="55">
        <v>1</v>
      </c>
      <c r="I15" s="55">
        <v>21</v>
      </c>
      <c r="J15" s="55">
        <f t="shared" si="0"/>
        <v>21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216</v>
      </c>
      <c r="D16" s="27" t="s">
        <v>194</v>
      </c>
      <c r="E16" s="27" t="s">
        <v>178</v>
      </c>
      <c r="F16" s="55">
        <v>1</v>
      </c>
      <c r="G16" s="55">
        <v>1</v>
      </c>
      <c r="H16" s="55">
        <v>1</v>
      </c>
      <c r="I16" s="55">
        <v>49.33</v>
      </c>
      <c r="J16" s="55">
        <f t="shared" si="0"/>
        <v>49.33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204</v>
      </c>
      <c r="D17" s="27" t="s">
        <v>176</v>
      </c>
      <c r="E17" s="27" t="s">
        <v>205</v>
      </c>
      <c r="F17" s="55">
        <v>3</v>
      </c>
      <c r="G17" s="55">
        <v>2</v>
      </c>
      <c r="H17" s="55">
        <v>5</v>
      </c>
      <c r="I17" s="55">
        <v>25.79</v>
      </c>
      <c r="J17" s="55">
        <f t="shared" si="0"/>
        <v>128.94999999999999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175</v>
      </c>
      <c r="D18" s="27" t="s">
        <v>177</v>
      </c>
      <c r="E18" s="27" t="s">
        <v>180</v>
      </c>
      <c r="F18" s="55">
        <v>1</v>
      </c>
      <c r="G18" s="55">
        <v>100</v>
      </c>
      <c r="H18" s="55">
        <v>100</v>
      </c>
      <c r="I18" s="55">
        <v>1.27</v>
      </c>
      <c r="J18" s="55">
        <f t="shared" si="0"/>
        <v>127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202</v>
      </c>
      <c r="D19" s="27" t="s">
        <v>177</v>
      </c>
      <c r="E19" s="27" t="s">
        <v>179</v>
      </c>
      <c r="F19" s="55">
        <v>3</v>
      </c>
      <c r="G19" s="55">
        <v>10</v>
      </c>
      <c r="H19" s="55">
        <v>30</v>
      </c>
      <c r="I19" s="55">
        <v>1.83</v>
      </c>
      <c r="J19" s="55">
        <f t="shared" si="0"/>
        <v>54.900000000000006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183</v>
      </c>
      <c r="D20" s="27" t="s">
        <v>177</v>
      </c>
      <c r="E20" s="27" t="s">
        <v>179</v>
      </c>
      <c r="F20" s="55">
        <v>3</v>
      </c>
      <c r="G20" s="55">
        <v>7</v>
      </c>
      <c r="H20" s="55">
        <v>21</v>
      </c>
      <c r="I20" s="55">
        <v>2.87</v>
      </c>
      <c r="J20" s="55">
        <f t="shared" si="0"/>
        <v>60.27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25">
      <c r="A21" s="33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</row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0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9"/>
  <sheetViews>
    <sheetView topLeftCell="A10" workbookViewId="0">
      <selection activeCell="D34" sqref="D34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196</v>
      </c>
      <c r="D21" s="117" t="s">
        <v>164</v>
      </c>
      <c r="E21" s="116">
        <v>1</v>
      </c>
      <c r="F21" s="116">
        <v>13.13</v>
      </c>
      <c r="G21" s="116">
        <f>+E21*F21</f>
        <v>13.13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195</v>
      </c>
      <c r="D22" s="117" t="s">
        <v>198</v>
      </c>
      <c r="E22" s="116">
        <v>1</v>
      </c>
      <c r="F22" s="116">
        <v>100</v>
      </c>
      <c r="G22" s="116">
        <f t="shared" ref="G22:G34" si="0">+E22*F22</f>
        <v>100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206</v>
      </c>
      <c r="D23" s="117" t="s">
        <v>208</v>
      </c>
      <c r="E23" s="116">
        <v>1</v>
      </c>
      <c r="F23" s="116">
        <v>105.33</v>
      </c>
      <c r="G23" s="116">
        <f t="shared" si="0"/>
        <v>105.33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218</v>
      </c>
      <c r="D24" s="117" t="s">
        <v>164</v>
      </c>
      <c r="E24" s="116">
        <v>2</v>
      </c>
      <c r="F24" s="116">
        <v>118.67</v>
      </c>
      <c r="G24" s="116">
        <f t="shared" si="0"/>
        <v>237.34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197</v>
      </c>
      <c r="D25" s="117" t="s">
        <v>199</v>
      </c>
      <c r="E25" s="116">
        <v>2</v>
      </c>
      <c r="F25" s="116">
        <v>12</v>
      </c>
      <c r="G25" s="116">
        <f t="shared" si="0"/>
        <v>24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207</v>
      </c>
      <c r="D26" s="117" t="s">
        <v>199</v>
      </c>
      <c r="E26" s="116">
        <v>2</v>
      </c>
      <c r="F26" s="116">
        <v>10.67</v>
      </c>
      <c r="G26" s="116">
        <f t="shared" si="0"/>
        <v>21.34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169</v>
      </c>
      <c r="D27" s="117" t="s">
        <v>164</v>
      </c>
      <c r="E27" s="116">
        <v>2</v>
      </c>
      <c r="F27" s="116">
        <v>1.6</v>
      </c>
      <c r="G27" s="116">
        <f t="shared" si="0"/>
        <v>3.2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170</v>
      </c>
      <c r="D28" s="117" t="s">
        <v>164</v>
      </c>
      <c r="E28" s="116">
        <v>4</v>
      </c>
      <c r="F28" s="116">
        <v>1.6</v>
      </c>
      <c r="G28" s="116">
        <f t="shared" si="0"/>
        <v>6.4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171</v>
      </c>
      <c r="D29" s="117" t="s">
        <v>164</v>
      </c>
      <c r="E29" s="116">
        <v>4</v>
      </c>
      <c r="F29" s="116">
        <v>5</v>
      </c>
      <c r="G29" s="116">
        <f t="shared" si="0"/>
        <v>20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185</v>
      </c>
      <c r="D30" s="117" t="s">
        <v>164</v>
      </c>
      <c r="E30" s="116">
        <v>2</v>
      </c>
      <c r="F30" s="116">
        <v>7.8</v>
      </c>
      <c r="G30" s="116">
        <f t="shared" si="0"/>
        <v>15.6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11</v>
      </c>
      <c r="C31" s="27" t="s">
        <v>186</v>
      </c>
      <c r="D31" s="117" t="s">
        <v>164</v>
      </c>
      <c r="E31" s="116">
        <v>1</v>
      </c>
      <c r="F31" s="116">
        <v>250</v>
      </c>
      <c r="G31" s="116">
        <f t="shared" si="0"/>
        <v>250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12</v>
      </c>
      <c r="C32" s="27" t="s">
        <v>219</v>
      </c>
      <c r="D32" s="117" t="s">
        <v>198</v>
      </c>
      <c r="E32" s="116">
        <v>1</v>
      </c>
      <c r="F32" s="116">
        <v>100</v>
      </c>
      <c r="G32" s="116">
        <f t="shared" si="0"/>
        <v>100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13</v>
      </c>
      <c r="C33" s="27" t="s">
        <v>220</v>
      </c>
      <c r="D33" s="117" t="s">
        <v>164</v>
      </c>
      <c r="E33" s="116">
        <v>3</v>
      </c>
      <c r="F33" s="116">
        <v>128</v>
      </c>
      <c r="G33" s="116">
        <f t="shared" si="0"/>
        <v>384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14</v>
      </c>
      <c r="C34" s="27" t="s">
        <v>221</v>
      </c>
      <c r="D34" s="117" t="s">
        <v>164</v>
      </c>
      <c r="E34" s="116">
        <v>2</v>
      </c>
      <c r="F34" s="116">
        <v>8.2200000000000006</v>
      </c>
      <c r="G34" s="116">
        <f t="shared" si="0"/>
        <v>16.440000000000001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139" t="s">
        <v>29</v>
      </c>
      <c r="C35" s="140"/>
      <c r="D35" s="140"/>
      <c r="E35" s="140"/>
      <c r="F35" s="140"/>
      <c r="G35" s="141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5:G3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35</xdr:row>
                    <xdr:rowOff>28575</xdr:rowOff>
                  </from>
                  <to>
                    <xdr:col>1</xdr:col>
                    <xdr:colOff>771525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35</xdr:row>
                    <xdr:rowOff>28575</xdr:rowOff>
                  </from>
                  <to>
                    <xdr:col>1</xdr:col>
                    <xdr:colOff>1543050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173</v>
      </c>
      <c r="E28" s="55"/>
      <c r="F28" s="55"/>
      <c r="G28" s="55" t="s">
        <v>172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2018-05-31T09:09:19Z</dcterms:modified>
</cp:coreProperties>
</file>