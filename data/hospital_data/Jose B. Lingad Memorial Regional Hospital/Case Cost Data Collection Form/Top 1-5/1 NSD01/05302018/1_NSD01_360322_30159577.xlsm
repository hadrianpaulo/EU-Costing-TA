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Supplies_Medical'!$C$15:$C$52</definedName>
    <definedName name="Drugs">'1.2 Drugs&amp;Med'!$C$11:$C$16</definedName>
    <definedName name="_xlnm.Print_Area" localSheetId="0">'1.1 Case data_general'!$B$1:$F$70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G41" i="9" l="1"/>
  <c r="G40" i="9"/>
  <c r="G39" i="9"/>
  <c r="J19" i="2" l="1"/>
  <c r="J18" i="2"/>
  <c r="J17" i="2"/>
  <c r="G38" i="9"/>
  <c r="G37" i="9"/>
  <c r="G36" i="9"/>
  <c r="G35" i="9"/>
  <c r="G34" i="9"/>
  <c r="G33" i="9"/>
  <c r="G32" i="9"/>
  <c r="G31" i="9"/>
  <c r="G30" i="9"/>
  <c r="G29" i="9"/>
  <c r="G28" i="9"/>
  <c r="J12" i="2" l="1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<sst xmlns="http://schemas.openxmlformats.org/spreadsheetml/2006/main" count="461" uniqueCount="176">
  <si>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</si>
  <si>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</si>
  <si>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</si>
  <si>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</si>
  <si>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</si>
  <si>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</si>
  <si>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</si>
  <si>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</si>
  <si>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</si>
  <si>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</si>
  <si>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</si>
  <si>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</si>
  <si>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</si>
  <si>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</si>
  <si>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</si>
  <si>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</si>
  <si>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</si>
  <si>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</si>
  <si>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</si>
  <si>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</si>
  <si>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</si>
  <si>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</si>
  <si>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</si>
  <si>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</si>
  <si>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</si>
  <si>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</si>
  <si>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</si>
  <si>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</si>
  <si>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</si>
  <si>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</si>
  <si>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</si>
  <si>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</si>
  <si>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</si>
  <si>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</si>
  <si>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</si>
  <si>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</si>
  <si>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</si>
  <si>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</si>
  <si>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</si>
  <si>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</si>
  <si>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</si>
  <si>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</si>
  <si>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</si>
  <si>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</si>
  <si>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</si>
  <si>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</si>
  <si>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</si>
  <si>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</si>
  <si>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</si>
  <si>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</si>
  <si>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</si>
  <si>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</si>
  <si>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</si>
  <si>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</si>
  <si>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</si>
  <si>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</si>
  <si>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</si>
  <si>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</si>
  <si>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</si>
  <si>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</si>
  <si>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</si>
  <si>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</si>
  <si>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</si>
  <si>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</si>
  <si>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</si>
  <si>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</si>
  <si>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</si>
  <si>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</si>
  <si>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</si>
  <si>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</si>
  <si>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</si>
  <si>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</si>
  <si>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</si>
  <si>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</si>
  <si>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</si>
  <si>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</si>
  <si>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</si>
  <si>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</si>
  <si>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</si>
  <si>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</si>
  <si>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</si>
  <si>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</si>
  <si>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</si>
  <si>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</si>
  <si>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</si>
  <si>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</si>
  <si>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</si>
  <si>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</si>
  <si>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</si>
  <si>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</si>
  <si>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</si>
  <si>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</si>
  <si>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</si>
  <si>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</si>
  <si>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</si>
  <si>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</si>
  <si>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</si>
  <si>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</si>
  <si>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</si>
  <si>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</si>
  <si>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</si>
  <si>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</si>
  <si>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</si>
  <si>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</si>
  <si>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</si>
  <si>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</si>
  <si>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</si>
  <si>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</si>
  <si>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</si>
  <si>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</si>
  <si>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</si>
  <si>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</si>
  <si>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</si>
  <si>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</si>
  <si>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</si>
  <si>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</si>
  <si>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</si>
  <si>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</si>
  <si>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</si>
  <si>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</si>
  <si>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</si>
  <si>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</si>
  <si>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</si>
  <si>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</si>
  <si>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</si>
  <si>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</si>
  <si>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</si>
  <si>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</si>
  <si>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</si>
  <si>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</si>
  <si>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</si>
  <si>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</si>
  <si>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</si>
  <si>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</si>
  <si>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</si>
  <si>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</si>
  <si>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</si>
  <si>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</si>
  <si>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</si>
  <si>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</si>
  <si>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</si>
  <si>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</si>
  <si>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</si>
  <si>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</si>
  <si>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</si>
  <si>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</si>
  <si>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</si>
  <si>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</si>
  <si>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</si>
  <si>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</si>
  <si>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</si>
  <si>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</si>
  <si>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</si>
  <si>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</si>
  <si>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</si>
  <si>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</si>
  <si>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</si>
  <si>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</si>
  <si>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</si>
  <si>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</si>
  <si>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</si>
  <si>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</si>
  <si>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</si>
  <si>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</si>
  <si>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NSD01</t>
  </si>
  <si>
    <t>O80.0</t>
  </si>
  <si>
    <t>Z37.0</t>
  </si>
  <si>
    <t>CBC, TYPING, HBSAG</t>
  </si>
  <si>
    <t>RAPID PLASMA REAGIN (RPR)</t>
  </si>
  <si>
    <t>BLOOD EXTRACTION FEE</t>
  </si>
  <si>
    <t>+RC[-2]*RC[-1]</t>
  </si>
  <si>
    <t>SET</t>
  </si>
  <si>
    <t>CASE RATE</t>
  </si>
  <si>
    <t>PF CASE</t>
  </si>
  <si>
    <t>360322/74101</t>
  </si>
  <si>
    <t>WBC &amp; DIFFERENTIAL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</si>
</sst>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5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0" fillId="0" borderId="21" xfId="0" applyBorder="1" applyProtection="1">
      <protection locked="0"/>
    </xf>
    <xf numFmtId="164" fontId="0" fillId="0" borderId="21" xfId="1" applyFont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42</xdr:row>
          <xdr:rowOff>28575</xdr:rowOff>
        </xdr:from>
        <xdr:to>
          <xdr:col>1</xdr:col>
          <xdr:colOff>771525</xdr:colOff>
          <xdr:row>42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42</xdr:row>
          <xdr:rowOff>28575</xdr:rowOff>
        </xdr:from>
        <xdr:to>
          <xdr:col>1</xdr:col>
          <xdr:colOff>1543050</xdr:colOff>
          <xdr:row>42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abSelected="1" zoomScaleNormal="100" workbookViewId="0">
      <selection activeCell="B12" sqref="B12:F1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5" t="s">
        <v>59</v>
      </c>
      <c r="C12" s="126"/>
      <c r="D12" s="126"/>
      <c r="E12" s="126"/>
      <c r="F12" s="127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8" t="s">
        <v>2</v>
      </c>
      <c r="C13" s="129"/>
      <c r="D13" s="129"/>
      <c r="E13" s="129"/>
      <c r="F13" s="130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8" t="s">
        <v>4</v>
      </c>
      <c r="C14" s="129"/>
      <c r="D14" s="129"/>
      <c r="E14" s="129"/>
      <c r="F14" s="130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1" t="s">
        <v>60</v>
      </c>
      <c r="C15" s="132"/>
      <c r="D15" s="132"/>
      <c r="E15" s="132"/>
      <c r="F15" s="13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174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20" t="s">
        <v>15</v>
      </c>
      <c r="C18" s="121"/>
      <c r="D18" s="121"/>
      <c r="E18" s="121"/>
      <c r="F18" s="122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20" t="s">
        <v>51</v>
      </c>
      <c r="C21" s="121"/>
      <c r="D21" s="121"/>
      <c r="E21" s="121"/>
      <c r="F21" s="1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164</v>
      </c>
      <c r="D22" s="29" t="s">
        <v>163</v>
      </c>
      <c r="E22" s="55">
        <v>1</v>
      </c>
      <c r="F22" s="55">
        <v>1.6666666666666667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23" t="s">
        <v>42</v>
      </c>
      <c r="C27" s="124"/>
      <c r="D27" s="124"/>
      <c r="E27" s="124"/>
      <c r="F27" s="134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158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4" t="s">
        <v>123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160</v>
      </c>
      <c r="C30" s="114" t="s">
        <v>140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4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20" t="s">
        <v>18</v>
      </c>
      <c r="C32" s="121"/>
      <c r="D32" s="121"/>
      <c r="E32" s="121"/>
      <c r="F32" s="122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 t="s">
        <v>167</v>
      </c>
      <c r="D33" s="23"/>
      <c r="E33" s="57">
        <v>1</v>
      </c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 t="s">
        <v>168</v>
      </c>
      <c r="D34" s="23"/>
      <c r="E34" s="55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 t="s">
        <v>169</v>
      </c>
      <c r="D35" s="23"/>
      <c r="E35" s="55">
        <v>4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 t="s">
        <v>175</v>
      </c>
      <c r="D36" s="23"/>
      <c r="E36" s="55">
        <v>2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23" t="s">
        <v>19</v>
      </c>
      <c r="C37" s="124"/>
      <c r="D37" s="121"/>
      <c r="E37" s="124"/>
      <c r="F37" s="122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23" t="s">
        <v>43</v>
      </c>
      <c r="C42" s="124"/>
      <c r="D42" s="121"/>
      <c r="E42" s="124"/>
      <c r="F42" s="122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44</v>
      </c>
      <c r="C43" s="13"/>
      <c r="D43" s="13"/>
      <c r="E43" s="16">
        <v>0</v>
      </c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20" t="s">
        <v>52</v>
      </c>
      <c r="C44" s="121"/>
      <c r="D44" s="121"/>
      <c r="E44" s="121"/>
      <c r="F44" s="122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20" t="s">
        <v>20</v>
      </c>
      <c r="C49" s="121"/>
      <c r="D49" s="121"/>
      <c r="E49" s="121"/>
      <c r="F49" s="122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54</v>
      </c>
      <c r="C58" s="17" t="s">
        <v>50</v>
      </c>
      <c r="D58" s="17" t="s">
        <v>55</v>
      </c>
      <c r="E58" s="18" t="s">
        <v>56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172</v>
      </c>
      <c r="D59" s="55">
        <v>3000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173</v>
      </c>
      <c r="D60" s="55">
        <v>2000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5000</v>
      </c>
      <c r="E70" s="59">
        <f>SUM(E59:E69)</f>
        <v>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4:F44"/>
  </mergeCells>
  <dataValidations count="1">
    <dataValidation type="decimal" operator="greaterThanOrEqual" allowBlank="1" showInputMessage="1" showErrorMessage="1" sqref="E31 E38:E41 E43 E22:F26 E45:F48 E50:F55 E33:E36 D59:F6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opLeftCell="B1" workbookViewId="0">
      <selection activeCell="C11" sqref="C11:I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9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5" t="s">
        <v>63</v>
      </c>
      <c r="C8" s="136"/>
      <c r="D8" s="136"/>
      <c r="E8" s="136"/>
      <c r="F8" s="136"/>
      <c r="G8" s="136"/>
      <c r="H8" s="136"/>
      <c r="I8" s="136"/>
      <c r="J8" s="137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118"/>
      <c r="D11" s="27"/>
      <c r="E11" s="27"/>
      <c r="F11" s="118"/>
      <c r="G11" s="55"/>
      <c r="H11" s="118"/>
      <c r="I11" s="119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118"/>
      <c r="D12" s="27"/>
      <c r="E12" s="27"/>
      <c r="F12" s="118"/>
      <c r="G12" s="55"/>
      <c r="H12" s="118"/>
      <c r="I12" s="119"/>
      <c r="J12" s="55">
        <f t="shared" ref="J12:J19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118"/>
      <c r="D13" s="27"/>
      <c r="E13" s="27"/>
      <c r="F13" s="118"/>
      <c r="G13" s="55"/>
      <c r="H13" s="118"/>
      <c r="I13" s="119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118"/>
      <c r="D14" s="27"/>
      <c r="E14" s="27"/>
      <c r="F14" s="118"/>
      <c r="G14" s="55"/>
      <c r="H14" s="118"/>
      <c r="I14" s="119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118"/>
      <c r="D15" s="27"/>
      <c r="E15" s="27"/>
      <c r="F15" s="118"/>
      <c r="G15" s="55"/>
      <c r="H15" s="118"/>
      <c r="I15" s="119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118"/>
      <c r="D16" s="27"/>
      <c r="E16" s="27"/>
      <c r="F16" s="118"/>
      <c r="G16" s="55"/>
      <c r="H16" s="118"/>
      <c r="I16" s="119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118"/>
      <c r="D17" s="27"/>
      <c r="E17" s="27"/>
      <c r="F17" s="118"/>
      <c r="G17" s="55"/>
      <c r="H17" s="118"/>
      <c r="I17" s="119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118"/>
      <c r="D18" s="27"/>
      <c r="E18" s="27"/>
      <c r="F18" s="118"/>
      <c r="G18" s="55"/>
      <c r="H18" s="118"/>
      <c r="I18" s="119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118"/>
      <c r="D19" s="27"/>
      <c r="E19" s="27"/>
      <c r="F19" s="118"/>
      <c r="G19" s="55"/>
      <c r="H19" s="118"/>
      <c r="I19" s="119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25">
      <c r="A20" s="33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password="C2E9" sheet="1" objects="1" scenarios="1" formatColumns="0" formatRows="0" sort="0" autoFilter="0"/>
  <mergeCells count="1">
    <mergeCell ref="B8:J8"/>
  </mergeCells>
  <conditionalFormatting sqref="C11:C19">
    <cfRule type="duplicateValues" dxfId="1" priority="1"/>
  </conditionalFormatting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6"/>
  <sheetViews>
    <sheetView topLeftCell="A10" workbookViewId="0">
      <selection activeCell="C28" sqref="C28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14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8" t="s">
        <v>23</v>
      </c>
      <c r="C7" s="139"/>
      <c r="D7" s="139"/>
      <c r="E7" s="139"/>
      <c r="F7" s="139"/>
      <c r="G7" s="140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4" t="s">
        <v>24</v>
      </c>
      <c r="C8" s="145"/>
      <c r="D8" s="145"/>
      <c r="E8" s="145"/>
      <c r="F8" s="145"/>
      <c r="G8" s="146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4" t="s">
        <v>68</v>
      </c>
      <c r="C9" s="145"/>
      <c r="D9" s="145"/>
      <c r="E9" s="145"/>
      <c r="F9" s="145"/>
      <c r="G9" s="146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4" t="s">
        <v>25</v>
      </c>
      <c r="C10" s="145"/>
      <c r="D10" s="145"/>
      <c r="E10" s="145"/>
      <c r="F10" s="145"/>
      <c r="G10" s="146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4" t="s">
        <v>26</v>
      </c>
      <c r="C11" s="145"/>
      <c r="D11" s="145"/>
      <c r="E11" s="145"/>
      <c r="F11" s="145"/>
      <c r="G11" s="146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7" t="s">
        <v>27</v>
      </c>
      <c r="C12" s="148"/>
      <c r="D12" s="148"/>
      <c r="E12" s="148"/>
      <c r="F12" s="148"/>
      <c r="G12" s="149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1" t="s">
        <v>71</v>
      </c>
      <c r="C15" s="142"/>
      <c r="D15" s="142"/>
      <c r="E15" s="142"/>
      <c r="F15" s="142"/>
      <c r="G15" s="143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1" t="s">
        <v>75</v>
      </c>
      <c r="C27" s="142"/>
      <c r="D27" s="142"/>
      <c r="E27" s="142"/>
      <c r="F27" s="142"/>
      <c r="G27" s="143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8"/>
      <c r="D28" s="117"/>
      <c r="E28" s="118"/>
      <c r="F28" s="119"/>
      <c r="G28" s="116">
        <f>+E28*F28</f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8"/>
      <c r="D29" s="117"/>
      <c r="E29" s="118"/>
      <c r="F29" s="119"/>
      <c r="G29" s="116">
        <f t="shared" ref="G29:G41" si="0">+E29*F29</f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118"/>
      <c r="D30" s="117"/>
      <c r="E30" s="118"/>
      <c r="F30" s="119"/>
      <c r="G30" s="116">
        <f t="shared" si="0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118"/>
      <c r="D31" s="117"/>
      <c r="E31" s="118"/>
      <c r="F31" s="119"/>
      <c r="G31" s="116">
        <f t="shared" si="0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118"/>
      <c r="D32" s="117"/>
      <c r="E32" s="118"/>
      <c r="F32" s="119"/>
      <c r="G32" s="116">
        <f t="shared" si="0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118"/>
      <c r="D33" s="117"/>
      <c r="E33" s="118"/>
      <c r="F33" s="119"/>
      <c r="G33" s="116">
        <f t="shared" si="0"/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118"/>
      <c r="D34" s="117"/>
      <c r="E34" s="118"/>
      <c r="F34" s="119"/>
      <c r="G34" s="116">
        <f t="shared" si="0"/>
        <v>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118"/>
      <c r="D35" s="117"/>
      <c r="E35" s="118"/>
      <c r="F35" s="119"/>
      <c r="G35" s="116">
        <f t="shared" si="0"/>
        <v>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118"/>
      <c r="D36" s="117"/>
      <c r="E36" s="118"/>
      <c r="F36" s="119"/>
      <c r="G36" s="116">
        <f t="shared" si="0"/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118"/>
      <c r="D37" s="117"/>
      <c r="E37" s="118"/>
      <c r="F37" s="119"/>
      <c r="G37" s="116">
        <f t="shared" si="0"/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118"/>
      <c r="D38" s="117"/>
      <c r="E38" s="118"/>
      <c r="F38" s="119"/>
      <c r="G38" s="116">
        <f t="shared" si="0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118"/>
      <c r="D39" s="117"/>
      <c r="E39" s="118"/>
      <c r="F39" s="119"/>
      <c r="G39" s="116">
        <f t="shared" si="0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118"/>
      <c r="D40" s="117"/>
      <c r="E40" s="118"/>
      <c r="F40" s="119"/>
      <c r="G40" s="116">
        <f t="shared" si="0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118"/>
      <c r="D41" s="117"/>
      <c r="E41" s="118"/>
      <c r="F41" s="119"/>
      <c r="G41" s="116">
        <f t="shared" si="0"/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141" t="s">
        <v>29</v>
      </c>
      <c r="C42" s="142"/>
      <c r="D42" s="142"/>
      <c r="E42" s="142"/>
      <c r="F42" s="142"/>
      <c r="G42" s="143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2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3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4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5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6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7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8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9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10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A53" s="44"/>
      <c r="B53" s="39"/>
      <c r="C53" s="44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42:G42"/>
    <mergeCell ref="B8:G8"/>
    <mergeCell ref="B9:G9"/>
    <mergeCell ref="B10:G10"/>
    <mergeCell ref="B11:G11"/>
    <mergeCell ref="B12:G12"/>
    <mergeCell ref="B15:G15"/>
  </mergeCells>
  <conditionalFormatting sqref="C28:C41">
    <cfRule type="duplicateValues" dxfId="0" priority="1"/>
  </conditionalFormatting>
  <dataValidations count="1">
    <dataValidation type="decimal" operator="greaterThanOrEqual" allowBlank="1" showInputMessage="1" showErrorMessage="1" sqref="E16:G5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42</xdr:row>
                    <xdr:rowOff>28575</xdr:rowOff>
                  </from>
                  <to>
                    <xdr:col>1</xdr:col>
                    <xdr:colOff>771525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42</xdr:row>
                    <xdr:rowOff>28575</xdr:rowOff>
                  </from>
                  <to>
                    <xdr:col>1</xdr:col>
                    <xdr:colOff>1543050</xdr:colOff>
                    <xdr:row>42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B49" sqref="B49:G4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50" t="s">
        <v>32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4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 t="s">
        <v>171</v>
      </c>
      <c r="E28" s="55"/>
      <c r="F28" s="55"/>
      <c r="G28" s="55" t="s">
        <v>170</v>
      </c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II and III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2018-05-31T11:52:06Z</dcterms:modified>
</cp:coreProperties>
</file>