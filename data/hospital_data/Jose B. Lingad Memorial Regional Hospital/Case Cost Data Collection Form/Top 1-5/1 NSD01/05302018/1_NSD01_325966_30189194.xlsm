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Supplies_Medical'!$C$15:$C$41</definedName>
    <definedName name="Drugs">'1.2 Drugs&amp;Med'!$C$11:$C$15</definedName>
    <definedName name="_xlnm.Print_Area" localSheetId="0">'1.1 Case data_general'!$B$1:$F$74</definedName>
    <definedName name="_xlnm.Print_Area" localSheetId="1">'1.2 Drugs&amp;Med'!$B$2:$J$17</definedName>
  </definedNames>
  <calcPr calcId="144525"/>
</workbook>
</file>

<file path=xl/calcChain.xml><?xml version="1.0" encoding="utf-8"?>
<calcChain xmlns="http://schemas.openxmlformats.org/spreadsheetml/2006/main"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<sst xmlns="http://schemas.openxmlformats.org/spreadsheetml/2006/main" count="504" uniqueCount="208">
  <si>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</si>
  <si>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</si>
  <si>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</si>
  <si>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</si>
  <si>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</si>
  <si>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</si>
  <si>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</si>
  <si>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</si>
  <si>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</si>
  <si>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</si>
  <si>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</si>
  <si>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</si>
  <si>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</si>
  <si>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</si>
  <si>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</si>
  <si>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</si>
  <si>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</si>
  <si>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</si>
  <si>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</si>
  <si>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</si>
  <si>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</si>
  <si>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</si>
  <si>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</si>
  <si>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</si>
  <si>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</si>
  <si>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</si>
  <si>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</si>
  <si>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</si>
  <si>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</si>
  <si>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</si>
  <si>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</si>
  <si>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</si>
  <si>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</si>
  <si>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</si>
  <si>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</si>
  <si>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</si>
  <si>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</si>
  <si>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</si>
  <si>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</si>
  <si>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</si>
  <si>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</si>
  <si>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</si>
  <si>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</si>
  <si>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</si>
  <si>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</si>
  <si>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</si>
  <si>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</si>
  <si>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</si>
  <si>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</si>
  <si>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</si>
  <si>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</si>
  <si>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</si>
  <si>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</si>
  <si>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</si>
  <si>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</si>
  <si>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</si>
  <si>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</si>
  <si>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</si>
  <si>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</si>
  <si>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</si>
  <si>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</si>
  <si>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</si>
  <si>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</si>
  <si>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</si>
  <si>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</si>
  <si>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</si>
  <si>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</si>
  <si>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</si>
  <si>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</si>
  <si>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</si>
  <si>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</si>
  <si>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</si>
  <si>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</si>
  <si>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</si>
  <si>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</si>
  <si>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</si>
  <si>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</si>
  <si>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</si>
  <si>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</si>
  <si>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</si>
  <si>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</si>
  <si>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</si>
  <si>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</si>
  <si>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</si>
  <si>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</si>
  <si>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</si>
  <si>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</si>
  <si>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</si>
  <si>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</si>
  <si>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</si>
  <si>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</si>
  <si>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</si>
  <si>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</si>
  <si>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</si>
  <si>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</si>
  <si>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</si>
  <si>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</si>
  <si>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</si>
  <si>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</si>
  <si>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</si>
  <si>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</si>
  <si>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</si>
  <si>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</si>
  <si>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</si>
  <si>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</si>
  <si>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</si>
  <si>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</si>
  <si>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</si>
  <si>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</si>
  <si>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</si>
  <si>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</si>
  <si>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</si>
  <si>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</si>
  <si>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</si>
  <si>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</si>
  <si>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</si>
  <si>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</si>
  <si>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</si>
  <si>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</si>
  <si>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</si>
  <si>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</si>
  <si>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</si>
  <si>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</si>
  <si>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</si>
  <si>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</si>
  <si>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</si>
  <si>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</si>
  <si>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</si>
  <si>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</si>
  <si>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</si>
  <si>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</si>
  <si>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</si>
  <si>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</si>
  <si>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</si>
  <si>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</si>
  <si>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</si>
  <si>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</si>
  <si>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</si>
  <si>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</si>
  <si>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</si>
  <si>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</si>
  <si>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</si>
  <si>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</si>
  <si>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</si>
  <si>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</si>
  <si>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</si>
  <si>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</si>
  <si>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</si>
  <si>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</si>
  <si>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</si>
  <si>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</si>
  <si>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</si>
  <si>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</si>
  <si>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</si>
  <si>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</si>
  <si>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</si>
  <si>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</si>
  <si>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</si>
  <si>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</si>
  <si>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</si>
  <si>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</si>
  <si>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</si>
  <si>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</si>
  <si>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</si>
  <si>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</si>
  <si>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</si>
  <si>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</si>
  <si>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</si>
  <si>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</si>
  <si>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</si>
  <si>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</si>
  <si>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</si>
  <si>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</si>
  <si>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CORD CLAMP (UMBILICAL) X 100S, STERILE</t>
  </si>
  <si>
    <t>NEONATE WRIST TAG (ID BRACELET)X 100 (PINK/BLUE)</t>
  </si>
  <si>
    <t>+RC[-2]*RC[-1]</t>
  </si>
  <si>
    <t>SET</t>
  </si>
  <si>
    <t>FERROUS SULFATE + FOLIC ACID 200MG./400MCG (DONATION)</t>
  </si>
  <si>
    <t>VIAL</t>
  </si>
  <si>
    <t>CAPSULE</t>
  </si>
  <si>
    <t>500MG</t>
  </si>
  <si>
    <t>200MG</t>
  </si>
  <si>
    <t>CASE RATE</t>
  </si>
  <si>
    <t>PF CASE</t>
  </si>
  <si>
    <t>CEFALEXIN MONOHYDRATE 500MG IN BLISTER FOIL PACK</t>
  </si>
  <si>
    <t>AMPULE</t>
  </si>
  <si>
    <t>NGT 8 STRAIGHT, 40CM (CPR NEEDED)</t>
  </si>
  <si>
    <t>MATERNITY PAD  X 8</t>
  </si>
  <si>
    <t>OXYTOCIN MALEATE 10MCG INJECTION 10 UNITS/ML-1ML</t>
  </si>
  <si>
    <t>10MCG</t>
  </si>
  <si>
    <t>PAID BY PATIENT</t>
  </si>
  <si>
    <t>PHYTOMENADIONE ( VITAMIN K ) 10MG/1ML</t>
  </si>
  <si>
    <t>ERYTHROMYCIN  EYE OINTMENT 0.5%, 3.5G</t>
  </si>
  <si>
    <t>10MG</t>
  </si>
  <si>
    <t>3.5G</t>
  </si>
  <si>
    <t>TUBE</t>
  </si>
  <si>
    <t>IV CATHETER GAUGE 20</t>
  </si>
  <si>
    <t>MEDICAL GLOVES W/ CUFF, STERILE LATEX, NATURAL RUBBER: BOX OF 50'S  WARD USE SIZE 6 1/2</t>
  </si>
  <si>
    <t>PAIR</t>
  </si>
  <si>
    <t>325966/74355</t>
  </si>
  <si>
    <t>O99.2</t>
  </si>
  <si>
    <t>E05.0</t>
  </si>
  <si>
    <t>E07.8</t>
  </si>
  <si>
    <t>TSH</t>
  </si>
  <si>
    <t>FT4</t>
  </si>
  <si>
    <t>RAPID PLASMA REAGIN (RPR)</t>
  </si>
  <si>
    <t>BLOOD EXTRACTION FEE</t>
  </si>
  <si>
    <t>CALCIUM CARBONATE 500MG BLISTER/FOIL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</si>
</sst>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24</xdr:row>
          <xdr:rowOff>19050</xdr:rowOff>
        </xdr:from>
        <xdr:to>
          <xdr:col>1</xdr:col>
          <xdr:colOff>733425</xdr:colOff>
          <xdr:row>24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1504950</xdr:colOff>
          <xdr:row>24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28575</xdr:rowOff>
        </xdr:from>
        <xdr:to>
          <xdr:col>1</xdr:col>
          <xdr:colOff>771525</xdr:colOff>
          <xdr:row>31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31</xdr:row>
          <xdr:rowOff>28575</xdr:rowOff>
        </xdr:from>
        <xdr:to>
          <xdr:col>1</xdr:col>
          <xdr:colOff>1543050</xdr:colOff>
          <xdr:row>31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17" sqref="F1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200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201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202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30">
        <v>4</v>
      </c>
      <c r="C22" s="31" t="s">
        <v>166</v>
      </c>
      <c r="D22" s="21"/>
      <c r="E22" s="21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30">
        <v>5</v>
      </c>
      <c r="C23" s="31" t="s">
        <v>167</v>
      </c>
      <c r="D23" s="21"/>
      <c r="E23" s="21"/>
      <c r="F23" s="2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thickBot="1" x14ac:dyDescent="0.35">
      <c r="A24" s="1"/>
      <c r="B24" s="118" t="s">
        <v>51</v>
      </c>
      <c r="C24" s="119"/>
      <c r="D24" s="119"/>
      <c r="E24" s="119"/>
      <c r="F24" s="120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1</v>
      </c>
      <c r="C25" s="27" t="s">
        <v>165</v>
      </c>
      <c r="D25" s="29" t="s">
        <v>163</v>
      </c>
      <c r="E25" s="55">
        <v>1</v>
      </c>
      <c r="F25" s="55">
        <v>1.6666666666666667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2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3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6">
        <v>4</v>
      </c>
      <c r="C28" s="27"/>
      <c r="D28" s="29"/>
      <c r="E28" s="55"/>
      <c r="F28" s="5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6">
        <v>5</v>
      </c>
      <c r="C29" s="27"/>
      <c r="D29" s="29"/>
      <c r="E29" s="55"/>
      <c r="F29" s="5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thickBot="1" x14ac:dyDescent="0.35">
      <c r="A30" s="1"/>
      <c r="B30" s="121" t="s">
        <v>42</v>
      </c>
      <c r="C30" s="122"/>
      <c r="D30" s="122"/>
      <c r="E30" s="122"/>
      <c r="F30" s="13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10" t="s">
        <v>158</v>
      </c>
      <c r="C31" s="113" t="s">
        <v>162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10" t="s">
        <v>159</v>
      </c>
      <c r="C32" s="114" t="s">
        <v>123</v>
      </c>
      <c r="D32" s="13"/>
      <c r="E32" s="13"/>
      <c r="F32" s="1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14" t="s">
        <v>160</v>
      </c>
      <c r="C33" s="114" t="s">
        <v>140</v>
      </c>
      <c r="D33" s="13"/>
      <c r="E33" s="13"/>
      <c r="F33" s="1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15" t="s">
        <v>17</v>
      </c>
      <c r="C34" s="7"/>
      <c r="D34" s="7"/>
      <c r="E34" s="56">
        <v>2</v>
      </c>
      <c r="F34" s="7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18</v>
      </c>
      <c r="C35" s="119"/>
      <c r="D35" s="119"/>
      <c r="E35" s="119"/>
      <c r="F35" s="12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1</v>
      </c>
      <c r="C36" s="57" t="s">
        <v>168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57" t="s">
        <v>203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57" t="s">
        <v>204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57" t="s">
        <v>205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5</v>
      </c>
      <c r="C40" s="57" t="s">
        <v>206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153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182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183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190</v>
      </c>
      <c r="D65" s="55"/>
      <c r="E65" s="55"/>
      <c r="F65" s="55">
        <v>1008.89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0</v>
      </c>
      <c r="F74" s="59">
        <f>SUM(F63:F73)</f>
        <v>1008.89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4:F24"/>
    <mergeCell ref="B35:F35"/>
    <mergeCell ref="B30:F30"/>
    <mergeCell ref="B41:F41"/>
    <mergeCell ref="B48:F48"/>
  </mergeCells>
  <dataValidations count="1">
    <dataValidation type="decimal" operator="greaterThanOrEqual" allowBlank="1" showInputMessage="1" showErrorMessage="1" sqref="E34 E42:E45 E47 E25:F29 E49:F52 E54:F59 E36:E40 D63:F72 C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24</xdr:row>
                    <xdr:rowOff>19050</xdr:rowOff>
                  </from>
                  <to>
                    <xdr:col>1</xdr:col>
                    <xdr:colOff>733425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1504950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C33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C32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topLeftCell="B1" workbookViewId="0">
      <selection activeCell="F17" sqref="F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185</v>
      </c>
      <c r="E11" s="27" t="s">
        <v>189</v>
      </c>
      <c r="F11" s="55">
        <v>3</v>
      </c>
      <c r="G11" s="55">
        <v>2</v>
      </c>
      <c r="H11" s="55">
        <v>5</v>
      </c>
      <c r="I11" s="55">
        <v>8.52</v>
      </c>
      <c r="J11" s="55">
        <f>H11*I11</f>
        <v>42.599999999999994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178</v>
      </c>
      <c r="E12" s="27" t="s">
        <v>193</v>
      </c>
      <c r="F12" s="55">
        <v>1</v>
      </c>
      <c r="G12" s="55">
        <v>1</v>
      </c>
      <c r="H12" s="55">
        <v>1</v>
      </c>
      <c r="I12" s="55">
        <v>21.31</v>
      </c>
      <c r="J12" s="55">
        <f t="shared" ref="J12:J16" si="0">H12*I12</f>
        <v>21.31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195</v>
      </c>
      <c r="E13" s="27" t="s">
        <v>194</v>
      </c>
      <c r="F13" s="55">
        <v>1</v>
      </c>
      <c r="G13" s="55">
        <v>1</v>
      </c>
      <c r="H13" s="55">
        <v>1</v>
      </c>
      <c r="I13" s="55">
        <v>21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179</v>
      </c>
      <c r="E14" s="27" t="s">
        <v>181</v>
      </c>
      <c r="F14" s="55">
        <v>1</v>
      </c>
      <c r="G14" s="55">
        <v>100</v>
      </c>
      <c r="H14" s="55">
        <v>100</v>
      </c>
      <c r="I14" s="55">
        <v>1.27</v>
      </c>
      <c r="J14" s="55">
        <f t="shared" si="0"/>
        <v>127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207</v>
      </c>
      <c r="D15" s="27" t="s">
        <v>179</v>
      </c>
      <c r="E15" s="27" t="s">
        <v>180</v>
      </c>
      <c r="F15" s="55">
        <v>2</v>
      </c>
      <c r="G15" s="55">
        <v>10</v>
      </c>
      <c r="H15" s="55">
        <v>20</v>
      </c>
      <c r="I15" s="55">
        <v>1.83</v>
      </c>
      <c r="J15" s="55">
        <f t="shared" si="0"/>
        <v>36.6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179</v>
      </c>
      <c r="E16" s="27" t="s">
        <v>180</v>
      </c>
      <c r="F16" s="55">
        <v>3</v>
      </c>
      <c r="G16" s="55">
        <v>7</v>
      </c>
      <c r="H16" s="55">
        <v>21</v>
      </c>
      <c r="I16" s="55">
        <v>2.87</v>
      </c>
      <c r="J16" s="55">
        <f t="shared" si="0"/>
        <v>60.27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5"/>
  <sheetViews>
    <sheetView topLeftCell="A10" workbookViewId="0">
      <selection activeCell="D30" sqref="D30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196</v>
      </c>
      <c r="D21" s="117" t="s">
        <v>164</v>
      </c>
      <c r="E21" s="116">
        <v>1</v>
      </c>
      <c r="F21" s="116">
        <v>13.13</v>
      </c>
      <c r="G21" s="116">
        <f>+E21*F21</f>
        <v>13.13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169</v>
      </c>
      <c r="D22" s="117" t="s">
        <v>164</v>
      </c>
      <c r="E22" s="116">
        <v>1</v>
      </c>
      <c r="F22" s="116">
        <v>11.73</v>
      </c>
      <c r="G22" s="116">
        <f t="shared" ref="G22:G30" si="0">+E22*F22</f>
        <v>11.73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170</v>
      </c>
      <c r="D23" s="117" t="s">
        <v>164</v>
      </c>
      <c r="E23" s="116">
        <v>1</v>
      </c>
      <c r="F23" s="116">
        <v>1.6</v>
      </c>
      <c r="G23" s="116">
        <f t="shared" si="0"/>
        <v>1.6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171</v>
      </c>
      <c r="D24" s="117" t="s">
        <v>164</v>
      </c>
      <c r="E24" s="116">
        <v>1</v>
      </c>
      <c r="F24" s="116">
        <v>1.6</v>
      </c>
      <c r="G24" s="116">
        <f t="shared" si="0"/>
        <v>1.6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172</v>
      </c>
      <c r="D25" s="117" t="s">
        <v>164</v>
      </c>
      <c r="E25" s="116">
        <v>1</v>
      </c>
      <c r="F25" s="116">
        <v>5</v>
      </c>
      <c r="G25" s="116">
        <f t="shared" si="0"/>
        <v>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186</v>
      </c>
      <c r="D26" s="117" t="s">
        <v>164</v>
      </c>
      <c r="E26" s="116">
        <v>1</v>
      </c>
      <c r="F26" s="116">
        <v>7.8</v>
      </c>
      <c r="G26" s="116">
        <f t="shared" si="0"/>
        <v>7.8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187</v>
      </c>
      <c r="D27" s="117" t="s">
        <v>164</v>
      </c>
      <c r="E27" s="116">
        <v>2</v>
      </c>
      <c r="F27" s="116">
        <v>250</v>
      </c>
      <c r="G27" s="116">
        <f t="shared" si="0"/>
        <v>500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197</v>
      </c>
      <c r="D28" s="117" t="s">
        <v>198</v>
      </c>
      <c r="E28" s="116">
        <v>3</v>
      </c>
      <c r="F28" s="116">
        <v>12</v>
      </c>
      <c r="G28" s="116">
        <f t="shared" si="0"/>
        <v>36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173</v>
      </c>
      <c r="D29" s="117" t="s">
        <v>164</v>
      </c>
      <c r="E29" s="116">
        <v>1</v>
      </c>
      <c r="F29" s="116">
        <v>3.25</v>
      </c>
      <c r="G29" s="116">
        <f t="shared" si="0"/>
        <v>3.25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174</v>
      </c>
      <c r="D30" s="117" t="s">
        <v>164</v>
      </c>
      <c r="E30" s="116">
        <v>1</v>
      </c>
      <c r="F30" s="116">
        <v>5</v>
      </c>
      <c r="G30" s="116">
        <f t="shared" si="0"/>
        <v>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9" t="s">
        <v>29</v>
      </c>
      <c r="C31" s="140"/>
      <c r="D31" s="140"/>
      <c r="E31" s="140"/>
      <c r="F31" s="140"/>
      <c r="G31" s="141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A42" s="44"/>
      <c r="B42" s="39"/>
      <c r="C42" s="44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1:G3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31</xdr:row>
                    <xdr:rowOff>28575</xdr:rowOff>
                  </from>
                  <to>
                    <xdr:col>1</xdr:col>
                    <xdr:colOff>771525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31</xdr:row>
                    <xdr:rowOff>28575</xdr:rowOff>
                  </from>
                  <to>
                    <xdr:col>1</xdr:col>
                    <xdr:colOff>1543050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176</v>
      </c>
      <c r="E28" s="55"/>
      <c r="F28" s="55"/>
      <c r="G28" s="55" t="s">
        <v>175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data_general'!$C$31</f>
        <v>Level II and III</v>
      </c>
      <c r="G1" s="112" t="str">
        <f>'1.1 Case data_general'!$C$32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2018-05-31T08:21:42Z</dcterms:modified>
</cp:coreProperties>
</file>