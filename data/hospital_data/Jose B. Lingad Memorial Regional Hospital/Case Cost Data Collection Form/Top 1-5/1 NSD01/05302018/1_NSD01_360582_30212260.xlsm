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Drugs&amp;Med'!$C$11:$C$15</definedName>
    <definedName name="_xlnm.Print_Area" localSheetId="0">'1.1 Case data_general'!$B$1:$F$69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J20" i="2" l="1"/>
  <c r="G32" i="9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<sst xmlns="http://schemas.openxmlformats.org/spreadsheetml/2006/main" count="515" uniqueCount="213">
  <si>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</si>
  <si>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</si>
  <si>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</si>
  <si>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</si>
  <si>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</si>
  <si>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</si>
  <si>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</si>
  <si>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</si>
  <si>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</si>
  <si>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</si>
  <si>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</si>
  <si>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</si>
  <si>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</si>
  <si>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</si>
  <si>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</si>
  <si>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</si>
  <si>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</si>
  <si>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</si>
  <si>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</si>
  <si>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</si>
  <si>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</si>
  <si>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</si>
  <si>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</si>
  <si>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</si>
  <si>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</si>
  <si>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</si>
  <si>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</si>
  <si>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</si>
  <si>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</si>
  <si>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</si>
  <si>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</si>
  <si>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</si>
  <si>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</si>
  <si>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</si>
  <si>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</si>
  <si>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</si>
  <si>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</si>
  <si>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</si>
  <si>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</si>
  <si>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</si>
  <si>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</si>
  <si>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</si>
  <si>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</si>
  <si>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</si>
  <si>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</si>
  <si>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</si>
  <si>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</si>
  <si>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</si>
  <si>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</si>
  <si>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</si>
  <si>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</si>
  <si>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</si>
  <si>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</si>
  <si>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</si>
  <si>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</si>
  <si>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</si>
  <si>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</si>
  <si>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</si>
  <si>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</si>
  <si>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</si>
  <si>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</si>
  <si>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</si>
  <si>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</si>
  <si>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</si>
  <si>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</si>
  <si>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</si>
  <si>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</si>
  <si>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</si>
  <si>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</si>
  <si>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</si>
  <si>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</si>
  <si>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</si>
  <si>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</si>
  <si>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</si>
  <si>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</si>
  <si>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</si>
  <si>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</si>
  <si>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</si>
  <si>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</si>
  <si>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</si>
  <si>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</si>
  <si>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</si>
  <si>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</si>
  <si>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</si>
  <si>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</si>
  <si>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</si>
  <si>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</si>
  <si>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</si>
  <si>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</si>
  <si>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</si>
  <si>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</si>
  <si>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</si>
  <si>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</si>
  <si>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</si>
  <si>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</si>
  <si>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</si>
  <si>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</si>
  <si>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</si>
  <si>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</si>
  <si>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</si>
  <si>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</si>
  <si>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</si>
  <si>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</si>
  <si>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</si>
  <si>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</si>
  <si>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</si>
  <si>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</si>
  <si>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</si>
  <si>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</si>
  <si>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</si>
  <si>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</si>
  <si>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</si>
  <si>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</si>
  <si>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</si>
  <si>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</si>
  <si>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</si>
  <si>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</si>
  <si>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</si>
  <si>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</si>
  <si>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</si>
  <si>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</si>
  <si>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</si>
  <si>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</si>
  <si>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</si>
  <si>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</si>
  <si>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</si>
  <si>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</si>
  <si>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</si>
  <si>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</si>
  <si>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</si>
  <si>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</si>
  <si>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</si>
  <si>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</si>
  <si>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</si>
  <si>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</si>
  <si>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</si>
  <si>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</si>
  <si>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</si>
  <si>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</si>
  <si>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</si>
  <si>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</si>
  <si>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</si>
  <si>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</si>
  <si>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</si>
  <si>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</si>
  <si>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</si>
  <si>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</si>
  <si>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</si>
  <si>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</si>
  <si>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</si>
  <si>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</si>
  <si>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</si>
  <si>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</si>
  <si>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</si>
  <si>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</si>
  <si>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</si>
  <si>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</si>
  <si>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</si>
  <si>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</si>
  <si>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</si>
  <si>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</si>
  <si>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</si>
  <si>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</si>
  <si>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</si>
  <si>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</si>
  <si>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</si>
  <si>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</si>
  <si>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</si>
  <si>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</si>
  <si>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</si>
  <si>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</si>
  <si>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</si>
  <si>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</si>
  <si>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</si>
  <si>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</si>
  <si>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</si>
  <si>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</si>
  <si>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</si>
  <si>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</si>
  <si>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</si>
  <si>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</si>
  <si>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</si>
  <si>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</si>
  <si>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</si>
  <si>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</si>
  <si>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</si>
  <si>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</si>
  <si>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</si>
  <si>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</si>
  <si>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</si>
  <si>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</si>
  <si>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</si>
  <si>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</si>
  <si>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METHYLERGOMETRINE MALEATE 200MCG AMP</t>
  </si>
  <si>
    <t>PHYTOMENADIONE ( VITAMIN K ) 10MG/1ML</t>
  </si>
  <si>
    <t>ERYTHROMYCIN  EYE OINTMENT 0.5%, 3.5G</t>
  </si>
  <si>
    <t>200MCG</t>
  </si>
  <si>
    <t>10MG</t>
  </si>
  <si>
    <t>3.5G</t>
  </si>
  <si>
    <t>TUBE</t>
  </si>
  <si>
    <t>FLUID</t>
  </si>
  <si>
    <t>ADULT DIAPER WITH HIGH LIQUID ABSORBENCY</t>
  </si>
  <si>
    <t>IV CATHETER GAUGE 18</t>
  </si>
  <si>
    <t>IV SET W/ AIRWAY FOR IV PUSH, VACOSET/MACRODRIP, ADULT</t>
  </si>
  <si>
    <t>RAPID PLASMA REAGIN (RPR)</t>
  </si>
  <si>
    <t>BLOOD EXTRACTION FEE</t>
  </si>
  <si>
    <t>CALCIUM CARBONATE 500MG BLISTER/FOIL PACK</t>
  </si>
  <si>
    <t>NBB</t>
  </si>
  <si>
    <t>CARBOPROST 250MCG/ML-1ML</t>
  </si>
  <si>
    <t>250MCG</t>
  </si>
  <si>
    <t>360582/74233</t>
  </si>
  <si>
    <t>TRANEXAMIC ACID 100MG/ML-5ML</t>
  </si>
  <si>
    <t>100MG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</si>
</sst>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="115" zoomScaleNormal="115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204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205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1" t="s">
        <v>19</v>
      </c>
      <c r="C36" s="122"/>
      <c r="D36" s="119"/>
      <c r="E36" s="122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153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43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>
        <v>0</v>
      </c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52</v>
      </c>
      <c r="C43" s="119"/>
      <c r="D43" s="119"/>
      <c r="E43" s="119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20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185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186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207</v>
      </c>
      <c r="D60" s="55"/>
      <c r="E60" s="55">
        <v>746.81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746.81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32:F32"/>
    <mergeCell ref="B27:F27"/>
    <mergeCell ref="B36:F36"/>
    <mergeCell ref="B43:F43"/>
  </mergeCells>
  <dataValidations count="1">
    <dataValidation type="decimal" operator="greaterThanOrEqual" allowBlank="1" showInputMessage="1" showErrorMessage="1" sqref="E31 E37:E40 E42 E22:F26 E44:F47 E49:F54 E33:E35 D58:F67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200</v>
      </c>
      <c r="E11" s="27" t="s">
        <v>182</v>
      </c>
      <c r="F11" s="55">
        <v>2</v>
      </c>
      <c r="G11" s="55">
        <v>2</v>
      </c>
      <c r="H11" s="55">
        <v>3</v>
      </c>
      <c r="I11" s="55">
        <v>49.33</v>
      </c>
      <c r="J11" s="55">
        <f>H11*I11</f>
        <v>147.99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188</v>
      </c>
      <c r="E12" s="27" t="s">
        <v>192</v>
      </c>
      <c r="F12" s="55">
        <v>2</v>
      </c>
      <c r="G12" s="55">
        <v>2</v>
      </c>
      <c r="H12" s="55">
        <v>3</v>
      </c>
      <c r="I12" s="55">
        <v>8.52</v>
      </c>
      <c r="J12" s="55">
        <f t="shared" ref="J12:J20" si="0">H12*I12</f>
        <v>25.56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193</v>
      </c>
      <c r="D13" s="27" t="s">
        <v>188</v>
      </c>
      <c r="E13" s="27" t="s">
        <v>196</v>
      </c>
      <c r="F13" s="55">
        <v>1</v>
      </c>
      <c r="G13" s="55">
        <v>2</v>
      </c>
      <c r="H13" s="55">
        <v>2</v>
      </c>
      <c r="I13" s="55">
        <v>20</v>
      </c>
      <c r="J13" s="55">
        <f t="shared" si="0"/>
        <v>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211</v>
      </c>
      <c r="D14" s="27" t="s">
        <v>188</v>
      </c>
      <c r="E14" s="27" t="s">
        <v>212</v>
      </c>
      <c r="F14" s="55">
        <v>2</v>
      </c>
      <c r="G14" s="55">
        <v>2</v>
      </c>
      <c r="H14" s="55">
        <v>4</v>
      </c>
      <c r="I14" s="55">
        <v>17.03</v>
      </c>
      <c r="J14" s="55">
        <f t="shared" si="0"/>
        <v>68.12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208</v>
      </c>
      <c r="D15" s="27" t="s">
        <v>188</v>
      </c>
      <c r="E15" s="27" t="s">
        <v>209</v>
      </c>
      <c r="F15" s="55">
        <v>1</v>
      </c>
      <c r="G15" s="55">
        <v>1</v>
      </c>
      <c r="H15" s="55">
        <v>1</v>
      </c>
      <c r="I15" s="55">
        <v>365.07</v>
      </c>
      <c r="J15" s="55">
        <f t="shared" si="0"/>
        <v>365.07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199</v>
      </c>
      <c r="E16" s="27" t="s">
        <v>198</v>
      </c>
      <c r="F16" s="55">
        <v>1</v>
      </c>
      <c r="G16" s="55">
        <v>1</v>
      </c>
      <c r="H16" s="55">
        <v>1</v>
      </c>
      <c r="I16" s="55">
        <v>21</v>
      </c>
      <c r="J16" s="55">
        <f t="shared" si="0"/>
        <v>21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180</v>
      </c>
      <c r="E17" s="27" t="s">
        <v>197</v>
      </c>
      <c r="F17" s="55">
        <v>1</v>
      </c>
      <c r="G17" s="55">
        <v>1</v>
      </c>
      <c r="H17" s="55">
        <v>1</v>
      </c>
      <c r="I17" s="55">
        <v>21.31</v>
      </c>
      <c r="J17" s="55">
        <f t="shared" si="0"/>
        <v>21.31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179</v>
      </c>
      <c r="D18" s="27" t="s">
        <v>181</v>
      </c>
      <c r="E18" s="27" t="s">
        <v>184</v>
      </c>
      <c r="F18" s="55">
        <v>1</v>
      </c>
      <c r="G18" s="55">
        <v>100</v>
      </c>
      <c r="H18" s="55">
        <v>100</v>
      </c>
      <c r="I18" s="55">
        <v>1.27</v>
      </c>
      <c r="J18" s="55">
        <f t="shared" si="0"/>
        <v>127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206</v>
      </c>
      <c r="D19" s="27" t="s">
        <v>181</v>
      </c>
      <c r="E19" s="27" t="s">
        <v>183</v>
      </c>
      <c r="F19" s="55">
        <v>3</v>
      </c>
      <c r="G19" s="55">
        <v>10</v>
      </c>
      <c r="H19" s="55">
        <v>30</v>
      </c>
      <c r="I19" s="55">
        <v>1.83</v>
      </c>
      <c r="J19" s="55">
        <f t="shared" si="0"/>
        <v>54.900000000000006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187</v>
      </c>
      <c r="D20" s="27" t="s">
        <v>181</v>
      </c>
      <c r="E20" s="27" t="s">
        <v>183</v>
      </c>
      <c r="F20" s="55">
        <v>3</v>
      </c>
      <c r="G20" s="55">
        <v>7</v>
      </c>
      <c r="H20" s="55">
        <v>21</v>
      </c>
      <c r="I20" s="55">
        <v>2.87</v>
      </c>
      <c r="J20" s="55">
        <f t="shared" si="0"/>
        <v>60.27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0" workbookViewId="0">
      <selection activeCell="D32" sqref="D32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203</v>
      </c>
      <c r="D21" s="117" t="s">
        <v>177</v>
      </c>
      <c r="E21" s="116">
        <v>1</v>
      </c>
      <c r="F21" s="116">
        <v>14</v>
      </c>
      <c r="G21" s="116">
        <f>+E21*F21</f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202</v>
      </c>
      <c r="D22" s="117" t="s">
        <v>164</v>
      </c>
      <c r="E22" s="116">
        <v>1</v>
      </c>
      <c r="F22" s="116">
        <v>13.13</v>
      </c>
      <c r="G22" s="116">
        <f t="shared" ref="G22:G32" si="0">+E22*F22</f>
        <v>13.13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201</v>
      </c>
      <c r="D23" s="117" t="s">
        <v>164</v>
      </c>
      <c r="E23" s="116">
        <v>1</v>
      </c>
      <c r="F23" s="116">
        <v>20.97</v>
      </c>
      <c r="G23" s="116">
        <f t="shared" si="0"/>
        <v>20.97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170</v>
      </c>
      <c r="D24" s="117" t="s">
        <v>164</v>
      </c>
      <c r="E24" s="116">
        <v>3</v>
      </c>
      <c r="F24" s="116">
        <v>1.6</v>
      </c>
      <c r="G24" s="116">
        <f t="shared" si="0"/>
        <v>4.8000000000000007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173</v>
      </c>
      <c r="D25" s="117" t="s">
        <v>164</v>
      </c>
      <c r="E25" s="116">
        <v>3</v>
      </c>
      <c r="F25" s="116">
        <v>2.77</v>
      </c>
      <c r="G25" s="116">
        <f t="shared" si="0"/>
        <v>8.31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189</v>
      </c>
      <c r="D26" s="117" t="s">
        <v>164</v>
      </c>
      <c r="E26" s="116">
        <v>1</v>
      </c>
      <c r="F26" s="116">
        <v>7.8</v>
      </c>
      <c r="G26" s="116">
        <f t="shared" si="0"/>
        <v>7.8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169</v>
      </c>
      <c r="D27" s="117" t="s">
        <v>164</v>
      </c>
      <c r="E27" s="116">
        <v>1</v>
      </c>
      <c r="F27" s="116">
        <v>11.73</v>
      </c>
      <c r="G27" s="116">
        <f t="shared" si="0"/>
        <v>11.73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171</v>
      </c>
      <c r="D28" s="117" t="s">
        <v>164</v>
      </c>
      <c r="E28" s="116">
        <v>1</v>
      </c>
      <c r="F28" s="116">
        <v>1.6</v>
      </c>
      <c r="G28" s="116">
        <f t="shared" si="0"/>
        <v>1.6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172</v>
      </c>
      <c r="D29" s="117" t="s">
        <v>164</v>
      </c>
      <c r="E29" s="116">
        <v>2</v>
      </c>
      <c r="F29" s="116">
        <v>5</v>
      </c>
      <c r="G29" s="116">
        <f t="shared" si="0"/>
        <v>10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190</v>
      </c>
      <c r="D30" s="117" t="s">
        <v>164</v>
      </c>
      <c r="E30" s="116">
        <v>1</v>
      </c>
      <c r="F30" s="116">
        <v>250</v>
      </c>
      <c r="G30" s="116">
        <f t="shared" si="0"/>
        <v>250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174</v>
      </c>
      <c r="D31" s="117" t="s">
        <v>164</v>
      </c>
      <c r="E31" s="116">
        <v>1</v>
      </c>
      <c r="F31" s="116">
        <v>3.25</v>
      </c>
      <c r="G31" s="116">
        <f t="shared" si="0"/>
        <v>3.25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175</v>
      </c>
      <c r="D32" s="117" t="s">
        <v>164</v>
      </c>
      <c r="E32" s="116">
        <v>1</v>
      </c>
      <c r="F32" s="116">
        <v>5</v>
      </c>
      <c r="G32" s="116">
        <f t="shared" si="0"/>
        <v>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9" t="s">
        <v>29</v>
      </c>
      <c r="C33" s="140"/>
      <c r="D33" s="140"/>
      <c r="E33" s="140"/>
      <c r="F33" s="140"/>
      <c r="G33" s="141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177</v>
      </c>
      <c r="E28" s="55"/>
      <c r="F28" s="55"/>
      <c r="G28" s="55" t="s">
        <v>176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2018-05-31T09:20:06Z</dcterms:modified>
</cp:coreProperties>
</file>