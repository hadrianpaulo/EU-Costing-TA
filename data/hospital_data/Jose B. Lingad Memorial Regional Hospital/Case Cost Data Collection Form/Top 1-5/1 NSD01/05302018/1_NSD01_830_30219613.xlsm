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Supplies_Medical'!$C$15:$C$45</definedName>
    <definedName name="Drugs">'1.2 Drugs&amp;Med'!$C$11:$C$15</definedName>
    <definedName name="_xlnm.Print_Area" localSheetId="0">'1.1 Case data_general'!$B$1:$F$68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G34" i="9" l="1"/>
  <c r="G33" i="9"/>
  <c r="G32" i="9"/>
  <c r="G31" i="9"/>
  <c r="J19" i="2"/>
  <c r="J18" i="2"/>
  <c r="J17" i="2"/>
  <c r="G30" i="9" l="1"/>
  <c r="G29" i="9"/>
  <c r="J16" i="2" l="1"/>
  <c r="G28" i="9" l="1"/>
  <c r="G27" i="9"/>
  <c r="G26" i="9"/>
  <c r="G25" i="9"/>
  <c r="G24" i="9"/>
  <c r="G23" i="9"/>
  <c r="G22" i="9"/>
  <c r="G21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<sst xmlns="http://schemas.openxmlformats.org/spreadsheetml/2006/main" count="515" uniqueCount="211">
  <si>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</si>
  <si>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</si>
  <si>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</si>
  <si>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</si>
  <si>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</si>
  <si>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</si>
  <si>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</si>
  <si>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</si>
  <si>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</si>
  <si>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</si>
  <si>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</si>
  <si>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</si>
  <si>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</si>
  <si>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</si>
  <si>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</si>
  <si>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</si>
  <si>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</si>
  <si>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</si>
  <si>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</si>
  <si>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</si>
  <si>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</si>
  <si>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</si>
  <si>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</si>
  <si>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</si>
  <si>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</si>
  <si>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</si>
  <si>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</si>
  <si>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</si>
  <si>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</si>
  <si>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</si>
  <si>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</si>
  <si>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</si>
  <si>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</si>
  <si>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</si>
  <si>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</si>
  <si>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</si>
  <si>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</si>
  <si>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</si>
  <si>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</si>
  <si>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</si>
  <si>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</si>
  <si>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</si>
  <si>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</si>
  <si>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</si>
  <si>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</si>
  <si>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</si>
  <si>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</si>
  <si>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</si>
  <si>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</si>
  <si>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</si>
  <si>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</si>
  <si>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</si>
  <si>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</si>
  <si>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</si>
  <si>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</si>
  <si>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</si>
  <si>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</si>
  <si>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</si>
  <si>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</si>
  <si>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</si>
  <si>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</si>
  <si>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</si>
  <si>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</si>
  <si>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</si>
  <si>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</si>
  <si>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</si>
  <si>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</si>
  <si>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</si>
  <si>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</si>
  <si>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</si>
  <si>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</si>
  <si>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</si>
  <si>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</si>
  <si>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</si>
  <si>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</si>
  <si>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</si>
  <si>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</si>
  <si>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</si>
  <si>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</si>
  <si>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</si>
  <si>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</si>
  <si>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</si>
  <si>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</si>
  <si>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</si>
  <si>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</si>
  <si>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</si>
  <si>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</si>
  <si>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</si>
  <si>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</si>
  <si>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</si>
  <si>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</si>
  <si>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</si>
  <si>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</si>
  <si>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</si>
  <si>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</si>
  <si>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</si>
  <si>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</si>
  <si>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</si>
  <si>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</si>
  <si>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</si>
  <si>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</si>
  <si>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</si>
  <si>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</si>
  <si>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</si>
  <si>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</si>
  <si>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</si>
  <si>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</si>
  <si>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</si>
  <si>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</si>
  <si>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</si>
  <si>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</si>
  <si>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</si>
  <si>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</si>
  <si>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</si>
  <si>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</si>
  <si>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</si>
  <si>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</si>
  <si>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</si>
  <si>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</si>
  <si>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</si>
  <si>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</si>
  <si>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</si>
  <si>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</si>
  <si>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</si>
  <si>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</si>
  <si>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</si>
  <si>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</si>
  <si>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</si>
  <si>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</si>
  <si>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</si>
  <si>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</si>
  <si>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</si>
  <si>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</si>
  <si>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</si>
  <si>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</si>
  <si>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</si>
  <si>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</si>
  <si>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</si>
  <si>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</si>
  <si>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</si>
  <si>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</si>
  <si>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</si>
  <si>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</si>
  <si>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</si>
  <si>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</si>
  <si>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</si>
  <si>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</si>
  <si>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</si>
  <si>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</si>
  <si>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</si>
  <si>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</si>
  <si>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</si>
  <si>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</si>
  <si>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</si>
  <si>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</si>
  <si>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</si>
  <si>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</si>
  <si>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</si>
  <si>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</si>
  <si>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</si>
  <si>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</si>
  <si>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</si>
  <si>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</si>
  <si>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</si>
  <si>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</si>
  <si>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</si>
  <si>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</si>
  <si>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</si>
  <si>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</si>
  <si>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</si>
  <si>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</si>
  <si>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</si>
  <si>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</si>
  <si>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</si>
  <si>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</si>
  <si>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</si>
  <si>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</si>
  <si>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SET</t>
  </si>
  <si>
    <t>(D5LRS 1L) 5% DEXTROSE IN LACTATED RINGERS SOLUTION 1000ML (D5 LRS) X 12S</t>
  </si>
  <si>
    <t>FERROUS SULFATE + FOLIC ACID 200MG./400MCG (DONATION)</t>
  </si>
  <si>
    <t>VIAL</t>
  </si>
  <si>
    <t>CAPSULE</t>
  </si>
  <si>
    <t>1L</t>
  </si>
  <si>
    <t>500MG</t>
  </si>
  <si>
    <t>200MG</t>
  </si>
  <si>
    <t>CASE RATE</t>
  </si>
  <si>
    <t>PF CASE</t>
  </si>
  <si>
    <t>AMPULE</t>
  </si>
  <si>
    <t>NGT 8 STRAIGHT, 40CM (CPR NEEDED)</t>
  </si>
  <si>
    <t>MATERNITY PAD  X 8</t>
  </si>
  <si>
    <t>METHYLERGOMETRINE MALEATE 200MCG AMP</t>
  </si>
  <si>
    <t>PHYTOMENADIONE ( VITAMIN K ) 10MG/1ML</t>
  </si>
  <si>
    <t>ERYTHROMYCIN  EYE OINTMENT 0.5%, 3.5G</t>
  </si>
  <si>
    <t>200MCG</t>
  </si>
  <si>
    <t>10MG</t>
  </si>
  <si>
    <t>3.5G</t>
  </si>
  <si>
    <t>TUBE</t>
  </si>
  <si>
    <t>FLUID</t>
  </si>
  <si>
    <t>ADULT DIAPER WITH HIGH LIQUID ABSORBENCY</t>
  </si>
  <si>
    <t>IV CATHETER GAUGE 18</t>
  </si>
  <si>
    <t>IV SET W/ AIRWAY FOR IV PUSH, VACOSET/MACRODRIP, ADULT</t>
  </si>
  <si>
    <t>DISPOSABLE FACE MASK, EAR LOOP 3 FOLDS X 50S</t>
  </si>
  <si>
    <t>DISPOSABLE HEAD CAP X 100S GARTERIZED</t>
  </si>
  <si>
    <t>RAPID PLASMA REAGIN (RPR)</t>
  </si>
  <si>
    <t>CALCIUM CARBONATE 500MG BLISTER/FOIL PACK</t>
  </si>
  <si>
    <t>830/74321</t>
  </si>
  <si>
    <t>NBB</t>
  </si>
  <si>
    <t>HYOSCINE N-BUTYLBROMIDE 20MG/ML-1ML</t>
  </si>
  <si>
    <t>METRONIDAZOLE 500MG IN BLISTER FOIL PACK</t>
  </si>
  <si>
    <t>CEFUROXIME 500MG IN BLISTER FOIL PACK</t>
  </si>
  <si>
    <t>20MG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</si>
</sst>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3" fillId="0" borderId="0" xfId="0" applyFont="1" applyProtection="1">
      <protection locked="0"/>
    </xf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28575</xdr:rowOff>
        </xdr:from>
        <xdr:to>
          <xdr:col>1</xdr:col>
          <xdr:colOff>771525</xdr:colOff>
          <xdr:row>35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35</xdr:row>
          <xdr:rowOff>28575</xdr:rowOff>
        </xdr:from>
        <xdr:to>
          <xdr:col>1</xdr:col>
          <xdr:colOff>1543050</xdr:colOff>
          <xdr:row>35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abSelected="1" zoomScale="115" zoomScaleNormal="115" workbookViewId="0">
      <selection activeCell="C17" sqref="C1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205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8" t="s">
        <v>51</v>
      </c>
      <c r="C21" s="119"/>
      <c r="D21" s="119"/>
      <c r="E21" s="119"/>
      <c r="F21" s="12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165</v>
      </c>
      <c r="D22" s="29" t="s">
        <v>163</v>
      </c>
      <c r="E22" s="55">
        <v>1</v>
      </c>
      <c r="F22" s="55">
        <v>1.5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1" t="s">
        <v>42</v>
      </c>
      <c r="C27" s="122"/>
      <c r="D27" s="122"/>
      <c r="E27" s="122"/>
      <c r="F27" s="13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18</v>
      </c>
      <c r="C32" s="119"/>
      <c r="D32" s="119"/>
      <c r="E32" s="119"/>
      <c r="F32" s="12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57" t="s">
        <v>168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57" t="s">
        <v>203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21" t="s">
        <v>19</v>
      </c>
      <c r="C35" s="122"/>
      <c r="D35" s="119"/>
      <c r="E35" s="122"/>
      <c r="F35" s="120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153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1" t="s">
        <v>43</v>
      </c>
      <c r="C40" s="122"/>
      <c r="D40" s="119"/>
      <c r="E40" s="122"/>
      <c r="F40" s="120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44</v>
      </c>
      <c r="C41" s="13"/>
      <c r="D41" s="13"/>
      <c r="E41" s="16">
        <v>0</v>
      </c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52</v>
      </c>
      <c r="C42" s="119"/>
      <c r="D42" s="119"/>
      <c r="E42" s="119"/>
      <c r="F42" s="120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20</v>
      </c>
      <c r="C47" s="119"/>
      <c r="D47" s="119"/>
      <c r="E47" s="119"/>
      <c r="F47" s="120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54</v>
      </c>
      <c r="C56" s="17" t="s">
        <v>50</v>
      </c>
      <c r="D56" s="17" t="s">
        <v>55</v>
      </c>
      <c r="E56" s="18" t="s">
        <v>56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185</v>
      </c>
      <c r="D57" s="55">
        <v>3000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186</v>
      </c>
      <c r="D58" s="55">
        <v>2000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206</v>
      </c>
      <c r="D59" s="55"/>
      <c r="E59" s="55">
        <v>791.22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5000</v>
      </c>
      <c r="E68" s="59">
        <f>SUM(E57:E67)</f>
        <v>791.22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1:F21"/>
    <mergeCell ref="B32:F32"/>
    <mergeCell ref="B27:F27"/>
    <mergeCell ref="B35:F35"/>
    <mergeCell ref="B42:F42"/>
  </mergeCells>
  <dataValidations count="1">
    <dataValidation type="decimal" operator="greaterThanOrEqual" allowBlank="1" showInputMessage="1" showErrorMessage="1" sqref="E31 E36:E39 E41 E22:F26 E43:F46 E48:F53 E33:E34 D57:F66 C3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opLeftCell="B1" workbookViewId="0">
      <selection activeCell="F20" sqref="F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197</v>
      </c>
      <c r="E11" s="27" t="s">
        <v>182</v>
      </c>
      <c r="F11" s="55">
        <v>1</v>
      </c>
      <c r="G11" s="55">
        <v>2</v>
      </c>
      <c r="H11" s="55">
        <v>2</v>
      </c>
      <c r="I11" s="55">
        <v>49.33</v>
      </c>
      <c r="J11" s="55">
        <f>H11*I11</f>
        <v>98.66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180</v>
      </c>
      <c r="E12" s="27" t="s">
        <v>194</v>
      </c>
      <c r="F12" s="55">
        <v>1</v>
      </c>
      <c r="G12" s="55">
        <v>1</v>
      </c>
      <c r="H12" s="55">
        <v>1</v>
      </c>
      <c r="I12" s="55">
        <v>21.31</v>
      </c>
      <c r="J12" s="55">
        <f t="shared" ref="J12:J19" si="0">H12*I12</f>
        <v>21.31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192</v>
      </c>
      <c r="D13" s="27" t="s">
        <v>196</v>
      </c>
      <c r="E13" s="27" t="s">
        <v>195</v>
      </c>
      <c r="F13" s="55">
        <v>1</v>
      </c>
      <c r="G13" s="55">
        <v>1</v>
      </c>
      <c r="H13" s="55">
        <v>1</v>
      </c>
      <c r="I13" s="55">
        <v>21</v>
      </c>
      <c r="J13" s="55">
        <f t="shared" si="0"/>
        <v>21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207</v>
      </c>
      <c r="D14" s="27" t="s">
        <v>180</v>
      </c>
      <c r="E14" s="27" t="s">
        <v>210</v>
      </c>
      <c r="F14" s="55">
        <v>1</v>
      </c>
      <c r="G14" s="55">
        <v>2</v>
      </c>
      <c r="H14" s="55">
        <v>2</v>
      </c>
      <c r="I14" s="55">
        <v>25.79</v>
      </c>
      <c r="J14" s="55">
        <f t="shared" si="0"/>
        <v>51.58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187</v>
      </c>
      <c r="E15" s="27" t="s">
        <v>193</v>
      </c>
      <c r="F15" s="55">
        <v>1</v>
      </c>
      <c r="G15" s="55">
        <v>2</v>
      </c>
      <c r="H15" s="55">
        <v>2</v>
      </c>
      <c r="I15" s="55">
        <v>20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208</v>
      </c>
      <c r="D16" s="27" t="s">
        <v>181</v>
      </c>
      <c r="E16" s="27" t="s">
        <v>183</v>
      </c>
      <c r="F16" s="55">
        <v>3</v>
      </c>
      <c r="G16" s="55">
        <v>7</v>
      </c>
      <c r="H16" s="55">
        <v>21</v>
      </c>
      <c r="I16" s="55">
        <v>1.93</v>
      </c>
      <c r="J16" s="55">
        <f t="shared" si="0"/>
        <v>40.53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179</v>
      </c>
      <c r="D17" s="27" t="s">
        <v>181</v>
      </c>
      <c r="E17" s="27" t="s">
        <v>184</v>
      </c>
      <c r="F17" s="55">
        <v>1</v>
      </c>
      <c r="G17" s="55">
        <v>100</v>
      </c>
      <c r="H17" s="55">
        <v>100</v>
      </c>
      <c r="I17" s="55">
        <v>1.27</v>
      </c>
      <c r="J17" s="55">
        <f t="shared" si="0"/>
        <v>127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204</v>
      </c>
      <c r="D18" s="27" t="s">
        <v>181</v>
      </c>
      <c r="E18" s="27" t="s">
        <v>183</v>
      </c>
      <c r="F18" s="55">
        <v>3</v>
      </c>
      <c r="G18" s="55">
        <v>10</v>
      </c>
      <c r="H18" s="55">
        <v>30</v>
      </c>
      <c r="I18" s="55">
        <v>1.83</v>
      </c>
      <c r="J18" s="55">
        <f t="shared" si="0"/>
        <v>54.900000000000006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209</v>
      </c>
      <c r="D19" s="27" t="s">
        <v>181</v>
      </c>
      <c r="E19" s="27" t="s">
        <v>183</v>
      </c>
      <c r="F19" s="55">
        <v>2</v>
      </c>
      <c r="G19" s="55">
        <v>7</v>
      </c>
      <c r="H19" s="55">
        <v>14</v>
      </c>
      <c r="I19" s="55">
        <v>11.72</v>
      </c>
      <c r="J19" s="55">
        <f t="shared" si="0"/>
        <v>164.08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25">
      <c r="A20" s="33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9"/>
  <sheetViews>
    <sheetView topLeftCell="A10" workbookViewId="0">
      <selection activeCell="C24" sqref="C24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14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9" t="s">
        <v>75</v>
      </c>
      <c r="C20" s="140"/>
      <c r="D20" s="140"/>
      <c r="E20" s="140"/>
      <c r="F20" s="140"/>
      <c r="G20" s="141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199</v>
      </c>
      <c r="D21" s="117" t="s">
        <v>164</v>
      </c>
      <c r="E21" s="116">
        <v>1</v>
      </c>
      <c r="F21" s="116">
        <v>13.13</v>
      </c>
      <c r="G21" s="116">
        <f>+E21*F21</f>
        <v>13.13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200</v>
      </c>
      <c r="D22" s="117" t="s">
        <v>177</v>
      </c>
      <c r="E22" s="116">
        <v>1</v>
      </c>
      <c r="F22" s="116">
        <v>14</v>
      </c>
      <c r="G22" s="116">
        <f t="shared" ref="G22:G34" si="0">+E22*F22</f>
        <v>14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170</v>
      </c>
      <c r="D23" s="117" t="s">
        <v>164</v>
      </c>
      <c r="E23" s="116">
        <v>7</v>
      </c>
      <c r="F23" s="116">
        <v>1.6</v>
      </c>
      <c r="G23" s="116">
        <f t="shared" si="0"/>
        <v>11.200000000000001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171</v>
      </c>
      <c r="D24" s="117" t="s">
        <v>164</v>
      </c>
      <c r="E24" s="116">
        <v>7</v>
      </c>
      <c r="F24" s="116">
        <v>1.6</v>
      </c>
      <c r="G24" s="116">
        <f t="shared" si="0"/>
        <v>11.200000000000001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172</v>
      </c>
      <c r="D25" s="117" t="s">
        <v>164</v>
      </c>
      <c r="E25" s="116">
        <v>7</v>
      </c>
      <c r="F25" s="116">
        <v>5</v>
      </c>
      <c r="G25" s="116">
        <f t="shared" si="0"/>
        <v>35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173</v>
      </c>
      <c r="D26" s="117" t="s">
        <v>164</v>
      </c>
      <c r="E26" s="116">
        <v>7</v>
      </c>
      <c r="F26" s="116">
        <v>2.77</v>
      </c>
      <c r="G26" s="116">
        <f t="shared" si="0"/>
        <v>19.39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198</v>
      </c>
      <c r="D27" s="117" t="s">
        <v>164</v>
      </c>
      <c r="E27" s="116">
        <v>3</v>
      </c>
      <c r="F27" s="116">
        <v>20.97</v>
      </c>
      <c r="G27" s="116">
        <f t="shared" si="0"/>
        <v>62.91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189</v>
      </c>
      <c r="D28" s="117" t="s">
        <v>164</v>
      </c>
      <c r="E28" s="116">
        <v>2</v>
      </c>
      <c r="F28" s="116">
        <v>250</v>
      </c>
      <c r="G28" s="116">
        <f t="shared" si="0"/>
        <v>500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27" t="s">
        <v>174</v>
      </c>
      <c r="D29" s="117" t="s">
        <v>164</v>
      </c>
      <c r="E29" s="116">
        <v>1</v>
      </c>
      <c r="F29" s="116">
        <v>3.25</v>
      </c>
      <c r="G29" s="116">
        <f t="shared" si="0"/>
        <v>3.25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27" t="s">
        <v>175</v>
      </c>
      <c r="D30" s="117" t="s">
        <v>164</v>
      </c>
      <c r="E30" s="116">
        <v>1</v>
      </c>
      <c r="F30" s="116">
        <v>5</v>
      </c>
      <c r="G30" s="116">
        <f t="shared" si="0"/>
        <v>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11</v>
      </c>
      <c r="C31" s="27" t="s">
        <v>169</v>
      </c>
      <c r="D31" s="117" t="s">
        <v>164</v>
      </c>
      <c r="E31" s="116">
        <v>4</v>
      </c>
      <c r="F31" s="116">
        <v>11.73</v>
      </c>
      <c r="G31" s="116">
        <f t="shared" si="0"/>
        <v>46.92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12</v>
      </c>
      <c r="C32" s="27" t="s">
        <v>201</v>
      </c>
      <c r="D32" s="117" t="s">
        <v>164</v>
      </c>
      <c r="E32" s="116">
        <v>1</v>
      </c>
      <c r="F32" s="116">
        <v>1.0900000000000001</v>
      </c>
      <c r="G32" s="116">
        <f t="shared" si="0"/>
        <v>1.0900000000000001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13</v>
      </c>
      <c r="C33" s="27" t="s">
        <v>202</v>
      </c>
      <c r="D33" s="117" t="s">
        <v>164</v>
      </c>
      <c r="E33" s="116">
        <v>1</v>
      </c>
      <c r="F33" s="116">
        <v>1.27</v>
      </c>
      <c r="G33" s="116">
        <f t="shared" si="0"/>
        <v>1.27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14</v>
      </c>
      <c r="C34" s="27" t="s">
        <v>188</v>
      </c>
      <c r="D34" s="117" t="s">
        <v>164</v>
      </c>
      <c r="E34" s="116">
        <v>1</v>
      </c>
      <c r="F34" s="116">
        <v>7.8</v>
      </c>
      <c r="G34" s="116">
        <f t="shared" si="0"/>
        <v>7.8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139" t="s">
        <v>29</v>
      </c>
      <c r="C35" s="140"/>
      <c r="D35" s="140"/>
      <c r="E35" s="140"/>
      <c r="F35" s="140"/>
      <c r="G35" s="141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A46" s="44"/>
      <c r="B46" s="39"/>
      <c r="C46" s="44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5:G3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35</xdr:row>
                    <xdr:rowOff>28575</xdr:rowOff>
                  </from>
                  <to>
                    <xdr:col>1</xdr:col>
                    <xdr:colOff>771525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35</xdr:row>
                    <xdr:rowOff>28575</xdr:rowOff>
                  </from>
                  <to>
                    <xdr:col>1</xdr:col>
                    <xdr:colOff>1543050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177</v>
      </c>
      <c r="E28" s="55"/>
      <c r="F28" s="55"/>
      <c r="G28" s="55" t="s">
        <v>176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2018-05-31T08:36:55Z</dcterms:modified>
</cp:coreProperties>
</file>