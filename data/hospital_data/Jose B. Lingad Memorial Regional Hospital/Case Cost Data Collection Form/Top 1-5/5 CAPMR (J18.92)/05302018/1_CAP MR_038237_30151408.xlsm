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8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Drugs&amp;Med'!$C$11:$C$21</definedName>
    <definedName name="_xlnm.Print_Area" localSheetId="0">'1.1 Case data_general'!$B$1:$F$80</definedName>
    <definedName name="_xlnm.Print_Area" localSheetId="1">'1.2 Drugs&amp;Med'!$B$2:$J$30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27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D69" i="1"/>
  <c r="G16" i="9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<sst xmlns="http://schemas.openxmlformats.org/spreadsheetml/2006/main" count="538" uniqueCount="236">
  <si>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</si>
  <si>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</si>
  <si>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</si>
  <si>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</si>
  <si>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</si>
  <si>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</si>
  <si>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</si>
  <si>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</si>
  <si>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</si>
  <si>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</si>
  <si>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</si>
  <si>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</si>
  <si>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</si>
  <si>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</si>
  <si>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</si>
  <si>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</si>
  <si>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</si>
  <si>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</si>
  <si>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</si>
  <si>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</si>
  <si>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</si>
  <si>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</si>
  <si>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</si>
  <si>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</si>
  <si>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</si>
  <si>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</si>
  <si>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</si>
  <si>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</si>
  <si>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</si>
  <si>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</si>
  <si>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</si>
  <si>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</si>
  <si>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</si>
  <si>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</si>
  <si>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</si>
  <si>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</si>
  <si>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</si>
  <si>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</si>
  <si>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</si>
  <si>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</si>
  <si>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</si>
  <si>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</si>
  <si>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</si>
  <si>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</si>
  <si>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</si>
  <si>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</si>
  <si>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</si>
  <si>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</si>
  <si>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</si>
  <si>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</si>
  <si>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</si>
  <si>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</si>
  <si>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</si>
  <si>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</si>
  <si>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</si>
  <si>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</si>
  <si>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</si>
  <si>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</si>
  <si>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</si>
  <si>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</si>
  <si>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</si>
  <si>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</si>
  <si>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</si>
  <si>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</si>
  <si>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</si>
  <si>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</si>
  <si>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</si>
  <si>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</si>
  <si>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</si>
  <si>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</si>
  <si>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</si>
  <si>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</si>
  <si>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</si>
  <si>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</si>
  <si>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</si>
  <si>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</si>
  <si>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</si>
  <si>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</si>
  <si>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</si>
  <si>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</si>
  <si>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</si>
  <si>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</si>
  <si>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</si>
  <si>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</si>
  <si>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</si>
  <si>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</si>
  <si>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</si>
  <si>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</si>
  <si>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</si>
  <si>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</si>
  <si>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</si>
  <si>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</si>
  <si>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</si>
  <si>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</si>
  <si>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</si>
  <si>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</si>
  <si>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</si>
  <si>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</si>
  <si>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</si>
  <si>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</si>
  <si>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</si>
  <si>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</si>
  <si>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</si>
  <si>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</si>
  <si>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</si>
  <si>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</si>
  <si>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</si>
  <si>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</si>
  <si>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</si>
  <si>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</si>
  <si>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</si>
  <si>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</si>
  <si>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</si>
  <si>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</si>
  <si>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</si>
  <si>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</si>
  <si>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</si>
  <si>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</si>
  <si>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</si>
  <si>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</si>
  <si>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</si>
  <si>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</si>
  <si>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</si>
  <si>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</si>
  <si>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</si>
  <si>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</si>
  <si>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</si>
  <si>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</si>
  <si>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</si>
  <si>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</si>
  <si>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</si>
  <si>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</si>
  <si>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</si>
  <si>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</si>
  <si>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</si>
  <si>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</si>
  <si>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</si>
  <si>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</si>
  <si>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</si>
  <si>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</si>
  <si>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</si>
  <si>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</si>
  <si>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</si>
  <si>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</si>
  <si>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</si>
  <si>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</si>
  <si>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</si>
  <si>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</si>
  <si>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</si>
  <si>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</si>
  <si>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</si>
  <si>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</si>
  <si>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</si>
  <si>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</si>
  <si>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</si>
  <si>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</si>
  <si>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</si>
  <si>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</si>
  <si>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</si>
  <si>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</si>
  <si>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</si>
  <si>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</si>
  <si>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</si>
  <si>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</si>
  <si>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</si>
  <si>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</si>
  <si>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</si>
  <si>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</si>
  <si>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</si>
  <si>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</si>
  <si>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</si>
  <si>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</si>
  <si>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</si>
  <si>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</si>
  <si>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1 liter</t>
  </si>
  <si>
    <t>CBC, PC</t>
  </si>
  <si>
    <t>vial</t>
  </si>
  <si>
    <t>CEFTRIAXONE SODIUM 1G</t>
  </si>
  <si>
    <t>1 grm</t>
  </si>
  <si>
    <t>pcs</t>
  </si>
  <si>
    <t>kit</t>
  </si>
  <si>
    <t>set</t>
  </si>
  <si>
    <t>J44.1</t>
  </si>
  <si>
    <t>I25.1</t>
  </si>
  <si>
    <t>BLOOD EXTRACTION FEE</t>
  </si>
  <si>
    <t>CREATININE (CREA)</t>
  </si>
  <si>
    <t>GRAMS STAIN (GS)</t>
  </si>
  <si>
    <t>BLOOD UREA NITROGEN (BUN)</t>
  </si>
  <si>
    <t>BLOOD C/S (2 SITES)</t>
  </si>
  <si>
    <t>RANDOM BLOOD SUGAR (RBS)</t>
  </si>
  <si>
    <t>IONIZED CALCIUM (ICA)</t>
  </si>
  <si>
    <t>MG (MAGNESIUM)</t>
  </si>
  <si>
    <t>RESPIRATORY C/S (SPUTUM, ETA, NASAL, THROAT)</t>
  </si>
  <si>
    <t>LIPID PROFILE</t>
  </si>
  <si>
    <t>(D5LRS 1L) 5% DEXTROSE IN LACTATED RINGERS SOLUTION 1000ML (D5 LRS) X 12S</t>
  </si>
  <si>
    <t>AZITHROMYCIN DIHYDRATE 500MG IN CRYSTALLINE FORM</t>
  </si>
  <si>
    <t>CLOPIDOGREL 75MG IN BLISTER FOIL PACK</t>
  </si>
  <si>
    <t>D5 WATER 500ML</t>
  </si>
  <si>
    <t>ENALAPRIL 10MG</t>
  </si>
  <si>
    <t>FORMETEROL 4.5MCG + BUDESONIDE 160MCG - 120 DOSES</t>
  </si>
  <si>
    <t>HYDROCORTISONE SODIUM SUCCINATE 250MG</t>
  </si>
  <si>
    <t>METOPROLOL 50MG BLISTER/FOIL PACK</t>
  </si>
  <si>
    <t>PLAIN NSS 1L  (X 12S)</t>
  </si>
  <si>
    <t>POTASSIUM CHLORIDE 2MEQ/ML-20ML</t>
  </si>
  <si>
    <t>ROSUVASTATIN 20MG. TABS.</t>
  </si>
  <si>
    <t>SALBUTAMOL SULPHATE  1MG/ML-2.5ML</t>
  </si>
  <si>
    <t>TRANEXAMIC ACID 100MG/ML-5ML</t>
  </si>
  <si>
    <t>tablet</t>
  </si>
  <si>
    <t>bottle</t>
  </si>
  <si>
    <t>ampule</t>
  </si>
  <si>
    <t>500 mg</t>
  </si>
  <si>
    <t>75mg</t>
  </si>
  <si>
    <t>500ml</t>
  </si>
  <si>
    <t>10mg</t>
  </si>
  <si>
    <t>4.5 mcg+160mcg</t>
  </si>
  <si>
    <t>250mg</t>
  </si>
  <si>
    <t>50mg</t>
  </si>
  <si>
    <t>20ml</t>
  </si>
  <si>
    <t>20mg</t>
  </si>
  <si>
    <t>1mg/ml-2.5ml</t>
  </si>
  <si>
    <t>100MG/ML-5ML</t>
  </si>
  <si>
    <t>DISPOSABLE SYRINGE 10ML G 21, W/ NEEDLE X 100S (CPR NEEDED)</t>
  </si>
  <si>
    <t>DISPOSABLE SYRINGE 3ML G 23, W/ NEEDLE X 100S (CPR NEEDED)</t>
  </si>
  <si>
    <t>DISPOSABLE SYRINGE 50ML, BOX OF 25S (CPR NEEDED)</t>
  </si>
  <si>
    <t>DISPOSABLE SYRINGE 5ML G 23, W/ NEEDLE X 100S</t>
  </si>
  <si>
    <t>ECG PAPER, UNWAXED,  50MM X 30M GREEN NON-GLOSSY</t>
  </si>
  <si>
    <t>HEMOGLUCOTEST TEST STRIP BOX OF 50S W/ FREE GLUCOMETER MACHINE FOR EVERY PURCHASE OF 25 BOXES WITH 2 EXTRA BATTERIES FOR EVERY GLUCOMETER MACHINE (CURACHECK/KOREA)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</si>
  <si>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</si>
  <si>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IV CATHETER GAUGE 18</t>
  </si>
  <si>
    <t>IV CATHETER GAUGE 20</t>
  </si>
  <si>
    <t>IV SET W/ AIRWAY FOR IV PUSH, MICRODRIP, PEDIA</t>
  </si>
  <si>
    <t>OXYGEN NASAL CANNULA WITH THREAD CONNECTOR FOR ADULT (CURVED FLAIRED TIP)</t>
  </si>
  <si>
    <t>SUCTION CONNECTING TUBE W/ FEMALE &amp; MALE CONNECTOR F 24X210 CM (UNIVERSAL CONNECTOR 210CM, CH/FG-25) SIMPLEX/CHINA</t>
  </si>
  <si>
    <t>roll</t>
  </si>
  <si>
    <t>CHEST PA ADULT (1 VIEW)</t>
  </si>
  <si>
    <t>038237/74044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</si>
</sst>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8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20" fillId="0" borderId="0" xfId="0" applyFont="1" applyAlignment="1" applyProtection="1">
      <alignment vertical="top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1</xdr:col>
          <xdr:colOff>731520</xdr:colOff>
          <xdr:row>22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1508760</xdr:colOff>
          <xdr:row>22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1</xdr:col>
          <xdr:colOff>731520</xdr:colOff>
          <xdr:row>33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1508760</xdr:colOff>
          <xdr:row>33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47</xdr:row>
          <xdr:rowOff>22860</xdr:rowOff>
        </xdr:from>
        <xdr:to>
          <xdr:col>1</xdr:col>
          <xdr:colOff>731520</xdr:colOff>
          <xdr:row>47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47</xdr:row>
          <xdr:rowOff>22860</xdr:rowOff>
        </xdr:from>
        <xdr:to>
          <xdr:col>1</xdr:col>
          <xdr:colOff>1508760</xdr:colOff>
          <xdr:row>47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54</xdr:row>
          <xdr:rowOff>22860</xdr:rowOff>
        </xdr:from>
        <xdr:to>
          <xdr:col>1</xdr:col>
          <xdr:colOff>731520</xdr:colOff>
          <xdr:row>54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54</xdr:row>
          <xdr:rowOff>22860</xdr:rowOff>
        </xdr:from>
        <xdr:to>
          <xdr:col>1</xdr:col>
          <xdr:colOff>1508760</xdr:colOff>
          <xdr:row>54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59</xdr:row>
          <xdr:rowOff>22860</xdr:rowOff>
        </xdr:from>
        <xdr:to>
          <xdr:col>1</xdr:col>
          <xdr:colOff>731520</xdr:colOff>
          <xdr:row>59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59</xdr:row>
          <xdr:rowOff>22860</xdr:rowOff>
        </xdr:from>
        <xdr:to>
          <xdr:col>1</xdr:col>
          <xdr:colOff>1508760</xdr:colOff>
          <xdr:row>59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68</xdr:row>
          <xdr:rowOff>22860</xdr:rowOff>
        </xdr:from>
        <xdr:to>
          <xdr:col>1</xdr:col>
          <xdr:colOff>731520</xdr:colOff>
          <xdr:row>68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68</xdr:row>
          <xdr:rowOff>22860</xdr:rowOff>
        </xdr:from>
        <xdr:to>
          <xdr:col>1</xdr:col>
          <xdr:colOff>1508760</xdr:colOff>
          <xdr:row>68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762000</xdr:colOff>
          <xdr:row>33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33</xdr:row>
          <xdr:rowOff>30480</xdr:rowOff>
        </xdr:from>
        <xdr:to>
          <xdr:col>1</xdr:col>
          <xdr:colOff>1531620</xdr:colOff>
          <xdr:row>33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44</xdr:row>
          <xdr:rowOff>30480</xdr:rowOff>
        </xdr:from>
        <xdr:to>
          <xdr:col>1</xdr:col>
          <xdr:colOff>769620</xdr:colOff>
          <xdr:row>45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44</xdr:row>
          <xdr:rowOff>30480</xdr:rowOff>
        </xdr:from>
        <xdr:to>
          <xdr:col>1</xdr:col>
          <xdr:colOff>1546860</xdr:colOff>
          <xdr:row>45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zoomScaleNormal="100" workbookViewId="0">
      <selection activeCell="D25" sqref="D25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235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183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184</v>
      </c>
      <c r="D35" s="23"/>
      <c r="E35" s="55">
        <v>3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190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191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192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193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20" t="s">
        <v>19</v>
      </c>
      <c r="C47" s="121"/>
      <c r="D47" s="118"/>
      <c r="E47" s="121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116" t="s">
        <v>234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20" t="s">
        <v>44</v>
      </c>
      <c r="C52" s="121"/>
      <c r="D52" s="118"/>
      <c r="E52" s="121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45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7" t="s">
        <v>53</v>
      </c>
      <c r="C54" s="118"/>
      <c r="D54" s="118"/>
      <c r="E54" s="118"/>
      <c r="F54" s="119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7" t="s">
        <v>20</v>
      </c>
      <c r="C59" s="118"/>
      <c r="D59" s="118"/>
      <c r="E59" s="118"/>
      <c r="F59" s="119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55</v>
      </c>
      <c r="C68" s="17" t="s">
        <v>51</v>
      </c>
      <c r="D68" s="17" t="s">
        <v>56</v>
      </c>
      <c r="E68" s="18" t="s">
        <v>57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166</v>
      </c>
      <c r="D69" s="55">
        <f>5375.6-2920.7</f>
        <v>2454.9000000000005</v>
      </c>
      <c r="E69" s="55">
        <v>2920.76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167</v>
      </c>
      <c r="D70" s="55">
        <v>965.1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168</v>
      </c>
      <c r="D71" s="55">
        <v>120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169</v>
      </c>
      <c r="D72" s="55">
        <v>4960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170</v>
      </c>
      <c r="D73" s="55">
        <v>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171</v>
      </c>
      <c r="D74" s="55">
        <v>2000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172</v>
      </c>
      <c r="D75" s="55">
        <v>4500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5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15000</v>
      </c>
      <c r="E80" s="59">
        <f>SUM(E69:E79)</f>
        <v>2920.76</v>
      </c>
      <c r="F80" s="59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22</xdr:row>
                    <xdr:rowOff>22860</xdr:rowOff>
                  </from>
                  <to>
                    <xdr:col>1</xdr:col>
                    <xdr:colOff>731520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1508760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33</xdr:row>
                    <xdr:rowOff>22860</xdr:rowOff>
                  </from>
                  <to>
                    <xdr:col>1</xdr:col>
                    <xdr:colOff>731520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1508760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47</xdr:row>
                    <xdr:rowOff>22860</xdr:rowOff>
                  </from>
                  <to>
                    <xdr:col>1</xdr:col>
                    <xdr:colOff>731520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47</xdr:row>
                    <xdr:rowOff>22860</xdr:rowOff>
                  </from>
                  <to>
                    <xdr:col>1</xdr:col>
                    <xdr:colOff>1508760</xdr:colOff>
                    <xdr:row>47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54</xdr:row>
                    <xdr:rowOff>22860</xdr:rowOff>
                  </from>
                  <to>
                    <xdr:col>1</xdr:col>
                    <xdr:colOff>731520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54</xdr:row>
                    <xdr:rowOff>22860</xdr:rowOff>
                  </from>
                  <to>
                    <xdr:col>1</xdr:col>
                    <xdr:colOff>1508760</xdr:colOff>
                    <xdr:row>54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59</xdr:row>
                    <xdr:rowOff>22860</xdr:rowOff>
                  </from>
                  <to>
                    <xdr:col>1</xdr:col>
                    <xdr:colOff>731520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59</xdr:row>
                    <xdr:rowOff>22860</xdr:rowOff>
                  </from>
                  <to>
                    <xdr:col>1</xdr:col>
                    <xdr:colOff>1508760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68</xdr:row>
                    <xdr:rowOff>22860</xdr:rowOff>
                  </from>
                  <to>
                    <xdr:col>1</xdr:col>
                    <xdr:colOff>731520</xdr:colOff>
                    <xdr:row>68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68</xdr:row>
                    <xdr:rowOff>22860</xdr:rowOff>
                  </from>
                  <to>
                    <xdr:col>1</xdr:col>
                    <xdr:colOff>1508760</xdr:colOff>
                    <xdr:row>68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B27" workbookViewId="0">
      <selection activeCell="H25" sqref="H25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42" x14ac:dyDescent="0.3">
      <c r="B11" s="42">
        <v>1</v>
      </c>
      <c r="C11" s="69" t="s">
        <v>194</v>
      </c>
      <c r="D11" s="27" t="s">
        <v>173</v>
      </c>
      <c r="E11" s="27" t="s">
        <v>174</v>
      </c>
      <c r="F11" s="55">
        <v>2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28.2" x14ac:dyDescent="0.3">
      <c r="B12" s="42">
        <v>2</v>
      </c>
      <c r="C12" s="27" t="s">
        <v>195</v>
      </c>
      <c r="D12" s="27" t="s">
        <v>176</v>
      </c>
      <c r="E12" s="27" t="s">
        <v>210</v>
      </c>
      <c r="F12" s="55">
        <v>3</v>
      </c>
      <c r="G12" s="55">
        <v>1</v>
      </c>
      <c r="H12" s="55">
        <v>2</v>
      </c>
      <c r="I12" s="55">
        <v>144.66999999999999</v>
      </c>
      <c r="J12" s="55">
        <f t="shared" ref="J12:J24" si="0">H12*I12</f>
        <v>289.33999999999997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4.4" x14ac:dyDescent="0.3">
      <c r="B13" s="42">
        <v>3</v>
      </c>
      <c r="C13" s="27" t="s">
        <v>177</v>
      </c>
      <c r="D13" s="27" t="s">
        <v>176</v>
      </c>
      <c r="E13" s="27" t="s">
        <v>178</v>
      </c>
      <c r="F13" s="55">
        <v>11</v>
      </c>
      <c r="G13" s="55">
        <v>3</v>
      </c>
      <c r="H13" s="55">
        <v>4</v>
      </c>
      <c r="I13" s="55">
        <v>20.149999999999999</v>
      </c>
      <c r="J13" s="55">
        <f t="shared" si="0"/>
        <v>80.599999999999994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8.2" x14ac:dyDescent="0.3">
      <c r="B14" s="42">
        <v>4</v>
      </c>
      <c r="C14" s="27" t="s">
        <v>196</v>
      </c>
      <c r="D14" s="27" t="s">
        <v>207</v>
      </c>
      <c r="E14" s="27" t="s">
        <v>211</v>
      </c>
      <c r="F14" s="55">
        <v>5</v>
      </c>
      <c r="G14" s="55">
        <v>1</v>
      </c>
      <c r="H14" s="55">
        <v>2</v>
      </c>
      <c r="I14" s="55">
        <v>1.71</v>
      </c>
      <c r="J14" s="55">
        <f t="shared" si="0"/>
        <v>3.42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4.4" x14ac:dyDescent="0.3">
      <c r="B15" s="42">
        <v>5</v>
      </c>
      <c r="C15" s="27" t="s">
        <v>197</v>
      </c>
      <c r="D15" s="27" t="s">
        <v>173</v>
      </c>
      <c r="E15" s="27" t="s">
        <v>212</v>
      </c>
      <c r="F15" s="55">
        <v>3</v>
      </c>
      <c r="G15" s="55">
        <v>1</v>
      </c>
      <c r="H15" s="55">
        <v>3</v>
      </c>
      <c r="I15" s="55">
        <v>55.85</v>
      </c>
      <c r="J15" s="55">
        <f t="shared" si="0"/>
        <v>167.55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4.4" x14ac:dyDescent="0.3">
      <c r="B16" s="42">
        <v>6</v>
      </c>
      <c r="C16" s="27" t="s">
        <v>198</v>
      </c>
      <c r="D16" s="27" t="s">
        <v>207</v>
      </c>
      <c r="E16" s="27" t="s">
        <v>213</v>
      </c>
      <c r="F16" s="55">
        <v>3</v>
      </c>
      <c r="G16" s="55">
        <v>1</v>
      </c>
      <c r="H16" s="55">
        <v>3</v>
      </c>
      <c r="I16" s="55">
        <v>4.67</v>
      </c>
      <c r="J16" s="55">
        <f t="shared" si="0"/>
        <v>14.01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28.2" x14ac:dyDescent="0.3">
      <c r="B17" s="42">
        <v>7</v>
      </c>
      <c r="C17" s="27" t="s">
        <v>199</v>
      </c>
      <c r="D17" s="27" t="s">
        <v>207</v>
      </c>
      <c r="E17" s="27" t="s">
        <v>214</v>
      </c>
      <c r="F17" s="55">
        <v>3</v>
      </c>
      <c r="G17" s="55">
        <v>1</v>
      </c>
      <c r="H17" s="55">
        <v>3</v>
      </c>
      <c r="I17" s="55">
        <v>1269.9100000000001</v>
      </c>
      <c r="J17" s="55">
        <f t="shared" si="0"/>
        <v>3809.7300000000005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28.2" x14ac:dyDescent="0.3">
      <c r="B18" s="42">
        <v>8</v>
      </c>
      <c r="C18" s="27" t="s">
        <v>200</v>
      </c>
      <c r="D18" s="27" t="s">
        <v>176</v>
      </c>
      <c r="E18" s="27" t="s">
        <v>215</v>
      </c>
      <c r="F18" s="55">
        <v>4</v>
      </c>
      <c r="G18" s="55">
        <v>1</v>
      </c>
      <c r="H18" s="55">
        <v>3</v>
      </c>
      <c r="I18" s="55">
        <v>71.12</v>
      </c>
      <c r="J18" s="55">
        <f t="shared" si="0"/>
        <v>213.36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201</v>
      </c>
      <c r="D19" s="27" t="s">
        <v>207</v>
      </c>
      <c r="E19" s="27" t="s">
        <v>216</v>
      </c>
      <c r="F19" s="55">
        <v>7</v>
      </c>
      <c r="G19" s="55">
        <v>2</v>
      </c>
      <c r="H19" s="55">
        <v>3</v>
      </c>
      <c r="I19" s="55">
        <v>2</v>
      </c>
      <c r="J19" s="55">
        <f t="shared" si="0"/>
        <v>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4.4" x14ac:dyDescent="0.3">
      <c r="B20" s="42">
        <v>10</v>
      </c>
      <c r="C20" s="27" t="s">
        <v>202</v>
      </c>
      <c r="D20" s="27" t="s">
        <v>173</v>
      </c>
      <c r="E20" s="27" t="s">
        <v>174</v>
      </c>
      <c r="F20" s="55">
        <v>3</v>
      </c>
      <c r="G20" s="55">
        <v>1</v>
      </c>
      <c r="H20" s="55">
        <v>3</v>
      </c>
      <c r="I20" s="55">
        <v>50.67</v>
      </c>
      <c r="J20" s="55">
        <f t="shared" si="0"/>
        <v>152.01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28.2" x14ac:dyDescent="0.3">
      <c r="B21" s="42">
        <v>11</v>
      </c>
      <c r="C21" s="27" t="s">
        <v>203</v>
      </c>
      <c r="D21" s="27" t="s">
        <v>208</v>
      </c>
      <c r="E21" s="27" t="s">
        <v>217</v>
      </c>
      <c r="F21" s="55">
        <v>1</v>
      </c>
      <c r="G21" s="55">
        <v>1</v>
      </c>
      <c r="H21" s="55">
        <v>1</v>
      </c>
      <c r="I21" s="55">
        <v>28.55</v>
      </c>
      <c r="J21" s="55">
        <f t="shared" si="0"/>
        <v>28.55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204</v>
      </c>
      <c r="D22" s="27" t="s">
        <v>207</v>
      </c>
      <c r="E22" s="27" t="s">
        <v>218</v>
      </c>
      <c r="F22" s="55">
        <v>2</v>
      </c>
      <c r="G22" s="55">
        <v>1</v>
      </c>
      <c r="H22" s="55">
        <v>1</v>
      </c>
      <c r="I22" s="55">
        <v>14.72</v>
      </c>
      <c r="J22" s="55">
        <f t="shared" si="0"/>
        <v>14.72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28.2" x14ac:dyDescent="0.3">
      <c r="B23" s="42">
        <v>13</v>
      </c>
      <c r="C23" s="27" t="s">
        <v>205</v>
      </c>
      <c r="D23" s="27" t="s">
        <v>209</v>
      </c>
      <c r="E23" s="27" t="s">
        <v>219</v>
      </c>
      <c r="F23" s="55">
        <v>14</v>
      </c>
      <c r="G23" s="55">
        <v>4</v>
      </c>
      <c r="H23" s="55">
        <v>4</v>
      </c>
      <c r="I23" s="55">
        <v>5.64</v>
      </c>
      <c r="J23" s="55">
        <f t="shared" si="0"/>
        <v>22.56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206</v>
      </c>
      <c r="D24" s="27" t="s">
        <v>209</v>
      </c>
      <c r="E24" s="27" t="s">
        <v>220</v>
      </c>
      <c r="F24" s="55">
        <v>2</v>
      </c>
      <c r="G24" s="55">
        <v>1</v>
      </c>
      <c r="H24" s="55">
        <v>2</v>
      </c>
      <c r="I24" s="55">
        <v>17.03</v>
      </c>
      <c r="J24" s="55">
        <f t="shared" si="0"/>
        <v>34.06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4.4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25" workbookViewId="0">
      <selection activeCell="D27" sqref="D27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221</v>
      </c>
      <c r="D16" s="70" t="s">
        <v>179</v>
      </c>
      <c r="E16" s="55">
        <v>20</v>
      </c>
      <c r="F16" s="55">
        <v>2.77</v>
      </c>
      <c r="G16" s="55">
        <f>+E16*F16</f>
        <v>55.4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28.2" x14ac:dyDescent="0.3">
      <c r="B17" s="68">
        <v>2</v>
      </c>
      <c r="C17" s="69" t="s">
        <v>222</v>
      </c>
      <c r="D17" s="70" t="s">
        <v>179</v>
      </c>
      <c r="E17" s="55">
        <v>10</v>
      </c>
      <c r="F17" s="55">
        <v>1.6</v>
      </c>
      <c r="G17" s="55">
        <f t="shared" ref="G17:G27" si="0">+E17*F17</f>
        <v>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4" x14ac:dyDescent="0.3">
      <c r="B18" s="68">
        <v>3</v>
      </c>
      <c r="C18" s="69" t="s">
        <v>223</v>
      </c>
      <c r="D18" s="70" t="s">
        <v>179</v>
      </c>
      <c r="E18" s="55">
        <v>1</v>
      </c>
      <c r="F18" s="55">
        <v>11.09</v>
      </c>
      <c r="G18" s="55">
        <f t="shared" si="0"/>
        <v>11.09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224</v>
      </c>
      <c r="D19" s="70" t="s">
        <v>179</v>
      </c>
      <c r="E19" s="55">
        <v>10</v>
      </c>
      <c r="F19" s="55">
        <v>5</v>
      </c>
      <c r="G19" s="55">
        <f t="shared" si="0"/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225</v>
      </c>
      <c r="D20" s="70" t="s">
        <v>233</v>
      </c>
      <c r="E20" s="55">
        <v>4</v>
      </c>
      <c r="F20" s="55">
        <v>100</v>
      </c>
      <c r="G20" s="55">
        <f t="shared" si="0"/>
        <v>400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226</v>
      </c>
      <c r="D21" s="70" t="s">
        <v>179</v>
      </c>
      <c r="E21" s="55">
        <v>5</v>
      </c>
      <c r="F21" s="55">
        <v>20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83.4" x14ac:dyDescent="0.3">
      <c r="B22" s="68">
        <v>7</v>
      </c>
      <c r="C22" s="69" t="s">
        <v>227</v>
      </c>
      <c r="D22" s="70" t="s">
        <v>180</v>
      </c>
      <c r="E22" s="55">
        <v>1</v>
      </c>
      <c r="F22" s="55">
        <v>105.33</v>
      </c>
      <c r="G22" s="55">
        <f t="shared" si="0"/>
        <v>105.33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 t="s">
        <v>228</v>
      </c>
      <c r="D23" s="70" t="s">
        <v>179</v>
      </c>
      <c r="E23" s="55">
        <v>2</v>
      </c>
      <c r="F23" s="55">
        <v>13.33</v>
      </c>
      <c r="G23" s="55">
        <f t="shared" si="0"/>
        <v>26.66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229</v>
      </c>
      <c r="D24" s="70" t="s">
        <v>179</v>
      </c>
      <c r="E24" s="55">
        <v>2</v>
      </c>
      <c r="F24" s="55">
        <v>13.33</v>
      </c>
      <c r="G24" s="55">
        <f t="shared" si="0"/>
        <v>26.66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230</v>
      </c>
      <c r="D25" s="70" t="s">
        <v>181</v>
      </c>
      <c r="E25" s="55">
        <v>3</v>
      </c>
      <c r="F25" s="55">
        <v>20.440000000000001</v>
      </c>
      <c r="G25" s="55">
        <f t="shared" si="0"/>
        <v>61.320000000000007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28.2" x14ac:dyDescent="0.3">
      <c r="B26" s="68">
        <v>11</v>
      </c>
      <c r="C26" s="69" t="s">
        <v>231</v>
      </c>
      <c r="D26" s="70" t="s">
        <v>180</v>
      </c>
      <c r="E26" s="55">
        <v>1</v>
      </c>
      <c r="F26" s="55">
        <v>15.44</v>
      </c>
      <c r="G26" s="55">
        <f t="shared" si="0"/>
        <v>15.44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232</v>
      </c>
      <c r="D27" s="70" t="s">
        <v>181</v>
      </c>
      <c r="E27" s="55">
        <v>1</v>
      </c>
      <c r="F27" s="55">
        <v>98</v>
      </c>
      <c r="G27" s="55">
        <f t="shared" si="0"/>
        <v>98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8" t="s">
        <v>76</v>
      </c>
      <c r="C33" s="139"/>
      <c r="D33" s="139"/>
      <c r="E33" s="139"/>
      <c r="F33" s="139"/>
      <c r="G33" s="140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8" t="s">
        <v>29</v>
      </c>
      <c r="C44" s="139"/>
      <c r="D44" s="139"/>
      <c r="E44" s="139"/>
      <c r="F44" s="139"/>
      <c r="G44" s="140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762000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33</xdr:row>
                    <xdr:rowOff>30480</xdr:rowOff>
                  </from>
                  <to>
                    <xdr:col>1</xdr:col>
                    <xdr:colOff>1531620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44</xdr:row>
                    <xdr:rowOff>30480</xdr:rowOff>
                  </from>
                  <to>
                    <xdr:col>1</xdr:col>
                    <xdr:colOff>769620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44</xdr:row>
                    <xdr:rowOff>30480</xdr:rowOff>
                  </from>
                  <to>
                    <xdr:col>1</xdr:col>
                    <xdr:colOff>1546860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9" sqref="E19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2018-06-04T10:40:01Z</dcterms:modified>
</cp:coreProperties>
</file>