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PHIC-ECLAIMS 4\Desktop\Case Cost Data Collection Form\05302018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Supplies_Medical'!$C$15:$C$54</definedName>
    <definedName name="Drugs">'1.2 Drugs&amp;Med'!$C$11:$C$13</definedName>
    <definedName name="_xlnm.Print_Area" localSheetId="0">'1.1 Case data_general'!$B$1:$F$71</definedName>
    <definedName name="_xlnm.Print_Area" localSheetId="1">'1.2 Drugs&amp;Med'!$B$2:$J$20</definedName>
  </definedNames>
  <calcPr calcId="162913"/>
</workbook>
</file>

<file path=xl/calcChain.xml><?xml version="1.0" encoding="utf-8"?>
<calcChain xmlns="http://schemas.openxmlformats.org/spreadsheetml/2006/main">
  <c r="G32" i="9" l="1"/>
  <c r="J19" i="2"/>
  <c r="J18" i="2"/>
  <c r="J17" i="2"/>
  <c r="J16" i="2"/>
  <c r="J15" i="2"/>
  <c r="G31" i="9" l="1"/>
  <c r="G30" i="9"/>
  <c r="G29" i="9"/>
  <c r="G28" i="9"/>
  <c r="G27" i="9"/>
  <c r="G26" i="9"/>
  <c r="G25" i="9"/>
  <c r="G24" i="9"/>
  <c r="G23" i="9"/>
  <c r="G22" i="9"/>
  <c r="G21" i="9"/>
  <c r="G20" i="9"/>
  <c r="G19" i="9"/>
  <c r="G18" i="9"/>
  <c r="G17" i="9"/>
  <c r="G16" i="9"/>
  <c r="J13" i="2"/>
  <c r="J14" i="2"/>
  <c r="J12" i="2" l="1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<sst xmlns="http://schemas.openxmlformats.org/spreadsheetml/2006/main" count="530" uniqueCount="225">
  <si>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</si>
  <si>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</si>
  <si>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</si>
  <si>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</si>
  <si>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</si>
  <si>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</si>
  <si>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</si>
  <si>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</si>
  <si>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</si>
  <si>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</si>
  <si>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</si>
  <si>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</si>
  <si>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</si>
  <si>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</si>
  <si>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</si>
  <si>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</si>
  <si>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</si>
  <si>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</si>
  <si>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</si>
  <si>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</si>
  <si>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</si>
  <si>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</si>
  <si>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</si>
  <si>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</si>
  <si>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</si>
  <si>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</si>
  <si>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</si>
  <si>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</si>
  <si>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</si>
  <si>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</si>
  <si>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</si>
  <si>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</si>
  <si>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</si>
  <si>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</si>
  <si>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</si>
  <si>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</si>
  <si>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</si>
  <si>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</si>
  <si>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</si>
  <si>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</si>
  <si>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</si>
  <si>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</si>
  <si>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</si>
  <si>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</si>
  <si>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</si>
  <si>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</si>
  <si>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</si>
  <si>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</si>
  <si>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</si>
  <si>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</si>
  <si>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</si>
  <si>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</si>
  <si>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</si>
  <si>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</si>
  <si>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</si>
  <si>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</si>
  <si>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</si>
  <si>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</si>
  <si>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</si>
  <si>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</si>
  <si>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</si>
  <si>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</si>
  <si>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</si>
  <si>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</si>
  <si>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</si>
  <si>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</si>
  <si>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</si>
  <si>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</si>
  <si>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</si>
  <si>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</si>
  <si>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</si>
  <si>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</si>
  <si>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</si>
  <si>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</si>
  <si>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</si>
  <si>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</si>
  <si>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</si>
  <si>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</si>
  <si>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</si>
  <si>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</si>
  <si>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</si>
  <si>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</si>
  <si>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</si>
  <si>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</si>
  <si>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</si>
  <si>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</si>
  <si>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</si>
  <si>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</si>
  <si>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</si>
  <si>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</si>
  <si>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</si>
  <si>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</si>
  <si>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</si>
  <si>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</si>
  <si>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</si>
  <si>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</si>
  <si>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</si>
  <si>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</si>
  <si>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</si>
  <si>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</si>
  <si>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</si>
  <si>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</si>
  <si>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</si>
  <si>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</si>
  <si>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</si>
  <si>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</si>
  <si>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</si>
  <si>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</si>
  <si>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</si>
  <si>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</si>
  <si>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</si>
  <si>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</si>
  <si>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</si>
  <si>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</si>
  <si>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</si>
  <si>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</si>
  <si>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</si>
  <si>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</si>
  <si>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</si>
  <si>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</si>
  <si>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</si>
  <si>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</si>
  <si>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</si>
  <si>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</si>
  <si>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</si>
  <si>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</si>
  <si>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</si>
  <si>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</si>
  <si>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</si>
  <si>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</si>
  <si>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</si>
  <si>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</si>
  <si>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</si>
  <si>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</si>
  <si>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</si>
  <si>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</si>
  <si>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</si>
  <si>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</si>
  <si>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</si>
  <si>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</si>
  <si>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</si>
  <si>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</si>
  <si>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</si>
  <si>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</si>
  <si>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</si>
  <si>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</si>
  <si>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</si>
  <si>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</si>
  <si>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</si>
  <si>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</si>
  <si>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</si>
  <si>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</si>
  <si>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</si>
  <si>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</si>
  <si>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</si>
  <si>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</si>
  <si>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</si>
  <si>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</si>
  <si>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</si>
  <si>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</si>
  <si>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</si>
  <si>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</si>
  <si>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</si>
  <si>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J18.92</t>
  </si>
  <si>
    <t>MEDICINES</t>
  </si>
  <si>
    <t>SUPPLIES</t>
  </si>
  <si>
    <t>XRAY</t>
  </si>
  <si>
    <t>LABORATORY</t>
  </si>
  <si>
    <t>ROOM AND ACCOMMODATION</t>
  </si>
  <si>
    <t>PROFESSIONAL FEE</t>
  </si>
  <si>
    <t>CBC, PC</t>
  </si>
  <si>
    <t>BLOOD EXTRACTION FEE</t>
  </si>
  <si>
    <t>tablet</t>
  </si>
  <si>
    <t>piece</t>
  </si>
  <si>
    <t>vial</t>
  </si>
  <si>
    <t>CAP MR</t>
  </si>
  <si>
    <t>bottle</t>
  </si>
  <si>
    <t>STERILLE COTTON</t>
  </si>
  <si>
    <t>pack</t>
  </si>
  <si>
    <t>NA (SODIUM)</t>
  </si>
  <si>
    <t>CREATININE (CREA)</t>
  </si>
  <si>
    <t>K (POTASSIUM)</t>
  </si>
  <si>
    <t>QUANTITATIVE TROPONIN I</t>
  </si>
  <si>
    <t>BLOOD UREA NITROGEN (BUN)</t>
  </si>
  <si>
    <t>RANDOM BLOOD SUGAR (RBS)</t>
  </si>
  <si>
    <t>IONIZED CALCIUM (ICA)</t>
  </si>
  <si>
    <t>CKMB</t>
  </si>
  <si>
    <t>MG (MAGNESIUM)</t>
  </si>
  <si>
    <t>BLOOD C/S (2 SITES)</t>
  </si>
  <si>
    <t>RESPIRATORY C/S (SPUTUM, ETA, NASAL, THROAT)</t>
  </si>
  <si>
    <t>CHEST AP ADULT</t>
  </si>
  <si>
    <t>360923/30189203</t>
  </si>
  <si>
    <t>(SAFETY FILTER)   BLOOD ADMINISTRATION SET W/ FILTER</t>
  </si>
  <si>
    <t>ACETYLCYSTEINE IN BLISTER FOIL PACK</t>
  </si>
  <si>
    <t xml:space="preserve"> 600MG</t>
  </si>
  <si>
    <t xml:space="preserve">CLARITHROMYCIN </t>
  </si>
  <si>
    <t>PLAIN NSS</t>
  </si>
  <si>
    <t>1L</t>
  </si>
  <si>
    <t xml:space="preserve">(PLAIN LRS 1L) LACTATED RINGER''''S SOLUTION </t>
  </si>
  <si>
    <t xml:space="preserve">1000ML </t>
  </si>
  <si>
    <t xml:space="preserve">CEFTRIAXONE SODIUM </t>
  </si>
  <si>
    <t>1G</t>
  </si>
  <si>
    <t>LACTATED RINGER''''''''''''''''S SOLUTION  (PLAIN LRS 500ML)</t>
  </si>
  <si>
    <t>500ML</t>
  </si>
  <si>
    <t>CLARITHROMYCIN</t>
  </si>
  <si>
    <t xml:space="preserve"> 500MG</t>
  </si>
  <si>
    <t>500MG</t>
  </si>
  <si>
    <t>IV SET W/ AIRWAY FOR IV PUSH, VACOSET/MACRODRIP, ADULT</t>
  </si>
  <si>
    <t>IV SET W/ AIRWAY FOR IV PUSH, MICRODRIP, PEDIA</t>
  </si>
  <si>
    <t>GAUZE SPONGE 4"X4", 8 PLY, 28X24 MESH, UNSTERILE,  W/O BLUE DETECTOR, PACK OF 100S (OS 4X4) (CPR NEEDED)</t>
  </si>
  <si>
    <t>SURGICAL COTTON THREAD 2/0, 18" X 10 STRANDS</t>
  </si>
  <si>
    <t>FOLEY CATHETER FR 14, 2 WAY, BOX OF 20</t>
  </si>
  <si>
    <t>ECG PAPER, UNWAXED, 80MM X 20M GREEN OR RED, NON-GLOSSY</t>
  </si>
  <si>
    <t>LUBRICANT JELLY 5G/SACHET, BOX OF 100''''''''''''''''S, STERIL AND BACTERIOLISTIC (STERILE)</t>
  </si>
  <si>
    <t>MONITORING CHEST ELECTRODES, DISPOSABLE</t>
  </si>
  <si>
    <t>TRIPLE LUMEN, IV CONNECTOR TUBING WITH CLOSED, NEEDLE FREE, SELF-SEALING IV ACCESS (SPLIT SEPTUM)</t>
  </si>
  <si>
    <t>OXYGEN NASAL CANNULA WITH THREAD CONNECTOR FOR ADULT (CURVED FLAIRED TIP)</t>
  </si>
  <si>
    <t>OXYGEN NASAL CANNULA WITH THREAD CONNECTOR FOR PEDIA (CURVED FLAIRED TIP)</t>
  </si>
  <si>
    <t>DISPOSABLE SYRINGE 1ML G 25, W/ NEEDLE X 100S (CPR NEEDED)</t>
  </si>
  <si>
    <t>DISPOSABLE SYRINGE 3ML G 23, W/ NEEDLE X 100S (CPR NEEDED)</t>
  </si>
  <si>
    <t>DISPOSABLE SYRINGE 5ML G 23, W/ NEEDLE X 100S</t>
  </si>
  <si>
    <t>DISPOSABLE SYRINGE 10ML G 21, W/ NEEDLE X 100S (CPR NEEDED)</t>
  </si>
  <si>
    <t>HEMOGLUCOTEST TEST STRIP BOX OF 50S W/ FREE GLUCOMETER MACHINE FOR EVERY PURCHASE OF 25 BOXES WITH 2 EXTRA BATTERIES FOR EVERY GLUCOMETER MACHINE (CURACHECK/KOREA)</t>
  </si>
  <si>
    <t xml:space="preserve">SODIUM CHLORIDE  ( PLAIN NSS ) </t>
  </si>
  <si>
    <t xml:space="preserve"> 500ML 0.9%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</si>
</sst>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20</xdr:row>
          <xdr:rowOff>19050</xdr:rowOff>
        </xdr:from>
        <xdr:to>
          <xdr:col>1</xdr:col>
          <xdr:colOff>733425</xdr:colOff>
          <xdr:row>20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20</xdr:row>
          <xdr:rowOff>19050</xdr:rowOff>
        </xdr:from>
        <xdr:to>
          <xdr:col>1</xdr:col>
          <xdr:colOff>1504950</xdr:colOff>
          <xdr:row>20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31</xdr:row>
          <xdr:rowOff>19050</xdr:rowOff>
        </xdr:from>
        <xdr:to>
          <xdr:col>1</xdr:col>
          <xdr:colOff>733425</xdr:colOff>
          <xdr:row>31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31</xdr:row>
          <xdr:rowOff>19050</xdr:rowOff>
        </xdr:from>
        <xdr:to>
          <xdr:col>1</xdr:col>
          <xdr:colOff>1504950</xdr:colOff>
          <xdr:row>31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49</xdr:row>
          <xdr:rowOff>19050</xdr:rowOff>
        </xdr:from>
        <xdr:to>
          <xdr:col>1</xdr:col>
          <xdr:colOff>733425</xdr:colOff>
          <xdr:row>49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49</xdr:row>
          <xdr:rowOff>19050</xdr:rowOff>
        </xdr:from>
        <xdr:to>
          <xdr:col>1</xdr:col>
          <xdr:colOff>1504950</xdr:colOff>
          <xdr:row>49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54</xdr:row>
          <xdr:rowOff>19050</xdr:rowOff>
        </xdr:from>
        <xdr:to>
          <xdr:col>1</xdr:col>
          <xdr:colOff>733425</xdr:colOff>
          <xdr:row>54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54</xdr:row>
          <xdr:rowOff>19050</xdr:rowOff>
        </xdr:from>
        <xdr:to>
          <xdr:col>1</xdr:col>
          <xdr:colOff>1504950</xdr:colOff>
          <xdr:row>54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63</xdr:row>
          <xdr:rowOff>19050</xdr:rowOff>
        </xdr:from>
        <xdr:to>
          <xdr:col>1</xdr:col>
          <xdr:colOff>733425</xdr:colOff>
          <xdr:row>63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63</xdr:row>
          <xdr:rowOff>19050</xdr:rowOff>
        </xdr:from>
        <xdr:to>
          <xdr:col>1</xdr:col>
          <xdr:colOff>1504950</xdr:colOff>
          <xdr:row>63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33</xdr:row>
          <xdr:rowOff>28575</xdr:rowOff>
        </xdr:from>
        <xdr:to>
          <xdr:col>1</xdr:col>
          <xdr:colOff>762000</xdr:colOff>
          <xdr:row>33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33</xdr:row>
          <xdr:rowOff>28575</xdr:rowOff>
        </xdr:from>
        <xdr:to>
          <xdr:col>1</xdr:col>
          <xdr:colOff>1533525</xdr:colOff>
          <xdr:row>33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44</xdr:row>
          <xdr:rowOff>28575</xdr:rowOff>
        </xdr:from>
        <xdr:to>
          <xdr:col>1</xdr:col>
          <xdr:colOff>771525</xdr:colOff>
          <xdr:row>44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44</xdr:row>
          <xdr:rowOff>28575</xdr:rowOff>
        </xdr:from>
        <xdr:to>
          <xdr:col>1</xdr:col>
          <xdr:colOff>1543050</xdr:colOff>
          <xdr:row>44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abSelected="1" zoomScaleNormal="100" workbookViewId="0">
      <selection activeCell="D69" sqref="D69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175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1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13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1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6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59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60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191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163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thickBot="1" x14ac:dyDescent="0.35">
      <c r="A20" s="1"/>
      <c r="B20" s="116" t="s">
        <v>51</v>
      </c>
      <c r="C20" s="117"/>
      <c r="D20" s="117"/>
      <c r="E20" s="117"/>
      <c r="F20" s="118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26">
        <v>1</v>
      </c>
      <c r="C21" s="27"/>
      <c r="D21" s="29"/>
      <c r="E21" s="55"/>
      <c r="F21" s="55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x14ac:dyDescent="0.3">
      <c r="A22" s="1"/>
      <c r="B22" s="26">
        <v>2</v>
      </c>
      <c r="C22" s="27"/>
      <c r="D22" s="29"/>
      <c r="E22" s="55"/>
      <c r="F22" s="55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3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4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5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thickBot="1" x14ac:dyDescent="0.35">
      <c r="A26" s="1"/>
      <c r="B26" s="119" t="s">
        <v>42</v>
      </c>
      <c r="C26" s="120"/>
      <c r="D26" s="120"/>
      <c r="E26" s="120"/>
      <c r="F26" s="130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110" t="s">
        <v>158</v>
      </c>
      <c r="C27" s="113" t="s">
        <v>162</v>
      </c>
      <c r="D27" s="13"/>
      <c r="E27" s="13"/>
      <c r="F27" s="13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x14ac:dyDescent="0.3">
      <c r="A28" s="1"/>
      <c r="B28" s="110" t="s">
        <v>159</v>
      </c>
      <c r="C28" s="114" t="s">
        <v>123</v>
      </c>
      <c r="D28" s="13"/>
      <c r="E28" s="13"/>
      <c r="F28" s="1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4" t="s">
        <v>160</v>
      </c>
      <c r="C29" s="114" t="s">
        <v>138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5" t="s">
        <v>17</v>
      </c>
      <c r="C30" s="7"/>
      <c r="D30" s="7"/>
      <c r="E30" s="56">
        <v>3</v>
      </c>
      <c r="F30" s="7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thickBot="1" x14ac:dyDescent="0.35">
      <c r="A31" s="1"/>
      <c r="B31" s="116" t="s">
        <v>18</v>
      </c>
      <c r="C31" s="117"/>
      <c r="D31" s="117"/>
      <c r="E31" s="117"/>
      <c r="F31" s="118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30">
        <v>1</v>
      </c>
      <c r="C32" s="31" t="s">
        <v>179</v>
      </c>
      <c r="D32" s="23"/>
      <c r="E32" s="57">
        <v>1</v>
      </c>
      <c r="F32" s="24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26">
        <v>2</v>
      </c>
      <c r="C33" s="27" t="s">
        <v>180</v>
      </c>
      <c r="D33" s="23"/>
      <c r="E33" s="55">
        <v>2</v>
      </c>
      <c r="F33" s="24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6">
        <v>3</v>
      </c>
      <c r="C34" s="27" t="s">
        <v>181</v>
      </c>
      <c r="D34" s="23"/>
      <c r="E34" s="55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4</v>
      </c>
      <c r="C35" s="27" t="s">
        <v>182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5</v>
      </c>
      <c r="C36" s="27" t="s">
        <v>183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6</v>
      </c>
      <c r="C37" s="27" t="s">
        <v>184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7</v>
      </c>
      <c r="C38" s="27" t="s">
        <v>185</v>
      </c>
      <c r="D38" s="23"/>
      <c r="E38" s="55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8</v>
      </c>
      <c r="C39" s="27" t="s">
        <v>186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9</v>
      </c>
      <c r="C40" s="27" t="s">
        <v>170</v>
      </c>
      <c r="D40" s="23"/>
      <c r="E40" s="55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10</v>
      </c>
      <c r="C41" s="27" t="s">
        <v>187</v>
      </c>
      <c r="D41" s="23"/>
      <c r="E41" s="55">
        <v>1</v>
      </c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11</v>
      </c>
      <c r="C42" s="27" t="s">
        <v>171</v>
      </c>
      <c r="D42" s="23"/>
      <c r="E42" s="55">
        <v>2</v>
      </c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12</v>
      </c>
      <c r="C43" s="27" t="s">
        <v>188</v>
      </c>
      <c r="D43" s="23"/>
      <c r="E43" s="55">
        <v>1</v>
      </c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13</v>
      </c>
      <c r="C44" s="27" t="s">
        <v>189</v>
      </c>
      <c r="D44" s="23"/>
      <c r="E44" s="55">
        <v>1</v>
      </c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9" t="s">
        <v>19</v>
      </c>
      <c r="C45" s="120"/>
      <c r="D45" s="117"/>
      <c r="E45" s="120"/>
      <c r="F45" s="118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6">
        <v>1</v>
      </c>
      <c r="C46" s="27" t="s">
        <v>190</v>
      </c>
      <c r="D46" s="23"/>
      <c r="E46" s="55">
        <v>1</v>
      </c>
      <c r="F46" s="24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9" t="s">
        <v>43</v>
      </c>
      <c r="C47" s="120"/>
      <c r="D47" s="117"/>
      <c r="E47" s="120"/>
      <c r="F47" s="118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14" t="s">
        <v>44</v>
      </c>
      <c r="C48" s="13"/>
      <c r="D48" s="13"/>
      <c r="E48" s="16"/>
      <c r="F48" s="13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thickBot="1" x14ac:dyDescent="0.35">
      <c r="A49" s="1"/>
      <c r="B49" s="116" t="s">
        <v>52</v>
      </c>
      <c r="C49" s="117"/>
      <c r="D49" s="117"/>
      <c r="E49" s="117"/>
      <c r="F49" s="118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1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30">
        <v>2</v>
      </c>
      <c r="C51" s="31"/>
      <c r="D51" s="32"/>
      <c r="E51" s="57"/>
      <c r="F51" s="57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3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20"/>
      <c r="B53" s="26">
        <v>4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thickBot="1" x14ac:dyDescent="0.35">
      <c r="A54" s="1"/>
      <c r="B54" s="116" t="s">
        <v>20</v>
      </c>
      <c r="C54" s="117"/>
      <c r="D54" s="117"/>
      <c r="E54" s="117"/>
      <c r="F54" s="118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1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2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3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4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5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6">
        <v>6</v>
      </c>
      <c r="C60" s="27"/>
      <c r="D60" s="28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25"/>
      <c r="C61" s="25"/>
      <c r="D61" s="25"/>
      <c r="E61" s="25"/>
      <c r="F61" s="2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57.75" customHeight="1" thickBot="1" x14ac:dyDescent="0.35">
      <c r="A63" s="1"/>
      <c r="B63" s="17" t="s">
        <v>54</v>
      </c>
      <c r="C63" s="17" t="s">
        <v>50</v>
      </c>
      <c r="D63" s="17" t="s">
        <v>55</v>
      </c>
      <c r="E63" s="18" t="s">
        <v>56</v>
      </c>
      <c r="F63" s="19" t="s">
        <v>21</v>
      </c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2">
        <v>1</v>
      </c>
      <c r="C64" s="27" t="s">
        <v>164</v>
      </c>
      <c r="D64" s="55">
        <v>516.28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2</v>
      </c>
      <c r="C65" s="27" t="s">
        <v>165</v>
      </c>
      <c r="D65" s="55">
        <v>1608.7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3</v>
      </c>
      <c r="C66" s="27" t="s">
        <v>166</v>
      </c>
      <c r="D66" s="55">
        <v>120</v>
      </c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4</v>
      </c>
      <c r="C67" s="27" t="s">
        <v>167</v>
      </c>
      <c r="D67" s="55">
        <v>6130</v>
      </c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5</v>
      </c>
      <c r="C68" s="27" t="s">
        <v>168</v>
      </c>
      <c r="D68" s="55">
        <v>1000</v>
      </c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6</v>
      </c>
      <c r="C69" s="27" t="s">
        <v>169</v>
      </c>
      <c r="D69" s="55">
        <v>4500</v>
      </c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SUM(D64:D70)</f>
        <v>13874.98</v>
      </c>
      <c r="E71" s="59">
        <f>SUM(E64:E70)</f>
        <v>0</v>
      </c>
      <c r="F71" s="59">
        <f>SUM(F64:F70)</f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formatColumns="0" formatRows="0" sort="0" autoFilter="0"/>
  <mergeCells count="12">
    <mergeCell ref="B54:F54"/>
    <mergeCell ref="B47:F47"/>
    <mergeCell ref="B12:F12"/>
    <mergeCell ref="B13:F13"/>
    <mergeCell ref="B14:F14"/>
    <mergeCell ref="B15:F15"/>
    <mergeCell ref="B18:F18"/>
    <mergeCell ref="B20:F20"/>
    <mergeCell ref="B31:F31"/>
    <mergeCell ref="B26:F26"/>
    <mergeCell ref="B45:F45"/>
    <mergeCell ref="B49:F49"/>
  </mergeCells>
  <dataValidations count="1">
    <dataValidation type="decimal" operator="greaterThanOrEqual" allowBlank="1" showInputMessage="1" showErrorMessage="1" sqref="E30 E46 E48 E21:F25 E50:F53 E55:F60 D64:F69 E32:E44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2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20</xdr:row>
                    <xdr:rowOff>19050</xdr:rowOff>
                  </from>
                  <to>
                    <xdr:col>1</xdr:col>
                    <xdr:colOff>733425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20</xdr:row>
                    <xdr:rowOff>19050</xdr:rowOff>
                  </from>
                  <to>
                    <xdr:col>1</xdr:col>
                    <xdr:colOff>1504950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31</xdr:row>
                    <xdr:rowOff>19050</xdr:rowOff>
                  </from>
                  <to>
                    <xdr:col>1</xdr:col>
                    <xdr:colOff>733425</xdr:colOff>
                    <xdr:row>31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31</xdr:row>
                    <xdr:rowOff>19050</xdr:rowOff>
                  </from>
                  <to>
                    <xdr:col>1</xdr:col>
                    <xdr:colOff>1504950</xdr:colOff>
                    <xdr:row>31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49</xdr:row>
                    <xdr:rowOff>19050</xdr:rowOff>
                  </from>
                  <to>
                    <xdr:col>1</xdr:col>
                    <xdr:colOff>733425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49</xdr:row>
                    <xdr:rowOff>19050</xdr:rowOff>
                  </from>
                  <to>
                    <xdr:col>1</xdr:col>
                    <xdr:colOff>1504950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54</xdr:row>
                    <xdr:rowOff>19050</xdr:rowOff>
                  </from>
                  <to>
                    <xdr:col>1</xdr:col>
                    <xdr:colOff>733425</xdr:colOff>
                    <xdr:row>54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54</xdr:row>
                    <xdr:rowOff>19050</xdr:rowOff>
                  </from>
                  <to>
                    <xdr:col>1</xdr:col>
                    <xdr:colOff>1504950</xdr:colOff>
                    <xdr:row>54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63</xdr:row>
                    <xdr:rowOff>19050</xdr:rowOff>
                  </from>
                  <to>
                    <xdr:col>1</xdr:col>
                    <xdr:colOff>733425</xdr:colOff>
                    <xdr:row>63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63</xdr:row>
                    <xdr:rowOff>19050</xdr:rowOff>
                  </from>
                  <to>
                    <xdr:col>1</xdr:col>
                    <xdr:colOff>1504950</xdr:colOff>
                    <xdr:row>63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C29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C28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0"/>
  <sheetViews>
    <sheetView workbookViewId="0">
      <selection activeCell="E14" sqref="E14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CAP MR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9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63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33" x14ac:dyDescent="0.3">
      <c r="B11" s="42">
        <v>1</v>
      </c>
      <c r="C11" s="27" t="s">
        <v>193</v>
      </c>
      <c r="D11" s="27" t="s">
        <v>172</v>
      </c>
      <c r="E11" s="27" t="s">
        <v>194</v>
      </c>
      <c r="F11" s="55">
        <v>1</v>
      </c>
      <c r="G11" s="55">
        <v>2</v>
      </c>
      <c r="H11" s="55">
        <v>2</v>
      </c>
      <c r="I11" s="55">
        <v>23</v>
      </c>
      <c r="J11" s="55">
        <f>H11*I11</f>
        <v>46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6.5" x14ac:dyDescent="0.3">
      <c r="B12" s="42">
        <v>2</v>
      </c>
      <c r="C12" s="27" t="s">
        <v>195</v>
      </c>
      <c r="D12" s="27" t="s">
        <v>172</v>
      </c>
      <c r="E12" s="27" t="s">
        <v>206</v>
      </c>
      <c r="F12" s="55">
        <v>1</v>
      </c>
      <c r="G12" s="55">
        <v>2</v>
      </c>
      <c r="H12" s="55">
        <v>2</v>
      </c>
      <c r="I12" s="55">
        <v>16.48</v>
      </c>
      <c r="J12" s="55">
        <f t="shared" ref="J12:J19" si="0">H12*I12</f>
        <v>32.96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6.5" x14ac:dyDescent="0.3">
      <c r="B13" s="42">
        <v>3</v>
      </c>
      <c r="C13" s="27" t="s">
        <v>196</v>
      </c>
      <c r="D13" s="27" t="s">
        <v>176</v>
      </c>
      <c r="E13" s="27" t="s">
        <v>197</v>
      </c>
      <c r="F13" s="55">
        <v>1</v>
      </c>
      <c r="G13" s="55">
        <v>2</v>
      </c>
      <c r="H13" s="55">
        <v>2</v>
      </c>
      <c r="I13" s="55">
        <v>50.67</v>
      </c>
      <c r="J13" s="55">
        <f t="shared" si="0"/>
        <v>101.34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6.5" x14ac:dyDescent="0.3">
      <c r="B14" s="42">
        <v>4</v>
      </c>
      <c r="C14" s="27" t="s">
        <v>223</v>
      </c>
      <c r="D14" s="27" t="s">
        <v>176</v>
      </c>
      <c r="E14" s="27" t="s">
        <v>224</v>
      </c>
      <c r="F14" s="55">
        <v>1</v>
      </c>
      <c r="G14" s="55">
        <v>1</v>
      </c>
      <c r="H14" s="55">
        <v>1</v>
      </c>
      <c r="I14" s="55">
        <v>57.05</v>
      </c>
      <c r="J14" s="55">
        <f t="shared" si="0"/>
        <v>57.05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33" x14ac:dyDescent="0.3">
      <c r="B15" s="42">
        <v>5</v>
      </c>
      <c r="C15" s="27" t="s">
        <v>198</v>
      </c>
      <c r="D15" s="27" t="s">
        <v>176</v>
      </c>
      <c r="E15" s="27" t="s">
        <v>199</v>
      </c>
      <c r="F15" s="55">
        <v>1</v>
      </c>
      <c r="G15" s="55">
        <v>1</v>
      </c>
      <c r="H15" s="55">
        <v>1</v>
      </c>
      <c r="I15" s="55">
        <v>49.33</v>
      </c>
      <c r="J15" s="55">
        <f t="shared" si="0"/>
        <v>49.33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33" x14ac:dyDescent="0.3">
      <c r="B16" s="42">
        <v>6</v>
      </c>
      <c r="C16" s="27" t="s">
        <v>192</v>
      </c>
      <c r="D16" s="27" t="s">
        <v>173</v>
      </c>
      <c r="E16" s="27"/>
      <c r="F16" s="55">
        <v>1</v>
      </c>
      <c r="G16" s="55">
        <v>2</v>
      </c>
      <c r="H16" s="55">
        <v>3</v>
      </c>
      <c r="I16" s="55">
        <v>20</v>
      </c>
      <c r="J16" s="55">
        <f t="shared" si="0"/>
        <v>60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6.5" x14ac:dyDescent="0.3">
      <c r="B17" s="42">
        <v>7</v>
      </c>
      <c r="C17" s="27" t="s">
        <v>200</v>
      </c>
      <c r="D17" s="27" t="s">
        <v>174</v>
      </c>
      <c r="E17" s="27" t="s">
        <v>201</v>
      </c>
      <c r="F17" s="55">
        <v>2</v>
      </c>
      <c r="G17" s="55">
        <v>2</v>
      </c>
      <c r="H17" s="55">
        <v>4</v>
      </c>
      <c r="I17" s="55">
        <v>20.149999999999999</v>
      </c>
      <c r="J17" s="55">
        <f t="shared" si="0"/>
        <v>80.599999999999994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33" x14ac:dyDescent="0.3">
      <c r="B18" s="42">
        <v>8</v>
      </c>
      <c r="C18" s="27" t="s">
        <v>202</v>
      </c>
      <c r="D18" s="27" t="s">
        <v>176</v>
      </c>
      <c r="E18" s="27" t="s">
        <v>203</v>
      </c>
      <c r="F18" s="55">
        <v>1</v>
      </c>
      <c r="G18" s="55">
        <v>1</v>
      </c>
      <c r="H18" s="55">
        <v>1</v>
      </c>
      <c r="I18" s="55">
        <v>57</v>
      </c>
      <c r="J18" s="55">
        <f t="shared" si="0"/>
        <v>57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6.5" x14ac:dyDescent="0.3">
      <c r="B19" s="42">
        <v>9</v>
      </c>
      <c r="C19" s="27" t="s">
        <v>204</v>
      </c>
      <c r="D19" s="27" t="s">
        <v>172</v>
      </c>
      <c r="E19" s="27" t="s">
        <v>205</v>
      </c>
      <c r="F19" s="55">
        <v>1</v>
      </c>
      <c r="G19" s="55">
        <v>2</v>
      </c>
      <c r="H19" s="55">
        <v>2</v>
      </c>
      <c r="I19" s="55">
        <v>16</v>
      </c>
      <c r="J19" s="55">
        <f t="shared" si="0"/>
        <v>32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25">
      <c r="A20" s="33"/>
      <c r="B20" s="34"/>
      <c r="C20" s="34"/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</row>
    <row r="21" spans="1:20" ht="15.75" customHeight="1" x14ac:dyDescent="0.25"/>
    <row r="22" spans="1:20" ht="15.75" customHeight="1" x14ac:dyDescent="0.25"/>
    <row r="23" spans="1:20" ht="15.75" customHeight="1" x14ac:dyDescent="0.25"/>
    <row r="24" spans="1:20" ht="15.75" customHeight="1" x14ac:dyDescent="0.25"/>
    <row r="25" spans="1:20" ht="15.75" customHeight="1" x14ac:dyDescent="0.25"/>
    <row r="26" spans="1:20" ht="15.75" customHeight="1" x14ac:dyDescent="0.25"/>
    <row r="27" spans="1:20" ht="15.75" customHeight="1" x14ac:dyDescent="0.25"/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</sheetData>
  <sheetProtection algorithmName="SHA-512" hashValue="lPwiZEfoOMoVnEzPYowPmqiN01UE3BZIlVmEoEBeqNxY197x99rDGYMSSv7OiGk1W0zkHXZGscCoAYbxMXo1Vg==" saltValue="RPzZfjM6KK1guSx+1OEd/Q==" spinCount="100000" sheet="1" objects="1" scenarios="1" formatColumns="0" formatRows="0" sort="0" autoFilter="0"/>
  <mergeCells count="1">
    <mergeCell ref="B8:J8"/>
  </mergeCells>
  <dataValidations disablePrompts="1" count="1">
    <dataValidation type="decimal" operator="greaterThanOrEqual" allowBlank="1" showInputMessage="1" showErrorMessage="1" sqref="F11:J19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8"/>
  <sheetViews>
    <sheetView workbookViewId="0">
      <selection activeCell="D26" sqref="D26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CAP MR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17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68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71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207</v>
      </c>
      <c r="D16" s="70" t="s">
        <v>173</v>
      </c>
      <c r="E16" s="55">
        <v>3</v>
      </c>
      <c r="F16" s="55">
        <v>14</v>
      </c>
      <c r="G16" s="55">
        <f>+E16*F16</f>
        <v>42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208</v>
      </c>
      <c r="D17" s="70" t="s">
        <v>173</v>
      </c>
      <c r="E17" s="55">
        <v>3</v>
      </c>
      <c r="F17" s="55">
        <v>20.440000000000001</v>
      </c>
      <c r="G17" s="55">
        <f t="shared" ref="G17:G32" si="0">+E17*F17</f>
        <v>61.320000000000007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209</v>
      </c>
      <c r="D18" s="70" t="s">
        <v>173</v>
      </c>
      <c r="E18" s="55">
        <v>15</v>
      </c>
      <c r="F18" s="55">
        <v>1.51</v>
      </c>
      <c r="G18" s="55">
        <f t="shared" si="0"/>
        <v>22.65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210</v>
      </c>
      <c r="D19" s="70" t="s">
        <v>173</v>
      </c>
      <c r="E19" s="55">
        <v>1</v>
      </c>
      <c r="F19" s="55">
        <v>70.67</v>
      </c>
      <c r="G19" s="55">
        <f t="shared" si="0"/>
        <v>70.67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177</v>
      </c>
      <c r="D20" s="70" t="s">
        <v>178</v>
      </c>
      <c r="E20" s="55">
        <v>5</v>
      </c>
      <c r="F20" s="55">
        <v>15</v>
      </c>
      <c r="G20" s="55">
        <f t="shared" si="0"/>
        <v>75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211</v>
      </c>
      <c r="D21" s="70" t="s">
        <v>173</v>
      </c>
      <c r="E21" s="55">
        <v>2</v>
      </c>
      <c r="F21" s="55">
        <v>22</v>
      </c>
      <c r="G21" s="55">
        <f t="shared" si="0"/>
        <v>44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212</v>
      </c>
      <c r="D22" s="70" t="s">
        <v>173</v>
      </c>
      <c r="E22" s="55">
        <v>1</v>
      </c>
      <c r="F22" s="55">
        <v>111.6</v>
      </c>
      <c r="G22" s="55">
        <f t="shared" si="0"/>
        <v>111.6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213</v>
      </c>
      <c r="D23" s="70" t="s">
        <v>173</v>
      </c>
      <c r="E23" s="55">
        <v>5</v>
      </c>
      <c r="F23" s="55">
        <v>10</v>
      </c>
      <c r="G23" s="55">
        <f t="shared" si="0"/>
        <v>50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214</v>
      </c>
      <c r="D24" s="70" t="s">
        <v>173</v>
      </c>
      <c r="E24" s="55">
        <v>10</v>
      </c>
      <c r="F24" s="55">
        <v>30</v>
      </c>
      <c r="G24" s="55">
        <f t="shared" si="0"/>
        <v>300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 t="s">
        <v>215</v>
      </c>
      <c r="D25" s="70" t="s">
        <v>173</v>
      </c>
      <c r="E25" s="55">
        <v>2</v>
      </c>
      <c r="F25" s="55">
        <v>342</v>
      </c>
      <c r="G25" s="55">
        <f t="shared" si="0"/>
        <v>684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 t="s">
        <v>216</v>
      </c>
      <c r="D26" s="70" t="s">
        <v>173</v>
      </c>
      <c r="E26" s="55">
        <v>1</v>
      </c>
      <c r="F26" s="55">
        <v>15.44</v>
      </c>
      <c r="G26" s="55">
        <f t="shared" si="0"/>
        <v>15.44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12</v>
      </c>
      <c r="C27" s="69" t="s">
        <v>217</v>
      </c>
      <c r="D27" s="70" t="s">
        <v>173</v>
      </c>
      <c r="E27" s="55">
        <v>1</v>
      </c>
      <c r="F27" s="55">
        <v>16</v>
      </c>
      <c r="G27" s="55">
        <f t="shared" si="0"/>
        <v>16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13</v>
      </c>
      <c r="C28" s="69" t="s">
        <v>218</v>
      </c>
      <c r="D28" s="70" t="s">
        <v>173</v>
      </c>
      <c r="E28" s="55">
        <v>4</v>
      </c>
      <c r="F28" s="55">
        <v>1.6</v>
      </c>
      <c r="G28" s="55">
        <f t="shared" si="0"/>
        <v>6.4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14</v>
      </c>
      <c r="C29" s="69" t="s">
        <v>219</v>
      </c>
      <c r="D29" s="70" t="s">
        <v>173</v>
      </c>
      <c r="E29" s="55">
        <v>5</v>
      </c>
      <c r="F29" s="55">
        <v>1.6</v>
      </c>
      <c r="G29" s="55">
        <f t="shared" si="0"/>
        <v>8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15</v>
      </c>
      <c r="C30" s="69" t="s">
        <v>220</v>
      </c>
      <c r="D30" s="70" t="s">
        <v>173</v>
      </c>
      <c r="E30" s="55">
        <v>5</v>
      </c>
      <c r="F30" s="55">
        <v>5</v>
      </c>
      <c r="G30" s="55">
        <f t="shared" si="0"/>
        <v>25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16</v>
      </c>
      <c r="C31" s="69" t="s">
        <v>221</v>
      </c>
      <c r="D31" s="70" t="s">
        <v>173</v>
      </c>
      <c r="E31" s="55">
        <v>6</v>
      </c>
      <c r="F31" s="55">
        <v>2.77</v>
      </c>
      <c r="G31" s="55">
        <f t="shared" si="0"/>
        <v>16.62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17</v>
      </c>
      <c r="C32" s="69" t="s">
        <v>222</v>
      </c>
      <c r="D32" s="70" t="s">
        <v>173</v>
      </c>
      <c r="E32" s="55">
        <v>3</v>
      </c>
      <c r="F32" s="55">
        <v>20</v>
      </c>
      <c r="G32" s="55">
        <f t="shared" si="0"/>
        <v>60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137" t="s">
        <v>75</v>
      </c>
      <c r="C33" s="138"/>
      <c r="D33" s="138"/>
      <c r="E33" s="138"/>
      <c r="F33" s="138"/>
      <c r="G33" s="139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1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2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3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4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5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6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7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8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9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10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137" t="s">
        <v>29</v>
      </c>
      <c r="C44" s="138"/>
      <c r="D44" s="138"/>
      <c r="E44" s="138"/>
      <c r="F44" s="138"/>
      <c r="G44" s="139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2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3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4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5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6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7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8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B53" s="68">
        <v>9</v>
      </c>
      <c r="C53" s="69"/>
      <c r="D53" s="70"/>
      <c r="E53" s="55"/>
      <c r="F53" s="55"/>
      <c r="G53" s="55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B54" s="68">
        <v>10</v>
      </c>
      <c r="C54" s="69"/>
      <c r="D54" s="70"/>
      <c r="E54" s="55"/>
      <c r="F54" s="55"/>
      <c r="G54" s="55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4.25" customHeight="1" x14ac:dyDescent="0.3">
      <c r="A55" s="44"/>
      <c r="B55" s="39"/>
      <c r="C55" s="44"/>
      <c r="D55" s="39"/>
      <c r="E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</row>
    <row r="56" spans="1:16" ht="14.25" customHeight="1" x14ac:dyDescent="0.3">
      <c r="A56" s="44"/>
      <c r="B56" s="39"/>
      <c r="C56" s="44"/>
      <c r="D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</row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</sheetData>
  <sheetProtection algorithmName="SHA-512" hashValue="PMI1sJC15gglANluam933LL0f8IlE5QpLRylPbNT/Z7nPd6kbt7LvV3dzUSiQ0zc2lVMeuB63OwqgF38SIwNJA==" saltValue="GXA000AQFCVlHyhZR+VgNg==" spinCount="100000" sheet="1" objects="1" scenarios="1" formatColumns="0" formatRows="0" sort="0" autoFilter="0"/>
  <mergeCells count="9">
    <mergeCell ref="B7:G7"/>
    <mergeCell ref="B33:G33"/>
    <mergeCell ref="B44:G44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54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33</xdr:row>
                    <xdr:rowOff>28575</xdr:rowOff>
                  </from>
                  <to>
                    <xdr:col>1</xdr:col>
                    <xdr:colOff>762000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33</xdr:row>
                    <xdr:rowOff>28575</xdr:rowOff>
                  </from>
                  <to>
                    <xdr:col>1</xdr:col>
                    <xdr:colOff>1533525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44</xdr:row>
                    <xdr:rowOff>28575</xdr:rowOff>
                  </from>
                  <to>
                    <xdr:col>1</xdr:col>
                    <xdr:colOff>771525</xdr:colOff>
                    <xdr:row>44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44</xdr:row>
                    <xdr:rowOff>28575</xdr:rowOff>
                  </from>
                  <to>
                    <xdr:col>1</xdr:col>
                    <xdr:colOff>1543050</xdr:colOff>
                    <xdr:row>44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5" workbookViewId="0">
      <selection activeCell="H28" sqref="H28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CAP MR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32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data_general'!$C$27</f>
        <v>Level II and III</v>
      </c>
      <c r="G1" s="112" t="str">
        <f>'1.1 Case data_general'!$C$28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PHIC-ECLAIMS 4</cp:lastModifiedBy>
  <dcterms:created xsi:type="dcterms:W3CDTF">2018-05-11T08:46:15Z</dcterms:created>
  <dcterms:modified xsi:type="dcterms:W3CDTF">2018-06-01T01:23:53Z</dcterms:modified>
</cp:coreProperties>
</file>