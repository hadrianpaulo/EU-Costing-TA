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HIC-ECLAIMS 4\Desktop\Case Cost Data Collection Form\0530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Supplies_Medical'!$C$15:$C$53</definedName>
    <definedName name="Drugs">'1.2 Drugs&amp;Med'!$C$11:$C$13</definedName>
    <definedName name="_xlnm.Print_Area" localSheetId="0">'1.1 Case data_general'!$B$1:$F$69</definedName>
    <definedName name="_xlnm.Print_Area" localSheetId="1">'1.2 Drugs&amp;Med'!$B$2:$J$19</definedName>
  </definedNames>
  <calcPr calcId="162913"/>
</workbook>
</file>

<file path=xl/calcChain.xml><?xml version="1.0" encoding="utf-8"?>
<calcChain xmlns="http://schemas.openxmlformats.org/spreadsheetml/2006/main">
  <c r="J18" i="2" l="1"/>
  <c r="J17" i="2"/>
  <c r="J16" i="2"/>
  <c r="J15" i="2"/>
  <c r="G31" i="9" l="1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J13" i="2"/>
  <c r="J14" i="2"/>
  <c r="J12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<sst xmlns="http://schemas.openxmlformats.org/spreadsheetml/2006/main" count="524" uniqueCount="220">
  <si>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</si>
  <si>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</si>
  <si>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</si>
  <si>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</si>
  <si>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</si>
  <si>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</si>
  <si>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</si>
  <si>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</si>
  <si>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</si>
  <si>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</si>
  <si>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</si>
  <si>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</si>
  <si>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</si>
  <si>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</si>
  <si>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</si>
  <si>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</si>
  <si>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</si>
  <si>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</si>
  <si>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</si>
  <si>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</si>
  <si>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</si>
  <si>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</si>
  <si>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</si>
  <si>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</si>
  <si>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</si>
  <si>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</si>
  <si>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</si>
  <si>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</si>
  <si>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</si>
  <si>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</si>
  <si>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</si>
  <si>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</si>
  <si>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</si>
  <si>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</si>
  <si>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</si>
  <si>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</si>
  <si>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</si>
  <si>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</si>
  <si>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</si>
  <si>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</si>
  <si>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</si>
  <si>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</si>
  <si>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</si>
  <si>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</si>
  <si>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</si>
  <si>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</si>
  <si>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</si>
  <si>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</si>
  <si>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</si>
  <si>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</si>
  <si>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</si>
  <si>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</si>
  <si>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</si>
  <si>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</si>
  <si>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</si>
  <si>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</si>
  <si>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</si>
  <si>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</si>
  <si>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</si>
  <si>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</si>
  <si>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</si>
  <si>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</si>
  <si>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</si>
  <si>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</si>
  <si>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</si>
  <si>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</si>
  <si>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</si>
  <si>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</si>
  <si>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</si>
  <si>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</si>
  <si>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</si>
  <si>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</si>
  <si>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</si>
  <si>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</si>
  <si>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</si>
  <si>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</si>
  <si>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</si>
  <si>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</si>
  <si>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</si>
  <si>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</si>
  <si>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</si>
  <si>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</si>
  <si>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</si>
  <si>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</si>
  <si>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</si>
  <si>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</si>
  <si>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</si>
  <si>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</si>
  <si>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</si>
  <si>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</si>
  <si>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</si>
  <si>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</si>
  <si>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</si>
  <si>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</si>
  <si>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</si>
  <si>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</si>
  <si>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</si>
  <si>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</si>
  <si>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</si>
  <si>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</si>
  <si>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</si>
  <si>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</si>
  <si>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</si>
  <si>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</si>
  <si>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</si>
  <si>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</si>
  <si>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</si>
  <si>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</si>
  <si>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</si>
  <si>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</si>
  <si>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</si>
  <si>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</si>
  <si>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</si>
  <si>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</si>
  <si>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</si>
  <si>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</si>
  <si>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</si>
  <si>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</si>
  <si>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</si>
  <si>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</si>
  <si>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</si>
  <si>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</si>
  <si>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</si>
  <si>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</si>
  <si>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</si>
  <si>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</si>
  <si>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</si>
  <si>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</si>
  <si>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</si>
  <si>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</si>
  <si>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</si>
  <si>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</si>
  <si>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</si>
  <si>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</si>
  <si>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</si>
  <si>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</si>
  <si>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</si>
  <si>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</si>
  <si>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</si>
  <si>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</si>
  <si>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</si>
  <si>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</si>
  <si>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</si>
  <si>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</si>
  <si>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</si>
  <si>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</si>
  <si>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</si>
  <si>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</si>
  <si>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</si>
  <si>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</si>
  <si>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</si>
  <si>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</si>
  <si>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</si>
  <si>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</si>
  <si>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</si>
  <si>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</si>
  <si>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</si>
  <si>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</si>
  <si>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</si>
  <si>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</si>
  <si>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</si>
  <si>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</si>
  <si>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</si>
  <si>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J18.92</t>
  </si>
  <si>
    <t>MEDICINES</t>
  </si>
  <si>
    <t>SUPPLIES</t>
  </si>
  <si>
    <t>XRAY</t>
  </si>
  <si>
    <t>LABORATORY</t>
  </si>
  <si>
    <t>ROOM AND ACCOMMODATION</t>
  </si>
  <si>
    <t>PROFESSIONAL FEE</t>
  </si>
  <si>
    <t>CBC, PC</t>
  </si>
  <si>
    <t>BLOOD EXTRACTION FEE</t>
  </si>
  <si>
    <t>tablet</t>
  </si>
  <si>
    <t>piece</t>
  </si>
  <si>
    <t>vial</t>
  </si>
  <si>
    <t>CAP MR</t>
  </si>
  <si>
    <t>bottle</t>
  </si>
  <si>
    <t>STERILLE COTTON</t>
  </si>
  <si>
    <t>pack</t>
  </si>
  <si>
    <t>NA (SODIUM)</t>
  </si>
  <si>
    <t>K (POTASSIUM)</t>
  </si>
  <si>
    <t xml:space="preserve">1000ML </t>
  </si>
  <si>
    <t xml:space="preserve">CEFTRIAXONE SODIUM </t>
  </si>
  <si>
    <t>1G</t>
  </si>
  <si>
    <t>326294/74092</t>
  </si>
  <si>
    <t>A09.9</t>
  </si>
  <si>
    <t>E86.1</t>
  </si>
  <si>
    <t>(D5 0.3 NACL 500 ML) 5% DEXTROSE IN 0.3% SODIUM CHLORIDE 500ML (D5 0.3 NACL 500ML) X 24S</t>
  </si>
  <si>
    <t>(MICROSET) IV INFUSION SET PEDIA</t>
  </si>
  <si>
    <t>(D5 IMB 500ML) D5% BAL. MULTIPLE MAINTENANCE SOLN 500ML</t>
  </si>
  <si>
    <t>DISPOSABLE SYRINGE 1ML G 25 W/ NEEDLE X 100S</t>
  </si>
  <si>
    <t>DISPOSABLE SYRINGE 3ML G 23 W/ NEEDLE X 100S</t>
  </si>
  <si>
    <t>DISPOSABLE SYRINGE 5ML G 23 W/ NEEDLE X 100S</t>
  </si>
  <si>
    <t>DISPOSABLE SYRINGE 10ML G 21, W/ NEEDLE X 100S</t>
  </si>
  <si>
    <t>DISPOSABLE SYRINGE 50ML, BOX OF 25S</t>
  </si>
  <si>
    <t>IV CATHETER GAUGE 24</t>
  </si>
  <si>
    <t>IV CATHETER GAUGE 22</t>
  </si>
  <si>
    <t>IV SET FOR PEDIA W/ BURETTE FOR DOSIFICATION VENTS W/ FILTER, SOLUSET</t>
  </si>
  <si>
    <t>INDIVIDUAL IV KIT CONTENTS: 2 STERILE OS 2X2X2, 1 ALCOHOL PREP PAD ( 70% ISOPROPYL ALCOHOL, SIZE 1-1/4 X 1-1/2 INCHES), 1 POVIDONE-IODINE 10% PREP PAD, 1 TRANSPARENT FILM DRESSING, 1 ROLL ADHESIVE PLASTER, 1 TORNIQUET, 1 IV SITE TAG, BOX OF 25''''''''''''''''''''''''''''''''S/ BD IV START PAK/ USA</t>
  </si>
  <si>
    <t>IV CATHETER GAUGE 26</t>
  </si>
  <si>
    <t>NEBULIZER KIT WITH FACE MASK (PEDIA)</t>
  </si>
  <si>
    <t>PRE-FILLED OXYGEN HUMIDIFIER, STERILE WATER 340ML W/ FITTED ADOPTER</t>
  </si>
  <si>
    <t>set</t>
  </si>
  <si>
    <t>kit</t>
  </si>
  <si>
    <t>GAUZE SPONGE 4"X4", 8 PLY 28X24 MESH, UNSTERILE, W/O BLUE DETECTOR, (OS 4X4) (CPR NEEDED)</t>
  </si>
  <si>
    <t>DISPOSABLE INSULIN SYRINGE 1CC G 30 0.3 X 8MM ( SHORT NEEDLE ULTRAFINE)</t>
  </si>
  <si>
    <t>D5 IMB 500ML</t>
  </si>
  <si>
    <t>D5 0.3 NACL 500 ML D5 0.3 NACL 500ML</t>
  </si>
  <si>
    <t>(PLAIN LRS 1L) LACTATED RINGER''''S SOLUTION  (PLAIN LRS 1L)</t>
  </si>
  <si>
    <t>1000ML</t>
  </si>
  <si>
    <t xml:space="preserve">PARACETAMOL (ACETAMINOPHEN) </t>
  </si>
  <si>
    <t>300MG-2ML</t>
  </si>
  <si>
    <t>(PLAIN LRS 1L) LACTATED RINGER''''S SOLUTION (PLAIN LRS 1L) X 12S</t>
  </si>
  <si>
    <t>DIPHENHYDRAMINE HCL  (IM,IV)</t>
  </si>
  <si>
    <t xml:space="preserve"> 50MG/ 1ML</t>
  </si>
  <si>
    <t>BLOOD C/S</t>
  </si>
  <si>
    <t>CL (CHLORIDE)</t>
  </si>
  <si>
    <t>FECALYSIS</t>
  </si>
  <si>
    <t>URINALYSIS (UA)</t>
  </si>
  <si>
    <t>Chest APL PEDIA (2 views)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</si>
</sst>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32</xdr:row>
          <xdr:rowOff>28575</xdr:rowOff>
        </xdr:from>
        <xdr:to>
          <xdr:col>1</xdr:col>
          <xdr:colOff>762000</xdr:colOff>
          <xdr:row>32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32</xdr:row>
          <xdr:rowOff>28575</xdr:rowOff>
        </xdr:from>
        <xdr:to>
          <xdr:col>1</xdr:col>
          <xdr:colOff>1533525</xdr:colOff>
          <xdr:row>32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43</xdr:row>
          <xdr:rowOff>28575</xdr:rowOff>
        </xdr:from>
        <xdr:to>
          <xdr:col>1</xdr:col>
          <xdr:colOff>771525</xdr:colOff>
          <xdr:row>43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43</xdr:row>
          <xdr:rowOff>28575</xdr:rowOff>
        </xdr:from>
        <xdr:to>
          <xdr:col>1</xdr:col>
          <xdr:colOff>1543050</xdr:colOff>
          <xdr:row>43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abSelected="1" zoomScaleNormal="100" workbookViewId="0">
      <selection activeCell="B22" sqref="B22:F2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175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184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185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186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215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180</v>
      </c>
      <c r="D36" s="23"/>
      <c r="E36" s="55">
        <v>2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216</v>
      </c>
      <c r="D37" s="23"/>
      <c r="E37" s="55">
        <v>2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170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217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218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171</v>
      </c>
      <c r="D41" s="23"/>
      <c r="E41" s="55">
        <v>2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179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9" t="s">
        <v>19</v>
      </c>
      <c r="C43" s="120"/>
      <c r="D43" s="117"/>
      <c r="E43" s="120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</v>
      </c>
      <c r="C44" s="27" t="s">
        <v>219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9" t="s">
        <v>43</v>
      </c>
      <c r="C45" s="120"/>
      <c r="D45" s="117"/>
      <c r="E45" s="120"/>
      <c r="F45" s="118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44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6" t="s">
        <v>52</v>
      </c>
      <c r="C47" s="117"/>
      <c r="D47" s="117"/>
      <c r="E47" s="117"/>
      <c r="F47" s="118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6" t="s">
        <v>20</v>
      </c>
      <c r="C52" s="117"/>
      <c r="D52" s="117"/>
      <c r="E52" s="117"/>
      <c r="F52" s="118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54</v>
      </c>
      <c r="C61" s="17" t="s">
        <v>50</v>
      </c>
      <c r="D61" s="17" t="s">
        <v>55</v>
      </c>
      <c r="E61" s="18" t="s">
        <v>56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164</v>
      </c>
      <c r="D62" s="55">
        <v>601.26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165</v>
      </c>
      <c r="D63" s="55">
        <v>881.47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166</v>
      </c>
      <c r="D64" s="55">
        <v>190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167</v>
      </c>
      <c r="D65" s="55">
        <v>2340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 t="s">
        <v>168</v>
      </c>
      <c r="D66" s="55">
        <v>2000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 t="s">
        <v>169</v>
      </c>
      <c r="D67" s="55">
        <v>4500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SUM(D62:D68)</f>
        <v>10512.73</v>
      </c>
      <c r="E69" s="59">
        <f>SUM(E62:E68)</f>
        <v>0</v>
      </c>
      <c r="F69" s="59">
        <f>SUM(F62:F68)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algorithmName="SHA-512" hashValue="eLVeR0O2BFjspHa1lESsTtdhm/q9AyQsp+Tq+zs2oTyF/zv8EDEw+UeRdpWPW82H8L2eMI+TeATZ9Q6N9scpnQ==" saltValue="n/imAN1wYO8xbJfO12AVaw==" spinCount="100000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3:F43"/>
    <mergeCell ref="B47:F47"/>
  </mergeCells>
  <dataValidations count="1">
    <dataValidation type="decimal" operator="greaterThanOrEqual" allowBlank="1" showInputMessage="1" showErrorMessage="1" sqref="E32 E44 E46 E23:F27 E48:F51 E53:F58 D62:F67 E34:E4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9"/>
  <sheetViews>
    <sheetView workbookViewId="0">
      <selection activeCell="C14" sqref="C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MR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8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49.5" x14ac:dyDescent="0.3">
      <c r="B11" s="42">
        <v>1</v>
      </c>
      <c r="C11" s="27" t="s">
        <v>187</v>
      </c>
      <c r="D11" s="27" t="s">
        <v>176</v>
      </c>
      <c r="E11" s="27" t="s">
        <v>207</v>
      </c>
      <c r="F11" s="55">
        <v>1</v>
      </c>
      <c r="G11" s="55">
        <v>1</v>
      </c>
      <c r="H11" s="55">
        <v>1</v>
      </c>
      <c r="I11" s="55">
        <v>50.67</v>
      </c>
      <c r="J11" s="55">
        <f>H11*I11</f>
        <v>50.67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33" x14ac:dyDescent="0.3">
      <c r="B12" s="42">
        <v>2</v>
      </c>
      <c r="C12" s="27" t="s">
        <v>208</v>
      </c>
      <c r="D12" s="27" t="s">
        <v>176</v>
      </c>
      <c r="E12" s="27" t="s">
        <v>209</v>
      </c>
      <c r="F12" s="55">
        <v>1</v>
      </c>
      <c r="G12" s="55">
        <v>1</v>
      </c>
      <c r="H12" s="55">
        <v>1</v>
      </c>
      <c r="I12" s="55">
        <v>49.33</v>
      </c>
      <c r="J12" s="55">
        <f t="shared" ref="J12:J18" si="0">H12*I12</f>
        <v>49.33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6.5" x14ac:dyDescent="0.3">
      <c r="B13" s="42">
        <v>3</v>
      </c>
      <c r="C13" s="27" t="s">
        <v>210</v>
      </c>
      <c r="D13" s="27" t="s">
        <v>172</v>
      </c>
      <c r="E13" s="27" t="s">
        <v>211</v>
      </c>
      <c r="F13" s="55">
        <v>2</v>
      </c>
      <c r="G13" s="55">
        <v>3</v>
      </c>
      <c r="H13" s="55">
        <v>6</v>
      </c>
      <c r="I13" s="55">
        <v>4.57</v>
      </c>
      <c r="J13" s="55">
        <f t="shared" si="0"/>
        <v>27.42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6.5" x14ac:dyDescent="0.3">
      <c r="B14" s="42">
        <v>4</v>
      </c>
      <c r="C14" s="27" t="s">
        <v>182</v>
      </c>
      <c r="D14" s="27" t="s">
        <v>172</v>
      </c>
      <c r="E14" s="27" t="s">
        <v>183</v>
      </c>
      <c r="F14" s="55">
        <v>2</v>
      </c>
      <c r="G14" s="55">
        <v>3</v>
      </c>
      <c r="H14" s="55">
        <v>6</v>
      </c>
      <c r="I14" s="55">
        <v>20.149999999999999</v>
      </c>
      <c r="J14" s="55">
        <f t="shared" si="0"/>
        <v>120.89999999999999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6.5" x14ac:dyDescent="0.3">
      <c r="B15" s="42">
        <v>5</v>
      </c>
      <c r="C15" s="27" t="s">
        <v>188</v>
      </c>
      <c r="D15" s="27" t="s">
        <v>173</v>
      </c>
      <c r="E15" s="27" t="s">
        <v>173</v>
      </c>
      <c r="F15" s="55">
        <v>1</v>
      </c>
      <c r="G15" s="55">
        <v>1</v>
      </c>
      <c r="H15" s="55">
        <v>1</v>
      </c>
      <c r="I15" s="55">
        <v>19</v>
      </c>
      <c r="J15" s="55">
        <f t="shared" si="0"/>
        <v>19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33" x14ac:dyDescent="0.3">
      <c r="B16" s="42">
        <v>6</v>
      </c>
      <c r="C16" s="27" t="s">
        <v>212</v>
      </c>
      <c r="D16" s="27" t="s">
        <v>176</v>
      </c>
      <c r="E16" s="27" t="s">
        <v>181</v>
      </c>
      <c r="F16" s="55">
        <v>1</v>
      </c>
      <c r="G16" s="55">
        <v>2</v>
      </c>
      <c r="H16" s="55">
        <v>2</v>
      </c>
      <c r="I16" s="55">
        <v>49.33</v>
      </c>
      <c r="J16" s="55">
        <f t="shared" si="0"/>
        <v>98.66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33" x14ac:dyDescent="0.3">
      <c r="B17" s="42">
        <v>7</v>
      </c>
      <c r="C17" s="27" t="s">
        <v>189</v>
      </c>
      <c r="D17" s="27" t="s">
        <v>176</v>
      </c>
      <c r="E17" s="27" t="s">
        <v>206</v>
      </c>
      <c r="F17" s="55">
        <v>1</v>
      </c>
      <c r="G17" s="55">
        <v>2</v>
      </c>
      <c r="H17" s="55">
        <v>2</v>
      </c>
      <c r="I17" s="55">
        <v>93.33</v>
      </c>
      <c r="J17" s="55">
        <f t="shared" si="0"/>
        <v>186.66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6.5" x14ac:dyDescent="0.3">
      <c r="B18" s="42">
        <v>8</v>
      </c>
      <c r="C18" s="27" t="s">
        <v>213</v>
      </c>
      <c r="D18" s="27" t="s">
        <v>174</v>
      </c>
      <c r="E18" s="27" t="s">
        <v>214</v>
      </c>
      <c r="F18" s="55">
        <v>1</v>
      </c>
      <c r="G18" s="55">
        <v>2</v>
      </c>
      <c r="H18" s="55">
        <v>2</v>
      </c>
      <c r="I18" s="55">
        <v>24.31</v>
      </c>
      <c r="J18" s="55">
        <f t="shared" si="0"/>
        <v>48.62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25">
      <c r="A19" s="33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</row>
    <row r="20" spans="1:20" ht="15.75" customHeight="1" x14ac:dyDescent="0.25"/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</sheetData>
  <sheetProtection algorithmName="SHA-512" hashValue="S9s8WxwcfeOPznI9K7SgxIJX5a389mTX6o/ToL59BJlYLmTA1m+Pqdwas+tcPlOD6gHDIufZ/DzpCExUjg1oRA==" saltValue="4oqQUU10/EJth17f4mdJtw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8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7"/>
  <sheetViews>
    <sheetView topLeftCell="A7" workbookViewId="0">
      <selection activeCell="D18" sqref="D1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16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33" x14ac:dyDescent="0.3">
      <c r="B16" s="68">
        <v>1</v>
      </c>
      <c r="C16" s="69" t="s">
        <v>205</v>
      </c>
      <c r="D16" s="70" t="s">
        <v>173</v>
      </c>
      <c r="E16" s="55">
        <v>1</v>
      </c>
      <c r="F16" s="55">
        <v>11.73</v>
      </c>
      <c r="G16" s="55">
        <f>+E16*F16</f>
        <v>11.73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33" x14ac:dyDescent="0.3">
      <c r="B17" s="68">
        <v>2</v>
      </c>
      <c r="C17" s="69" t="s">
        <v>190</v>
      </c>
      <c r="D17" s="70" t="s">
        <v>173</v>
      </c>
      <c r="E17" s="55">
        <v>5</v>
      </c>
      <c r="F17" s="55">
        <v>1.6</v>
      </c>
      <c r="G17" s="55">
        <f t="shared" ref="G17:G31" si="0">+E17*F17</f>
        <v>8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33" x14ac:dyDescent="0.3">
      <c r="B18" s="68">
        <v>3</v>
      </c>
      <c r="C18" s="69" t="s">
        <v>191</v>
      </c>
      <c r="D18" s="70" t="s">
        <v>173</v>
      </c>
      <c r="E18" s="55">
        <v>5</v>
      </c>
      <c r="F18" s="55">
        <v>1.6</v>
      </c>
      <c r="G18" s="55">
        <f t="shared" si="0"/>
        <v>8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33" x14ac:dyDescent="0.3">
      <c r="B19" s="68">
        <v>4</v>
      </c>
      <c r="C19" s="69" t="s">
        <v>192</v>
      </c>
      <c r="D19" s="70" t="s">
        <v>173</v>
      </c>
      <c r="E19" s="55">
        <v>5</v>
      </c>
      <c r="F19" s="55">
        <v>5</v>
      </c>
      <c r="G19" s="55">
        <f t="shared" si="0"/>
        <v>25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33" x14ac:dyDescent="0.3">
      <c r="B20" s="68">
        <v>5</v>
      </c>
      <c r="C20" s="69" t="s">
        <v>193</v>
      </c>
      <c r="D20" s="70" t="s">
        <v>173</v>
      </c>
      <c r="E20" s="55">
        <v>5</v>
      </c>
      <c r="F20" s="55">
        <v>2.77</v>
      </c>
      <c r="G20" s="55">
        <f t="shared" si="0"/>
        <v>13.85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6.5" x14ac:dyDescent="0.3">
      <c r="B21" s="68">
        <v>6</v>
      </c>
      <c r="C21" s="69" t="s">
        <v>194</v>
      </c>
      <c r="D21" s="70" t="s">
        <v>173</v>
      </c>
      <c r="E21" s="55">
        <v>1</v>
      </c>
      <c r="F21" s="55">
        <v>11.09</v>
      </c>
      <c r="G21" s="55">
        <f t="shared" si="0"/>
        <v>11.09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6.5" x14ac:dyDescent="0.3">
      <c r="B22" s="68">
        <v>7</v>
      </c>
      <c r="C22" s="69" t="s">
        <v>195</v>
      </c>
      <c r="D22" s="70" t="s">
        <v>173</v>
      </c>
      <c r="E22" s="55">
        <v>1</v>
      </c>
      <c r="F22" s="55">
        <v>13.33</v>
      </c>
      <c r="G22" s="55">
        <f t="shared" si="0"/>
        <v>13.33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6.5" x14ac:dyDescent="0.3">
      <c r="B23" s="68">
        <v>8</v>
      </c>
      <c r="C23" s="69" t="s">
        <v>196</v>
      </c>
      <c r="D23" s="70" t="s">
        <v>173</v>
      </c>
      <c r="E23" s="55">
        <v>1</v>
      </c>
      <c r="F23" s="55">
        <v>13.13</v>
      </c>
      <c r="G23" s="55">
        <f t="shared" si="0"/>
        <v>13.13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33" x14ac:dyDescent="0.3">
      <c r="B24" s="68">
        <v>9</v>
      </c>
      <c r="C24" s="69" t="s">
        <v>197</v>
      </c>
      <c r="D24" s="70" t="s">
        <v>202</v>
      </c>
      <c r="E24" s="55">
        <v>1</v>
      </c>
      <c r="F24" s="55">
        <v>120</v>
      </c>
      <c r="G24" s="55">
        <f t="shared" si="0"/>
        <v>120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32" x14ac:dyDescent="0.3">
      <c r="B25" s="68">
        <v>10</v>
      </c>
      <c r="C25" s="69" t="s">
        <v>198</v>
      </c>
      <c r="D25" s="70" t="s">
        <v>203</v>
      </c>
      <c r="E25" s="55">
        <v>2</v>
      </c>
      <c r="F25" s="55">
        <v>105.33</v>
      </c>
      <c r="G25" s="55">
        <f t="shared" si="0"/>
        <v>210.66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6.5" x14ac:dyDescent="0.3">
      <c r="B26" s="68">
        <v>11</v>
      </c>
      <c r="C26" s="69" t="s">
        <v>177</v>
      </c>
      <c r="D26" s="70" t="s">
        <v>178</v>
      </c>
      <c r="E26" s="55">
        <v>10</v>
      </c>
      <c r="F26" s="55">
        <v>15</v>
      </c>
      <c r="G26" s="55">
        <f t="shared" si="0"/>
        <v>150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49.5" x14ac:dyDescent="0.3">
      <c r="B27" s="68">
        <v>12</v>
      </c>
      <c r="C27" s="69" t="s">
        <v>204</v>
      </c>
      <c r="D27" s="70" t="s">
        <v>173</v>
      </c>
      <c r="E27" s="55">
        <v>15</v>
      </c>
      <c r="F27" s="55">
        <v>1.51</v>
      </c>
      <c r="G27" s="55">
        <f t="shared" si="0"/>
        <v>22.65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6.5" x14ac:dyDescent="0.3">
      <c r="B28" s="68">
        <v>13</v>
      </c>
      <c r="C28" s="69" t="s">
        <v>195</v>
      </c>
      <c r="D28" s="70" t="s">
        <v>173</v>
      </c>
      <c r="E28" s="55">
        <v>2</v>
      </c>
      <c r="F28" s="55">
        <v>13.33</v>
      </c>
      <c r="G28" s="55">
        <f t="shared" si="0"/>
        <v>26.66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6.5" x14ac:dyDescent="0.3">
      <c r="B29" s="68">
        <v>14</v>
      </c>
      <c r="C29" s="69" t="s">
        <v>199</v>
      </c>
      <c r="D29" s="70" t="s">
        <v>173</v>
      </c>
      <c r="E29" s="55">
        <v>2</v>
      </c>
      <c r="F29" s="55">
        <v>19.84</v>
      </c>
      <c r="G29" s="55">
        <f t="shared" si="0"/>
        <v>39.68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6.5" x14ac:dyDescent="0.3">
      <c r="B30" s="68">
        <v>15</v>
      </c>
      <c r="C30" s="69" t="s">
        <v>200</v>
      </c>
      <c r="D30" s="70" t="s">
        <v>203</v>
      </c>
      <c r="E30" s="55">
        <v>1</v>
      </c>
      <c r="F30" s="55">
        <v>50.36</v>
      </c>
      <c r="G30" s="55">
        <f t="shared" si="0"/>
        <v>50.36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33" x14ac:dyDescent="0.3">
      <c r="B31" s="68">
        <v>16</v>
      </c>
      <c r="C31" s="69" t="s">
        <v>201</v>
      </c>
      <c r="D31" s="70" t="s">
        <v>176</v>
      </c>
      <c r="E31" s="55">
        <v>1</v>
      </c>
      <c r="F31" s="55">
        <v>157.33000000000001</v>
      </c>
      <c r="G31" s="55">
        <f t="shared" si="0"/>
        <v>157.33000000000001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137" t="s">
        <v>75</v>
      </c>
      <c r="C32" s="138"/>
      <c r="D32" s="138"/>
      <c r="E32" s="138"/>
      <c r="F32" s="138"/>
      <c r="G32" s="139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2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3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4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5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6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7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8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9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10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137" t="s">
        <v>29</v>
      </c>
      <c r="C43" s="138"/>
      <c r="D43" s="138"/>
      <c r="E43" s="138"/>
      <c r="F43" s="138"/>
      <c r="G43" s="139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2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3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4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5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6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7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8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9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10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DF4CnD/hkAFMgNgGbnHMXpSZOwy1PVPNhM6L15/G/eZ8RTuNCLPtTjTNOxbKcMYE9qCx/3cfJ2rUiC/6W3Tdw==" saltValue="Rvr0XW8AzMSCyputfpX4/w==" spinCount="100000" sheet="1" objects="1" scenarios="1" formatColumns="0" formatRows="0" sort="0" autoFilter="0"/>
  <mergeCells count="9">
    <mergeCell ref="B7:G7"/>
    <mergeCell ref="B32:G32"/>
    <mergeCell ref="B43:G43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3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32</xdr:row>
                    <xdr:rowOff>28575</xdr:rowOff>
                  </from>
                  <to>
                    <xdr:col>1</xdr:col>
                    <xdr:colOff>762000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32</xdr:row>
                    <xdr:rowOff>28575</xdr:rowOff>
                  </from>
                  <to>
                    <xdr:col>1</xdr:col>
                    <xdr:colOff>1533525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43</xdr:row>
                    <xdr:rowOff>28575</xdr:rowOff>
                  </from>
                  <to>
                    <xdr:col>1</xdr:col>
                    <xdr:colOff>771525</xdr:colOff>
                    <xdr:row>43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43</xdr:row>
                    <xdr:rowOff>28575</xdr:rowOff>
                  </from>
                  <to>
                    <xdr:col>1</xdr:col>
                    <xdr:colOff>1543050</xdr:colOff>
                    <xdr:row>43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H28" sqref="H2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4</cp:lastModifiedBy>
  <dcterms:created xsi:type="dcterms:W3CDTF">2018-05-11T08:46:15Z</dcterms:created>
  <dcterms:modified xsi:type="dcterms:W3CDTF">2018-06-01T02:17:12Z</dcterms:modified>
</cp:coreProperties>
</file>