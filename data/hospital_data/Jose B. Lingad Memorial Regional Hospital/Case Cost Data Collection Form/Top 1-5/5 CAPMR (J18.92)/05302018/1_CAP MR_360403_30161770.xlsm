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data_general'!$B$1:$F$81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D73" i="1" l="1"/>
  <c r="G28" i="9"/>
  <c r="G29" i="9"/>
  <c r="G30" i="9"/>
  <c r="G17" i="9" l="1"/>
  <c r="G18" i="9"/>
  <c r="G19" i="9"/>
  <c r="G20" i="9"/>
  <c r="G21" i="9"/>
  <c r="G22" i="9"/>
  <c r="G23" i="9"/>
  <c r="G24" i="9"/>
  <c r="G25" i="9"/>
  <c r="G26" i="9"/>
  <c r="G27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1" i="1"/>
  <c r="E81" i="1"/>
  <c r="D8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<sst xmlns="http://schemas.openxmlformats.org/spreadsheetml/2006/main" count="531" uniqueCount="230">
  <si>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</si>
  <si>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</si>
  <si>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</si>
  <si>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</si>
  <si>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</si>
  <si>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</si>
  <si>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</si>
  <si>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</si>
  <si>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</si>
  <si>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</si>
  <si>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</si>
  <si>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</si>
  <si>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</si>
  <si>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</si>
  <si>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</si>
  <si>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</si>
  <si>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</si>
  <si>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</si>
  <si>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</si>
  <si>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</si>
  <si>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</si>
  <si>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</si>
  <si>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</si>
  <si>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</si>
  <si>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</si>
  <si>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</si>
  <si>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</si>
  <si>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</si>
  <si>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</si>
  <si>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</si>
  <si>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</si>
  <si>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</si>
  <si>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</si>
  <si>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</si>
  <si>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</si>
  <si>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</si>
  <si>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</si>
  <si>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</si>
  <si>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</si>
  <si>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</si>
  <si>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</si>
  <si>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</si>
  <si>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</si>
  <si>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</si>
  <si>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</si>
  <si>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</si>
  <si>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</si>
  <si>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</si>
  <si>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</si>
  <si>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</si>
  <si>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</si>
  <si>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</si>
  <si>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</si>
  <si>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</si>
  <si>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</si>
  <si>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</si>
  <si>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</si>
  <si>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</si>
  <si>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</si>
  <si>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</si>
  <si>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</si>
  <si>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</si>
  <si>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</si>
  <si>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</si>
  <si>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</si>
  <si>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</si>
  <si>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</si>
  <si>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</si>
  <si>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</si>
  <si>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</si>
  <si>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</si>
  <si>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</si>
  <si>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</si>
  <si>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</si>
  <si>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</si>
  <si>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</si>
  <si>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</si>
  <si>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</si>
  <si>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</si>
  <si>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</si>
  <si>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</si>
  <si>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</si>
  <si>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</si>
  <si>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</si>
  <si>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</si>
  <si>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</si>
  <si>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</si>
  <si>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</si>
  <si>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</si>
  <si>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</si>
  <si>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</si>
  <si>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</si>
  <si>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</si>
  <si>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</si>
  <si>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</si>
  <si>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</si>
  <si>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</si>
  <si>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</si>
  <si>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</si>
  <si>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</si>
  <si>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</si>
  <si>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</si>
  <si>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</si>
  <si>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</si>
  <si>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</si>
  <si>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</si>
  <si>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</si>
  <si>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</si>
  <si>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</si>
  <si>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</si>
  <si>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</si>
  <si>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</si>
  <si>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</si>
  <si>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</si>
  <si>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</si>
  <si>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</si>
  <si>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</si>
  <si>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</si>
  <si>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</si>
  <si>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</si>
  <si>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</si>
  <si>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</si>
  <si>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</si>
  <si>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</si>
  <si>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</si>
  <si>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</si>
  <si>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</si>
  <si>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</si>
  <si>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</si>
  <si>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</si>
  <si>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</si>
  <si>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</si>
  <si>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</si>
  <si>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</si>
  <si>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</si>
  <si>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</si>
  <si>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</si>
  <si>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</si>
  <si>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</si>
  <si>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</si>
  <si>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</si>
  <si>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</si>
  <si>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</si>
  <si>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</si>
  <si>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</si>
  <si>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</si>
  <si>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</si>
  <si>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</si>
  <si>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</si>
  <si>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</si>
  <si>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</si>
  <si>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</si>
  <si>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</si>
  <si>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</si>
  <si>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</si>
  <si>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</si>
  <si>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</si>
  <si>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</si>
  <si>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</si>
  <si>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</si>
  <si>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</si>
  <si>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</si>
  <si>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</si>
  <si>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</si>
  <si>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</si>
  <si>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</si>
  <si>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</si>
  <si>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</si>
  <si>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</si>
  <si>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</si>
  <si>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</si>
  <si>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</si>
  <si>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</si>
  <si>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</si>
  <si>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CBC, PC</t>
  </si>
  <si>
    <t>vial</t>
  </si>
  <si>
    <t>CEFTRIAXONE SODIUM 1G</t>
  </si>
  <si>
    <t>pcs</t>
  </si>
  <si>
    <t>kit</t>
  </si>
  <si>
    <t>set</t>
  </si>
  <si>
    <t>BLOOD EXTRACTION FEE</t>
  </si>
  <si>
    <t>CREATININE (CREA)</t>
  </si>
  <si>
    <t>BLOOD C/S (2 SITES)</t>
  </si>
  <si>
    <t>RANDOM BLOOD SUGAR (RBS)</t>
  </si>
  <si>
    <t>IONIZED CALCIUM (ICA)</t>
  </si>
  <si>
    <t>MG (MAGNESIUM)</t>
  </si>
  <si>
    <t>(D5LRS 1L) 5% DEXTROSE IN LACTATED RINGERS SOLUTION 1000ML (D5 LRS) X 12S</t>
  </si>
  <si>
    <t>HYDROCORTISONE SODIUM SUCCINATE 250MG</t>
  </si>
  <si>
    <t>SALBUTAMOL SULPHATE  1MG/ML-2.5ML</t>
  </si>
  <si>
    <t>tablet</t>
  </si>
  <si>
    <t>ampule</t>
  </si>
  <si>
    <t>250mg</t>
  </si>
  <si>
    <t>DISPOSABLE SYRINGE 10ML G 21, W/ NEEDLE X 100S (CPR NEEDED)</t>
  </si>
  <si>
    <t>ECG PAPER, UNWAXED,  50MM X 30M GREEN NON-GLOSSY</t>
  </si>
  <si>
    <t>HEMOGLUCOTEST TEST STRIP BOX OF 50S W/ FREE GLUCOMETER MACHINE FOR EVERY PURCHASE OF 25 BOXES WITH 2 EXTRA BATTERIES FOR EVERY GLUCOMETER MACHINE (CURACHECK/KOREA)</t>
  </si>
  <si>
    <t>IV CATHETER GAUGE 18</t>
  </si>
  <si>
    <t>IV CATHETER GAUGE 20</t>
  </si>
  <si>
    <t>IV SET W/ AIRWAY FOR IV PUSH, MICRODRIP, PEDIA</t>
  </si>
  <si>
    <t>OXYGEN NASAL CANNULA WITH THREAD CONNECTOR FOR ADULT (CURVED FLAIRED TIP)</t>
  </si>
  <si>
    <t>roll</t>
  </si>
  <si>
    <t>E11.9</t>
  </si>
  <si>
    <t>ACETYLCYSTEINE 600MG IN BLISTER FOIL PACK</t>
  </si>
  <si>
    <t>AZITHROMYCIN DIHYDRATE 500MG</t>
  </si>
  <si>
    <t>HEPARIN SODIUM 25,000IU/5ML SOLUTION FOR INJECTION</t>
  </si>
  <si>
    <t>IPRATROPIUM+SALBUTAMOL 500MCG+2.5MG-2.5ML</t>
  </si>
  <si>
    <t>OMEPRAZOLE 40MG POWDER</t>
  </si>
  <si>
    <t>1 litter</t>
  </si>
  <si>
    <t>600mg</t>
  </si>
  <si>
    <t>500mg</t>
  </si>
  <si>
    <t>1 gram</t>
  </si>
  <si>
    <t xml:space="preserve">25,000IU/5ML </t>
  </si>
  <si>
    <t>500MCG+2.5MG-2.5ML</t>
  </si>
  <si>
    <t>40mg</t>
  </si>
  <si>
    <t>1MG/ML-2.5ML</t>
  </si>
  <si>
    <t>IV SET W/ AIRWAY FOR IV PUSH, VACOSET/MACRODRIP, ADULT</t>
  </si>
  <si>
    <t>GAUZE SPONGE 4"X4", 8 PLY, 28X24 MESH, UNSTERILE,  W/O BLUE DETECTOR, PACK OF 100S (OS 4X4) (CPR NEEDED)</t>
  </si>
  <si>
    <t>IV CATHETER GAUGE 22</t>
  </si>
  <si>
    <t>NEBULIZER KIT WITH MOUTH PIECE</t>
  </si>
  <si>
    <t>STERILLE COTTON</t>
  </si>
  <si>
    <t>SYRINGE 10ML W/ NEEDLE G21 (DISPOSABLE) - ULTRASHARP HYPODEMIC 100/BOX - SHELF LIFE : 12 MONTHS</t>
  </si>
  <si>
    <t>VOLUMETRIC BLOOD TRANSFUSION SET, DRIPPING RATE 60 DROPS=1ML, SPIKE TYPE: PLASTIC TYPE, TUBING MATERIAL: POLYBUTADIENNE (PVC)-FREE), CONNECTOR TYPE: LUER SLIP, WITH ELASTY BALL, WITH AIRWAY NEEDLE</t>
  </si>
  <si>
    <t>CKMB</t>
  </si>
  <si>
    <t>FASTING BLOOD SUGAR/FBS</t>
  </si>
  <si>
    <t>HBA1C / GLYCOSYLATED</t>
  </si>
  <si>
    <t>K (POTASSIUM)</t>
  </si>
  <si>
    <t>NA (SODIUM)</t>
  </si>
  <si>
    <t>QUANTITATIVE TROPONIN I</t>
  </si>
  <si>
    <t>URINALYSIS (UA)</t>
  </si>
  <si>
    <t>CHEST PA ADULT (1 VIEW)</t>
  </si>
  <si>
    <t>360403/74152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</si>
</sst>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20" fillId="0" borderId="0" xfId="0" applyFont="1" applyAlignment="1" applyProtection="1">
      <alignment vertical="top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48</xdr:row>
          <xdr:rowOff>22860</xdr:rowOff>
        </xdr:from>
        <xdr:to>
          <xdr:col>1</xdr:col>
          <xdr:colOff>731520</xdr:colOff>
          <xdr:row>48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48</xdr:row>
          <xdr:rowOff>22860</xdr:rowOff>
        </xdr:from>
        <xdr:to>
          <xdr:col>1</xdr:col>
          <xdr:colOff>1508760</xdr:colOff>
          <xdr:row>48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55</xdr:row>
          <xdr:rowOff>22860</xdr:rowOff>
        </xdr:from>
        <xdr:to>
          <xdr:col>1</xdr:col>
          <xdr:colOff>731520</xdr:colOff>
          <xdr:row>55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55</xdr:row>
          <xdr:rowOff>22860</xdr:rowOff>
        </xdr:from>
        <xdr:to>
          <xdr:col>1</xdr:col>
          <xdr:colOff>1508760</xdr:colOff>
          <xdr:row>55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60</xdr:row>
          <xdr:rowOff>22860</xdr:rowOff>
        </xdr:from>
        <xdr:to>
          <xdr:col>1</xdr:col>
          <xdr:colOff>731520</xdr:colOff>
          <xdr:row>60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60</xdr:row>
          <xdr:rowOff>22860</xdr:rowOff>
        </xdr:from>
        <xdr:to>
          <xdr:col>1</xdr:col>
          <xdr:colOff>1508760</xdr:colOff>
          <xdr:row>60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69</xdr:row>
          <xdr:rowOff>22860</xdr:rowOff>
        </xdr:from>
        <xdr:to>
          <xdr:col>1</xdr:col>
          <xdr:colOff>731520</xdr:colOff>
          <xdr:row>69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69</xdr:row>
          <xdr:rowOff>22860</xdr:rowOff>
        </xdr:from>
        <xdr:to>
          <xdr:col>1</xdr:col>
          <xdr:colOff>1508760</xdr:colOff>
          <xdr:row>69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8"/>
  <sheetViews>
    <sheetView tabSelected="1" topLeftCell="A15" zoomScaleNormal="100" workbookViewId="0">
      <selection activeCell="C32" sqref="C32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229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180</v>
      </c>
      <c r="D35" s="23"/>
      <c r="E35" s="55">
        <v>3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221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181</v>
      </c>
      <c r="D38" s="23"/>
      <c r="E38" s="55">
        <v>3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222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223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184</v>
      </c>
      <c r="D41" s="23"/>
      <c r="E41" s="55">
        <v>3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224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185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225</v>
      </c>
      <c r="D44" s="23"/>
      <c r="E44" s="55">
        <v>3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 t="s">
        <v>226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 t="s">
        <v>183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14</v>
      </c>
      <c r="C47" s="27" t="s">
        <v>227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19</v>
      </c>
      <c r="C48" s="121"/>
      <c r="D48" s="121"/>
      <c r="E48" s="121"/>
      <c r="F48" s="13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116" t="s">
        <v>228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44</v>
      </c>
      <c r="C53" s="121"/>
      <c r="D53" s="118"/>
      <c r="E53" s="121"/>
      <c r="F53" s="11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4" t="s">
        <v>45</v>
      </c>
      <c r="C54" s="13"/>
      <c r="D54" s="13"/>
      <c r="E54" s="16"/>
      <c r="F54" s="13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7" t="s">
        <v>53</v>
      </c>
      <c r="C55" s="118"/>
      <c r="D55" s="118"/>
      <c r="E55" s="118"/>
      <c r="F55" s="119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1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30">
        <v>2</v>
      </c>
      <c r="C57" s="31"/>
      <c r="D57" s="32"/>
      <c r="E57" s="57"/>
      <c r="F57" s="5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thickBot="1" x14ac:dyDescent="0.35">
      <c r="A60" s="1"/>
      <c r="B60" s="117" t="s">
        <v>20</v>
      </c>
      <c r="C60" s="118"/>
      <c r="D60" s="118"/>
      <c r="E60" s="118"/>
      <c r="F60" s="119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1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2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3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4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5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6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5"/>
      <c r="C67" s="25"/>
      <c r="D67" s="25"/>
      <c r="E67" s="25"/>
      <c r="F67" s="2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57.75" customHeight="1" thickBot="1" x14ac:dyDescent="0.35">
      <c r="A69" s="1"/>
      <c r="B69" s="17" t="s">
        <v>55</v>
      </c>
      <c r="C69" s="17" t="s">
        <v>51</v>
      </c>
      <c r="D69" s="17" t="s">
        <v>56</v>
      </c>
      <c r="E69" s="18" t="s">
        <v>57</v>
      </c>
      <c r="F69" s="19" t="s">
        <v>21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2">
        <v>1</v>
      </c>
      <c r="C70" s="27" t="s">
        <v>166</v>
      </c>
      <c r="D70" s="55">
        <v>2432.77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2</v>
      </c>
      <c r="C71" s="27" t="s">
        <v>167</v>
      </c>
      <c r="D71" s="55">
        <v>2946.54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3</v>
      </c>
      <c r="C72" s="27" t="s">
        <v>168</v>
      </c>
      <c r="D72" s="55">
        <v>120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4</v>
      </c>
      <c r="C73" s="27" t="s">
        <v>169</v>
      </c>
      <c r="D73" s="55">
        <f>6245-2744.31</f>
        <v>3500.69</v>
      </c>
      <c r="E73" s="55">
        <v>2744.31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5</v>
      </c>
      <c r="C74" s="27" t="s">
        <v>170</v>
      </c>
      <c r="D74" s="55">
        <v>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6</v>
      </c>
      <c r="C75" s="27" t="s">
        <v>171</v>
      </c>
      <c r="D75" s="55">
        <v>1500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7</v>
      </c>
      <c r="C76" s="27" t="s">
        <v>172</v>
      </c>
      <c r="D76" s="55">
        <v>4500</v>
      </c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8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9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10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4.95" customHeight="1" thickBot="1" x14ac:dyDescent="0.35">
      <c r="A80" s="1"/>
      <c r="B80" s="1"/>
      <c r="C80" s="1"/>
      <c r="D80" s="58"/>
      <c r="E80" s="58"/>
      <c r="F80" s="58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thickTop="1" x14ac:dyDescent="0.3">
      <c r="A81" s="1"/>
      <c r="B81" s="11"/>
      <c r="C81" s="4" t="s">
        <v>22</v>
      </c>
      <c r="D81" s="59">
        <f>SUM(D70:D80)</f>
        <v>15000</v>
      </c>
      <c r="E81" s="59">
        <f>SUM(E70:E80)</f>
        <v>2744.31</v>
      </c>
      <c r="F81" s="59">
        <f>SUM(F70:F80)</f>
        <v>0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</sheetData>
  <sheetProtection formatColumns="0" formatRows="0" sort="0" autoFilter="0"/>
  <mergeCells count="12">
    <mergeCell ref="B60:F60"/>
    <mergeCell ref="B53:F53"/>
    <mergeCell ref="B12:F12"/>
    <mergeCell ref="B13:F13"/>
    <mergeCell ref="B14:F14"/>
    <mergeCell ref="B15:F15"/>
    <mergeCell ref="B18:F18"/>
    <mergeCell ref="B22:F22"/>
    <mergeCell ref="B33:F33"/>
    <mergeCell ref="B28:F28"/>
    <mergeCell ref="B48:F48"/>
    <mergeCell ref="B55:F55"/>
  </mergeCells>
  <dataValidations count="1">
    <dataValidation type="decimal" operator="greaterThanOrEqual" allowBlank="1" showInputMessage="1" showErrorMessage="1" sqref="E32 E49:E52 E54 E23:F27 E56:F59 E61:F66 D70:F79 E34:E4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48</xdr:row>
                    <xdr:rowOff>22860</xdr:rowOff>
                  </from>
                  <to>
                    <xdr:col>1</xdr:col>
                    <xdr:colOff>731520</xdr:colOff>
                    <xdr:row>48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48</xdr:row>
                    <xdr:rowOff>22860</xdr:rowOff>
                  </from>
                  <to>
                    <xdr:col>1</xdr:col>
                    <xdr:colOff>1508760</xdr:colOff>
                    <xdr:row>48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55</xdr:row>
                    <xdr:rowOff>22860</xdr:rowOff>
                  </from>
                  <to>
                    <xdr:col>1</xdr:col>
                    <xdr:colOff>731520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55</xdr:row>
                    <xdr:rowOff>22860</xdr:rowOff>
                  </from>
                  <to>
                    <xdr:col>1</xdr:col>
                    <xdr:colOff>1508760</xdr:colOff>
                    <xdr:row>55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60</xdr:row>
                    <xdr:rowOff>22860</xdr:rowOff>
                  </from>
                  <to>
                    <xdr:col>1</xdr:col>
                    <xdr:colOff>731520</xdr:colOff>
                    <xdr:row>60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60</xdr:row>
                    <xdr:rowOff>22860</xdr:rowOff>
                  </from>
                  <to>
                    <xdr:col>1</xdr:col>
                    <xdr:colOff>1508760</xdr:colOff>
                    <xdr:row>60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69</xdr:row>
                    <xdr:rowOff>22860</xdr:rowOff>
                  </from>
                  <to>
                    <xdr:col>1</xdr:col>
                    <xdr:colOff>731520</xdr:colOff>
                    <xdr:row>69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69</xdr:row>
                    <xdr:rowOff>22860</xdr:rowOff>
                  </from>
                  <to>
                    <xdr:col>1</xdr:col>
                    <xdr:colOff>1508760</xdr:colOff>
                    <xdr:row>69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1" workbookViewId="0">
      <selection activeCell="G20" sqref="G20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42" x14ac:dyDescent="0.3">
      <c r="B11" s="42">
        <v>1</v>
      </c>
      <c r="C11" s="69" t="s">
        <v>186</v>
      </c>
      <c r="D11" s="27" t="s">
        <v>173</v>
      </c>
      <c r="E11" s="27" t="s">
        <v>206</v>
      </c>
      <c r="F11" s="55">
        <v>1</v>
      </c>
      <c r="G11" s="55">
        <v>3</v>
      </c>
      <c r="H11" s="55">
        <v>3</v>
      </c>
      <c r="I11" s="55">
        <v>49.33</v>
      </c>
      <c r="J11" s="55">
        <f>H11*I11</f>
        <v>147.99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201</v>
      </c>
      <c r="D12" s="27" t="s">
        <v>189</v>
      </c>
      <c r="E12" s="27" t="s">
        <v>207</v>
      </c>
      <c r="F12" s="55">
        <v>1</v>
      </c>
      <c r="G12" s="55">
        <v>3</v>
      </c>
      <c r="H12" s="55">
        <v>4</v>
      </c>
      <c r="I12" s="55">
        <v>23</v>
      </c>
      <c r="J12" s="55">
        <f t="shared" ref="J12:J24" si="0">H12*I12</f>
        <v>92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202</v>
      </c>
      <c r="D13" s="27" t="s">
        <v>175</v>
      </c>
      <c r="E13" s="27" t="s">
        <v>208</v>
      </c>
      <c r="F13" s="55">
        <v>1</v>
      </c>
      <c r="G13" s="55">
        <v>3</v>
      </c>
      <c r="H13" s="55">
        <v>2</v>
      </c>
      <c r="I13" s="55">
        <v>766.67</v>
      </c>
      <c r="J13" s="55">
        <f t="shared" si="0"/>
        <v>1533.34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4.4" x14ac:dyDescent="0.3">
      <c r="B14" s="42">
        <v>4</v>
      </c>
      <c r="C14" s="27" t="s">
        <v>176</v>
      </c>
      <c r="D14" s="27" t="s">
        <v>175</v>
      </c>
      <c r="E14" s="27" t="s">
        <v>209</v>
      </c>
      <c r="F14" s="55">
        <v>2</v>
      </c>
      <c r="G14" s="55">
        <v>3</v>
      </c>
      <c r="H14" s="55">
        <v>5</v>
      </c>
      <c r="I14" s="55">
        <v>20.149999999999999</v>
      </c>
      <c r="J14" s="55">
        <f t="shared" si="0"/>
        <v>100.75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27" t="s">
        <v>203</v>
      </c>
      <c r="D15" s="27" t="s">
        <v>175</v>
      </c>
      <c r="E15" s="27" t="s">
        <v>210</v>
      </c>
      <c r="F15" s="55">
        <v>1</v>
      </c>
      <c r="G15" s="55">
        <v>1</v>
      </c>
      <c r="H15" s="55">
        <v>1</v>
      </c>
      <c r="I15" s="55">
        <v>210.6</v>
      </c>
      <c r="J15" s="55">
        <f t="shared" si="0"/>
        <v>210.6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27" t="s">
        <v>187</v>
      </c>
      <c r="D16" s="27" t="s">
        <v>175</v>
      </c>
      <c r="E16" s="27" t="s">
        <v>191</v>
      </c>
      <c r="F16" s="55">
        <v>1</v>
      </c>
      <c r="G16" s="55">
        <v>2</v>
      </c>
      <c r="H16" s="55">
        <v>2</v>
      </c>
      <c r="I16" s="55">
        <v>71.12</v>
      </c>
      <c r="J16" s="55">
        <f t="shared" si="0"/>
        <v>142.24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28.2" x14ac:dyDescent="0.3">
      <c r="B17" s="42">
        <v>7</v>
      </c>
      <c r="C17" s="27" t="s">
        <v>204</v>
      </c>
      <c r="D17" s="27" t="s">
        <v>190</v>
      </c>
      <c r="E17" s="27" t="s">
        <v>211</v>
      </c>
      <c r="F17" s="55">
        <v>3</v>
      </c>
      <c r="G17" s="55">
        <v>3</v>
      </c>
      <c r="H17" s="55">
        <v>11</v>
      </c>
      <c r="I17" s="55">
        <v>12.57</v>
      </c>
      <c r="J17" s="55">
        <f t="shared" si="0"/>
        <v>138.27000000000001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 t="s">
        <v>205</v>
      </c>
      <c r="D18" s="27" t="s">
        <v>175</v>
      </c>
      <c r="E18" s="27" t="s">
        <v>212</v>
      </c>
      <c r="F18" s="55">
        <v>1</v>
      </c>
      <c r="G18" s="55">
        <v>1</v>
      </c>
      <c r="H18" s="55">
        <v>2</v>
      </c>
      <c r="I18" s="55">
        <v>30.96</v>
      </c>
      <c r="J18" s="55">
        <f t="shared" si="0"/>
        <v>61.92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190</v>
      </c>
      <c r="E19" s="27" t="s">
        <v>213</v>
      </c>
      <c r="F19" s="55">
        <v>1</v>
      </c>
      <c r="G19" s="55">
        <v>1</v>
      </c>
      <c r="H19" s="55">
        <v>1</v>
      </c>
      <c r="I19" s="55">
        <v>5.65</v>
      </c>
      <c r="J19" s="55">
        <f t="shared" si="0"/>
        <v>5.65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4.4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4.4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7" workbookViewId="0">
      <selection activeCell="D31" sqref="D31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214</v>
      </c>
      <c r="D16" s="70" t="s">
        <v>177</v>
      </c>
      <c r="E16" s="55">
        <v>2</v>
      </c>
      <c r="F16" s="55">
        <v>14</v>
      </c>
      <c r="G16" s="55">
        <f>+E16*F16</f>
        <v>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28.2" x14ac:dyDescent="0.3">
      <c r="B17" s="68">
        <v>2</v>
      </c>
      <c r="C17" s="69" t="s">
        <v>192</v>
      </c>
      <c r="D17" s="70" t="s">
        <v>177</v>
      </c>
      <c r="E17" s="55">
        <v>15</v>
      </c>
      <c r="F17" s="55">
        <v>2.77</v>
      </c>
      <c r="G17" s="55">
        <f t="shared" ref="G17:G30" si="0">+E17*F17</f>
        <v>41.55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28.2" x14ac:dyDescent="0.3">
      <c r="B18" s="68">
        <v>3</v>
      </c>
      <c r="C18" s="69" t="s">
        <v>193</v>
      </c>
      <c r="D18" s="70" t="s">
        <v>199</v>
      </c>
      <c r="E18" s="55">
        <v>10</v>
      </c>
      <c r="F18" s="55">
        <v>100</v>
      </c>
      <c r="G18" s="55">
        <f t="shared" si="0"/>
        <v>1000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215</v>
      </c>
      <c r="D19" s="70" t="s">
        <v>179</v>
      </c>
      <c r="E19" s="55">
        <v>24</v>
      </c>
      <c r="F19" s="55">
        <v>1.51</v>
      </c>
      <c r="G19" s="55">
        <f t="shared" si="0"/>
        <v>36.24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177</v>
      </c>
      <c r="E20" s="55">
        <v>15</v>
      </c>
      <c r="F20" s="55">
        <v>20</v>
      </c>
      <c r="G20" s="55">
        <f t="shared" si="0"/>
        <v>300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177</v>
      </c>
      <c r="E21" s="55">
        <v>2</v>
      </c>
      <c r="F21" s="55">
        <v>13.13</v>
      </c>
      <c r="G21" s="55">
        <f t="shared" si="0"/>
        <v>26.26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 t="s">
        <v>196</v>
      </c>
      <c r="D22" s="70" t="s">
        <v>177</v>
      </c>
      <c r="E22" s="55">
        <v>1</v>
      </c>
      <c r="F22" s="55">
        <v>13.13</v>
      </c>
      <c r="G22" s="55">
        <f t="shared" si="0"/>
        <v>13.13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 t="s">
        <v>216</v>
      </c>
      <c r="D23" s="70" t="s">
        <v>177</v>
      </c>
      <c r="E23" s="55">
        <v>5</v>
      </c>
      <c r="F23" s="55">
        <v>13.13</v>
      </c>
      <c r="G23" s="55">
        <f t="shared" si="0"/>
        <v>65.650000000000006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197</v>
      </c>
      <c r="D24" s="70" t="s">
        <v>179</v>
      </c>
      <c r="E24" s="55">
        <v>2</v>
      </c>
      <c r="F24" s="55">
        <v>20.440000000000001</v>
      </c>
      <c r="G24" s="55">
        <f t="shared" si="0"/>
        <v>40.880000000000003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214</v>
      </c>
      <c r="D25" s="70" t="s">
        <v>179</v>
      </c>
      <c r="E25" s="55">
        <v>2</v>
      </c>
      <c r="F25" s="55">
        <v>14</v>
      </c>
      <c r="G25" s="55">
        <f t="shared" si="0"/>
        <v>28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 t="s">
        <v>217</v>
      </c>
      <c r="D26" s="70" t="s">
        <v>178</v>
      </c>
      <c r="E26" s="55">
        <v>1</v>
      </c>
      <c r="F26" s="55">
        <v>38</v>
      </c>
      <c r="G26" s="55">
        <f t="shared" si="0"/>
        <v>38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198</v>
      </c>
      <c r="D27" s="70" t="s">
        <v>178</v>
      </c>
      <c r="E27" s="55">
        <v>1</v>
      </c>
      <c r="F27" s="55">
        <v>15.44</v>
      </c>
      <c r="G27" s="55">
        <f t="shared" si="0"/>
        <v>15.44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218</v>
      </c>
      <c r="D28" s="70" t="s">
        <v>179</v>
      </c>
      <c r="E28" s="55">
        <v>5</v>
      </c>
      <c r="F28" s="55">
        <v>15</v>
      </c>
      <c r="G28" s="55">
        <f t="shared" si="0"/>
        <v>75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219</v>
      </c>
      <c r="D29" s="70" t="s">
        <v>177</v>
      </c>
      <c r="E29" s="55">
        <v>10</v>
      </c>
      <c r="F29" s="55">
        <v>8.24</v>
      </c>
      <c r="G29" s="55">
        <f t="shared" si="0"/>
        <v>82.4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220</v>
      </c>
      <c r="D30" s="70" t="s">
        <v>179</v>
      </c>
      <c r="E30" s="55">
        <v>3</v>
      </c>
      <c r="F30" s="55">
        <v>385.33</v>
      </c>
      <c r="G30" s="55">
        <f t="shared" si="0"/>
        <v>1155.99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76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8" t="s">
        <v>29</v>
      </c>
      <c r="C44" s="139"/>
      <c r="D44" s="139"/>
      <c r="E44" s="139"/>
      <c r="F44" s="139"/>
      <c r="G44" s="140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disablePrompts="1"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2018-06-04T10:07:39Z</dcterms:modified>
</cp:coreProperties>
</file>