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Supplies_Medical'!$C$15:$C$52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0" i="9" l="1"/>
  <c r="G21" i="9"/>
  <c r="G22" i="9"/>
  <c r="G23" i="9"/>
  <c r="G24" i="9"/>
  <c r="G25" i="9"/>
  <c r="G26" i="9"/>
  <c r="G27" i="9"/>
  <c r="G28" i="9"/>
  <c r="G29" i="9"/>
  <c r="G30" i="9"/>
  <c r="G17" i="9"/>
  <c r="G18" i="9"/>
  <c r="G19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<sst xmlns="http://schemas.openxmlformats.org/spreadsheetml/2006/main" count="513" uniqueCount="215">
  <si>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</si>
  <si>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</si>
  <si>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</si>
  <si>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</si>
  <si>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</si>
  <si>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</si>
  <si>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</si>
  <si>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</si>
  <si>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</si>
  <si>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</si>
  <si>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</si>
  <si>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</si>
  <si>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</si>
  <si>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</si>
  <si>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</si>
  <si>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</si>
  <si>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</si>
  <si>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</si>
  <si>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</si>
  <si>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</si>
  <si>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</si>
  <si>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</si>
  <si>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</si>
  <si>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</si>
  <si>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</si>
  <si>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</si>
  <si>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</si>
  <si>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</si>
  <si>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</si>
  <si>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</si>
  <si>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</si>
  <si>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</si>
  <si>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</si>
  <si>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</si>
  <si>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</si>
  <si>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</si>
  <si>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</si>
  <si>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</si>
  <si>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</si>
  <si>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</si>
  <si>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</si>
  <si>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</si>
  <si>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</si>
  <si>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</si>
  <si>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</si>
  <si>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</si>
  <si>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</si>
  <si>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</si>
  <si>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</si>
  <si>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</si>
  <si>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</si>
  <si>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</si>
  <si>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</si>
  <si>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</si>
  <si>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</si>
  <si>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</si>
  <si>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</si>
  <si>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</si>
  <si>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</si>
  <si>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</si>
  <si>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</si>
  <si>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</si>
  <si>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</si>
  <si>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</si>
  <si>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</si>
  <si>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</si>
  <si>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</si>
  <si>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</si>
  <si>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</si>
  <si>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</si>
  <si>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</si>
  <si>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</si>
  <si>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</si>
  <si>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</si>
  <si>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</si>
  <si>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</si>
  <si>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</si>
  <si>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</si>
  <si>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</si>
  <si>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</si>
  <si>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</si>
  <si>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</si>
  <si>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</si>
  <si>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</si>
  <si>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</si>
  <si>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</si>
  <si>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</si>
  <si>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</si>
  <si>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</si>
  <si>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</si>
  <si>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</si>
  <si>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</si>
  <si>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</si>
  <si>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</si>
  <si>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</si>
  <si>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</si>
  <si>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</si>
  <si>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</si>
  <si>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</si>
  <si>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</si>
  <si>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</si>
  <si>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</si>
  <si>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</si>
  <si>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</si>
  <si>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</si>
  <si>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</si>
  <si>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</si>
  <si>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</si>
  <si>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</si>
  <si>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</si>
  <si>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</si>
  <si>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</si>
  <si>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</si>
  <si>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</si>
  <si>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</si>
  <si>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</si>
  <si>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</si>
  <si>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</si>
  <si>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</si>
  <si>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</si>
  <si>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</si>
  <si>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</si>
  <si>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</si>
  <si>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</si>
  <si>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</si>
  <si>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</si>
  <si>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</si>
  <si>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</si>
  <si>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</si>
  <si>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</si>
  <si>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</si>
  <si>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</si>
  <si>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</si>
  <si>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</si>
  <si>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</si>
  <si>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</si>
  <si>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</si>
  <si>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</si>
  <si>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</si>
  <si>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</si>
  <si>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</si>
  <si>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</si>
  <si>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</si>
  <si>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</si>
  <si>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</si>
  <si>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</si>
  <si>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</si>
  <si>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</si>
  <si>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</si>
  <si>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</si>
  <si>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</si>
  <si>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</si>
  <si>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</si>
  <si>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</si>
  <si>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</si>
  <si>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</si>
  <si>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</si>
  <si>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</si>
  <si>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</si>
  <si>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</si>
  <si>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</si>
  <si>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</si>
  <si>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</si>
  <si>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</si>
  <si>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</si>
  <si>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LABORATORY</t>
  </si>
  <si>
    <t>PROFESSIONAL FEE</t>
  </si>
  <si>
    <t>PLAIN NSS</t>
  </si>
  <si>
    <t>fluid</t>
  </si>
  <si>
    <t>NA (SODIUM)</t>
  </si>
  <si>
    <t>K (POTASSIUM)</t>
  </si>
  <si>
    <t>CBC, PC</t>
  </si>
  <si>
    <t>BLOOD EXTRACTION FEE</t>
  </si>
  <si>
    <t>1L</t>
  </si>
  <si>
    <t>vial</t>
  </si>
  <si>
    <t>CAP MR</t>
  </si>
  <si>
    <t>J18.92</t>
  </si>
  <si>
    <t>FECALYSIS</t>
  </si>
  <si>
    <t>300MG-2ML</t>
  </si>
  <si>
    <t>URINALYSIS (UA)</t>
  </si>
  <si>
    <t>1000ML</t>
  </si>
  <si>
    <t>500ML</t>
  </si>
  <si>
    <t>DISPOSABLE SYRINGE 10ML G 21, W/ NEEDLE</t>
  </si>
  <si>
    <t>set</t>
  </si>
  <si>
    <t>piece</t>
  </si>
  <si>
    <t>358397/73494</t>
  </si>
  <si>
    <t>A09.9</t>
  </si>
  <si>
    <t>E86.0</t>
  </si>
  <si>
    <t>BLOOD C/S</t>
  </si>
  <si>
    <t>ABO/RH TYPING MANUAL</t>
  </si>
  <si>
    <t>CL (CHLORIDE)</t>
  </si>
  <si>
    <t>Chest APL PEDIA (2 views)</t>
  </si>
  <si>
    <t>X-RAY</t>
  </si>
  <si>
    <t>ROOM AND BOARD</t>
  </si>
  <si>
    <t xml:space="preserve">(D5LRS 1L) 5% DEXTROSE IN LACTATED RINGERS SOLUTION </t>
  </si>
  <si>
    <t xml:space="preserve">PARACETAMOL (ACETAMINOPHEN) </t>
  </si>
  <si>
    <t>AMPICILLIN + SULBACTAM</t>
  </si>
  <si>
    <t>750MG</t>
  </si>
  <si>
    <t>5% DEXTROSE I. 0.9% SODIUM CHLORIDE</t>
  </si>
  <si>
    <t>IV CATHETER GAUGE 20</t>
  </si>
  <si>
    <t>INDIVIDUAL IV KIT CONTENTS</t>
  </si>
  <si>
    <t>STERILLE COTTON</t>
  </si>
  <si>
    <t>GAUZE SPONGE 4"X4", 8 PLY 28X24 MESH, UNSTERILE, W/O BLUE DETECTOR</t>
  </si>
  <si>
    <t>DISPOSABLE SYRINGE 1ML G 25 W/ NEEDLE</t>
  </si>
  <si>
    <t>DISPOSABLE SYRINGE 3ML G 23, W/ NEEDLE</t>
  </si>
  <si>
    <t>DISPOSABLE SYRINGE 5ML G 23, W/ NEEDLE</t>
  </si>
  <si>
    <t>IV SET W/ AIRWAY FOR IV PUSH, VACOSET/MACRODRIP, ADULT</t>
  </si>
  <si>
    <t>IV SET W/ AIRWAY FOR IV PUSH, MICRODRIP, PEDIA</t>
  </si>
  <si>
    <t>VOLUMETRIC BLOOD TRANSFUSION SET</t>
  </si>
  <si>
    <t>OXYGEN MASK PEDIA W/ CONNECTING TUBE</t>
  </si>
  <si>
    <t>IV CATHETER GAUGE 24</t>
  </si>
  <si>
    <t>IV CATHETER GAUGE 26</t>
  </si>
  <si>
    <t>DISPOSABLE SYRINGE 1ML G 25, W/ NEEDLE</t>
  </si>
  <si>
    <t>pack</t>
  </si>
  <si>
    <t>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</si>
</sst>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31</xdr:row>
          <xdr:rowOff>28575</xdr:rowOff>
        </xdr:from>
        <xdr:to>
          <xdr:col>1</xdr:col>
          <xdr:colOff>762000</xdr:colOff>
          <xdr:row>31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31</xdr:row>
          <xdr:rowOff>28575</xdr:rowOff>
        </xdr:from>
        <xdr:to>
          <xdr:col>1</xdr:col>
          <xdr:colOff>1533525</xdr:colOff>
          <xdr:row>31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</xdr:row>
          <xdr:rowOff>28575</xdr:rowOff>
        </xdr:from>
        <xdr:to>
          <xdr:col>1</xdr:col>
          <xdr:colOff>771525</xdr:colOff>
          <xdr:row>42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42</xdr:row>
          <xdr:rowOff>28575</xdr:rowOff>
        </xdr:from>
        <xdr:to>
          <xdr:col>1</xdr:col>
          <xdr:colOff>1543050</xdr:colOff>
          <xdr:row>42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topLeftCell="A54" zoomScale="145" zoomScaleNormal="145" workbookViewId="0">
      <selection activeCell="C68" sqref="C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175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185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187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9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177</v>
      </c>
      <c r="D34" s="23"/>
      <c r="E34" s="57">
        <v>3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171</v>
      </c>
      <c r="D35" s="23"/>
      <c r="E35" s="57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179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172</v>
      </c>
      <c r="D37" s="23"/>
      <c r="E37" s="57">
        <v>4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188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189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169</v>
      </c>
      <c r="D40" s="23"/>
      <c r="E40" s="57">
        <v>2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170</v>
      </c>
      <c r="D41" s="23"/>
      <c r="E41" s="57">
        <v>2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190</v>
      </c>
      <c r="D42" s="23"/>
      <c r="E42" s="57">
        <v>2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9" t="s">
        <v>19</v>
      </c>
      <c r="C43" s="120"/>
      <c r="D43" s="117"/>
      <c r="E43" s="120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191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9" t="s">
        <v>43</v>
      </c>
      <c r="C45" s="120"/>
      <c r="D45" s="117"/>
      <c r="E45" s="120"/>
      <c r="F45" s="118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44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6" t="s">
        <v>52</v>
      </c>
      <c r="C47" s="117"/>
      <c r="D47" s="117"/>
      <c r="E47" s="117"/>
      <c r="F47" s="118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6" t="s">
        <v>20</v>
      </c>
      <c r="C52" s="117"/>
      <c r="D52" s="117"/>
      <c r="E52" s="117"/>
      <c r="F52" s="118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54</v>
      </c>
      <c r="C61" s="17" t="s">
        <v>50</v>
      </c>
      <c r="D61" s="17" t="s">
        <v>55</v>
      </c>
      <c r="E61" s="18" t="s">
        <v>56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163</v>
      </c>
      <c r="D62" s="55">
        <v>1094.18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164</v>
      </c>
      <c r="D63" s="55">
        <v>1045.6500000000001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192</v>
      </c>
      <c r="D64" s="55">
        <v>190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165</v>
      </c>
      <c r="D65" s="55">
        <v>2875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 t="s">
        <v>193</v>
      </c>
      <c r="D66" s="55">
        <v>3500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 t="s">
        <v>166</v>
      </c>
      <c r="D67" s="55">
        <v>4500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13204.83</v>
      </c>
      <c r="E73" s="59">
        <f>SUM(E62:E72)</f>
        <v>0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47:F47"/>
  </mergeCells>
  <dataValidations count="1">
    <dataValidation type="decimal" operator="greaterThanOrEqual" allowBlank="1" showInputMessage="1" showErrorMessage="1" sqref="E32 E44 E46 E23:F27 E48:F51 E53:F58 D62:F71 E34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733425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9525</xdr:rowOff>
                  </from>
                  <to>
                    <xdr:col>1</xdr:col>
                    <xdr:colOff>1504950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9525</xdr:rowOff>
                  </from>
                  <to>
                    <xdr:col>1</xdr:col>
                    <xdr:colOff>733425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9525</xdr:rowOff>
                  </from>
                  <to>
                    <xdr:col>1</xdr:col>
                    <xdr:colOff>1504950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0</xdr:rowOff>
                  </from>
                  <to>
                    <xdr:col>1</xdr:col>
                    <xdr:colOff>733425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0</xdr:rowOff>
                  </from>
                  <to>
                    <xdr:col>1</xdr:col>
                    <xdr:colOff>1504950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0</xdr:rowOff>
                  </from>
                  <to>
                    <xdr:col>1</xdr:col>
                    <xdr:colOff>733425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0</xdr:rowOff>
                  </from>
                  <to>
                    <xdr:col>1</xdr:col>
                    <xdr:colOff>1504950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161925</xdr:rowOff>
                  </from>
                  <to>
                    <xdr:col>1</xdr:col>
                    <xdr:colOff>733425</xdr:colOff>
                    <xdr:row>47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161925</xdr:rowOff>
                  </from>
                  <to>
                    <xdr:col>1</xdr:col>
                    <xdr:colOff>1504950</xdr:colOff>
                    <xdr:row>47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161925</xdr:rowOff>
                  </from>
                  <to>
                    <xdr:col>1</xdr:col>
                    <xdr:colOff>733425</xdr:colOff>
                    <xdr:row>52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161925</xdr:rowOff>
                  </from>
                  <to>
                    <xdr:col>1</xdr:col>
                    <xdr:colOff>1504950</xdr:colOff>
                    <xdr:row>52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723900</xdr:rowOff>
                  </from>
                  <to>
                    <xdr:col>1</xdr:col>
                    <xdr:colOff>733425</xdr:colOff>
                    <xdr:row>61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723900</xdr:rowOff>
                  </from>
                  <to>
                    <xdr:col>1</xdr:col>
                    <xdr:colOff>1504950</xdr:colOff>
                    <xdr:row>61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zoomScale="115" zoomScaleNormal="115" workbookViewId="0">
      <selection activeCell="G15" sqref="G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MR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194</v>
      </c>
      <c r="D11" s="27" t="s">
        <v>168</v>
      </c>
      <c r="E11" s="27" t="s">
        <v>180</v>
      </c>
      <c r="F11" s="55">
        <v>1</v>
      </c>
      <c r="G11" s="55">
        <v>2</v>
      </c>
      <c r="H11" s="55">
        <v>2</v>
      </c>
      <c r="I11" s="55">
        <v>49.33</v>
      </c>
      <c r="J11" s="55">
        <f>H11*I11</f>
        <v>98.66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195</v>
      </c>
      <c r="D12" s="27" t="s">
        <v>174</v>
      </c>
      <c r="E12" s="27" t="s">
        <v>178</v>
      </c>
      <c r="F12" s="55">
        <v>1</v>
      </c>
      <c r="G12" s="55">
        <v>5</v>
      </c>
      <c r="H12" s="55">
        <v>5</v>
      </c>
      <c r="I12" s="55">
        <v>4.57</v>
      </c>
      <c r="J12" s="55">
        <f t="shared" ref="J12:J26" si="0">H12*I12</f>
        <v>22.85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167</v>
      </c>
      <c r="D13" s="27" t="s">
        <v>168</v>
      </c>
      <c r="E13" s="27" t="s">
        <v>173</v>
      </c>
      <c r="F13" s="55">
        <v>1</v>
      </c>
      <c r="G13" s="55">
        <v>1</v>
      </c>
      <c r="H13" s="55">
        <v>1</v>
      </c>
      <c r="I13" s="55">
        <v>50.67</v>
      </c>
      <c r="J13" s="55">
        <f t="shared" si="0"/>
        <v>50.67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196</v>
      </c>
      <c r="D14" s="27" t="s">
        <v>174</v>
      </c>
      <c r="E14" s="27" t="s">
        <v>197</v>
      </c>
      <c r="F14" s="55">
        <v>6</v>
      </c>
      <c r="G14" s="55">
        <v>5</v>
      </c>
      <c r="H14" s="55">
        <v>30</v>
      </c>
      <c r="I14" s="55">
        <v>26.93</v>
      </c>
      <c r="J14" s="55">
        <f t="shared" si="0"/>
        <v>807.9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198</v>
      </c>
      <c r="D15" s="27" t="s">
        <v>168</v>
      </c>
      <c r="E15" s="27" t="s">
        <v>181</v>
      </c>
      <c r="F15" s="55">
        <v>1</v>
      </c>
      <c r="G15" s="55">
        <v>2</v>
      </c>
      <c r="H15" s="55">
        <v>2</v>
      </c>
      <c r="I15" s="55">
        <v>57.05</v>
      </c>
      <c r="J15" s="55">
        <f t="shared" si="0"/>
        <v>114.1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6"/>
  <sheetViews>
    <sheetView workbookViewId="0">
      <selection activeCell="G20" sqref="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199</v>
      </c>
      <c r="D16" s="70" t="s">
        <v>213</v>
      </c>
      <c r="E16" s="55">
        <v>2</v>
      </c>
      <c r="F16" s="55">
        <v>13.6</v>
      </c>
      <c r="G16" s="55">
        <f>F16*E16</f>
        <v>27.2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200</v>
      </c>
      <c r="D17" s="70" t="s">
        <v>214</v>
      </c>
      <c r="E17" s="55">
        <v>1</v>
      </c>
      <c r="F17" s="55">
        <v>105.33</v>
      </c>
      <c r="G17" s="55">
        <f t="shared" ref="G17:G30" si="0">F17*E17</f>
        <v>105.33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201</v>
      </c>
      <c r="D18" s="70" t="s">
        <v>213</v>
      </c>
      <c r="E18" s="55">
        <v>10</v>
      </c>
      <c r="F18" s="55">
        <v>15</v>
      </c>
      <c r="G18" s="55">
        <f t="shared" si="0"/>
        <v>150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202</v>
      </c>
      <c r="D19" s="70" t="s">
        <v>213</v>
      </c>
      <c r="E19" s="55">
        <v>30</v>
      </c>
      <c r="F19" s="55">
        <v>1.51</v>
      </c>
      <c r="G19" s="55">
        <f t="shared" si="0"/>
        <v>45.3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203</v>
      </c>
      <c r="D20" s="70" t="s">
        <v>184</v>
      </c>
      <c r="E20" s="55">
        <v>5</v>
      </c>
      <c r="F20" s="55">
        <v>1.6</v>
      </c>
      <c r="G20" s="55">
        <f t="shared" si="0"/>
        <v>8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204</v>
      </c>
      <c r="D21" s="70" t="s">
        <v>184</v>
      </c>
      <c r="E21" s="55">
        <v>9</v>
      </c>
      <c r="F21" s="55">
        <v>1.6</v>
      </c>
      <c r="G21" s="55">
        <f t="shared" si="0"/>
        <v>14.4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205</v>
      </c>
      <c r="D22" s="70" t="s">
        <v>184</v>
      </c>
      <c r="E22" s="55">
        <v>7</v>
      </c>
      <c r="F22" s="55">
        <v>5</v>
      </c>
      <c r="G22" s="55">
        <f t="shared" si="0"/>
        <v>35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182</v>
      </c>
      <c r="D23" s="70" t="s">
        <v>184</v>
      </c>
      <c r="E23" s="55">
        <v>8</v>
      </c>
      <c r="F23" s="55">
        <v>2.77</v>
      </c>
      <c r="G23" s="55">
        <f t="shared" si="0"/>
        <v>22.16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206</v>
      </c>
      <c r="D24" s="70" t="s">
        <v>183</v>
      </c>
      <c r="E24" s="55">
        <v>1</v>
      </c>
      <c r="F24" s="55">
        <v>15</v>
      </c>
      <c r="G24" s="55">
        <f t="shared" si="0"/>
        <v>15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207</v>
      </c>
      <c r="D25" s="70" t="s">
        <v>183</v>
      </c>
      <c r="E25" s="55">
        <v>1</v>
      </c>
      <c r="F25" s="55">
        <v>19.32</v>
      </c>
      <c r="G25" s="55">
        <f t="shared" si="0"/>
        <v>19.32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208</v>
      </c>
      <c r="D26" s="70" t="s">
        <v>183</v>
      </c>
      <c r="E26" s="55">
        <v>1</v>
      </c>
      <c r="F26" s="55">
        <v>385.33</v>
      </c>
      <c r="G26" s="55">
        <f t="shared" si="0"/>
        <v>385.33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209</v>
      </c>
      <c r="D27" s="70" t="s">
        <v>184</v>
      </c>
      <c r="E27" s="55">
        <v>1</v>
      </c>
      <c r="F27" s="55">
        <v>37.17</v>
      </c>
      <c r="G27" s="55">
        <f t="shared" si="0"/>
        <v>37.17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210</v>
      </c>
      <c r="D28" s="70" t="s">
        <v>213</v>
      </c>
      <c r="E28" s="55">
        <v>4</v>
      </c>
      <c r="F28" s="55">
        <v>13.6</v>
      </c>
      <c r="G28" s="55">
        <f t="shared" si="0"/>
        <v>54.4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211</v>
      </c>
      <c r="D29" s="70" t="s">
        <v>213</v>
      </c>
      <c r="E29" s="55">
        <v>6</v>
      </c>
      <c r="F29" s="55">
        <v>19.84</v>
      </c>
      <c r="G29" s="55">
        <f t="shared" si="0"/>
        <v>119.03999999999999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212</v>
      </c>
      <c r="D30" s="70" t="s">
        <v>184</v>
      </c>
      <c r="E30" s="55">
        <v>5</v>
      </c>
      <c r="F30" s="55">
        <v>1.6</v>
      </c>
      <c r="G30" s="55">
        <f t="shared" si="0"/>
        <v>8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7" t="s">
        <v>75</v>
      </c>
      <c r="C31" s="138"/>
      <c r="D31" s="138"/>
      <c r="E31" s="138"/>
      <c r="F31" s="138"/>
      <c r="G31" s="139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2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3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4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5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6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7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8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9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10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137" t="s">
        <v>29</v>
      </c>
      <c r="C42" s="138"/>
      <c r="D42" s="138"/>
      <c r="E42" s="138"/>
      <c r="F42" s="138"/>
      <c r="G42" s="139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3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4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5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6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7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8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9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10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sheetProtection password="C2E9" sheet="1" objects="1" scenarios="1" formatColumns="0" formatRows="0" sort="0" autoFilter="0"/>
  <mergeCells count="9">
    <mergeCell ref="B7:G7"/>
    <mergeCell ref="B31:G31"/>
    <mergeCell ref="B42:G4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31</xdr:row>
                    <xdr:rowOff>28575</xdr:rowOff>
                  </from>
                  <to>
                    <xdr:col>1</xdr:col>
                    <xdr:colOff>762000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31</xdr:row>
                    <xdr:rowOff>28575</xdr:rowOff>
                  </from>
                  <to>
                    <xdr:col>1</xdr:col>
                    <xdr:colOff>1533525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42</xdr:row>
                    <xdr:rowOff>28575</xdr:rowOff>
                  </from>
                  <to>
                    <xdr:col>1</xdr:col>
                    <xdr:colOff>771525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42</xdr:row>
                    <xdr:rowOff>28575</xdr:rowOff>
                  </from>
                  <to>
                    <xdr:col>1</xdr:col>
                    <xdr:colOff>1543050</xdr:colOff>
                    <xdr:row>42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C15" sqref="C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3</cp:lastModifiedBy>
  <cp:lastPrinted>2018-06-01T02:02:10Z</cp:lastPrinted>
  <dcterms:created xsi:type="dcterms:W3CDTF">2018-05-11T08:46:15Z</dcterms:created>
  <dcterms:modified xsi:type="dcterms:W3CDTF">2018-06-01T02:02:49Z</dcterms:modified>
</cp:coreProperties>
</file>