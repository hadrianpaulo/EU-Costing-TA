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180" windowWidth="15528" windowHeight="720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Supplies_Medical'!$C$15:$C$47</definedName>
    <definedName name="Drugs">'1.2 Drugs&amp;Med'!$C$11:$C$20</definedName>
    <definedName name="_xlnm.Print_Area" localSheetId="0">'1.1 Case data_general'!$B$1:$F$80</definedName>
    <definedName name="_xlnm.Print_Area" localSheetId="1">'1.2 Drugs&amp;Med'!$B$2:$J$26</definedName>
  </definedNames>
  <calcPr calcId="144525"/>
</workbook>
</file>

<file path=xl/calcChain.xml><?xml version="1.0" encoding="utf-8"?>
<calcChain xmlns="http://schemas.openxmlformats.org/spreadsheetml/2006/main">
  <c r="J18" i="2" l="1"/>
  <c r="J19" i="2"/>
  <c r="J20" i="2"/>
  <c r="J21" i="2"/>
  <c r="J22" i="2"/>
  <c r="J23" i="2"/>
  <c r="J24" i="2"/>
  <c r="J25" i="2"/>
  <c r="D72" i="1"/>
  <c r="G17" i="9"/>
  <c r="G18" i="9"/>
  <c r="G19" i="9"/>
  <c r="G20" i="9"/>
  <c r="G21" i="9"/>
  <c r="G22" i="9"/>
  <c r="G23" i="9"/>
  <c r="G24" i="9"/>
  <c r="G25" i="9"/>
  <c r="J17" i="2"/>
  <c r="J16" i="2"/>
  <c r="J15" i="2"/>
  <c r="J14" i="2"/>
  <c r="J13" i="2"/>
  <c r="J12" i="2"/>
  <c r="G16" i="9" l="1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80" i="1"/>
  <c r="E80" i="1"/>
  <c r="G11" i="11" l="1" a="1"/>
  <c r="G11" i="11" s="1"/>
  <c r="G12" i="11" s="1" a="1"/>
  <c r="G12" i="11" s="1"/>
  <c r="F8" i="11" a="1"/>
  <c r="F8" i="11" s="1"/>
  <c r="F9" i="11" s="1" a="1"/>
  <c r="F9" i="11" s="1"/>
  <c r="J11" i="2"/>
  <c r="D80" i="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<sst xmlns="http://schemas.openxmlformats.org/spreadsheetml/2006/main" count="500" uniqueCount="213">
  <si>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</si>
  <si>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</si>
  <si>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</si>
  <si>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</si>
  <si>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</si>
  <si>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</si>
  <si>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</si>
  <si>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</si>
  <si>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</si>
  <si>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</si>
  <si>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</si>
  <si>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</si>
  <si>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</si>
  <si>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</si>
  <si>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</si>
  <si>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</si>
  <si>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</si>
  <si>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</si>
  <si>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</si>
  <si>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</si>
  <si>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</si>
  <si>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</si>
  <si>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</si>
  <si>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</si>
  <si>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</si>
  <si>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</si>
  <si>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</si>
  <si>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</si>
  <si>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</si>
  <si>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</si>
  <si>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</si>
  <si>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</si>
  <si>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</si>
  <si>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</si>
  <si>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</si>
  <si>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</si>
  <si>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</si>
  <si>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</si>
  <si>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</si>
  <si>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</si>
  <si>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</si>
  <si>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</si>
  <si>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</si>
  <si>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</si>
  <si>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</si>
  <si>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</si>
  <si>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</si>
  <si>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</si>
  <si>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</si>
  <si>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</si>
  <si>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</si>
  <si>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</si>
  <si>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</si>
  <si>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</si>
  <si>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</si>
  <si>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</si>
  <si>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</si>
  <si>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</si>
  <si>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</si>
  <si>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</si>
  <si>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</si>
  <si>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</si>
  <si>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</si>
  <si>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</si>
  <si>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</si>
  <si>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</si>
  <si>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</si>
  <si>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</si>
  <si>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</si>
  <si>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</si>
  <si>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</si>
  <si>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</si>
  <si>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</si>
  <si>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</si>
  <si>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</si>
  <si>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</si>
  <si>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</si>
  <si>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</si>
  <si>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</si>
  <si>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</si>
  <si>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</si>
  <si>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</si>
  <si>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</si>
  <si>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</si>
  <si>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</si>
  <si>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</si>
  <si>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</si>
  <si>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</si>
  <si>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</si>
  <si>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</si>
  <si>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</si>
  <si>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</si>
  <si>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</si>
  <si>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</si>
  <si>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</si>
  <si>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</si>
  <si>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</si>
  <si>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</si>
  <si>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</si>
  <si>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</si>
  <si>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</si>
  <si>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</si>
  <si>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</si>
  <si>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</si>
  <si>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</si>
  <si>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</si>
  <si>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</si>
  <si>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</si>
  <si>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</si>
  <si>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</si>
  <si>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</si>
  <si>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</si>
  <si>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</si>
  <si>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</si>
  <si>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</si>
  <si>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</si>
  <si>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</si>
  <si>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</si>
  <si>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</si>
  <si>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</si>
  <si>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</si>
  <si>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</si>
  <si>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</si>
  <si>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</si>
  <si>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</si>
  <si>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</si>
  <si>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</si>
  <si>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</si>
  <si>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</si>
  <si>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</si>
  <si>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</si>
  <si>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</si>
  <si>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</si>
  <si>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</si>
  <si>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</si>
  <si>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</si>
  <si>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</si>
  <si>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</si>
  <si>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</si>
  <si>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</si>
  <si>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</si>
  <si>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</si>
  <si>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</si>
  <si>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</si>
  <si>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</si>
  <si>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</si>
  <si>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</si>
  <si>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</si>
  <si>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</si>
  <si>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</si>
  <si>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</si>
  <si>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</si>
  <si>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</si>
  <si>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</si>
  <si>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</si>
  <si>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</si>
  <si>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</si>
  <si>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</si>
  <si>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</si>
  <si>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</si>
  <si>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</si>
  <si>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</si>
  <si>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</si>
  <si>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</si>
  <si>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</si>
  <si>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J18.92</t>
  </si>
  <si>
    <t>MEDICINES</t>
  </si>
  <si>
    <t>SUPPLIES</t>
  </si>
  <si>
    <t>XRAY</t>
  </si>
  <si>
    <t>LABORATORY</t>
  </si>
  <si>
    <t>OTHERS (EEG)</t>
  </si>
  <si>
    <t>ROOM AND ACCOMMODATION</t>
  </si>
  <si>
    <t>PROFESSIONAL FEE</t>
  </si>
  <si>
    <t>CBC, PC</t>
  </si>
  <si>
    <t>CEFTRIAXONE SODIUM 1G</t>
  </si>
  <si>
    <t>pcs</t>
  </si>
  <si>
    <t>set</t>
  </si>
  <si>
    <t>BLOOD EXTRACTION FEE</t>
  </si>
  <si>
    <t>IV CATHETER GAUGE 18</t>
  </si>
  <si>
    <t>NA (SODIUM)</t>
  </si>
  <si>
    <t>K (POTASSIUM)</t>
  </si>
  <si>
    <t>CREATININE (CREA)</t>
  </si>
  <si>
    <t>BLOOD CS</t>
  </si>
  <si>
    <t>BLOOD UREA NITROGEN (BUN)</t>
  </si>
  <si>
    <t>RESPIRATORY C/S SPUTUM,</t>
  </si>
  <si>
    <t>Chest PA ADULT (1 view)</t>
  </si>
  <si>
    <t>PLAIN NSS 1L (X 12S)</t>
  </si>
  <si>
    <t>AZITHROMYCIN DIHYDRATE</t>
  </si>
  <si>
    <t xml:space="preserve">AMLODIPINE BESYLATE 10MG </t>
  </si>
  <si>
    <t>GAUZE SPONGE 4"X4", 8 PLY, 28X24 MESH, UNSTERILE, W/O
BLUE DETECTOR, PACK</t>
  </si>
  <si>
    <t>QUANTITATIVE TROPONIN</t>
  </si>
  <si>
    <t>RANDOM BLOOD SUGAR (</t>
  </si>
  <si>
    <t>IONIZED CALCIUM (ICA)(</t>
  </si>
  <si>
    <t>MG (MAGNESIUM)(</t>
  </si>
  <si>
    <t>I20.0</t>
  </si>
  <si>
    <t>Z03.8</t>
  </si>
  <si>
    <t>OXYGEN FULL TANK</t>
  </si>
  <si>
    <t>ASPIRIN 80MG BLISTER/FOIL</t>
  </si>
  <si>
    <t>ASPIRIN 300MG BLISTER/FOIL</t>
  </si>
  <si>
    <t>CLOPIDOGREL 75MG IN BLISTER</t>
  </si>
  <si>
    <t>ENOXAPARIN NA</t>
  </si>
  <si>
    <t>ISOSORBIDE DINITRATE 5MG</t>
  </si>
  <si>
    <t>LACTULOSE 3.35G/5ML SYRUP</t>
  </si>
  <si>
    <t>METOPROLOL 50MG</t>
  </si>
  <si>
    <t>CAPTOPRIL 25MG(FROM ER</t>
  </si>
  <si>
    <t>ROSUVASTATIN 20MG. TABS</t>
  </si>
  <si>
    <t>ENAPRIL 10 MG</t>
  </si>
  <si>
    <t xml:space="preserve">IV SET W/  AIRWAY FOR IV PUSH VACOSET/ </t>
  </si>
  <si>
    <t>ECG PAPER, UNWAXED, 80MM</t>
  </si>
  <si>
    <t>HEMOGLUCOTEST TEST STRIP</t>
  </si>
  <si>
    <t>(MICROSET) IV INFUSION SET</t>
  </si>
  <si>
    <t>roll</t>
  </si>
  <si>
    <t>360125/74025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</si>
</sst>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1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18</xdr:row>
          <xdr:rowOff>22860</xdr:rowOff>
        </xdr:from>
        <xdr:to>
          <xdr:col>1</xdr:col>
          <xdr:colOff>731520</xdr:colOff>
          <xdr:row>18</xdr:row>
          <xdr:rowOff>160020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18</xdr:row>
          <xdr:rowOff>22860</xdr:rowOff>
        </xdr:from>
        <xdr:to>
          <xdr:col>1</xdr:col>
          <xdr:colOff>1508760</xdr:colOff>
          <xdr:row>18</xdr:row>
          <xdr:rowOff>160020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23</xdr:row>
          <xdr:rowOff>22860</xdr:rowOff>
        </xdr:from>
        <xdr:to>
          <xdr:col>1</xdr:col>
          <xdr:colOff>731520</xdr:colOff>
          <xdr:row>23</xdr:row>
          <xdr:rowOff>160020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23</xdr:row>
          <xdr:rowOff>22860</xdr:rowOff>
        </xdr:from>
        <xdr:to>
          <xdr:col>1</xdr:col>
          <xdr:colOff>1508760</xdr:colOff>
          <xdr:row>23</xdr:row>
          <xdr:rowOff>160020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34</xdr:row>
          <xdr:rowOff>22860</xdr:rowOff>
        </xdr:from>
        <xdr:to>
          <xdr:col>1</xdr:col>
          <xdr:colOff>731520</xdr:colOff>
          <xdr:row>34</xdr:row>
          <xdr:rowOff>160020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34</xdr:row>
          <xdr:rowOff>22860</xdr:rowOff>
        </xdr:from>
        <xdr:to>
          <xdr:col>1</xdr:col>
          <xdr:colOff>1508760</xdr:colOff>
          <xdr:row>34</xdr:row>
          <xdr:rowOff>160020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47</xdr:row>
          <xdr:rowOff>22860</xdr:rowOff>
        </xdr:from>
        <xdr:to>
          <xdr:col>1</xdr:col>
          <xdr:colOff>731520</xdr:colOff>
          <xdr:row>47</xdr:row>
          <xdr:rowOff>160020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47</xdr:row>
          <xdr:rowOff>22860</xdr:rowOff>
        </xdr:from>
        <xdr:to>
          <xdr:col>1</xdr:col>
          <xdr:colOff>1508760</xdr:colOff>
          <xdr:row>47</xdr:row>
          <xdr:rowOff>160020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54</xdr:row>
          <xdr:rowOff>22860</xdr:rowOff>
        </xdr:from>
        <xdr:to>
          <xdr:col>1</xdr:col>
          <xdr:colOff>731520</xdr:colOff>
          <xdr:row>54</xdr:row>
          <xdr:rowOff>160020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54</xdr:row>
          <xdr:rowOff>22860</xdr:rowOff>
        </xdr:from>
        <xdr:to>
          <xdr:col>1</xdr:col>
          <xdr:colOff>1508760</xdr:colOff>
          <xdr:row>54</xdr:row>
          <xdr:rowOff>160020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59</xdr:row>
          <xdr:rowOff>22860</xdr:rowOff>
        </xdr:from>
        <xdr:to>
          <xdr:col>1</xdr:col>
          <xdr:colOff>731520</xdr:colOff>
          <xdr:row>59</xdr:row>
          <xdr:rowOff>160020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59</xdr:row>
          <xdr:rowOff>22860</xdr:rowOff>
        </xdr:from>
        <xdr:to>
          <xdr:col>1</xdr:col>
          <xdr:colOff>1508760</xdr:colOff>
          <xdr:row>59</xdr:row>
          <xdr:rowOff>160020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68</xdr:row>
          <xdr:rowOff>22860</xdr:rowOff>
        </xdr:from>
        <xdr:to>
          <xdr:col>1</xdr:col>
          <xdr:colOff>731520</xdr:colOff>
          <xdr:row>68</xdr:row>
          <xdr:rowOff>160020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68</xdr:row>
          <xdr:rowOff>22860</xdr:rowOff>
        </xdr:from>
        <xdr:to>
          <xdr:col>1</xdr:col>
          <xdr:colOff>1508760</xdr:colOff>
          <xdr:row>68</xdr:row>
          <xdr:rowOff>160020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10</xdr:row>
          <xdr:rowOff>7620</xdr:rowOff>
        </xdr:from>
        <xdr:to>
          <xdr:col>1</xdr:col>
          <xdr:colOff>731520</xdr:colOff>
          <xdr:row>10</xdr:row>
          <xdr:rowOff>160020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769620</xdr:colOff>
          <xdr:row>10</xdr:row>
          <xdr:rowOff>7620</xdr:rowOff>
        </xdr:from>
        <xdr:to>
          <xdr:col>1</xdr:col>
          <xdr:colOff>1493520</xdr:colOff>
          <xdr:row>10</xdr:row>
          <xdr:rowOff>160020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</xdr:colOff>
          <xdr:row>15</xdr:row>
          <xdr:rowOff>30480</xdr:rowOff>
        </xdr:from>
        <xdr:to>
          <xdr:col>1</xdr:col>
          <xdr:colOff>769620</xdr:colOff>
          <xdr:row>16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822960</xdr:colOff>
          <xdr:row>15</xdr:row>
          <xdr:rowOff>30480</xdr:rowOff>
        </xdr:from>
        <xdr:to>
          <xdr:col>1</xdr:col>
          <xdr:colOff>1546860</xdr:colOff>
          <xdr:row>16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26</xdr:row>
          <xdr:rowOff>30480</xdr:rowOff>
        </xdr:from>
        <xdr:to>
          <xdr:col>1</xdr:col>
          <xdr:colOff>762000</xdr:colOff>
          <xdr:row>26</xdr:row>
          <xdr:rowOff>160020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807720</xdr:colOff>
          <xdr:row>26</xdr:row>
          <xdr:rowOff>30480</xdr:rowOff>
        </xdr:from>
        <xdr:to>
          <xdr:col>1</xdr:col>
          <xdr:colOff>1531620</xdr:colOff>
          <xdr:row>26</xdr:row>
          <xdr:rowOff>160020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</xdr:colOff>
          <xdr:row>37</xdr:row>
          <xdr:rowOff>30480</xdr:rowOff>
        </xdr:from>
        <xdr:to>
          <xdr:col>1</xdr:col>
          <xdr:colOff>769620</xdr:colOff>
          <xdr:row>38</xdr:row>
          <xdr:rowOff>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822960</xdr:colOff>
          <xdr:row>37</xdr:row>
          <xdr:rowOff>30480</xdr:rowOff>
        </xdr:from>
        <xdr:to>
          <xdr:col>1</xdr:col>
          <xdr:colOff>1546860</xdr:colOff>
          <xdr:row>38</xdr:row>
          <xdr:rowOff>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12</xdr:row>
          <xdr:rowOff>7620</xdr:rowOff>
        </xdr:from>
        <xdr:to>
          <xdr:col>1</xdr:col>
          <xdr:colOff>754380</xdr:colOff>
          <xdr:row>12</xdr:row>
          <xdr:rowOff>160020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792480</xdr:colOff>
          <xdr:row>12</xdr:row>
          <xdr:rowOff>7620</xdr:rowOff>
        </xdr:from>
        <xdr:to>
          <xdr:col>1</xdr:col>
          <xdr:colOff>1516380</xdr:colOff>
          <xdr:row>12</xdr:row>
          <xdr:rowOff>160020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7"/>
  <sheetViews>
    <sheetView tabSelected="1" zoomScaleNormal="100" workbookViewId="0">
      <selection activeCell="C17" sqref="C17"/>
    </sheetView>
  </sheetViews>
  <sheetFormatPr defaultColWidth="14.44140625" defaultRowHeight="15" customHeight="1" outlineLevelRow="1" x14ac:dyDescent="0.3"/>
  <cols>
    <col min="1" max="1" width="3.109375" customWidth="1"/>
    <col min="2" max="2" width="28.33203125" customWidth="1"/>
    <col min="3" max="3" width="29.109375" customWidth="1"/>
    <col min="4" max="5" width="23" customWidth="1"/>
    <col min="6" max="6" width="21" customWidth="1"/>
    <col min="7" max="25" width="9.10937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164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4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12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1" t="s">
        <v>60</v>
      </c>
      <c r="C12" s="122"/>
      <c r="D12" s="122"/>
      <c r="E12" s="122"/>
      <c r="F12" s="12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4" t="s">
        <v>2</v>
      </c>
      <c r="C13" s="125"/>
      <c r="D13" s="125"/>
      <c r="E13" s="125"/>
      <c r="F13" s="12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4" t="s">
        <v>4</v>
      </c>
      <c r="C14" s="125"/>
      <c r="D14" s="125"/>
      <c r="E14" s="125"/>
      <c r="F14" s="12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7" t="s">
        <v>61</v>
      </c>
      <c r="C15" s="128"/>
      <c r="D15" s="128"/>
      <c r="E15" s="128"/>
      <c r="F15" s="129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212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6" t="s">
        <v>15</v>
      </c>
      <c r="C18" s="117"/>
      <c r="D18" s="117"/>
      <c r="E18" s="117"/>
      <c r="F18" s="118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165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194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 t="s">
        <v>195</v>
      </c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x14ac:dyDescent="0.3">
      <c r="A22" s="1"/>
      <c r="B22" s="30">
        <v>4</v>
      </c>
      <c r="C22" s="31"/>
      <c r="D22" s="21"/>
      <c r="E22" s="21"/>
      <c r="F22" s="22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thickBot="1" x14ac:dyDescent="0.35">
      <c r="A23" s="1"/>
      <c r="B23" s="116" t="s">
        <v>52</v>
      </c>
      <c r="C23" s="117"/>
      <c r="D23" s="117"/>
      <c r="E23" s="117"/>
      <c r="F23" s="118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1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2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3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4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x14ac:dyDescent="0.3">
      <c r="A28" s="1"/>
      <c r="B28" s="26">
        <v>5</v>
      </c>
      <c r="C28" s="27"/>
      <c r="D28" s="29"/>
      <c r="E28" s="55"/>
      <c r="F28" s="55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thickBot="1" x14ac:dyDescent="0.35">
      <c r="A29" s="1"/>
      <c r="B29" s="119" t="s">
        <v>43</v>
      </c>
      <c r="C29" s="120"/>
      <c r="D29" s="120"/>
      <c r="E29" s="120"/>
      <c r="F29" s="130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3" t="s">
        <v>163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10" t="s">
        <v>160</v>
      </c>
      <c r="C31" s="114" t="s">
        <v>124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4" t="s">
        <v>161</v>
      </c>
      <c r="C32" s="114" t="s">
        <v>138</v>
      </c>
      <c r="D32" s="13"/>
      <c r="E32" s="13"/>
      <c r="F32" s="13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x14ac:dyDescent="0.3">
      <c r="A33" s="1"/>
      <c r="B33" s="15" t="s">
        <v>17</v>
      </c>
      <c r="C33" s="7"/>
      <c r="D33" s="7"/>
      <c r="E33" s="56">
        <v>4</v>
      </c>
      <c r="F33" s="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thickBot="1" x14ac:dyDescent="0.35">
      <c r="A34" s="1"/>
      <c r="B34" s="116" t="s">
        <v>18</v>
      </c>
      <c r="C34" s="117"/>
      <c r="D34" s="117"/>
      <c r="E34" s="117"/>
      <c r="F34" s="118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30">
        <v>1</v>
      </c>
      <c r="C35" s="31" t="s">
        <v>182</v>
      </c>
      <c r="D35" s="23"/>
      <c r="E35" s="57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2</v>
      </c>
      <c r="C36" s="27" t="s">
        <v>177</v>
      </c>
      <c r="D36" s="23"/>
      <c r="E36" s="57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3</v>
      </c>
      <c r="C37" s="27" t="s">
        <v>183</v>
      </c>
      <c r="D37" s="23"/>
      <c r="E37" s="57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4</v>
      </c>
      <c r="C38" s="27" t="s">
        <v>173</v>
      </c>
      <c r="D38" s="23"/>
      <c r="E38" s="57">
        <v>1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5</v>
      </c>
      <c r="C39" s="27" t="s">
        <v>181</v>
      </c>
      <c r="D39" s="23"/>
      <c r="E39" s="57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6</v>
      </c>
      <c r="C40" s="27" t="s">
        <v>180</v>
      </c>
      <c r="D40" s="23"/>
      <c r="E40" s="57">
        <v>1</v>
      </c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7</v>
      </c>
      <c r="C41" s="27" t="s">
        <v>179</v>
      </c>
      <c r="D41" s="23"/>
      <c r="E41" s="57">
        <v>1</v>
      </c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8</v>
      </c>
      <c r="C42" s="27" t="s">
        <v>184</v>
      </c>
      <c r="D42" s="23"/>
      <c r="E42" s="57">
        <v>1</v>
      </c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9</v>
      </c>
      <c r="C43" s="27" t="s">
        <v>190</v>
      </c>
      <c r="D43" s="23"/>
      <c r="E43" s="57">
        <v>1</v>
      </c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10</v>
      </c>
      <c r="C44" s="27" t="s">
        <v>191</v>
      </c>
      <c r="D44" s="23"/>
      <c r="E44" s="57">
        <v>1</v>
      </c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11</v>
      </c>
      <c r="C45" s="27" t="s">
        <v>192</v>
      </c>
      <c r="D45" s="23"/>
      <c r="E45" s="57">
        <v>1</v>
      </c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26">
        <v>12</v>
      </c>
      <c r="C46" s="27" t="s">
        <v>193</v>
      </c>
      <c r="D46" s="23"/>
      <c r="E46" s="57">
        <v>1</v>
      </c>
      <c r="F46" s="24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thickBot="1" x14ac:dyDescent="0.35">
      <c r="A47" s="1"/>
      <c r="B47" s="119" t="s">
        <v>19</v>
      </c>
      <c r="C47" s="120"/>
      <c r="D47" s="117"/>
      <c r="E47" s="120"/>
      <c r="F47" s="118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26">
        <v>1</v>
      </c>
      <c r="C48" s="27" t="s">
        <v>185</v>
      </c>
      <c r="D48" s="23"/>
      <c r="E48" s="55">
        <v>1</v>
      </c>
      <c r="F48" s="24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2</v>
      </c>
      <c r="C49" s="27"/>
      <c r="D49" s="23"/>
      <c r="E49" s="55"/>
      <c r="F49" s="24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3</v>
      </c>
      <c r="C50" s="27"/>
      <c r="D50" s="23"/>
      <c r="E50" s="55"/>
      <c r="F50" s="24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4</v>
      </c>
      <c r="C51" s="27"/>
      <c r="D51" s="23"/>
      <c r="E51" s="55"/>
      <c r="F51" s="24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thickBot="1" x14ac:dyDescent="0.35">
      <c r="A52" s="1"/>
      <c r="B52" s="119" t="s">
        <v>44</v>
      </c>
      <c r="C52" s="120"/>
      <c r="D52" s="117"/>
      <c r="E52" s="120"/>
      <c r="F52" s="118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14" t="s">
        <v>45</v>
      </c>
      <c r="C53" s="13"/>
      <c r="D53" s="13"/>
      <c r="E53" s="16"/>
      <c r="F53" s="13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thickBot="1" x14ac:dyDescent="0.35">
      <c r="A54" s="1"/>
      <c r="B54" s="116" t="s">
        <v>53</v>
      </c>
      <c r="C54" s="117"/>
      <c r="D54" s="117"/>
      <c r="E54" s="117"/>
      <c r="F54" s="118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20"/>
      <c r="B55" s="30">
        <v>1</v>
      </c>
      <c r="C55" s="31"/>
      <c r="D55" s="32"/>
      <c r="E55" s="57"/>
      <c r="F55" s="57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20"/>
      <c r="B56" s="30">
        <v>2</v>
      </c>
      <c r="C56" s="31"/>
      <c r="D56" s="32"/>
      <c r="E56" s="57"/>
      <c r="F56" s="57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20"/>
      <c r="B57" s="26">
        <v>3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20"/>
      <c r="B58" s="26">
        <v>4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thickBot="1" x14ac:dyDescent="0.35">
      <c r="A59" s="1"/>
      <c r="B59" s="116" t="s">
        <v>20</v>
      </c>
      <c r="C59" s="117"/>
      <c r="D59" s="117"/>
      <c r="E59" s="117"/>
      <c r="F59" s="118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6">
        <v>1</v>
      </c>
      <c r="C60" s="27"/>
      <c r="D60" s="28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26">
        <v>2</v>
      </c>
      <c r="C61" s="27"/>
      <c r="D61" s="28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26">
        <v>3</v>
      </c>
      <c r="C62" s="27"/>
      <c r="D62" s="28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26">
        <v>4</v>
      </c>
      <c r="C63" s="27"/>
      <c r="D63" s="28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26">
        <v>5</v>
      </c>
      <c r="C64" s="27"/>
      <c r="D64" s="28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26">
        <v>6</v>
      </c>
      <c r="C65" s="27"/>
      <c r="D65" s="28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25"/>
      <c r="C66" s="25"/>
      <c r="D66" s="25"/>
      <c r="E66" s="25"/>
      <c r="F66" s="2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57.75" customHeight="1" thickBot="1" x14ac:dyDescent="0.35">
      <c r="A68" s="1"/>
      <c r="B68" s="17" t="s">
        <v>55</v>
      </c>
      <c r="C68" s="17" t="s">
        <v>51</v>
      </c>
      <c r="D68" s="17" t="s">
        <v>56</v>
      </c>
      <c r="E68" s="18" t="s">
        <v>57</v>
      </c>
      <c r="F68" s="19" t="s">
        <v>21</v>
      </c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2">
        <v>1</v>
      </c>
      <c r="C69" s="27" t="s">
        <v>166</v>
      </c>
      <c r="D69" s="55">
        <v>2463.8200000000002</v>
      </c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2</v>
      </c>
      <c r="C70" s="27" t="s">
        <v>167</v>
      </c>
      <c r="D70" s="55">
        <v>859.58</v>
      </c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3</v>
      </c>
      <c r="C71" s="27" t="s">
        <v>168</v>
      </c>
      <c r="D71" s="55">
        <v>240</v>
      </c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4</v>
      </c>
      <c r="C72" s="27" t="s">
        <v>169</v>
      </c>
      <c r="D72" s="55">
        <f>6035-555.92</f>
        <v>5479.08</v>
      </c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0">
        <v>5</v>
      </c>
      <c r="C73" s="27" t="s">
        <v>170</v>
      </c>
      <c r="D73" s="55">
        <v>0</v>
      </c>
      <c r="E73" s="55"/>
      <c r="F73" s="55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0">
        <v>6</v>
      </c>
      <c r="C74" s="27" t="s">
        <v>171</v>
      </c>
      <c r="D74" s="55">
        <v>1000</v>
      </c>
      <c r="E74" s="55"/>
      <c r="F74" s="55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0">
        <v>7</v>
      </c>
      <c r="C75" s="27" t="s">
        <v>172</v>
      </c>
      <c r="D75" s="55">
        <v>4500</v>
      </c>
      <c r="E75" s="55"/>
      <c r="F75" s="55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0">
        <v>8</v>
      </c>
      <c r="C76" s="27"/>
      <c r="D76" s="55"/>
      <c r="E76" s="55"/>
      <c r="F76" s="55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0">
        <v>9</v>
      </c>
      <c r="C77" s="27"/>
      <c r="D77" s="55"/>
      <c r="E77" s="55"/>
      <c r="F77" s="55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0">
        <v>10</v>
      </c>
      <c r="C78" s="27"/>
      <c r="D78" s="55"/>
      <c r="E78" s="55"/>
      <c r="F78" s="55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4.95" customHeight="1" thickBot="1" x14ac:dyDescent="0.35">
      <c r="A79" s="1"/>
      <c r="B79" s="1"/>
      <c r="C79" s="1"/>
      <c r="D79" s="58"/>
      <c r="E79" s="58"/>
      <c r="F79" s="58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thickTop="1" x14ac:dyDescent="0.3">
      <c r="A80" s="1"/>
      <c r="B80" s="11"/>
      <c r="C80" s="4" t="s">
        <v>22</v>
      </c>
      <c r="D80" s="59">
        <f>SUM(D69:D79)</f>
        <v>14542.48</v>
      </c>
      <c r="E80" s="59">
        <f>SUM(E69:E79)</f>
        <v>0</v>
      </c>
      <c r="F80" s="59">
        <f>SUM(F69:F79)</f>
        <v>0</v>
      </c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  <row r="1012" spans="1:25" ht="13.5" customHeight="1" x14ac:dyDescent="0.3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</row>
    <row r="1013" spans="1:25" ht="13.5" customHeight="1" x14ac:dyDescent="0.3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</row>
    <row r="1014" spans="1:25" ht="13.5" customHeight="1" x14ac:dyDescent="0.3">
      <c r="A1014" s="1"/>
      <c r="B1014" s="1"/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</row>
    <row r="1015" spans="1:25" ht="13.5" customHeight="1" x14ac:dyDescent="0.3">
      <c r="A1015" s="1"/>
      <c r="B1015" s="1"/>
      <c r="C1015" s="1"/>
      <c r="D1015" s="1"/>
      <c r="E1015" s="1"/>
      <c r="F1015" s="1"/>
      <c r="G1015" s="1"/>
      <c r="H1015" s="1"/>
      <c r="I1015" s="1"/>
      <c r="J1015" s="1"/>
      <c r="K1015" s="1"/>
      <c r="L1015" s="1"/>
      <c r="M1015" s="1"/>
      <c r="N1015" s="1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"/>
    </row>
    <row r="1016" spans="1:25" ht="13.5" customHeight="1" x14ac:dyDescent="0.3">
      <c r="A1016" s="1"/>
      <c r="B1016" s="1"/>
      <c r="C1016" s="1"/>
      <c r="D1016" s="1"/>
      <c r="E1016" s="1"/>
      <c r="F1016" s="1"/>
      <c r="G1016" s="1"/>
      <c r="H1016" s="1"/>
      <c r="I1016" s="1"/>
      <c r="J1016" s="1"/>
      <c r="K1016" s="1"/>
      <c r="L1016" s="1"/>
      <c r="M1016" s="1"/>
      <c r="N1016" s="1"/>
      <c r="O1016" s="1"/>
      <c r="P1016" s="1"/>
      <c r="Q1016" s="1"/>
      <c r="R1016" s="1"/>
      <c r="S1016" s="1"/>
      <c r="T1016" s="1"/>
      <c r="U1016" s="1"/>
      <c r="V1016" s="1"/>
      <c r="W1016" s="1"/>
      <c r="X1016" s="1"/>
      <c r="Y1016" s="1"/>
    </row>
    <row r="1017" spans="1:25" ht="13.5" customHeight="1" x14ac:dyDescent="0.3">
      <c r="A1017" s="1"/>
      <c r="B1017" s="1"/>
      <c r="C1017" s="1"/>
      <c r="D1017" s="1"/>
      <c r="E1017" s="1"/>
      <c r="F1017" s="1"/>
      <c r="G1017" s="1"/>
      <c r="H1017" s="1"/>
      <c r="I1017" s="1"/>
      <c r="J1017" s="1"/>
      <c r="K1017" s="1"/>
      <c r="L1017" s="1"/>
      <c r="M1017" s="1"/>
      <c r="N1017" s="1"/>
      <c r="O1017" s="1"/>
      <c r="P1017" s="1"/>
      <c r="Q1017" s="1"/>
      <c r="R1017" s="1"/>
      <c r="S1017" s="1"/>
      <c r="T1017" s="1"/>
      <c r="U1017" s="1"/>
      <c r="V1017" s="1"/>
      <c r="W1017" s="1"/>
      <c r="X1017" s="1"/>
      <c r="Y1017" s="1"/>
    </row>
  </sheetData>
  <sheetProtection formatColumns="0" formatRows="0" sort="0" autoFilter="0"/>
  <mergeCells count="12">
    <mergeCell ref="B59:F59"/>
    <mergeCell ref="B52:F52"/>
    <mergeCell ref="B12:F12"/>
    <mergeCell ref="B13:F13"/>
    <mergeCell ref="B14:F14"/>
    <mergeCell ref="B15:F15"/>
    <mergeCell ref="B18:F18"/>
    <mergeCell ref="B23:F23"/>
    <mergeCell ref="B34:F34"/>
    <mergeCell ref="B29:F29"/>
    <mergeCell ref="B47:F47"/>
    <mergeCell ref="B54:F54"/>
  </mergeCells>
  <dataValidations count="1">
    <dataValidation type="decimal" operator="greaterThanOrEqual" allowBlank="1" showInputMessage="1" showErrorMessage="1" sqref="E33 E48:E51 E53 E24:F28 E55:F58 E60:F65 D69:F78 E35:E46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7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7620</xdr:colOff>
                    <xdr:row>18</xdr:row>
                    <xdr:rowOff>22860</xdr:rowOff>
                  </from>
                  <to>
                    <xdr:col>1</xdr:col>
                    <xdr:colOff>731520</xdr:colOff>
                    <xdr:row>18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784860</xdr:colOff>
                    <xdr:row>18</xdr:row>
                    <xdr:rowOff>22860</xdr:rowOff>
                  </from>
                  <to>
                    <xdr:col>1</xdr:col>
                    <xdr:colOff>1508760</xdr:colOff>
                    <xdr:row>18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7620</xdr:colOff>
                    <xdr:row>23</xdr:row>
                    <xdr:rowOff>22860</xdr:rowOff>
                  </from>
                  <to>
                    <xdr:col>1</xdr:col>
                    <xdr:colOff>731520</xdr:colOff>
                    <xdr:row>23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784860</xdr:colOff>
                    <xdr:row>23</xdr:row>
                    <xdr:rowOff>22860</xdr:rowOff>
                  </from>
                  <to>
                    <xdr:col>1</xdr:col>
                    <xdr:colOff>1508760</xdr:colOff>
                    <xdr:row>23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7620</xdr:colOff>
                    <xdr:row>34</xdr:row>
                    <xdr:rowOff>22860</xdr:rowOff>
                  </from>
                  <to>
                    <xdr:col>1</xdr:col>
                    <xdr:colOff>731520</xdr:colOff>
                    <xdr:row>34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784860</xdr:colOff>
                    <xdr:row>34</xdr:row>
                    <xdr:rowOff>22860</xdr:rowOff>
                  </from>
                  <to>
                    <xdr:col>1</xdr:col>
                    <xdr:colOff>1508760</xdr:colOff>
                    <xdr:row>34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7620</xdr:colOff>
                    <xdr:row>47</xdr:row>
                    <xdr:rowOff>22860</xdr:rowOff>
                  </from>
                  <to>
                    <xdr:col>1</xdr:col>
                    <xdr:colOff>731520</xdr:colOff>
                    <xdr:row>47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784860</xdr:colOff>
                    <xdr:row>47</xdr:row>
                    <xdr:rowOff>22860</xdr:rowOff>
                  </from>
                  <to>
                    <xdr:col>1</xdr:col>
                    <xdr:colOff>1508760</xdr:colOff>
                    <xdr:row>47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7620</xdr:colOff>
                    <xdr:row>54</xdr:row>
                    <xdr:rowOff>22860</xdr:rowOff>
                  </from>
                  <to>
                    <xdr:col>1</xdr:col>
                    <xdr:colOff>731520</xdr:colOff>
                    <xdr:row>54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784860</xdr:colOff>
                    <xdr:row>54</xdr:row>
                    <xdr:rowOff>22860</xdr:rowOff>
                  </from>
                  <to>
                    <xdr:col>1</xdr:col>
                    <xdr:colOff>1508760</xdr:colOff>
                    <xdr:row>54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7620</xdr:colOff>
                    <xdr:row>59</xdr:row>
                    <xdr:rowOff>22860</xdr:rowOff>
                  </from>
                  <to>
                    <xdr:col>1</xdr:col>
                    <xdr:colOff>731520</xdr:colOff>
                    <xdr:row>59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784860</xdr:colOff>
                    <xdr:row>59</xdr:row>
                    <xdr:rowOff>22860</xdr:rowOff>
                  </from>
                  <to>
                    <xdr:col>1</xdr:col>
                    <xdr:colOff>1508760</xdr:colOff>
                    <xdr:row>59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7620</xdr:colOff>
                    <xdr:row>68</xdr:row>
                    <xdr:rowOff>22860</xdr:rowOff>
                  </from>
                  <to>
                    <xdr:col>1</xdr:col>
                    <xdr:colOff>731520</xdr:colOff>
                    <xdr:row>68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784860</xdr:colOff>
                    <xdr:row>68</xdr:row>
                    <xdr:rowOff>22860</xdr:rowOff>
                  </from>
                  <to>
                    <xdr:col>1</xdr:col>
                    <xdr:colOff>1508760</xdr:colOff>
                    <xdr:row>68</xdr:row>
                    <xdr:rowOff>160020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C32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C30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6"/>
  <sheetViews>
    <sheetView topLeftCell="B1" workbookViewId="0">
      <selection activeCell="J12" sqref="J12:J25"/>
    </sheetView>
  </sheetViews>
  <sheetFormatPr defaultColWidth="14.44140625" defaultRowHeight="15" customHeight="1" outlineLevelRow="1" x14ac:dyDescent="0.3"/>
  <cols>
    <col min="1" max="1" width="4.109375" style="35" customWidth="1"/>
    <col min="2" max="2" width="23.5546875" style="35" customWidth="1"/>
    <col min="3" max="3" width="30.5546875" style="35" bestFit="1" customWidth="1"/>
    <col min="4" max="7" width="18.109375" style="35" customWidth="1"/>
    <col min="8" max="8" width="14.109375" style="35" customWidth="1"/>
    <col min="9" max="9" width="13.5546875" style="35" customWidth="1"/>
    <col min="10" max="10" width="9.88671875" style="35" bestFit="1" customWidth="1"/>
    <col min="11" max="19" width="8.6640625" style="35" customWidth="1"/>
    <col min="20" max="16384" width="14.44140625" style="35"/>
  </cols>
  <sheetData>
    <row r="1" spans="1:20" ht="12.75" customHeight="1" x14ac:dyDescent="0.3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15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5" customHeight="1" x14ac:dyDescent="0.3">
      <c r="A8" s="33"/>
      <c r="B8" s="131" t="s">
        <v>64</v>
      </c>
      <c r="C8" s="132"/>
      <c r="D8" s="132"/>
      <c r="E8" s="132"/>
      <c r="F8" s="132"/>
      <c r="G8" s="132"/>
      <c r="H8" s="132"/>
      <c r="I8" s="132"/>
      <c r="J8" s="133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3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3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4.4" x14ac:dyDescent="0.3">
      <c r="B11" s="42">
        <v>1</v>
      </c>
      <c r="C11" s="69" t="s">
        <v>196</v>
      </c>
      <c r="D11" s="27"/>
      <c r="E11" s="27"/>
      <c r="F11" s="55"/>
      <c r="G11" s="55"/>
      <c r="H11" s="55">
        <v>1</v>
      </c>
      <c r="I11" s="55">
        <v>560</v>
      </c>
      <c r="J11" s="55">
        <f>H11*I11</f>
        <v>560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4.4" x14ac:dyDescent="0.3">
      <c r="B12" s="42">
        <v>2</v>
      </c>
      <c r="C12" s="27" t="s">
        <v>186</v>
      </c>
      <c r="D12" s="27"/>
      <c r="E12" s="27"/>
      <c r="F12" s="55"/>
      <c r="G12" s="55"/>
      <c r="H12" s="55">
        <v>3</v>
      </c>
      <c r="I12" s="55">
        <v>50.67</v>
      </c>
      <c r="J12" s="55">
        <f t="shared" ref="J12:J25" si="0">H12*I12</f>
        <v>152.01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4.4" x14ac:dyDescent="0.3">
      <c r="B13" s="42">
        <v>3</v>
      </c>
      <c r="C13" s="27" t="s">
        <v>197</v>
      </c>
      <c r="D13" s="27"/>
      <c r="E13" s="27"/>
      <c r="F13" s="55"/>
      <c r="G13" s="55"/>
      <c r="H13" s="55">
        <v>5</v>
      </c>
      <c r="I13" s="55">
        <v>3</v>
      </c>
      <c r="J13" s="55">
        <f t="shared" si="0"/>
        <v>15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4.4" x14ac:dyDescent="0.3">
      <c r="B14" s="42">
        <v>4</v>
      </c>
      <c r="C14" s="27" t="s">
        <v>198</v>
      </c>
      <c r="D14" s="27"/>
      <c r="E14" s="27"/>
      <c r="F14" s="55"/>
      <c r="G14" s="55"/>
      <c r="H14" s="55">
        <v>2</v>
      </c>
      <c r="I14" s="55">
        <v>4</v>
      </c>
      <c r="J14" s="55">
        <f t="shared" si="0"/>
        <v>8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4.4" x14ac:dyDescent="0.3">
      <c r="B15" s="42">
        <v>5</v>
      </c>
      <c r="C15" s="27" t="s">
        <v>199</v>
      </c>
      <c r="D15" s="27"/>
      <c r="E15" s="27"/>
      <c r="F15" s="55"/>
      <c r="G15" s="55"/>
      <c r="H15" s="55">
        <v>7</v>
      </c>
      <c r="I15" s="55">
        <v>1.71</v>
      </c>
      <c r="J15" s="55">
        <f t="shared" si="0"/>
        <v>11.969999999999999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4.4" x14ac:dyDescent="0.3">
      <c r="B16" s="42">
        <v>6</v>
      </c>
      <c r="C16" s="27" t="s">
        <v>200</v>
      </c>
      <c r="D16" s="27"/>
      <c r="E16" s="27"/>
      <c r="F16" s="55"/>
      <c r="G16" s="55"/>
      <c r="H16" s="55">
        <v>5</v>
      </c>
      <c r="I16" s="55">
        <v>262.95999999999998</v>
      </c>
      <c r="J16" s="55">
        <f t="shared" si="0"/>
        <v>1314.8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201</v>
      </c>
      <c r="D17" s="27"/>
      <c r="E17" s="27"/>
      <c r="F17" s="55"/>
      <c r="G17" s="55"/>
      <c r="H17" s="55">
        <v>7</v>
      </c>
      <c r="I17" s="55">
        <v>10</v>
      </c>
      <c r="J17" s="55">
        <f t="shared" si="0"/>
        <v>70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4.4" x14ac:dyDescent="0.3">
      <c r="B18" s="42">
        <v>8</v>
      </c>
      <c r="C18" s="27" t="s">
        <v>202</v>
      </c>
      <c r="D18" s="27"/>
      <c r="E18" s="27"/>
      <c r="F18" s="55"/>
      <c r="G18" s="55"/>
      <c r="H18" s="55">
        <v>2</v>
      </c>
      <c r="I18" s="55">
        <v>160</v>
      </c>
      <c r="J18" s="55">
        <f t="shared" si="0"/>
        <v>320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 t="s">
        <v>203</v>
      </c>
      <c r="D19" s="27"/>
      <c r="E19" s="27"/>
      <c r="F19" s="55"/>
      <c r="G19" s="55"/>
      <c r="H19" s="55">
        <v>8</v>
      </c>
      <c r="I19" s="55">
        <v>2</v>
      </c>
      <c r="J19" s="55">
        <f t="shared" si="0"/>
        <v>16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4.4" x14ac:dyDescent="0.3">
      <c r="B20" s="42">
        <v>10</v>
      </c>
      <c r="C20" s="27" t="s">
        <v>204</v>
      </c>
      <c r="D20" s="27"/>
      <c r="E20" s="27"/>
      <c r="F20" s="55"/>
      <c r="G20" s="55"/>
      <c r="H20" s="55">
        <v>4</v>
      </c>
      <c r="I20" s="55">
        <v>0.73</v>
      </c>
      <c r="J20" s="55">
        <f t="shared" si="0"/>
        <v>2.92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4.4" x14ac:dyDescent="0.3">
      <c r="B21" s="42">
        <v>11</v>
      </c>
      <c r="C21" s="27" t="s">
        <v>187</v>
      </c>
      <c r="D21" s="27"/>
      <c r="E21" s="27"/>
      <c r="F21" s="55"/>
      <c r="G21" s="55"/>
      <c r="H21" s="55">
        <v>3</v>
      </c>
      <c r="I21" s="55">
        <v>144.66999999999999</v>
      </c>
      <c r="J21" s="55">
        <f t="shared" si="0"/>
        <v>434.01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4.4" x14ac:dyDescent="0.3">
      <c r="B22" s="42">
        <v>12</v>
      </c>
      <c r="C22" s="27" t="s">
        <v>174</v>
      </c>
      <c r="D22" s="27"/>
      <c r="E22" s="27"/>
      <c r="F22" s="55"/>
      <c r="G22" s="55"/>
      <c r="H22" s="55">
        <v>2</v>
      </c>
      <c r="I22" s="55">
        <v>20.149999999999999</v>
      </c>
      <c r="J22" s="55">
        <f t="shared" si="0"/>
        <v>40.299999999999997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4.4" x14ac:dyDescent="0.3">
      <c r="B23" s="42">
        <v>13</v>
      </c>
      <c r="C23" s="27" t="s">
        <v>205</v>
      </c>
      <c r="D23" s="27"/>
      <c r="E23" s="27"/>
      <c r="F23" s="55"/>
      <c r="G23" s="55"/>
      <c r="H23" s="55">
        <v>4</v>
      </c>
      <c r="I23" s="55">
        <v>14.73</v>
      </c>
      <c r="J23" s="55">
        <f t="shared" si="0"/>
        <v>58.92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4.4" x14ac:dyDescent="0.3">
      <c r="B24" s="42">
        <v>14</v>
      </c>
      <c r="C24" s="27" t="s">
        <v>188</v>
      </c>
      <c r="D24" s="27"/>
      <c r="E24" s="27"/>
      <c r="F24" s="55"/>
      <c r="G24" s="55"/>
      <c r="H24" s="55">
        <v>3</v>
      </c>
      <c r="I24" s="55">
        <v>5.0720000000000001</v>
      </c>
      <c r="J24" s="55">
        <f t="shared" si="0"/>
        <v>15.216000000000001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4.4" x14ac:dyDescent="0.3">
      <c r="B25" s="42">
        <v>15</v>
      </c>
      <c r="C25" s="27" t="s">
        <v>206</v>
      </c>
      <c r="D25" s="27"/>
      <c r="E25" s="27"/>
      <c r="F25" s="55"/>
      <c r="G25" s="55"/>
      <c r="H25" s="55">
        <v>1</v>
      </c>
      <c r="I25" s="55">
        <v>4.67</v>
      </c>
      <c r="J25" s="55">
        <f t="shared" si="0"/>
        <v>4.67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A26" s="33"/>
      <c r="B26" s="34"/>
      <c r="C26" s="34"/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</row>
    <row r="27" spans="1:20" ht="15.75" customHeight="1" x14ac:dyDescent="0.3"/>
    <row r="28" spans="1:20" ht="15.75" customHeight="1" x14ac:dyDescent="0.3"/>
    <row r="29" spans="1:20" ht="15.75" customHeight="1" x14ac:dyDescent="0.3"/>
    <row r="30" spans="1:20" ht="15.75" customHeight="1" x14ac:dyDescent="0.3"/>
    <row r="31" spans="1:20" ht="15.75" customHeight="1" x14ac:dyDescent="0.3"/>
    <row r="32" spans="1:20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</sheetData>
  <sheetProtection password="C2E9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5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7620</xdr:colOff>
                    <xdr:row>10</xdr:row>
                    <xdr:rowOff>7620</xdr:rowOff>
                  </from>
                  <to>
                    <xdr:col>1</xdr:col>
                    <xdr:colOff>731520</xdr:colOff>
                    <xdr:row>10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769620</xdr:colOff>
                    <xdr:row>10</xdr:row>
                    <xdr:rowOff>7620</xdr:rowOff>
                  </from>
                  <to>
                    <xdr:col>1</xdr:col>
                    <xdr:colOff>1493520</xdr:colOff>
                    <xdr:row>10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1"/>
  <sheetViews>
    <sheetView workbookViewId="0">
      <selection activeCell="F16" sqref="F16:F21"/>
    </sheetView>
  </sheetViews>
  <sheetFormatPr defaultColWidth="14.44140625" defaultRowHeight="15" customHeight="1" outlineLevelRow="1" x14ac:dyDescent="0.3"/>
  <cols>
    <col min="1" max="1" width="2.44140625" style="35" customWidth="1"/>
    <col min="2" max="2" width="27" style="35" customWidth="1"/>
    <col min="3" max="3" width="48.77734375" style="35" bestFit="1" customWidth="1"/>
    <col min="4" max="4" width="22.44140625" style="35" bestFit="1" customWidth="1"/>
    <col min="5" max="5" width="10.44140625" style="35" customWidth="1"/>
    <col min="6" max="6" width="18.33203125" style="35" customWidth="1"/>
    <col min="7" max="7" width="26.88671875" style="35" bestFit="1" customWidth="1"/>
    <col min="8" max="16" width="8.6640625" style="35" customWidth="1"/>
    <col min="17" max="16384" width="14.441406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10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4" t="s">
        <v>23</v>
      </c>
      <c r="C7" s="135"/>
      <c r="D7" s="135"/>
      <c r="E7" s="135"/>
      <c r="F7" s="135"/>
      <c r="G7" s="136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0" t="s">
        <v>24</v>
      </c>
      <c r="C8" s="141"/>
      <c r="D8" s="141"/>
      <c r="E8" s="141"/>
      <c r="F8" s="141"/>
      <c r="G8" s="142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0" t="s">
        <v>69</v>
      </c>
      <c r="C9" s="141"/>
      <c r="D9" s="141"/>
      <c r="E9" s="141"/>
      <c r="F9" s="141"/>
      <c r="G9" s="142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0" t="s">
        <v>25</v>
      </c>
      <c r="C10" s="141"/>
      <c r="D10" s="141"/>
      <c r="E10" s="141"/>
      <c r="F10" s="141"/>
      <c r="G10" s="142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0" t="s">
        <v>26</v>
      </c>
      <c r="C11" s="141"/>
      <c r="D11" s="141"/>
      <c r="E11" s="141"/>
      <c r="F11" s="141"/>
      <c r="G11" s="142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3" t="s">
        <v>27</v>
      </c>
      <c r="C12" s="144"/>
      <c r="D12" s="144"/>
      <c r="E12" s="144"/>
      <c r="F12" s="144"/>
      <c r="G12" s="145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7" t="s">
        <v>72</v>
      </c>
      <c r="C15" s="138"/>
      <c r="D15" s="138"/>
      <c r="E15" s="138"/>
      <c r="F15" s="138"/>
      <c r="G15" s="1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207</v>
      </c>
      <c r="D16" s="70" t="s">
        <v>175</v>
      </c>
      <c r="E16" s="55">
        <v>2</v>
      </c>
      <c r="F16" s="55">
        <v>14</v>
      </c>
      <c r="G16" s="55">
        <f>+E16*F16</f>
        <v>28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4" x14ac:dyDescent="0.3">
      <c r="B17" s="68">
        <v>2</v>
      </c>
      <c r="C17" s="69" t="s">
        <v>178</v>
      </c>
      <c r="D17" s="70" t="s">
        <v>175</v>
      </c>
      <c r="E17" s="55">
        <v>1</v>
      </c>
      <c r="F17" s="55">
        <v>13.18</v>
      </c>
      <c r="G17" s="55">
        <f t="shared" ref="G17:G25" si="0">+E17*F17</f>
        <v>13.18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42" x14ac:dyDescent="0.3">
      <c r="B18" s="68">
        <v>3</v>
      </c>
      <c r="C18" s="69" t="s">
        <v>189</v>
      </c>
      <c r="D18" s="70" t="s">
        <v>176</v>
      </c>
      <c r="E18" s="55">
        <v>32</v>
      </c>
      <c r="F18" s="55">
        <v>1.51</v>
      </c>
      <c r="G18" s="55">
        <f t="shared" si="0"/>
        <v>48.32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208</v>
      </c>
      <c r="D19" s="70" t="s">
        <v>211</v>
      </c>
      <c r="E19" s="55">
        <v>1</v>
      </c>
      <c r="F19" s="55">
        <v>111.6</v>
      </c>
      <c r="G19" s="55">
        <f t="shared" si="0"/>
        <v>111.6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209</v>
      </c>
      <c r="D20" s="70" t="s">
        <v>176</v>
      </c>
      <c r="E20" s="55">
        <v>3</v>
      </c>
      <c r="F20" s="55">
        <v>20.04</v>
      </c>
      <c r="G20" s="55">
        <f t="shared" si="0"/>
        <v>60.12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210</v>
      </c>
      <c r="D21" s="70" t="s">
        <v>176</v>
      </c>
      <c r="E21" s="55">
        <v>2</v>
      </c>
      <c r="F21" s="55">
        <v>19.18</v>
      </c>
      <c r="G21" s="55">
        <f t="shared" si="0"/>
        <v>38.36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4" x14ac:dyDescent="0.3">
      <c r="B22" s="68">
        <v>7</v>
      </c>
      <c r="C22" s="69"/>
      <c r="D22" s="70"/>
      <c r="E22" s="55"/>
      <c r="F22" s="55"/>
      <c r="G22" s="55">
        <f t="shared" si="0"/>
        <v>0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4" x14ac:dyDescent="0.3">
      <c r="B23" s="68">
        <v>8</v>
      </c>
      <c r="C23" s="69"/>
      <c r="D23" s="70"/>
      <c r="E23" s="55"/>
      <c r="F23" s="55"/>
      <c r="G23" s="55">
        <f t="shared" si="0"/>
        <v>0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>
        <f t="shared" si="0"/>
        <v>0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>
        <f t="shared" si="0"/>
        <v>0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137" t="s">
        <v>76</v>
      </c>
      <c r="C26" s="138"/>
      <c r="D26" s="138"/>
      <c r="E26" s="138"/>
      <c r="F26" s="138"/>
      <c r="G26" s="139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1</v>
      </c>
      <c r="C27" s="69"/>
      <c r="D27" s="70"/>
      <c r="E27" s="55"/>
      <c r="F27" s="55"/>
      <c r="G27" s="55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2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3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4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5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6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1:16" ht="14.25" customHeight="1" x14ac:dyDescent="0.3">
      <c r="B33" s="68">
        <v>7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1:16" ht="14.25" customHeight="1" x14ac:dyDescent="0.3">
      <c r="B34" s="68">
        <v>8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1:16" ht="14.25" customHeight="1" x14ac:dyDescent="0.3">
      <c r="B35" s="68">
        <v>9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1:16" ht="14.25" customHeight="1" x14ac:dyDescent="0.3">
      <c r="B36" s="68">
        <v>10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1:16" ht="14.25" customHeight="1" x14ac:dyDescent="0.3">
      <c r="B37" s="137" t="s">
        <v>29</v>
      </c>
      <c r="C37" s="138"/>
      <c r="D37" s="138"/>
      <c r="E37" s="138"/>
      <c r="F37" s="138"/>
      <c r="G37" s="139"/>
      <c r="H37" s="39"/>
      <c r="I37" s="39"/>
      <c r="J37" s="39"/>
      <c r="K37" s="39"/>
      <c r="L37" s="39"/>
      <c r="M37" s="39"/>
      <c r="N37" s="39"/>
      <c r="O37" s="39"/>
      <c r="P37" s="39"/>
    </row>
    <row r="38" spans="1:16" ht="14.25" customHeight="1" x14ac:dyDescent="0.3">
      <c r="B38" s="68">
        <v>1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1:16" ht="14.25" customHeight="1" x14ac:dyDescent="0.3">
      <c r="B39" s="68">
        <v>2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1:16" ht="14.25" customHeight="1" x14ac:dyDescent="0.3">
      <c r="B40" s="68">
        <v>3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1:16" ht="14.25" customHeight="1" x14ac:dyDescent="0.3">
      <c r="B41" s="68">
        <v>4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1:16" ht="14.25" customHeight="1" x14ac:dyDescent="0.3">
      <c r="B42" s="68">
        <v>5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1:16" ht="14.25" customHeight="1" x14ac:dyDescent="0.3">
      <c r="B43" s="68">
        <v>6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1:16" ht="14.25" customHeight="1" x14ac:dyDescent="0.3">
      <c r="B44" s="68">
        <v>7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1:16" ht="14.25" customHeight="1" x14ac:dyDescent="0.3">
      <c r="B45" s="68">
        <v>8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1:16" ht="14.25" customHeight="1" x14ac:dyDescent="0.3">
      <c r="B46" s="68">
        <v>9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1:16" ht="14.25" customHeight="1" x14ac:dyDescent="0.3">
      <c r="B47" s="68">
        <v>10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1:16" ht="14.25" customHeight="1" x14ac:dyDescent="0.3">
      <c r="A48" s="44"/>
      <c r="B48" s="39"/>
      <c r="C48" s="44"/>
      <c r="D48" s="39"/>
      <c r="E48" s="39"/>
      <c r="F48" s="39"/>
      <c r="G48" s="39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5.75" customHeight="1" x14ac:dyDescent="0.3"/>
    <row r="51" spans="1:16" ht="15.75" customHeight="1" x14ac:dyDescent="0.3"/>
    <row r="52" spans="1:16" ht="15.75" customHeight="1" x14ac:dyDescent="0.3"/>
    <row r="53" spans="1:16" ht="15.75" customHeight="1" x14ac:dyDescent="0.3"/>
    <row r="54" spans="1:16" ht="15.75" customHeight="1" x14ac:dyDescent="0.3"/>
    <row r="55" spans="1:16" ht="15.75" customHeight="1" x14ac:dyDescent="0.3"/>
    <row r="56" spans="1:16" ht="15.75" customHeight="1" x14ac:dyDescent="0.3"/>
    <row r="57" spans="1:16" ht="15.75" customHeight="1" x14ac:dyDescent="0.3"/>
    <row r="58" spans="1:16" ht="15.75" customHeight="1" x14ac:dyDescent="0.3"/>
    <row r="59" spans="1:16" ht="15.75" customHeight="1" x14ac:dyDescent="0.3"/>
    <row r="60" spans="1:16" ht="15.75" customHeight="1" x14ac:dyDescent="0.3"/>
    <row r="61" spans="1:16" ht="15.75" customHeight="1" x14ac:dyDescent="0.3"/>
    <row r="62" spans="1:16" ht="15.75" customHeight="1" x14ac:dyDescent="0.3"/>
    <row r="63" spans="1:16" ht="15.75" customHeight="1" x14ac:dyDescent="0.3"/>
    <row r="64" spans="1:16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</sheetData>
  <sheetProtection password="C2E9" sheet="1" objects="1" scenarios="1" formatColumns="0" formatRows="0" sort="0" autoFilter="0"/>
  <mergeCells count="9">
    <mergeCell ref="B7:G7"/>
    <mergeCell ref="B26:G26"/>
    <mergeCell ref="B37:G37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7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45720</xdr:colOff>
                    <xdr:row>15</xdr:row>
                    <xdr:rowOff>30480</xdr:rowOff>
                  </from>
                  <to>
                    <xdr:col>1</xdr:col>
                    <xdr:colOff>769620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822960</xdr:colOff>
                    <xdr:row>15</xdr:row>
                    <xdr:rowOff>30480</xdr:rowOff>
                  </from>
                  <to>
                    <xdr:col>1</xdr:col>
                    <xdr:colOff>1546860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26</xdr:row>
                    <xdr:rowOff>30480</xdr:rowOff>
                  </from>
                  <to>
                    <xdr:col>1</xdr:col>
                    <xdr:colOff>762000</xdr:colOff>
                    <xdr:row>26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807720</xdr:colOff>
                    <xdr:row>26</xdr:row>
                    <xdr:rowOff>30480</xdr:rowOff>
                  </from>
                  <to>
                    <xdr:col>1</xdr:col>
                    <xdr:colOff>1531620</xdr:colOff>
                    <xdr:row>26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45720</xdr:colOff>
                    <xdr:row>37</xdr:row>
                    <xdr:rowOff>30480</xdr:rowOff>
                  </from>
                  <to>
                    <xdr:col>1</xdr:col>
                    <xdr:colOff>769620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822960</xdr:colOff>
                    <xdr:row>37</xdr:row>
                    <xdr:rowOff>30480</xdr:rowOff>
                  </from>
                  <to>
                    <xdr:col>1</xdr:col>
                    <xdr:colOff>1546860</xdr:colOff>
                    <xdr:row>38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workbookViewId="0">
      <selection activeCell="C17" sqref="C17:J19"/>
    </sheetView>
  </sheetViews>
  <sheetFormatPr defaultColWidth="14.44140625" defaultRowHeight="15" customHeight="1" outlineLevelRow="1" x14ac:dyDescent="0.25"/>
  <cols>
    <col min="1" max="1" width="2.88671875" style="40" customWidth="1"/>
    <col min="2" max="2" width="26" style="40" customWidth="1"/>
    <col min="3" max="3" width="26.44140625" style="40" customWidth="1"/>
    <col min="4" max="7" width="12.109375" style="40" customWidth="1"/>
    <col min="8" max="8" width="13.44140625" style="40" customWidth="1"/>
    <col min="9" max="14" width="12.109375" style="40" customWidth="1"/>
    <col min="15" max="15" width="1.109375" style="40" customWidth="1"/>
    <col min="16" max="16" width="12.109375" style="40" customWidth="1"/>
    <col min="17" max="26" width="8.6640625" style="40" customWidth="1"/>
    <col min="27" max="16384" width="14.44140625" style="40"/>
  </cols>
  <sheetData>
    <row r="1" spans="2:26" ht="12.75" customHeight="1" x14ac:dyDescent="0.25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25">
      <c r="B2" s="79" t="s">
        <v>77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25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25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25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25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25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25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25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25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25">
      <c r="B11" s="87"/>
      <c r="C11" s="87"/>
      <c r="D11" s="146" t="s">
        <v>32</v>
      </c>
      <c r="E11" s="147"/>
      <c r="F11" s="147"/>
      <c r="G11" s="147"/>
      <c r="H11" s="147"/>
      <c r="I11" s="147"/>
      <c r="J11" s="147"/>
      <c r="K11" s="147"/>
      <c r="L11" s="147"/>
      <c r="M11" s="147"/>
      <c r="N11" s="148"/>
      <c r="P11" s="149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25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50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25">
      <c r="B13" s="43">
        <v>1</v>
      </c>
      <c r="C13" s="69" t="s">
        <v>41</v>
      </c>
      <c r="D13" s="55">
        <v>25</v>
      </c>
      <c r="E13" s="55"/>
      <c r="F13" s="55"/>
      <c r="G13" s="55">
        <v>40</v>
      </c>
      <c r="H13" s="55"/>
      <c r="I13" s="55"/>
      <c r="J13" s="55"/>
      <c r="K13" s="55"/>
      <c r="L13" s="55"/>
      <c r="M13" s="55"/>
      <c r="N13" s="55"/>
      <c r="P13" s="88">
        <f>SUM(D13:N13)</f>
        <v>65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25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>
        <v>300</v>
      </c>
      <c r="L14" s="55"/>
      <c r="M14" s="55"/>
      <c r="N14" s="55"/>
      <c r="P14" s="88">
        <f t="shared" ref="P14:P22" si="0">SUM(D14:N14)</f>
        <v>300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25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25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25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25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25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25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25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25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25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25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25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25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25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25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25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25">
      <c r="B30" s="43"/>
      <c r="C30" s="41" t="s">
        <v>42</v>
      </c>
      <c r="D30" s="88">
        <f t="shared" ref="D30:N30" si="1">SUM(D13:D22)</f>
        <v>25</v>
      </c>
      <c r="E30" s="88">
        <f t="shared" si="1"/>
        <v>0</v>
      </c>
      <c r="F30" s="88">
        <f t="shared" si="1"/>
        <v>0</v>
      </c>
      <c r="G30" s="88">
        <f t="shared" si="1"/>
        <v>40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300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365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25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30480</xdr:colOff>
                    <xdr:row>12</xdr:row>
                    <xdr:rowOff>7620</xdr:rowOff>
                  </from>
                  <to>
                    <xdr:col>1</xdr:col>
                    <xdr:colOff>754380</xdr:colOff>
                    <xdr:row>12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792480</xdr:colOff>
                    <xdr:row>12</xdr:row>
                    <xdr:rowOff>7620</xdr:rowOff>
                  </from>
                  <to>
                    <xdr:col>1</xdr:col>
                    <xdr:colOff>1516380</xdr:colOff>
                    <xdr:row>12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09375" defaultRowHeight="14.4" x14ac:dyDescent="0.3"/>
  <cols>
    <col min="1" max="1" width="15.88671875" style="95" customWidth="1"/>
    <col min="2" max="2" width="36.109375" style="95" customWidth="1"/>
    <col min="3" max="3" width="59.5546875" style="95" bestFit="1" customWidth="1"/>
    <col min="4" max="4" width="13.5546875" style="95" customWidth="1"/>
    <col min="5" max="5" width="14.6640625" style="95" bestFit="1" customWidth="1"/>
    <col min="6" max="6" width="27.88671875" style="95" bestFit="1" customWidth="1"/>
    <col min="7" max="7" width="38.44140625" style="95" bestFit="1" customWidth="1"/>
    <col min="8" max="9" width="14.6640625" style="95" customWidth="1"/>
    <col min="10" max="16384" width="9.109375" style="95"/>
  </cols>
  <sheetData>
    <row r="1" spans="1:9" ht="15" thickBot="1" x14ac:dyDescent="0.35">
      <c r="E1" s="93"/>
      <c r="F1" s="111" t="str">
        <f>'1.1 Case data_general'!$C$30</f>
        <v>Level II and III</v>
      </c>
      <c r="G1" s="112" t="str">
        <f>'1.1 Case data_general'!$C$31</f>
        <v>Clinical/Medical services</v>
      </c>
      <c r="H1" s="93"/>
      <c r="I1" s="93"/>
    </row>
    <row r="2" spans="1:9" ht="15.6" thickTop="1" thickBot="1" x14ac:dyDescent="0.35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x14ac:dyDescent="0.3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3">
      <c r="E118"/>
      <c r="F118"/>
      <c r="G118"/>
      <c r="H118"/>
      <c r="I118"/>
    </row>
    <row r="119" spans="1:9" x14ac:dyDescent="0.3">
      <c r="E119"/>
      <c r="F119"/>
      <c r="G119"/>
      <c r="H119"/>
      <c r="I119"/>
    </row>
    <row r="120" spans="1:9" x14ac:dyDescent="0.3">
      <c r="E120"/>
      <c r="F120"/>
      <c r="G120"/>
      <c r="H120"/>
      <c r="I120"/>
    </row>
    <row r="121" spans="1:9" x14ac:dyDescent="0.3">
      <c r="E121"/>
      <c r="F121"/>
      <c r="G121"/>
      <c r="H121"/>
      <c r="I121"/>
    </row>
    <row r="122" spans="1:9" x14ac:dyDescent="0.3">
      <c r="E122"/>
      <c r="F122"/>
      <c r="G122"/>
      <c r="H122"/>
      <c r="I122"/>
    </row>
    <row r="123" spans="1:9" x14ac:dyDescent="0.3">
      <c r="E123"/>
      <c r="F123"/>
      <c r="G123"/>
      <c r="H123"/>
      <c r="I123"/>
    </row>
    <row r="124" spans="1:9" x14ac:dyDescent="0.3">
      <c r="E124"/>
      <c r="F124"/>
      <c r="G124"/>
      <c r="H124"/>
      <c r="I124"/>
    </row>
    <row r="125" spans="1:9" x14ac:dyDescent="0.3">
      <c r="E125"/>
      <c r="F125"/>
      <c r="G125"/>
      <c r="H125"/>
      <c r="I125"/>
    </row>
    <row r="126" spans="1:9" x14ac:dyDescent="0.3">
      <c r="E126"/>
      <c r="F126"/>
      <c r="G126"/>
      <c r="H126"/>
      <c r="I126"/>
    </row>
    <row r="127" spans="1:9" x14ac:dyDescent="0.3">
      <c r="E127"/>
      <c r="F127"/>
      <c r="G127"/>
      <c r="H127"/>
      <c r="I127"/>
    </row>
    <row r="128" spans="1:9" x14ac:dyDescent="0.3">
      <c r="E128"/>
      <c r="F128"/>
      <c r="G128"/>
      <c r="H128"/>
      <c r="I128"/>
    </row>
    <row r="129" spans="5:9" x14ac:dyDescent="0.3">
      <c r="E129"/>
      <c r="F129"/>
      <c r="G129"/>
      <c r="H129"/>
      <c r="I129"/>
    </row>
    <row r="130" spans="5:9" x14ac:dyDescent="0.3">
      <c r="E130"/>
      <c r="F130"/>
      <c r="G130"/>
      <c r="H130"/>
      <c r="I130"/>
    </row>
    <row r="131" spans="5:9" x14ac:dyDescent="0.3">
      <c r="E131"/>
      <c r="F131"/>
      <c r="G131"/>
      <c r="H131"/>
      <c r="I131"/>
    </row>
    <row r="132" spans="5:9" x14ac:dyDescent="0.3">
      <c r="E132"/>
      <c r="F132"/>
      <c r="G132"/>
      <c r="H132"/>
      <c r="I132"/>
    </row>
    <row r="133" spans="5:9" x14ac:dyDescent="0.3">
      <c r="E133"/>
      <c r="F133"/>
      <c r="G133"/>
      <c r="H133"/>
      <c r="I133"/>
    </row>
    <row r="134" spans="5:9" x14ac:dyDescent="0.3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PHIC-ECLAIMS 1</cp:lastModifiedBy>
  <dcterms:created xsi:type="dcterms:W3CDTF">2018-05-11T08:46:15Z</dcterms:created>
  <dcterms:modified xsi:type="dcterms:W3CDTF">2018-06-04T10:38:15Z</dcterms:modified>
</cp:coreProperties>
</file>