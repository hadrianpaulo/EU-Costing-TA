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PHIC-ECLAIMS 4\Desktop\Case Cost Data Collection Form\05292018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Supplies_Medical'!$C$15:$C$53</definedName>
    <definedName name="Drugs">'1.2 Drugs&amp;Med'!$C$11:$C$13</definedName>
    <definedName name="_xlnm.Print_Area" localSheetId="0">'1.1 Case data_general'!$B$1:$F$61</definedName>
    <definedName name="_xlnm.Print_Area" localSheetId="1">'1.2 Drugs&amp;Med'!$B$2:$J$15</definedName>
  </definedNames>
  <calcPr calcId="162913"/>
</workbook>
</file>

<file path=xl/calcChain.xml><?xml version="1.0" encoding="utf-8"?>
<calcChain xmlns="http://schemas.openxmlformats.org/spreadsheetml/2006/main">
  <c r="G31" i="9" l="1"/>
  <c r="G30" i="9"/>
  <c r="G29" i="9"/>
  <c r="G28" i="9"/>
  <c r="G27" i="9"/>
  <c r="G26" i="9"/>
  <c r="G25" i="9"/>
  <c r="G24" i="9"/>
  <c r="G23" i="9"/>
  <c r="G22" i="9"/>
  <c r="G21" i="9"/>
  <c r="G20" i="9"/>
  <c r="G19" i="9"/>
  <c r="G18" i="9"/>
  <c r="G17" i="9"/>
  <c r="G16" i="9"/>
  <c r="J13" i="2"/>
  <c r="J14" i="2"/>
  <c r="J12" i="2" l="1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1" i="1"/>
  <c r="E61" i="1"/>
  <c r="D61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<sst xmlns="http://schemas.openxmlformats.org/spreadsheetml/2006/main" count="504" uniqueCount="204">
  <si>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</si>
  <si>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</si>
  <si>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</si>
  <si>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</si>
  <si>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</si>
  <si>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</si>
  <si>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</si>
  <si>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</si>
  <si>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</si>
  <si>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</si>
  <si>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</si>
  <si>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</si>
  <si>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</si>
  <si>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</si>
  <si>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</si>
  <si>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</si>
  <si>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</si>
  <si>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</si>
  <si>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</si>
  <si>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</si>
  <si>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</si>
  <si>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</si>
  <si>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</si>
  <si>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</si>
  <si>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</si>
  <si>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</si>
  <si>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</si>
  <si>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</si>
  <si>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</si>
  <si>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</si>
  <si>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</si>
  <si>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</si>
  <si>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</si>
  <si>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</si>
  <si>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</si>
  <si>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</si>
  <si>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</si>
  <si>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</si>
  <si>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</si>
  <si>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</si>
  <si>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</si>
  <si>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</si>
  <si>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</si>
  <si>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</si>
  <si>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</si>
  <si>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</si>
  <si>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</si>
  <si>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</si>
  <si>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</si>
  <si>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</si>
  <si>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</si>
  <si>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</si>
  <si>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</si>
  <si>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</si>
  <si>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</si>
  <si>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</si>
  <si>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</si>
  <si>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</si>
  <si>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</si>
  <si>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</si>
  <si>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</si>
  <si>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</si>
  <si>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</si>
  <si>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</si>
  <si>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</si>
  <si>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</si>
  <si>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</si>
  <si>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</si>
  <si>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</si>
  <si>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</si>
  <si>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</si>
  <si>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</si>
  <si>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</si>
  <si>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</si>
  <si>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</si>
  <si>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</si>
  <si>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</si>
  <si>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</si>
  <si>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</si>
  <si>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</si>
  <si>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</si>
  <si>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</si>
  <si>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</si>
  <si>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</si>
  <si>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</si>
  <si>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</si>
  <si>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</si>
  <si>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</si>
  <si>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</si>
  <si>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</si>
  <si>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</si>
  <si>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</si>
  <si>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</si>
  <si>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</si>
  <si>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</si>
  <si>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</si>
  <si>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</si>
  <si>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</si>
  <si>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</si>
  <si>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</si>
  <si>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</si>
  <si>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</si>
  <si>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</si>
  <si>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</si>
  <si>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</si>
  <si>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</si>
  <si>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</si>
  <si>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</si>
  <si>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</si>
  <si>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</si>
  <si>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</si>
  <si>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</si>
  <si>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</si>
  <si>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</si>
  <si>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</si>
  <si>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</si>
  <si>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</si>
  <si>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</si>
  <si>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</si>
  <si>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</si>
  <si>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</si>
  <si>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</si>
  <si>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</si>
  <si>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</si>
  <si>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</si>
  <si>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</si>
  <si>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</si>
  <si>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</si>
  <si>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</si>
  <si>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</si>
  <si>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</si>
  <si>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</si>
  <si>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</si>
  <si>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</si>
  <si>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</si>
  <si>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</si>
  <si>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</si>
  <si>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</si>
  <si>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</si>
  <si>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</si>
  <si>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</si>
  <si>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</si>
  <si>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</si>
  <si>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</si>
  <si>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</si>
  <si>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</si>
  <si>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</si>
  <si>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</si>
  <si>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</si>
  <si>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</si>
  <si>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</si>
  <si>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</si>
  <si>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</si>
  <si>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</si>
  <si>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</si>
  <si>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</si>
  <si>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</si>
  <si>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</si>
  <si>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</si>
  <si>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</si>
  <si>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</si>
  <si>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</si>
  <si>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</si>
  <si>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J18.92</t>
  </si>
  <si>
    <t>MEDICINES</t>
  </si>
  <si>
    <t>SUPPLIES</t>
  </si>
  <si>
    <t>XRAY</t>
  </si>
  <si>
    <t>LABORATORY</t>
  </si>
  <si>
    <t>ROOM AND ACCOMMODATION</t>
  </si>
  <si>
    <t>PROFESSIONAL FEE</t>
  </si>
  <si>
    <t>BLOOD C/S</t>
  </si>
  <si>
    <t>CBC, PC</t>
  </si>
  <si>
    <t>BLOOD EXTRACTION FEE</t>
  </si>
  <si>
    <t>(MICROSET) IV INFUSION SET</t>
  </si>
  <si>
    <t>tablet</t>
  </si>
  <si>
    <t>piece</t>
  </si>
  <si>
    <t>vial</t>
  </si>
  <si>
    <t>IV CATHETER GAUGE 24</t>
  </si>
  <si>
    <t>DISPOSABLE SYRINGE 1ML G 25</t>
  </si>
  <si>
    <t>DISPOSABLE SYRINGE 3ML G 23</t>
  </si>
  <si>
    <t>DISPOSABLE SYRINGE 10ML G21</t>
  </si>
  <si>
    <t>CAP MR</t>
  </si>
  <si>
    <t>Chest APL PEDIA (2 views)</t>
  </si>
  <si>
    <t>360273/74076</t>
  </si>
  <si>
    <t>AMPICILLIN + SULBACTAM</t>
  </si>
  <si>
    <t>750mg</t>
  </si>
  <si>
    <t>bottle</t>
  </si>
  <si>
    <t>500ml</t>
  </si>
  <si>
    <t>ASEPTO BULB SYRINGE TIP</t>
  </si>
  <si>
    <t>DISPOSABLE INSULIN SYRINGE</t>
  </si>
  <si>
    <t>DISPOSABLE SYRINGE 5ML G 23</t>
  </si>
  <si>
    <t>DISPOSABLE SYRINGE 50ML</t>
  </si>
  <si>
    <t>IV CATHETER GAUGE 26</t>
  </si>
  <si>
    <t>IV SET FOR PEDIA W/ BURETTE</t>
  </si>
  <si>
    <t>INDIVIDUAL IV KIT CONTENTS</t>
  </si>
  <si>
    <t>STERILLE COTTON</t>
  </si>
  <si>
    <t>GAUZE SPONGE 4"X4", 8 PLY</t>
  </si>
  <si>
    <t>OXYGEN NASAL CANNULA</t>
  </si>
  <si>
    <t>OXYGEN FLOW METER</t>
  </si>
  <si>
    <t>OXYGEN MASK PEDIA W/</t>
  </si>
  <si>
    <t>pack</t>
  </si>
  <si>
    <t>PARACETAMOL  (ACETAMINOPHEN)</t>
  </si>
  <si>
    <t>300MG-2ML</t>
  </si>
  <si>
    <t>(D5 IMB 500ML) D5% BAL. MULTIPLE MAINTENANCE SOLN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</si>
</sst>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20</xdr:row>
          <xdr:rowOff>19050</xdr:rowOff>
        </xdr:from>
        <xdr:to>
          <xdr:col>1</xdr:col>
          <xdr:colOff>733425</xdr:colOff>
          <xdr:row>20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20</xdr:row>
          <xdr:rowOff>19050</xdr:rowOff>
        </xdr:from>
        <xdr:to>
          <xdr:col>1</xdr:col>
          <xdr:colOff>1504950</xdr:colOff>
          <xdr:row>20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31</xdr:row>
          <xdr:rowOff>19050</xdr:rowOff>
        </xdr:from>
        <xdr:to>
          <xdr:col>1</xdr:col>
          <xdr:colOff>733425</xdr:colOff>
          <xdr:row>31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31</xdr:row>
          <xdr:rowOff>19050</xdr:rowOff>
        </xdr:from>
        <xdr:to>
          <xdr:col>1</xdr:col>
          <xdr:colOff>1504950</xdr:colOff>
          <xdr:row>31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35</xdr:row>
          <xdr:rowOff>19050</xdr:rowOff>
        </xdr:from>
        <xdr:to>
          <xdr:col>1</xdr:col>
          <xdr:colOff>733425</xdr:colOff>
          <xdr:row>35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35</xdr:row>
          <xdr:rowOff>19050</xdr:rowOff>
        </xdr:from>
        <xdr:to>
          <xdr:col>1</xdr:col>
          <xdr:colOff>1504950</xdr:colOff>
          <xdr:row>35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39</xdr:row>
          <xdr:rowOff>19050</xdr:rowOff>
        </xdr:from>
        <xdr:to>
          <xdr:col>1</xdr:col>
          <xdr:colOff>733425</xdr:colOff>
          <xdr:row>39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39</xdr:row>
          <xdr:rowOff>19050</xdr:rowOff>
        </xdr:from>
        <xdr:to>
          <xdr:col>1</xdr:col>
          <xdr:colOff>1504950</xdr:colOff>
          <xdr:row>39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44</xdr:row>
          <xdr:rowOff>19050</xdr:rowOff>
        </xdr:from>
        <xdr:to>
          <xdr:col>1</xdr:col>
          <xdr:colOff>733425</xdr:colOff>
          <xdr:row>44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44</xdr:row>
          <xdr:rowOff>19050</xdr:rowOff>
        </xdr:from>
        <xdr:to>
          <xdr:col>1</xdr:col>
          <xdr:colOff>1504950</xdr:colOff>
          <xdr:row>44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32</xdr:row>
          <xdr:rowOff>28575</xdr:rowOff>
        </xdr:from>
        <xdr:to>
          <xdr:col>1</xdr:col>
          <xdr:colOff>762000</xdr:colOff>
          <xdr:row>32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32</xdr:row>
          <xdr:rowOff>28575</xdr:rowOff>
        </xdr:from>
        <xdr:to>
          <xdr:col>1</xdr:col>
          <xdr:colOff>1533525</xdr:colOff>
          <xdr:row>32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43</xdr:row>
          <xdr:rowOff>28575</xdr:rowOff>
        </xdr:from>
        <xdr:to>
          <xdr:col>1</xdr:col>
          <xdr:colOff>771525</xdr:colOff>
          <xdr:row>43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43</xdr:row>
          <xdr:rowOff>28575</xdr:rowOff>
        </xdr:from>
        <xdr:to>
          <xdr:col>1</xdr:col>
          <xdr:colOff>1543050</xdr:colOff>
          <xdr:row>43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998"/>
  <sheetViews>
    <sheetView tabSelected="1" zoomScaleNormal="100" workbookViewId="0">
      <selection activeCell="D59" sqref="D59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181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1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3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1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6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59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60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183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163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thickBot="1" x14ac:dyDescent="0.35">
      <c r="A20" s="1"/>
      <c r="B20" s="116" t="s">
        <v>51</v>
      </c>
      <c r="C20" s="117"/>
      <c r="D20" s="117"/>
      <c r="E20" s="117"/>
      <c r="F20" s="118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26">
        <v>1</v>
      </c>
      <c r="C21" s="27"/>
      <c r="D21" s="29"/>
      <c r="E21" s="55"/>
      <c r="F21" s="55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x14ac:dyDescent="0.3">
      <c r="A22" s="1"/>
      <c r="B22" s="26">
        <v>2</v>
      </c>
      <c r="C22" s="27"/>
      <c r="D22" s="29"/>
      <c r="E22" s="55"/>
      <c r="F22" s="55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3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4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5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thickBot="1" x14ac:dyDescent="0.35">
      <c r="A26" s="1"/>
      <c r="B26" s="119" t="s">
        <v>42</v>
      </c>
      <c r="C26" s="120"/>
      <c r="D26" s="120"/>
      <c r="E26" s="120"/>
      <c r="F26" s="130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110" t="s">
        <v>158</v>
      </c>
      <c r="C27" s="113" t="s">
        <v>162</v>
      </c>
      <c r="D27" s="13"/>
      <c r="E27" s="13"/>
      <c r="F27" s="13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x14ac:dyDescent="0.3">
      <c r="A28" s="1"/>
      <c r="B28" s="110" t="s">
        <v>159</v>
      </c>
      <c r="C28" s="114" t="s">
        <v>123</v>
      </c>
      <c r="D28" s="13"/>
      <c r="E28" s="13"/>
      <c r="F28" s="13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4" t="s">
        <v>160</v>
      </c>
      <c r="C29" s="114" t="s">
        <v>138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5" t="s">
        <v>17</v>
      </c>
      <c r="C30" s="7"/>
      <c r="D30" s="7"/>
      <c r="E30" s="56">
        <v>3</v>
      </c>
      <c r="F30" s="7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thickBot="1" x14ac:dyDescent="0.35">
      <c r="A31" s="1"/>
      <c r="B31" s="116" t="s">
        <v>18</v>
      </c>
      <c r="C31" s="117"/>
      <c r="D31" s="117"/>
      <c r="E31" s="117"/>
      <c r="F31" s="118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30">
        <v>1</v>
      </c>
      <c r="C32" s="31" t="s">
        <v>170</v>
      </c>
      <c r="D32" s="23"/>
      <c r="E32" s="57">
        <v>1</v>
      </c>
      <c r="F32" s="24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26">
        <v>2</v>
      </c>
      <c r="C33" s="27" t="s">
        <v>171</v>
      </c>
      <c r="D33" s="23"/>
      <c r="E33" s="55">
        <v>1</v>
      </c>
      <c r="F33" s="24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26">
        <v>3</v>
      </c>
      <c r="C34" s="27" t="s">
        <v>172</v>
      </c>
      <c r="D34" s="23"/>
      <c r="E34" s="55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thickBot="1" x14ac:dyDescent="0.35">
      <c r="A35" s="1"/>
      <c r="B35" s="119" t="s">
        <v>19</v>
      </c>
      <c r="C35" s="120"/>
      <c r="D35" s="117"/>
      <c r="E35" s="120"/>
      <c r="F35" s="118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1</v>
      </c>
      <c r="C36" s="27" t="s">
        <v>182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thickBot="1" x14ac:dyDescent="0.35">
      <c r="A37" s="1"/>
      <c r="B37" s="119" t="s">
        <v>43</v>
      </c>
      <c r="C37" s="120"/>
      <c r="D37" s="117"/>
      <c r="E37" s="120"/>
      <c r="F37" s="118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14" t="s">
        <v>44</v>
      </c>
      <c r="C38" s="13"/>
      <c r="D38" s="13"/>
      <c r="E38" s="16"/>
      <c r="F38" s="13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thickBot="1" x14ac:dyDescent="0.35">
      <c r="A39" s="1"/>
      <c r="B39" s="116" t="s">
        <v>52</v>
      </c>
      <c r="C39" s="117"/>
      <c r="D39" s="117"/>
      <c r="E39" s="117"/>
      <c r="F39" s="118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20"/>
      <c r="B40" s="30">
        <v>1</v>
      </c>
      <c r="C40" s="31"/>
      <c r="D40" s="32"/>
      <c r="E40" s="57"/>
      <c r="F40" s="57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20"/>
      <c r="B41" s="30">
        <v>2</v>
      </c>
      <c r="C41" s="31"/>
      <c r="D41" s="32"/>
      <c r="E41" s="57"/>
      <c r="F41" s="57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20"/>
      <c r="B42" s="26">
        <v>3</v>
      </c>
      <c r="C42" s="27"/>
      <c r="D42" s="28"/>
      <c r="E42" s="55"/>
      <c r="F42" s="55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20"/>
      <c r="B43" s="26">
        <v>4</v>
      </c>
      <c r="C43" s="27"/>
      <c r="D43" s="28"/>
      <c r="E43" s="55"/>
      <c r="F43" s="55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thickBot="1" x14ac:dyDescent="0.35">
      <c r="A44" s="1"/>
      <c r="B44" s="116" t="s">
        <v>20</v>
      </c>
      <c r="C44" s="117"/>
      <c r="D44" s="117"/>
      <c r="E44" s="117"/>
      <c r="F44" s="118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1</v>
      </c>
      <c r="C45" s="27"/>
      <c r="D45" s="28"/>
      <c r="E45" s="55"/>
      <c r="F45" s="55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26">
        <v>2</v>
      </c>
      <c r="C46" s="27"/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26">
        <v>3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6">
        <v>4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5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6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5"/>
      <c r="C51" s="25"/>
      <c r="D51" s="25"/>
      <c r="E51" s="25"/>
      <c r="F51" s="2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57.75" customHeight="1" thickBot="1" x14ac:dyDescent="0.35">
      <c r="A53" s="1"/>
      <c r="B53" s="17" t="s">
        <v>54</v>
      </c>
      <c r="C53" s="17" t="s">
        <v>50</v>
      </c>
      <c r="D53" s="17" t="s">
        <v>55</v>
      </c>
      <c r="E53" s="18" t="s">
        <v>56</v>
      </c>
      <c r="F53" s="19" t="s">
        <v>21</v>
      </c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12">
        <v>1</v>
      </c>
      <c r="C54" s="27" t="s">
        <v>164</v>
      </c>
      <c r="D54" s="55">
        <v>583.16999999999996</v>
      </c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10">
        <v>2</v>
      </c>
      <c r="C55" s="27" t="s">
        <v>165</v>
      </c>
      <c r="D55" s="55">
        <v>1246.92</v>
      </c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0">
        <v>3</v>
      </c>
      <c r="C56" s="27" t="s">
        <v>166</v>
      </c>
      <c r="D56" s="55">
        <v>190</v>
      </c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10">
        <v>4</v>
      </c>
      <c r="C57" s="27" t="s">
        <v>167</v>
      </c>
      <c r="D57" s="55">
        <v>1405</v>
      </c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0">
        <v>5</v>
      </c>
      <c r="C58" s="27" t="s">
        <v>168</v>
      </c>
      <c r="D58" s="55">
        <v>1500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6</v>
      </c>
      <c r="C59" s="27" t="s">
        <v>169</v>
      </c>
      <c r="D59" s="55">
        <v>4500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4.9000000000000004" customHeight="1" thickBot="1" x14ac:dyDescent="0.35">
      <c r="A60" s="1"/>
      <c r="B60" s="1"/>
      <c r="C60" s="1"/>
      <c r="D60" s="58"/>
      <c r="E60" s="58"/>
      <c r="F60" s="58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thickTop="1" x14ac:dyDescent="0.3">
      <c r="A61" s="1"/>
      <c r="B61" s="11"/>
      <c r="C61" s="4" t="s">
        <v>22</v>
      </c>
      <c r="D61" s="59">
        <f>SUM(D54:D60)</f>
        <v>9425.09</v>
      </c>
      <c r="E61" s="59">
        <f>SUM(E54:E60)</f>
        <v>0</v>
      </c>
      <c r="F61" s="59">
        <f>SUM(F54:F60)</f>
        <v>0</v>
      </c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</sheetData>
  <sheetProtection formatColumns="0" formatRows="0" sort="0" autoFilter="0"/>
  <mergeCells count="12">
    <mergeCell ref="B44:F44"/>
    <mergeCell ref="B37:F37"/>
    <mergeCell ref="B12:F12"/>
    <mergeCell ref="B13:F13"/>
    <mergeCell ref="B14:F14"/>
    <mergeCell ref="B15:F15"/>
    <mergeCell ref="B18:F18"/>
    <mergeCell ref="B20:F20"/>
    <mergeCell ref="B31:F31"/>
    <mergeCell ref="B26:F26"/>
    <mergeCell ref="B35:F35"/>
    <mergeCell ref="B39:F39"/>
  </mergeCells>
  <dataValidations count="1">
    <dataValidation type="decimal" operator="greaterThanOrEqual" allowBlank="1" showInputMessage="1" showErrorMessage="1" sqref="E30 E36 E38 E21:F25 E40:F43 E45:F50 D54:F59 E32:E34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2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20</xdr:row>
                    <xdr:rowOff>19050</xdr:rowOff>
                  </from>
                  <to>
                    <xdr:col>1</xdr:col>
                    <xdr:colOff>733425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20</xdr:row>
                    <xdr:rowOff>19050</xdr:rowOff>
                  </from>
                  <to>
                    <xdr:col>1</xdr:col>
                    <xdr:colOff>1504950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31</xdr:row>
                    <xdr:rowOff>19050</xdr:rowOff>
                  </from>
                  <to>
                    <xdr:col>1</xdr:col>
                    <xdr:colOff>733425</xdr:colOff>
                    <xdr:row>31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31</xdr:row>
                    <xdr:rowOff>19050</xdr:rowOff>
                  </from>
                  <to>
                    <xdr:col>1</xdr:col>
                    <xdr:colOff>1504950</xdr:colOff>
                    <xdr:row>31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35</xdr:row>
                    <xdr:rowOff>19050</xdr:rowOff>
                  </from>
                  <to>
                    <xdr:col>1</xdr:col>
                    <xdr:colOff>733425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35</xdr:row>
                    <xdr:rowOff>19050</xdr:rowOff>
                  </from>
                  <to>
                    <xdr:col>1</xdr:col>
                    <xdr:colOff>1504950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39</xdr:row>
                    <xdr:rowOff>19050</xdr:rowOff>
                  </from>
                  <to>
                    <xdr:col>1</xdr:col>
                    <xdr:colOff>733425</xdr:colOff>
                    <xdr:row>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39</xdr:row>
                    <xdr:rowOff>19050</xdr:rowOff>
                  </from>
                  <to>
                    <xdr:col>1</xdr:col>
                    <xdr:colOff>1504950</xdr:colOff>
                    <xdr:row>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44</xdr:row>
                    <xdr:rowOff>19050</xdr:rowOff>
                  </from>
                  <to>
                    <xdr:col>1</xdr:col>
                    <xdr:colOff>733425</xdr:colOff>
                    <xdr:row>44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44</xdr:row>
                    <xdr:rowOff>19050</xdr:rowOff>
                  </from>
                  <to>
                    <xdr:col>1</xdr:col>
                    <xdr:colOff>1504950</xdr:colOff>
                    <xdr:row>44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C29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C28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65"/>
  <sheetViews>
    <sheetView workbookViewId="0">
      <selection activeCell="F16" sqref="F16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CAP MR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4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63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6.5" x14ac:dyDescent="0.3">
      <c r="B11" s="42">
        <v>1</v>
      </c>
      <c r="C11" s="27" t="s">
        <v>201</v>
      </c>
      <c r="D11" s="27" t="s">
        <v>174</v>
      </c>
      <c r="E11" s="27" t="s">
        <v>202</v>
      </c>
      <c r="F11" s="55">
        <v>3</v>
      </c>
      <c r="G11" s="55">
        <v>2</v>
      </c>
      <c r="H11" s="55">
        <v>6</v>
      </c>
      <c r="I11" s="55">
        <v>4.57</v>
      </c>
      <c r="J11" s="55">
        <f>H11*I11</f>
        <v>27.42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6.5" x14ac:dyDescent="0.3">
      <c r="B12" s="42">
        <v>2</v>
      </c>
      <c r="C12" s="27" t="s">
        <v>173</v>
      </c>
      <c r="D12" s="27" t="s">
        <v>175</v>
      </c>
      <c r="E12" s="27" t="s">
        <v>175</v>
      </c>
      <c r="F12" s="55">
        <v>1</v>
      </c>
      <c r="G12" s="55">
        <v>1</v>
      </c>
      <c r="H12" s="55">
        <v>1</v>
      </c>
      <c r="I12" s="55">
        <v>19</v>
      </c>
      <c r="J12" s="55">
        <f t="shared" ref="J12:J14" si="0">H12*I12</f>
        <v>19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6.5" x14ac:dyDescent="0.3">
      <c r="B13" s="42">
        <v>3</v>
      </c>
      <c r="C13" s="27" t="s">
        <v>184</v>
      </c>
      <c r="D13" s="27" t="s">
        <v>176</v>
      </c>
      <c r="E13" s="27" t="s">
        <v>185</v>
      </c>
      <c r="F13" s="55">
        <v>4</v>
      </c>
      <c r="G13" s="55">
        <v>3</v>
      </c>
      <c r="H13" s="55">
        <v>13</v>
      </c>
      <c r="I13" s="55">
        <v>26.93</v>
      </c>
      <c r="J13" s="55">
        <f t="shared" si="0"/>
        <v>350.09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33" x14ac:dyDescent="0.3">
      <c r="B14" s="42">
        <v>4</v>
      </c>
      <c r="C14" s="27" t="s">
        <v>203</v>
      </c>
      <c r="D14" s="27" t="s">
        <v>186</v>
      </c>
      <c r="E14" s="27" t="s">
        <v>187</v>
      </c>
      <c r="F14" s="55">
        <v>1</v>
      </c>
      <c r="G14" s="55">
        <v>2</v>
      </c>
      <c r="H14" s="55">
        <v>2</v>
      </c>
      <c r="I14" s="55">
        <v>93.33</v>
      </c>
      <c r="J14" s="55">
        <f t="shared" si="0"/>
        <v>186.66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25">
      <c r="A15" s="33"/>
      <c r="B15" s="34"/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</row>
    <row r="16" spans="1:20" ht="15.75" customHeight="1" x14ac:dyDescent="0.25"/>
    <row r="17" ht="15.75" customHeight="1" x14ac:dyDescent="0.25"/>
    <row r="18" ht="15.75" customHeight="1" x14ac:dyDescent="0.25"/>
    <row r="19" ht="15.75" customHeight="1" x14ac:dyDescent="0.25"/>
    <row r="20" ht="15.75" customHeight="1" x14ac:dyDescent="0.25"/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</sheetData>
  <sheetProtection algorithmName="SHA-512" hashValue="ecvtiotoC9NeGCGhFgs2XgXUB0hT0iL8bZ8hy6zHxulTa9bP5atXUgiDQ6JwSt/e3dSG4iwBQQ4v/nq/GzC2PQ==" saltValue="t/rRgGY6AZIsSTZRlr8dPA==" spinCount="100000" sheet="1" objects="1" scenarios="1" formatColumns="0" formatRows="0" sort="0" autoFilter="0"/>
  <mergeCells count="1">
    <mergeCell ref="B8:J8"/>
  </mergeCells>
  <dataValidations disablePrompts="1" count="1">
    <dataValidation type="decimal" operator="greaterThanOrEqual" allowBlank="1" showInputMessage="1" showErrorMessage="1" sqref="F11:J14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7"/>
  <sheetViews>
    <sheetView workbookViewId="0">
      <selection activeCell="C22" sqref="C22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CAP MR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16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68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71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6.5" x14ac:dyDescent="0.3">
      <c r="B16" s="68">
        <v>1</v>
      </c>
      <c r="C16" s="69" t="s">
        <v>188</v>
      </c>
      <c r="D16" s="70" t="s">
        <v>175</v>
      </c>
      <c r="E16" s="55">
        <v>1</v>
      </c>
      <c r="F16" s="55">
        <v>23.91</v>
      </c>
      <c r="G16" s="55">
        <f>+E16*F16</f>
        <v>23.91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6.5" x14ac:dyDescent="0.3">
      <c r="B17" s="68">
        <v>2</v>
      </c>
      <c r="C17" s="69" t="s">
        <v>189</v>
      </c>
      <c r="D17" s="70" t="s">
        <v>175</v>
      </c>
      <c r="E17" s="55">
        <v>5</v>
      </c>
      <c r="F17" s="55">
        <v>11.73</v>
      </c>
      <c r="G17" s="55">
        <f t="shared" ref="G17:G31" si="0">+E17*F17</f>
        <v>58.650000000000006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6.5" x14ac:dyDescent="0.3">
      <c r="B18" s="68">
        <v>3</v>
      </c>
      <c r="C18" s="69" t="s">
        <v>178</v>
      </c>
      <c r="D18" s="70" t="s">
        <v>175</v>
      </c>
      <c r="E18" s="55">
        <v>5</v>
      </c>
      <c r="F18" s="55">
        <v>1.6</v>
      </c>
      <c r="G18" s="55">
        <f t="shared" si="0"/>
        <v>8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6.5" x14ac:dyDescent="0.3">
      <c r="B19" s="68">
        <v>4</v>
      </c>
      <c r="C19" s="69" t="s">
        <v>179</v>
      </c>
      <c r="D19" s="70" t="s">
        <v>175</v>
      </c>
      <c r="E19" s="55">
        <v>5</v>
      </c>
      <c r="F19" s="55">
        <v>1.6</v>
      </c>
      <c r="G19" s="55">
        <f t="shared" si="0"/>
        <v>8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6.5" x14ac:dyDescent="0.3">
      <c r="B20" s="68">
        <v>5</v>
      </c>
      <c r="C20" s="69" t="s">
        <v>190</v>
      </c>
      <c r="D20" s="70" t="s">
        <v>175</v>
      </c>
      <c r="E20" s="55">
        <v>6</v>
      </c>
      <c r="F20" s="55">
        <v>5</v>
      </c>
      <c r="G20" s="55">
        <f t="shared" si="0"/>
        <v>30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6.5" x14ac:dyDescent="0.3">
      <c r="B21" s="68">
        <v>6</v>
      </c>
      <c r="C21" s="69" t="s">
        <v>180</v>
      </c>
      <c r="D21" s="70" t="s">
        <v>175</v>
      </c>
      <c r="E21" s="55">
        <v>6</v>
      </c>
      <c r="F21" s="55">
        <v>2.77</v>
      </c>
      <c r="G21" s="55">
        <f t="shared" si="0"/>
        <v>16.62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6.5" x14ac:dyDescent="0.3">
      <c r="B22" s="68">
        <v>7</v>
      </c>
      <c r="C22" s="69" t="s">
        <v>191</v>
      </c>
      <c r="D22" s="70" t="s">
        <v>175</v>
      </c>
      <c r="E22" s="55">
        <v>1</v>
      </c>
      <c r="F22" s="55">
        <v>11.09</v>
      </c>
      <c r="G22" s="55">
        <f t="shared" si="0"/>
        <v>11.09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6.5" x14ac:dyDescent="0.3">
      <c r="B23" s="68">
        <v>8</v>
      </c>
      <c r="C23" s="69" t="s">
        <v>177</v>
      </c>
      <c r="D23" s="70" t="s">
        <v>175</v>
      </c>
      <c r="E23" s="55">
        <v>1</v>
      </c>
      <c r="F23" s="55">
        <v>13.33</v>
      </c>
      <c r="G23" s="55">
        <f t="shared" si="0"/>
        <v>13.33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6.5" x14ac:dyDescent="0.3">
      <c r="B24" s="68">
        <v>9</v>
      </c>
      <c r="C24" s="69" t="s">
        <v>192</v>
      </c>
      <c r="D24" s="70" t="s">
        <v>175</v>
      </c>
      <c r="E24" s="55">
        <v>1</v>
      </c>
      <c r="F24" s="55">
        <v>19.84</v>
      </c>
      <c r="G24" s="55">
        <f t="shared" si="0"/>
        <v>19.84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6.5" x14ac:dyDescent="0.3">
      <c r="B25" s="68">
        <v>10</v>
      </c>
      <c r="C25" s="69" t="s">
        <v>193</v>
      </c>
      <c r="D25" s="70" t="s">
        <v>175</v>
      </c>
      <c r="E25" s="55">
        <v>1</v>
      </c>
      <c r="F25" s="55">
        <v>120</v>
      </c>
      <c r="G25" s="55">
        <f t="shared" si="0"/>
        <v>120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6.5" x14ac:dyDescent="0.3">
      <c r="B26" s="68">
        <v>11</v>
      </c>
      <c r="C26" s="69" t="s">
        <v>194</v>
      </c>
      <c r="D26" s="70" t="s">
        <v>175</v>
      </c>
      <c r="E26" s="55">
        <v>2</v>
      </c>
      <c r="F26" s="55">
        <v>105.33</v>
      </c>
      <c r="G26" s="55">
        <f t="shared" si="0"/>
        <v>210.66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6.5" x14ac:dyDescent="0.3">
      <c r="B27" s="68">
        <v>12</v>
      </c>
      <c r="C27" s="69" t="s">
        <v>195</v>
      </c>
      <c r="D27" s="70" t="s">
        <v>200</v>
      </c>
      <c r="E27" s="55">
        <v>10</v>
      </c>
      <c r="F27" s="55">
        <v>15</v>
      </c>
      <c r="G27" s="55">
        <f t="shared" si="0"/>
        <v>150</v>
      </c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6.5" x14ac:dyDescent="0.3">
      <c r="B28" s="68">
        <v>13</v>
      </c>
      <c r="C28" s="69" t="s">
        <v>196</v>
      </c>
      <c r="D28" s="70" t="s">
        <v>175</v>
      </c>
      <c r="E28" s="55">
        <v>15</v>
      </c>
      <c r="F28" s="55">
        <v>1.51</v>
      </c>
      <c r="G28" s="55">
        <f t="shared" si="0"/>
        <v>22.65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6.5" x14ac:dyDescent="0.3">
      <c r="B29" s="68">
        <v>14</v>
      </c>
      <c r="C29" s="69" t="s">
        <v>197</v>
      </c>
      <c r="D29" s="70" t="s">
        <v>175</v>
      </c>
      <c r="E29" s="55">
        <v>1</v>
      </c>
      <c r="F29" s="55">
        <v>17</v>
      </c>
      <c r="G29" s="55">
        <f t="shared" si="0"/>
        <v>17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6.5" x14ac:dyDescent="0.3">
      <c r="B30" s="68">
        <v>15</v>
      </c>
      <c r="C30" s="69" t="s">
        <v>198</v>
      </c>
      <c r="D30" s="70" t="s">
        <v>175</v>
      </c>
      <c r="E30" s="55">
        <v>5</v>
      </c>
      <c r="F30" s="55">
        <v>100</v>
      </c>
      <c r="G30" s="55">
        <f t="shared" si="0"/>
        <v>500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6.5" x14ac:dyDescent="0.3">
      <c r="B31" s="68">
        <v>16</v>
      </c>
      <c r="C31" s="69" t="s">
        <v>199</v>
      </c>
      <c r="D31" s="70" t="s">
        <v>175</v>
      </c>
      <c r="E31" s="55">
        <v>1</v>
      </c>
      <c r="F31" s="55">
        <v>37.17</v>
      </c>
      <c r="G31" s="55">
        <f t="shared" si="0"/>
        <v>37.17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137" t="s">
        <v>75</v>
      </c>
      <c r="C32" s="138"/>
      <c r="D32" s="138"/>
      <c r="E32" s="138"/>
      <c r="F32" s="138"/>
      <c r="G32" s="139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1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2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3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4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5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6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7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8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9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10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137" t="s">
        <v>29</v>
      </c>
      <c r="C43" s="138"/>
      <c r="D43" s="138"/>
      <c r="E43" s="138"/>
      <c r="F43" s="138"/>
      <c r="G43" s="139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1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2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3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4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5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6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68">
        <v>7</v>
      </c>
      <c r="C50" s="69"/>
      <c r="D50" s="70"/>
      <c r="E50" s="55"/>
      <c r="F50" s="55"/>
      <c r="G50" s="55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8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B52" s="68">
        <v>9</v>
      </c>
      <c r="C52" s="69"/>
      <c r="D52" s="70"/>
      <c r="E52" s="55"/>
      <c r="F52" s="55"/>
      <c r="G52" s="55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B53" s="68">
        <v>10</v>
      </c>
      <c r="C53" s="69"/>
      <c r="D53" s="70"/>
      <c r="E53" s="55"/>
      <c r="F53" s="55"/>
      <c r="G53" s="55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4.25" customHeight="1" x14ac:dyDescent="0.3">
      <c r="A54" s="44"/>
      <c r="B54" s="39"/>
      <c r="C54" s="44"/>
      <c r="D54" s="39"/>
      <c r="E54" s="39"/>
      <c r="F54" s="39"/>
      <c r="G54" s="39"/>
      <c r="H54" s="39"/>
      <c r="I54" s="39"/>
      <c r="J54" s="39"/>
      <c r="K54" s="39"/>
      <c r="L54" s="39"/>
      <c r="M54" s="39"/>
      <c r="N54" s="39"/>
      <c r="O54" s="39"/>
      <c r="P54" s="39"/>
    </row>
    <row r="55" spans="1:16" ht="14.25" customHeight="1" x14ac:dyDescent="0.3">
      <c r="A55" s="44"/>
      <c r="B55" s="39"/>
      <c r="C55" s="44"/>
      <c r="D55" s="39"/>
      <c r="F55" s="39"/>
      <c r="G55" s="39"/>
      <c r="H55" s="39"/>
      <c r="I55" s="39"/>
      <c r="J55" s="39"/>
      <c r="K55" s="39"/>
      <c r="L55" s="39"/>
      <c r="M55" s="39"/>
      <c r="N55" s="39"/>
      <c r="O55" s="39"/>
      <c r="P55" s="39"/>
    </row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DO008BXjn9wGJH+eoRie4WwCjWaiRCnEZqG+absilBRox8gTEOrEpI+f8lUrgEfSWtSRzc47vYGe1KL7AISFMw==" saltValue="VUG1jEphDo76refRMfBAkQ==" spinCount="100000" sheet="1" objects="1" scenarios="1" formatColumns="0" formatRows="0" sort="0" autoFilter="0"/>
  <mergeCells count="9">
    <mergeCell ref="B7:G7"/>
    <mergeCell ref="B32:G32"/>
    <mergeCell ref="B43:G43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53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32</xdr:row>
                    <xdr:rowOff>28575</xdr:rowOff>
                  </from>
                  <to>
                    <xdr:col>1</xdr:col>
                    <xdr:colOff>762000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32</xdr:row>
                    <xdr:rowOff>28575</xdr:rowOff>
                  </from>
                  <to>
                    <xdr:col>1</xdr:col>
                    <xdr:colOff>1533525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43</xdr:row>
                    <xdr:rowOff>28575</xdr:rowOff>
                  </from>
                  <to>
                    <xdr:col>1</xdr:col>
                    <xdr:colOff>771525</xdr:colOff>
                    <xdr:row>43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43</xdr:row>
                    <xdr:rowOff>28575</xdr:rowOff>
                  </from>
                  <to>
                    <xdr:col>1</xdr:col>
                    <xdr:colOff>1543050</xdr:colOff>
                    <xdr:row>43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5" workbookViewId="0">
      <selection activeCell="H28" sqref="H28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CAP MR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32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data_general'!$C$27</f>
        <v>Level II and III</v>
      </c>
      <c r="G1" s="112" t="str">
        <f>'1.1 Case data_general'!$C$28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PHIC-ECLAIMS 4</cp:lastModifiedBy>
  <dcterms:created xsi:type="dcterms:W3CDTF">2018-05-11T08:46:15Z</dcterms:created>
  <dcterms:modified xsi:type="dcterms:W3CDTF">2018-06-01T01:13:25Z</dcterms:modified>
</cp:coreProperties>
</file>