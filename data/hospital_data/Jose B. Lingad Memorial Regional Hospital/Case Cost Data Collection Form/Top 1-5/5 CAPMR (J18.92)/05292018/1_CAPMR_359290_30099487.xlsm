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4" i="2" l="1"/>
  <c r="G24" i="9" l="1"/>
  <c r="G23" i="9"/>
  <c r="G17" i="9"/>
  <c r="G18" i="9"/>
  <c r="G19" i="9"/>
  <c r="G20" i="9"/>
  <c r="G21" i="9"/>
  <c r="G22" i="9"/>
  <c r="G16" i="9"/>
  <c r="J12" i="2" l="1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<sst xmlns="http://schemas.openxmlformats.org/spreadsheetml/2006/main" count="507" uniqueCount="211">
  <si>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</si>
  <si>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</si>
  <si>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</si>
  <si>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</si>
  <si>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</si>
  <si>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</si>
  <si>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</si>
  <si>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</si>
  <si>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</si>
  <si>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</si>
  <si>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</si>
  <si>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</si>
  <si>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</si>
  <si>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</si>
  <si>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</si>
  <si>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</si>
  <si>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</si>
  <si>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</si>
  <si>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</si>
  <si>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</si>
  <si>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</si>
  <si>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</si>
  <si>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</si>
  <si>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</si>
  <si>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</si>
  <si>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</si>
  <si>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</si>
  <si>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</si>
  <si>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</si>
  <si>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</si>
  <si>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</si>
  <si>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</si>
  <si>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</si>
  <si>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</si>
  <si>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</si>
  <si>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</si>
  <si>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</si>
  <si>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</si>
  <si>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</si>
  <si>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</si>
  <si>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</si>
  <si>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</si>
  <si>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</si>
  <si>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</si>
  <si>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</si>
  <si>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</si>
  <si>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</si>
  <si>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</si>
  <si>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</si>
  <si>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</si>
  <si>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</si>
  <si>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</si>
  <si>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</si>
  <si>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</si>
  <si>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</si>
  <si>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</si>
  <si>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</si>
  <si>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</si>
  <si>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</si>
  <si>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</si>
  <si>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</si>
  <si>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</si>
  <si>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</si>
  <si>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</si>
  <si>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</si>
  <si>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</si>
  <si>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</si>
  <si>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</si>
  <si>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</si>
  <si>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</si>
  <si>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</si>
  <si>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</si>
  <si>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</si>
  <si>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</si>
  <si>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</si>
  <si>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</si>
  <si>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</si>
  <si>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</si>
  <si>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</si>
  <si>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</si>
  <si>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</si>
  <si>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</si>
  <si>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</si>
  <si>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</si>
  <si>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</si>
  <si>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</si>
  <si>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</si>
  <si>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</si>
  <si>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</si>
  <si>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</si>
  <si>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</si>
  <si>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</si>
  <si>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</si>
  <si>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</si>
  <si>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</si>
  <si>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</si>
  <si>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</si>
  <si>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</si>
  <si>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</si>
  <si>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</si>
  <si>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</si>
  <si>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</si>
  <si>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</si>
  <si>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</si>
  <si>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</si>
  <si>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</si>
  <si>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</si>
  <si>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</si>
  <si>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</si>
  <si>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</si>
  <si>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</si>
  <si>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</si>
  <si>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</si>
  <si>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</si>
  <si>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</si>
  <si>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</si>
  <si>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</si>
  <si>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</si>
  <si>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</si>
  <si>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</si>
  <si>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</si>
  <si>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</si>
  <si>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</si>
  <si>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</si>
  <si>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</si>
  <si>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</si>
  <si>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</si>
  <si>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</si>
  <si>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</si>
  <si>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</si>
  <si>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</si>
  <si>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</si>
  <si>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</si>
  <si>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</si>
  <si>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</si>
  <si>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</si>
  <si>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</si>
  <si>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</si>
  <si>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</si>
  <si>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</si>
  <si>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</si>
  <si>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</si>
  <si>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</si>
  <si>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</si>
  <si>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</si>
  <si>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</si>
  <si>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</si>
  <si>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</si>
  <si>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</si>
  <si>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</si>
  <si>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</si>
  <si>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</si>
  <si>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</si>
  <si>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</si>
  <si>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</si>
  <si>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</si>
  <si>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</si>
  <si>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</si>
  <si>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</si>
  <si>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</si>
  <si>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</si>
  <si>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</si>
  <si>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</si>
  <si>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</si>
  <si>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</si>
  <si>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</si>
  <si>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</si>
  <si>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</si>
  <si>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ROOM AND ACCOMMODATION</t>
  </si>
  <si>
    <t>PROFESSIONAL FEE</t>
  </si>
  <si>
    <t>PLAIN NSS</t>
  </si>
  <si>
    <t>fluid</t>
  </si>
  <si>
    <t>NA (SODIUM)</t>
  </si>
  <si>
    <t>CREATININE (CREA)</t>
  </si>
  <si>
    <t>K (POTASSIUM)</t>
  </si>
  <si>
    <t>CBC, PC</t>
  </si>
  <si>
    <t>BLOOD EXTRACTION FEE</t>
  </si>
  <si>
    <t>BLOOD C/S</t>
  </si>
  <si>
    <t>1L</t>
  </si>
  <si>
    <t>vial</t>
  </si>
  <si>
    <t>359290/73727</t>
  </si>
  <si>
    <t>J18.92</t>
  </si>
  <si>
    <t>G91.9</t>
  </si>
  <si>
    <t>CL (CHLORIDE)</t>
  </si>
  <si>
    <t>URINALYSIS (UA)</t>
  </si>
  <si>
    <t>FECALYSIS</t>
  </si>
  <si>
    <t>PLAIN ABDOMEN U/S/L</t>
  </si>
  <si>
    <t>Chest APL PEDIA (2 views)</t>
  </si>
  <si>
    <t>INDIVIDUAL IV KIT</t>
  </si>
  <si>
    <t>IV SET W/ AIRWAY FOR IV PUSH MICRODRIP, PEDIA</t>
  </si>
  <si>
    <t>set</t>
  </si>
  <si>
    <t>NEBULIZER KIT WITH MOUTH PIECE</t>
  </si>
  <si>
    <t>DISPOSABLE SYRINGE 1ML G 25 W/ NEEDLE</t>
  </si>
  <si>
    <t>piece</t>
  </si>
  <si>
    <t>HEPARIN LOCK BOX</t>
  </si>
  <si>
    <t>IV CATHETER GAUGE 24 PLAIN NSS 1L</t>
  </si>
  <si>
    <t>pack</t>
  </si>
  <si>
    <t>DISPOSABLE SYRINGE 3ML G 23 W/ NEEDLE</t>
  </si>
  <si>
    <t>DISPOSABLE SYRINGE 5ML G 23 W/ NEEDLE</t>
  </si>
  <si>
    <t>DISPOSABLE SYRINGE 10ML G 21 W/ NEEDLE</t>
  </si>
  <si>
    <t>PARACETAMOL (ACETAMINOPHEN)</t>
  </si>
  <si>
    <t>300MG/2ML</t>
  </si>
  <si>
    <t>1G</t>
  </si>
  <si>
    <t>SALBUTAMOL SULPHATE</t>
  </si>
  <si>
    <t>CEFTRIAXONE SODIUM</t>
  </si>
  <si>
    <t>nebule</t>
  </si>
  <si>
    <t>1MG/ML - 2.5ML</t>
  </si>
  <si>
    <t>PLAIN LRS LACTATED RINGER'S SOLUTION</t>
  </si>
  <si>
    <t>(D5LRS) 5% DEXTROSE IN LACTATED RINGERS SOLUTION</t>
  </si>
  <si>
    <t>5% DEXTROSE 0.9% SODIUM CHLORIDE</t>
  </si>
  <si>
    <t>CAP 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</si>
</sst>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733425</xdr:colOff>
          <xdr:row>24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1504950</xdr:colOff>
          <xdr:row>24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25</xdr:row>
          <xdr:rowOff>28575</xdr:rowOff>
        </xdr:from>
        <xdr:to>
          <xdr:col>1</xdr:col>
          <xdr:colOff>762000</xdr:colOff>
          <xdr:row>25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25</xdr:row>
          <xdr:rowOff>28575</xdr:rowOff>
        </xdr:from>
        <xdr:to>
          <xdr:col>1</xdr:col>
          <xdr:colOff>1533525</xdr:colOff>
          <xdr:row>25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zoomScale="145" zoomScaleNormal="145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210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/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30">
        <v>5</v>
      </c>
      <c r="C23" s="31"/>
      <c r="D23" s="21"/>
      <c r="E23" s="21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6" t="s">
        <v>52</v>
      </c>
      <c r="C24" s="117"/>
      <c r="D24" s="117"/>
      <c r="E24" s="117"/>
      <c r="F24" s="118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1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2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3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4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6">
        <v>5</v>
      </c>
      <c r="C29" s="27"/>
      <c r="D29" s="29"/>
      <c r="E29" s="55"/>
      <c r="F29" s="5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thickBot="1" x14ac:dyDescent="0.35">
      <c r="A30" s="1"/>
      <c r="B30" s="119" t="s">
        <v>43</v>
      </c>
      <c r="C30" s="120"/>
      <c r="D30" s="120"/>
      <c r="E30" s="120"/>
      <c r="F30" s="13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159</v>
      </c>
      <c r="C31" s="113" t="s">
        <v>163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10" t="s">
        <v>160</v>
      </c>
      <c r="C32" s="114" t="s">
        <v>124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4" t="s">
        <v>161</v>
      </c>
      <c r="C33" s="114" t="s">
        <v>139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5" t="s">
        <v>17</v>
      </c>
      <c r="C34" s="7"/>
      <c r="D34" s="7"/>
      <c r="E34" s="56">
        <v>6</v>
      </c>
      <c r="F34" s="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6" t="s">
        <v>18</v>
      </c>
      <c r="C35" s="117"/>
      <c r="D35" s="117"/>
      <c r="E35" s="117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1</v>
      </c>
      <c r="C36" s="31" t="s">
        <v>177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 t="s">
        <v>173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 t="s">
        <v>174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5</v>
      </c>
      <c r="C40" s="27" t="s">
        <v>183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6</v>
      </c>
      <c r="C41" s="27" t="s">
        <v>175</v>
      </c>
      <c r="D41" s="23"/>
      <c r="E41" s="55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7</v>
      </c>
      <c r="C42" s="27" t="s">
        <v>176</v>
      </c>
      <c r="D42" s="23"/>
      <c r="E42" s="57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8</v>
      </c>
      <c r="C43" s="27" t="s">
        <v>184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9</v>
      </c>
      <c r="C44" s="27" t="s">
        <v>185</v>
      </c>
      <c r="D44" s="23"/>
      <c r="E44" s="57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19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186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 t="s">
        <v>187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44</v>
      </c>
      <c r="C48" s="120"/>
      <c r="D48" s="117"/>
      <c r="E48" s="120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53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6" t="s">
        <v>20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164</v>
      </c>
      <c r="D65" s="55">
        <v>568.23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165</v>
      </c>
      <c r="D66" s="55">
        <v>300.07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166</v>
      </c>
      <c r="D67" s="55">
        <v>550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167</v>
      </c>
      <c r="D68" s="55">
        <v>2170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168</v>
      </c>
      <c r="D69" s="55">
        <v>3000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169</v>
      </c>
      <c r="D70" s="55">
        <v>4500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11088.3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4:F24"/>
    <mergeCell ref="B35:F35"/>
    <mergeCell ref="B30:F30"/>
    <mergeCell ref="B45:F45"/>
    <mergeCell ref="B50:F50"/>
  </mergeCells>
  <dataValidations count="1">
    <dataValidation type="decimal" operator="greaterThanOrEqual" allowBlank="1" showInputMessage="1" showErrorMessage="1" sqref="E34 E46:E47 E49 E25:F29 E51:F54 E56:F61 D65:F74 E36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733425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1504950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3" zoomScale="110" zoomScaleNormal="110" workbookViewId="0">
      <selection activeCell="C18" sqref="C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200</v>
      </c>
      <c r="D11" s="27" t="s">
        <v>179</v>
      </c>
      <c r="E11" s="27" t="s">
        <v>201</v>
      </c>
      <c r="F11" s="55">
        <v>1</v>
      </c>
      <c r="G11" s="55">
        <v>1</v>
      </c>
      <c r="H11" s="55">
        <v>2</v>
      </c>
      <c r="I11" s="55">
        <v>4.57</v>
      </c>
      <c r="J11" s="55">
        <f>H11*I11</f>
        <v>9.14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204</v>
      </c>
      <c r="D12" s="27" t="s">
        <v>179</v>
      </c>
      <c r="E12" s="27" t="s">
        <v>202</v>
      </c>
      <c r="F12" s="55">
        <v>1</v>
      </c>
      <c r="G12" s="55">
        <v>5</v>
      </c>
      <c r="H12" s="55">
        <v>7</v>
      </c>
      <c r="I12" s="55">
        <v>20.149999999999999</v>
      </c>
      <c r="J12" s="55">
        <f t="shared" ref="J12:J26" si="0">H12*I12</f>
        <v>141.04999999999998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203</v>
      </c>
      <c r="D13" s="27" t="s">
        <v>205</v>
      </c>
      <c r="E13" s="27" t="s">
        <v>206</v>
      </c>
      <c r="F13" s="55">
        <v>1</v>
      </c>
      <c r="G13" s="55">
        <v>4</v>
      </c>
      <c r="H13" s="55">
        <v>20</v>
      </c>
      <c r="I13" s="55">
        <v>5.65</v>
      </c>
      <c r="J13" s="55">
        <f t="shared" si="0"/>
        <v>113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170</v>
      </c>
      <c r="D14" s="27" t="s">
        <v>171</v>
      </c>
      <c r="E14" s="27" t="s">
        <v>178</v>
      </c>
      <c r="F14" s="55">
        <v>1</v>
      </c>
      <c r="G14" s="55">
        <v>1</v>
      </c>
      <c r="H14" s="55">
        <v>1</v>
      </c>
      <c r="I14" s="55">
        <v>50.67</v>
      </c>
      <c r="J14" s="55">
        <f t="shared" si="0"/>
        <v>50.67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171</v>
      </c>
      <c r="E15" s="27" t="s">
        <v>178</v>
      </c>
      <c r="F15" s="55">
        <v>1</v>
      </c>
      <c r="G15" s="55">
        <v>1</v>
      </c>
      <c r="H15" s="55">
        <v>1</v>
      </c>
      <c r="I15" s="55">
        <v>49.33</v>
      </c>
      <c r="J15" s="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208</v>
      </c>
      <c r="D16" s="27" t="s">
        <v>171</v>
      </c>
      <c r="E16" s="27" t="s">
        <v>178</v>
      </c>
      <c r="F16" s="55">
        <v>1</v>
      </c>
      <c r="G16" s="55">
        <v>2</v>
      </c>
      <c r="H16" s="55">
        <v>3</v>
      </c>
      <c r="I16" s="55">
        <v>49.33</v>
      </c>
      <c r="J16" s="55">
        <f t="shared" si="0"/>
        <v>147.99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171</v>
      </c>
      <c r="E17" s="27" t="s">
        <v>178</v>
      </c>
      <c r="F17" s="55">
        <v>1</v>
      </c>
      <c r="G17" s="55">
        <v>1</v>
      </c>
      <c r="H17" s="55">
        <v>1</v>
      </c>
      <c r="I17" s="55">
        <v>57.05</v>
      </c>
      <c r="J17" s="55">
        <f t="shared" si="0"/>
        <v>57.05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7"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29</v>
      </c>
      <c r="E16" s="55">
        <v>1</v>
      </c>
      <c r="F16" s="55">
        <v>105.33</v>
      </c>
      <c r="G16" s="55">
        <f>F16*E16</f>
        <v>105.33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190</v>
      </c>
      <c r="E17" s="55">
        <v>2</v>
      </c>
      <c r="F17" s="55">
        <v>20.440000000000001</v>
      </c>
      <c r="G17" s="55">
        <f t="shared" ref="G17:G24" si="0">F17*E17</f>
        <v>40.880000000000003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29</v>
      </c>
      <c r="E18" s="55">
        <v>1</v>
      </c>
      <c r="F18" s="55">
        <v>38</v>
      </c>
      <c r="G18" s="55">
        <f t="shared" si="0"/>
        <v>38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193</v>
      </c>
      <c r="E19" s="55">
        <v>7</v>
      </c>
      <c r="F19" s="55">
        <v>1.6</v>
      </c>
      <c r="G19" s="55">
        <f t="shared" si="0"/>
        <v>11.200000000000001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193</v>
      </c>
      <c r="E20" s="55">
        <v>2</v>
      </c>
      <c r="F20" s="55">
        <v>8.2200000000000006</v>
      </c>
      <c r="G20" s="55">
        <f t="shared" si="0"/>
        <v>16.440000000000001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196</v>
      </c>
      <c r="E21" s="55">
        <v>2</v>
      </c>
      <c r="F21" s="55">
        <v>13.33</v>
      </c>
      <c r="G21" s="55">
        <f t="shared" si="0"/>
        <v>26.66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197</v>
      </c>
      <c r="D22" s="70" t="s">
        <v>193</v>
      </c>
      <c r="E22" s="55">
        <v>9</v>
      </c>
      <c r="F22" s="55">
        <v>1.6</v>
      </c>
      <c r="G22" s="55">
        <f t="shared" si="0"/>
        <v>14.4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198</v>
      </c>
      <c r="D23" s="70" t="s">
        <v>193</v>
      </c>
      <c r="E23" s="55">
        <v>5</v>
      </c>
      <c r="F23" s="55">
        <v>5</v>
      </c>
      <c r="G23" s="55">
        <f t="shared" si="0"/>
        <v>25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199</v>
      </c>
      <c r="D24" s="70" t="s">
        <v>193</v>
      </c>
      <c r="E24" s="55">
        <v>8</v>
      </c>
      <c r="F24" s="55">
        <v>2.77</v>
      </c>
      <c r="G24" s="55">
        <f t="shared" si="0"/>
        <v>22.16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137" t="s">
        <v>76</v>
      </c>
      <c r="C25" s="138"/>
      <c r="D25" s="138"/>
      <c r="E25" s="138"/>
      <c r="F25" s="138"/>
      <c r="G25" s="139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8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9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10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7" t="s">
        <v>30</v>
      </c>
      <c r="C36" s="138"/>
      <c r="D36" s="138"/>
      <c r="E36" s="138"/>
      <c r="F36" s="138"/>
      <c r="G36" s="139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5:G25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25</xdr:row>
                    <xdr:rowOff>28575</xdr:rowOff>
                  </from>
                  <to>
                    <xdr:col>1</xdr:col>
                    <xdr:colOff>762000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25</xdr:row>
                    <xdr:rowOff>28575</xdr:rowOff>
                  </from>
                  <to>
                    <xdr:col>1</xdr:col>
                    <xdr:colOff>1533525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84</v>
      </c>
      <c r="J12" s="86" t="s">
        <v>82</v>
      </c>
      <c r="K12" s="85" t="s">
        <v>41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data_general'!$C$31</f>
        <v>Level II and III</v>
      </c>
      <c r="G1" s="112" t="str">
        <f>'1.1 Case data_general'!$C$32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2018-05-30T08:04:54Z</dcterms:modified>
</cp:coreProperties>
</file>