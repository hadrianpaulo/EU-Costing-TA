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HIC-ECLAIMS 4\Desktop\Case Cost Data Collection Form\05292018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Supplies_Medical'!$C$15:$C$42</definedName>
    <definedName name="Drugs">'1.2 Drugs&amp;Med'!$C$11:$C$13</definedName>
    <definedName name="_xlnm.Print_Area" localSheetId="0">'1.1 Case data_general'!$B$1:$F$61</definedName>
    <definedName name="_xlnm.Print_Area" localSheetId="1">'1.2 Drugs&amp;Med'!$B$2:$J$14</definedName>
  </definedNames>
  <calcPr calcId="162913"/>
</workbook>
</file>

<file path=xl/calcChain.xml><?xml version="1.0" encoding="utf-8"?>
<calcChain xmlns="http://schemas.openxmlformats.org/spreadsheetml/2006/main">
  <c r="G17" i="9" l="1"/>
  <c r="G18" i="9"/>
  <c r="G19" i="9"/>
  <c r="G20" i="9"/>
  <c r="G16" i="9"/>
  <c r="J12" i="2" l="1"/>
  <c r="J13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1" i="1"/>
  <c r="E61" i="1"/>
  <c r="D6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<sst xmlns="http://schemas.openxmlformats.org/spreadsheetml/2006/main" count="479" uniqueCount="188">
  <si>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</si>
  <si>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</si>
  <si>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</si>
  <si>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</si>
  <si>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</si>
  <si>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</si>
  <si>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</si>
  <si>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</si>
  <si>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</si>
  <si>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</si>
  <si>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</si>
  <si>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</si>
  <si>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</si>
  <si>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</si>
  <si>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</si>
  <si>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</si>
  <si>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</si>
  <si>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</si>
  <si>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</si>
  <si>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</si>
  <si>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</si>
  <si>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</si>
  <si>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</si>
  <si>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</si>
  <si>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</si>
  <si>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</si>
  <si>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</si>
  <si>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</si>
  <si>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</si>
  <si>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</si>
  <si>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</si>
  <si>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</si>
  <si>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</si>
  <si>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</si>
  <si>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</si>
  <si>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</si>
  <si>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</si>
  <si>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</si>
  <si>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</si>
  <si>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</si>
  <si>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</si>
  <si>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</si>
  <si>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</si>
  <si>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</si>
  <si>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</si>
  <si>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</si>
  <si>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</si>
  <si>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</si>
  <si>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</si>
  <si>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</si>
  <si>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</si>
  <si>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</si>
  <si>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</si>
  <si>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</si>
  <si>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</si>
  <si>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</si>
  <si>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</si>
  <si>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</si>
  <si>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</si>
  <si>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</si>
  <si>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</si>
  <si>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</si>
  <si>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</si>
  <si>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</si>
  <si>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</si>
  <si>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</si>
  <si>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</si>
  <si>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</si>
  <si>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</si>
  <si>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</si>
  <si>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</si>
  <si>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</si>
  <si>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</si>
  <si>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</si>
  <si>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</si>
  <si>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</si>
  <si>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</si>
  <si>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</si>
  <si>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</si>
  <si>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</si>
  <si>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</si>
  <si>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</si>
  <si>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</si>
  <si>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</si>
  <si>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</si>
  <si>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</si>
  <si>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</si>
  <si>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</si>
  <si>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</si>
  <si>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</si>
  <si>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</si>
  <si>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</si>
  <si>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</si>
  <si>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</si>
  <si>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</si>
  <si>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</si>
  <si>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</si>
  <si>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</si>
  <si>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</si>
  <si>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</si>
  <si>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</si>
  <si>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</si>
  <si>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</si>
  <si>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</si>
  <si>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</si>
  <si>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</si>
  <si>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</si>
  <si>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</si>
  <si>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</si>
  <si>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</si>
  <si>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</si>
  <si>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</si>
  <si>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</si>
  <si>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</si>
  <si>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</si>
  <si>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</si>
  <si>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</si>
  <si>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</si>
  <si>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</si>
  <si>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</si>
  <si>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</si>
  <si>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</si>
  <si>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</si>
  <si>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</si>
  <si>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</si>
  <si>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</si>
  <si>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</si>
  <si>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</si>
  <si>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</si>
  <si>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</si>
  <si>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</si>
  <si>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</si>
  <si>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</si>
  <si>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</si>
  <si>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</si>
  <si>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</si>
  <si>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</si>
  <si>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</si>
  <si>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</si>
  <si>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</si>
  <si>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</si>
  <si>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</si>
  <si>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</si>
  <si>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</si>
  <si>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</si>
  <si>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</si>
  <si>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</si>
  <si>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</si>
  <si>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</si>
  <si>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</si>
  <si>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</si>
  <si>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</si>
  <si>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</si>
  <si>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</si>
  <si>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</si>
  <si>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</si>
  <si>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</si>
  <si>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</si>
  <si>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</si>
  <si>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</si>
  <si>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</si>
  <si>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</si>
  <si>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</si>
  <si>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J18.92</t>
  </si>
  <si>
    <t>MEDICINES</t>
  </si>
  <si>
    <t>SUPPLIES</t>
  </si>
  <si>
    <t>XRAY</t>
  </si>
  <si>
    <t>LABORATORY</t>
  </si>
  <si>
    <t>ROOM AND ACCOMMODATION</t>
  </si>
  <si>
    <t>PROFESSIONAL FEE</t>
  </si>
  <si>
    <t>BLOOD C/S</t>
  </si>
  <si>
    <t>CBC, PC</t>
  </si>
  <si>
    <t>BLOOD EXTRACTION FEE</t>
  </si>
  <si>
    <t>(MICROSET) IV INFUSION SET</t>
  </si>
  <si>
    <t>tablet</t>
  </si>
  <si>
    <t>piece</t>
  </si>
  <si>
    <t>vial</t>
  </si>
  <si>
    <t>IV CATHETER GAUGE 24</t>
  </si>
  <si>
    <t>DISPOSABLE SYRINGE 1ML G 25</t>
  </si>
  <si>
    <t>DISPOSABLE SYRINGE 3ML G 23</t>
  </si>
  <si>
    <t>DISPOSABLE SYRINGE 10ML G21</t>
  </si>
  <si>
    <t>CAP MR</t>
  </si>
  <si>
    <t>360049/73980</t>
  </si>
  <si>
    <t>Chest APL PEDIA (2 views)</t>
  </si>
  <si>
    <t>CEFTRIAXONE SODIUM</t>
  </si>
  <si>
    <t>1g</t>
  </si>
  <si>
    <t>PARACETAMOL  (ACETAMINOPHEN)</t>
  </si>
  <si>
    <t>300MG-2ML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</si>
</sst>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19050</xdr:rowOff>
        </xdr:from>
        <xdr:to>
          <xdr:col>1</xdr:col>
          <xdr:colOff>733425</xdr:colOff>
          <xdr:row>20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1504950</xdr:colOff>
          <xdr:row>20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31</xdr:row>
          <xdr:rowOff>19050</xdr:rowOff>
        </xdr:from>
        <xdr:to>
          <xdr:col>1</xdr:col>
          <xdr:colOff>733425</xdr:colOff>
          <xdr:row>31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31</xdr:row>
          <xdr:rowOff>19050</xdr:rowOff>
        </xdr:from>
        <xdr:to>
          <xdr:col>1</xdr:col>
          <xdr:colOff>1504950</xdr:colOff>
          <xdr:row>31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733425</xdr:colOff>
          <xdr:row>35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1504950</xdr:colOff>
          <xdr:row>35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733425</xdr:colOff>
          <xdr:row>39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1504950</xdr:colOff>
          <xdr:row>39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21</xdr:row>
          <xdr:rowOff>28575</xdr:rowOff>
        </xdr:from>
        <xdr:to>
          <xdr:col>1</xdr:col>
          <xdr:colOff>762000</xdr:colOff>
          <xdr:row>21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21</xdr:row>
          <xdr:rowOff>28575</xdr:rowOff>
        </xdr:from>
        <xdr:to>
          <xdr:col>1</xdr:col>
          <xdr:colOff>1533525</xdr:colOff>
          <xdr:row>21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28575</xdr:rowOff>
        </xdr:from>
        <xdr:to>
          <xdr:col>1</xdr:col>
          <xdr:colOff>771525</xdr:colOff>
          <xdr:row>32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32</xdr:row>
          <xdr:rowOff>28575</xdr:rowOff>
        </xdr:from>
        <xdr:to>
          <xdr:col>1</xdr:col>
          <xdr:colOff>1543050</xdr:colOff>
          <xdr:row>32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998"/>
  <sheetViews>
    <sheetView tabSelected="1" zoomScaleNormal="100" workbookViewId="0">
      <selection activeCell="D28" sqref="D2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181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6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182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163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thickBot="1" x14ac:dyDescent="0.35">
      <c r="A20" s="1"/>
      <c r="B20" s="116" t="s">
        <v>51</v>
      </c>
      <c r="C20" s="117"/>
      <c r="D20" s="117"/>
      <c r="E20" s="117"/>
      <c r="F20" s="118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26">
        <v>1</v>
      </c>
      <c r="C21" s="27"/>
      <c r="D21" s="29"/>
      <c r="E21" s="55"/>
      <c r="F21" s="55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2</v>
      </c>
      <c r="C22" s="27"/>
      <c r="D22" s="29"/>
      <c r="E22" s="55"/>
      <c r="F22" s="5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3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4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5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thickBot="1" x14ac:dyDescent="0.35">
      <c r="A26" s="1"/>
      <c r="B26" s="119" t="s">
        <v>42</v>
      </c>
      <c r="C26" s="120"/>
      <c r="D26" s="120"/>
      <c r="E26" s="120"/>
      <c r="F26" s="130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10" t="s">
        <v>158</v>
      </c>
      <c r="C27" s="113" t="s">
        <v>162</v>
      </c>
      <c r="D27" s="13"/>
      <c r="E27" s="13"/>
      <c r="F27" s="13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159</v>
      </c>
      <c r="C28" s="114" t="s">
        <v>123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4" t="s">
        <v>160</v>
      </c>
      <c r="C29" s="114" t="s">
        <v>138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5" t="s">
        <v>17</v>
      </c>
      <c r="C30" s="7"/>
      <c r="D30" s="7"/>
      <c r="E30" s="56">
        <v>4</v>
      </c>
      <c r="F30" s="7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thickBot="1" x14ac:dyDescent="0.35">
      <c r="A31" s="1"/>
      <c r="B31" s="116" t="s">
        <v>18</v>
      </c>
      <c r="C31" s="117"/>
      <c r="D31" s="117"/>
      <c r="E31" s="117"/>
      <c r="F31" s="118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30">
        <v>1</v>
      </c>
      <c r="C32" s="31" t="s">
        <v>170</v>
      </c>
      <c r="D32" s="23"/>
      <c r="E32" s="57">
        <v>1</v>
      </c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2</v>
      </c>
      <c r="C33" s="27" t="s">
        <v>171</v>
      </c>
      <c r="D33" s="23"/>
      <c r="E33" s="55">
        <v>1</v>
      </c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3</v>
      </c>
      <c r="C34" s="27" t="s">
        <v>172</v>
      </c>
      <c r="D34" s="23"/>
      <c r="E34" s="55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thickBot="1" x14ac:dyDescent="0.35">
      <c r="A35" s="1"/>
      <c r="B35" s="119" t="s">
        <v>19</v>
      </c>
      <c r="C35" s="120"/>
      <c r="D35" s="117"/>
      <c r="E35" s="120"/>
      <c r="F35" s="118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1</v>
      </c>
      <c r="C36" s="27" t="s">
        <v>183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9" t="s">
        <v>43</v>
      </c>
      <c r="C37" s="120"/>
      <c r="D37" s="117"/>
      <c r="E37" s="120"/>
      <c r="F37" s="118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14" t="s">
        <v>44</v>
      </c>
      <c r="C38" s="13"/>
      <c r="D38" s="13"/>
      <c r="E38" s="16"/>
      <c r="F38" s="13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6" t="s">
        <v>52</v>
      </c>
      <c r="C39" s="117"/>
      <c r="D39" s="117"/>
      <c r="E39" s="117"/>
      <c r="F39" s="118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20"/>
      <c r="B40" s="30">
        <v>1</v>
      </c>
      <c r="C40" s="31"/>
      <c r="D40" s="32"/>
      <c r="E40" s="57"/>
      <c r="F40" s="5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20"/>
      <c r="B41" s="30">
        <v>2</v>
      </c>
      <c r="C41" s="31"/>
      <c r="D41" s="32"/>
      <c r="E41" s="57"/>
      <c r="F41" s="5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20"/>
      <c r="B42" s="26">
        <v>3</v>
      </c>
      <c r="C42" s="27"/>
      <c r="D42" s="28"/>
      <c r="E42" s="55"/>
      <c r="F42" s="55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26">
        <v>4</v>
      </c>
      <c r="C43" s="27"/>
      <c r="D43" s="28"/>
      <c r="E43" s="55"/>
      <c r="F43" s="55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6" t="s">
        <v>20</v>
      </c>
      <c r="C44" s="117"/>
      <c r="D44" s="117"/>
      <c r="E44" s="117"/>
      <c r="F44" s="118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2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3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4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5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6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5"/>
      <c r="C51" s="25"/>
      <c r="D51" s="25"/>
      <c r="E51" s="25"/>
      <c r="F51" s="2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57.75" customHeight="1" thickBot="1" x14ac:dyDescent="0.35">
      <c r="A53" s="1"/>
      <c r="B53" s="17" t="s">
        <v>54</v>
      </c>
      <c r="C53" s="17" t="s">
        <v>50</v>
      </c>
      <c r="D53" s="17" t="s">
        <v>55</v>
      </c>
      <c r="E53" s="18" t="s">
        <v>56</v>
      </c>
      <c r="F53" s="19" t="s">
        <v>21</v>
      </c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2">
        <v>1</v>
      </c>
      <c r="C54" s="27" t="s">
        <v>164</v>
      </c>
      <c r="D54" s="55">
        <v>344.76</v>
      </c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0">
        <v>2</v>
      </c>
      <c r="C55" s="27" t="s">
        <v>165</v>
      </c>
      <c r="D55" s="55">
        <v>68.900000000000006</v>
      </c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0">
        <v>3</v>
      </c>
      <c r="C56" s="27" t="s">
        <v>166</v>
      </c>
      <c r="D56" s="55">
        <v>190</v>
      </c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0">
        <v>4</v>
      </c>
      <c r="C57" s="27" t="s">
        <v>167</v>
      </c>
      <c r="D57" s="55">
        <v>1405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5</v>
      </c>
      <c r="C58" s="27" t="s">
        <v>168</v>
      </c>
      <c r="D58" s="55">
        <v>2000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6</v>
      </c>
      <c r="C59" s="27" t="s">
        <v>169</v>
      </c>
      <c r="D59" s="55">
        <v>4500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4.9000000000000004" customHeight="1" thickBot="1" x14ac:dyDescent="0.35">
      <c r="A60" s="1"/>
      <c r="B60" s="1"/>
      <c r="C60" s="1"/>
      <c r="D60" s="58"/>
      <c r="E60" s="58"/>
      <c r="F60" s="58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thickTop="1" x14ac:dyDescent="0.3">
      <c r="A61" s="1"/>
      <c r="B61" s="11"/>
      <c r="C61" s="4" t="s">
        <v>22</v>
      </c>
      <c r="D61" s="59">
        <f>SUM(D54:D60)</f>
        <v>8508.66</v>
      </c>
      <c r="E61" s="59">
        <f>SUM(E54:E60)</f>
        <v>0</v>
      </c>
      <c r="F61" s="59">
        <f>SUM(F54:F60)</f>
        <v>0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</sheetData>
  <sheetProtection formatColumns="0" formatRows="0" sort="0" autoFilter="0"/>
  <mergeCells count="12">
    <mergeCell ref="B44:F44"/>
    <mergeCell ref="B37:F37"/>
    <mergeCell ref="B12:F12"/>
    <mergeCell ref="B13:F13"/>
    <mergeCell ref="B14:F14"/>
    <mergeCell ref="B15:F15"/>
    <mergeCell ref="B18:F18"/>
    <mergeCell ref="B20:F20"/>
    <mergeCell ref="B31:F31"/>
    <mergeCell ref="B26:F26"/>
    <mergeCell ref="B35:F35"/>
    <mergeCell ref="B39:F39"/>
  </mergeCells>
  <dataValidations count="1">
    <dataValidation type="decimal" operator="greaterThanOrEqual" allowBlank="1" showInputMessage="1" showErrorMessage="1" sqref="E30 E36 E38 E21:F25 E40:F43 E45:F50 D54:F59 E32:E3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2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20</xdr:row>
                    <xdr:rowOff>19050</xdr:rowOff>
                  </from>
                  <to>
                    <xdr:col>1</xdr:col>
                    <xdr:colOff>733425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1504950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31</xdr:row>
                    <xdr:rowOff>19050</xdr:rowOff>
                  </from>
                  <to>
                    <xdr:col>1</xdr:col>
                    <xdr:colOff>733425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31</xdr:row>
                    <xdr:rowOff>19050</xdr:rowOff>
                  </from>
                  <to>
                    <xdr:col>1</xdr:col>
                    <xdr:colOff>1504950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733425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1504950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733425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1504950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C28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4"/>
  <sheetViews>
    <sheetView workbookViewId="0">
      <selection activeCell="C13" sqref="C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CAP MR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3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6.5" x14ac:dyDescent="0.3">
      <c r="B11" s="42">
        <v>1</v>
      </c>
      <c r="C11" s="27" t="s">
        <v>186</v>
      </c>
      <c r="D11" s="27" t="s">
        <v>174</v>
      </c>
      <c r="E11" s="27" t="s">
        <v>187</v>
      </c>
      <c r="F11" s="55">
        <v>3</v>
      </c>
      <c r="G11" s="55">
        <v>1</v>
      </c>
      <c r="H11" s="55">
        <v>3</v>
      </c>
      <c r="I11" s="55">
        <v>4.57</v>
      </c>
      <c r="J11" s="55">
        <f>H11*I11</f>
        <v>13.71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6.5" x14ac:dyDescent="0.3">
      <c r="B12" s="42">
        <v>2</v>
      </c>
      <c r="C12" s="27" t="s">
        <v>173</v>
      </c>
      <c r="D12" s="27" t="s">
        <v>175</v>
      </c>
      <c r="E12" s="27" t="s">
        <v>175</v>
      </c>
      <c r="F12" s="55">
        <v>2</v>
      </c>
      <c r="G12" s="55">
        <v>4</v>
      </c>
      <c r="H12" s="55">
        <v>10</v>
      </c>
      <c r="I12" s="55">
        <v>19</v>
      </c>
      <c r="J12" s="55">
        <f t="shared" ref="J12:J13" si="0">H12*I12</f>
        <v>190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6.5" x14ac:dyDescent="0.3">
      <c r="B13" s="42">
        <v>3</v>
      </c>
      <c r="C13" s="27" t="s">
        <v>184</v>
      </c>
      <c r="D13" s="27" t="s">
        <v>176</v>
      </c>
      <c r="E13" s="27" t="s">
        <v>185</v>
      </c>
      <c r="F13" s="55">
        <v>1</v>
      </c>
      <c r="G13" s="55">
        <v>4</v>
      </c>
      <c r="H13" s="55">
        <v>7</v>
      </c>
      <c r="I13" s="55">
        <v>20.149999999999999</v>
      </c>
      <c r="J13" s="55">
        <f t="shared" si="0"/>
        <v>141.04999999999998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25">
      <c r="A14" s="33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</row>
    <row r="15" spans="1:20" ht="15.75" customHeight="1" x14ac:dyDescent="0.25"/>
    <row r="16" spans="1:20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</sheetData>
  <sheetProtection algorithmName="SHA-512" hashValue="jWxDR9ARy0ZCYvDgJA/OBnHwDrItZ8Bq9m0rRGn556qH3wfF2fZXol2thO0a0giY2kggI7NygG9vLqDoKA3CeQ==" saltValue="UKoCfoKl77jIBO0t7424Y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3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6"/>
  <sheetViews>
    <sheetView workbookViewId="0">
      <selection activeCell="D22" sqref="D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CAP MR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5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177</v>
      </c>
      <c r="D16" s="70" t="s">
        <v>175</v>
      </c>
      <c r="E16" s="55">
        <v>2</v>
      </c>
      <c r="F16" s="55">
        <v>14.33</v>
      </c>
      <c r="G16" s="55">
        <f>+E16*F16</f>
        <v>28.66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178</v>
      </c>
      <c r="D17" s="70" t="s">
        <v>175</v>
      </c>
      <c r="E17" s="55">
        <v>2</v>
      </c>
      <c r="F17" s="55">
        <v>1.6</v>
      </c>
      <c r="G17" s="55">
        <f t="shared" ref="G17:G20" si="0">+E17*F17</f>
        <v>3.2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179</v>
      </c>
      <c r="D18" s="70" t="s">
        <v>175</v>
      </c>
      <c r="E18" s="55">
        <v>4</v>
      </c>
      <c r="F18" s="55">
        <v>1.6</v>
      </c>
      <c r="G18" s="55">
        <f t="shared" si="0"/>
        <v>6.4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178</v>
      </c>
      <c r="D19" s="70" t="s">
        <v>175</v>
      </c>
      <c r="E19" s="55">
        <v>5</v>
      </c>
      <c r="F19" s="55">
        <v>1.6</v>
      </c>
      <c r="G19" s="55">
        <f t="shared" si="0"/>
        <v>8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180</v>
      </c>
      <c r="D20" s="70" t="s">
        <v>175</v>
      </c>
      <c r="E20" s="55">
        <v>3</v>
      </c>
      <c r="F20" s="55">
        <v>2.77</v>
      </c>
      <c r="G20" s="55">
        <f t="shared" si="0"/>
        <v>8.31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137" t="s">
        <v>75</v>
      </c>
      <c r="C21" s="138"/>
      <c r="D21" s="138"/>
      <c r="E21" s="138"/>
      <c r="F21" s="138"/>
      <c r="G21" s="139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1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2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3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4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5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6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7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8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9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10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137" t="s">
        <v>29</v>
      </c>
      <c r="C32" s="138"/>
      <c r="D32" s="138"/>
      <c r="E32" s="138"/>
      <c r="F32" s="138"/>
      <c r="G32" s="139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1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2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3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4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5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6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7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8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9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10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A43" s="44"/>
      <c r="B43" s="39"/>
      <c r="C43" s="44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A44" s="44"/>
      <c r="B44" s="39"/>
      <c r="C44" s="44"/>
      <c r="D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5.75" customHeight="1" x14ac:dyDescent="0.25"/>
    <row r="46" spans="1:16" ht="15.75" customHeight="1" x14ac:dyDescent="0.25"/>
    <row r="47" spans="1:16" ht="15.75" customHeight="1" x14ac:dyDescent="0.25"/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</sheetData>
  <sheetProtection algorithmName="SHA-512" hashValue="wNHV4v1QlMUGGuet7+m20D7NzsOdv2OiCRy6zUY1LWUsFl2U0Yka89sVtF6eA9bXzgBeWFQIj25mvcTCNv2iAg==" saltValue="nRJirPJ75olCjuszUc4/Yw==" spinCount="100000" sheet="1" objects="1" scenarios="1" formatColumns="0" formatRows="0" sort="0" autoFilter="0"/>
  <mergeCells count="9">
    <mergeCell ref="B7:G7"/>
    <mergeCell ref="B21:G21"/>
    <mergeCell ref="B32:G32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21</xdr:row>
                    <xdr:rowOff>28575</xdr:rowOff>
                  </from>
                  <to>
                    <xdr:col>1</xdr:col>
                    <xdr:colOff>762000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21</xdr:row>
                    <xdr:rowOff>28575</xdr:rowOff>
                  </from>
                  <to>
                    <xdr:col>1</xdr:col>
                    <xdr:colOff>1533525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32</xdr:row>
                    <xdr:rowOff>28575</xdr:rowOff>
                  </from>
                  <to>
                    <xdr:col>1</xdr:col>
                    <xdr:colOff>771525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32</xdr:row>
                    <xdr:rowOff>28575</xdr:rowOff>
                  </from>
                  <to>
                    <xdr:col>1</xdr:col>
                    <xdr:colOff>1543050</xdr:colOff>
                    <xdr:row>32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C13" sqref="C13:M17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CAP MR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data_general'!$C$27</f>
        <v>Level II and III</v>
      </c>
      <c r="G1" s="112" t="str">
        <f>'1.1 Case data_general'!$C$28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PHIC-ECLAIMS 4</cp:lastModifiedBy>
  <dcterms:created xsi:type="dcterms:W3CDTF">2018-05-11T08:46:15Z</dcterms:created>
  <dcterms:modified xsi:type="dcterms:W3CDTF">2018-06-01T01:18:37Z</dcterms:modified>
</cp:coreProperties>
</file>