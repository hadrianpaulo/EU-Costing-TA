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80" windowWidth="15528" windowHeight="720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Drugs&amp;Med'!$C$11:$C$21</definedName>
    <definedName name="_xlnm.Print_Area" localSheetId="0">'1.1 Case data_general'!$B$1:$F$80</definedName>
    <definedName name="_xlnm.Print_Area" localSheetId="1">'1.2 Drugs&amp;Med'!$B$2:$J$30</definedName>
  </definedNames>
  <calcPr calcId="144525"/>
</workbook>
</file>

<file path=xl/calcChain.xml><?xml version="1.0" encoding="utf-8"?>
<calcChain xmlns="http://schemas.openxmlformats.org/spreadsheetml/2006/main">
  <c r="J22" i="2" l="1"/>
  <c r="J16" i="2"/>
  <c r="J17" i="2"/>
  <c r="J18" i="2"/>
  <c r="J19" i="2"/>
  <c r="J20" i="2"/>
  <c r="J21" i="2"/>
  <c r="G20" i="9" l="1"/>
  <c r="G19" i="9"/>
  <c r="G18" i="9"/>
  <c r="G17" i="9"/>
  <c r="G16" i="9"/>
  <c r="J15" i="2" l="1"/>
  <c r="J14" i="2"/>
  <c r="J12" i="2" l="1"/>
  <c r="J13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<sst xmlns="http://schemas.openxmlformats.org/spreadsheetml/2006/main" count="519" uniqueCount="222">
  <si>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</si>
  <si>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</si>
  <si>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</si>
  <si>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</si>
  <si>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</si>
  <si>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</si>
  <si>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</si>
  <si>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</si>
  <si>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</si>
  <si>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</si>
  <si>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</si>
  <si>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</si>
  <si>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</si>
  <si>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</si>
  <si>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</si>
  <si>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</si>
  <si>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</si>
  <si>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</si>
  <si>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</si>
  <si>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</si>
  <si>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</si>
  <si>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</si>
  <si>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</si>
  <si>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</si>
  <si>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</si>
  <si>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</si>
  <si>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</si>
  <si>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</si>
  <si>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</si>
  <si>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</si>
  <si>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</si>
  <si>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</si>
  <si>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</si>
  <si>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</si>
  <si>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</si>
  <si>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</si>
  <si>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</si>
  <si>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</si>
  <si>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</si>
  <si>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</si>
  <si>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</si>
  <si>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</si>
  <si>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</si>
  <si>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</si>
  <si>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</si>
  <si>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</si>
  <si>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</si>
  <si>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</si>
  <si>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</si>
  <si>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</si>
  <si>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</si>
  <si>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</si>
  <si>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</si>
  <si>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</si>
  <si>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</si>
  <si>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</si>
  <si>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</si>
  <si>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</si>
  <si>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</si>
  <si>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</si>
  <si>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</si>
  <si>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</si>
  <si>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</si>
  <si>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</si>
  <si>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</si>
  <si>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</si>
  <si>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</si>
  <si>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</si>
  <si>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</si>
  <si>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</si>
  <si>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</si>
  <si>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</si>
  <si>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</si>
  <si>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</si>
  <si>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</si>
  <si>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</si>
  <si>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</si>
  <si>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</si>
  <si>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</si>
  <si>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</si>
  <si>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</si>
  <si>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</si>
  <si>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</si>
  <si>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</si>
  <si>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</si>
  <si>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</si>
  <si>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</si>
  <si>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</si>
  <si>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</si>
  <si>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</si>
  <si>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</si>
  <si>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</si>
  <si>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</si>
  <si>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</si>
  <si>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</si>
  <si>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</si>
  <si>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</si>
  <si>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</si>
  <si>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</si>
  <si>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</si>
  <si>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</si>
  <si>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</si>
  <si>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</si>
  <si>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</si>
  <si>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</si>
  <si>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</si>
  <si>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</si>
  <si>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</si>
  <si>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</si>
  <si>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</si>
  <si>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</si>
  <si>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</si>
  <si>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</si>
  <si>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</si>
  <si>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</si>
  <si>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</si>
  <si>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</si>
  <si>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</si>
  <si>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</si>
  <si>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</si>
  <si>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</si>
  <si>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</si>
  <si>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</si>
  <si>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</si>
  <si>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</si>
  <si>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</si>
  <si>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</si>
  <si>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</si>
  <si>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</si>
  <si>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</si>
  <si>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</si>
  <si>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</si>
  <si>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</si>
  <si>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</si>
  <si>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</si>
  <si>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</si>
  <si>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</si>
  <si>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</si>
  <si>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</si>
  <si>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</si>
  <si>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</si>
  <si>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</si>
  <si>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</si>
  <si>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</si>
  <si>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</si>
  <si>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</si>
  <si>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</si>
  <si>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</si>
  <si>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</si>
  <si>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</si>
  <si>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</si>
  <si>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</si>
  <si>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</si>
  <si>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</si>
  <si>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</si>
  <si>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</si>
  <si>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</si>
  <si>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</si>
  <si>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</si>
  <si>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</si>
  <si>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</si>
  <si>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</si>
  <si>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</si>
  <si>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</si>
  <si>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</si>
  <si>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</si>
  <si>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</si>
  <si>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</si>
  <si>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</si>
  <si>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</si>
  <si>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</si>
  <si>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</si>
  <si>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</si>
  <si>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</si>
  <si>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CBC, PC</t>
  </si>
  <si>
    <t>vial</t>
  </si>
  <si>
    <t>IV CATHETER GAUGE 24</t>
  </si>
  <si>
    <t>CEFTRIAXONE SODIUM 1G</t>
  </si>
  <si>
    <t>300MG-2ML</t>
  </si>
  <si>
    <t>pcs</t>
  </si>
  <si>
    <t>kit</t>
  </si>
  <si>
    <t>J45.90</t>
  </si>
  <si>
    <t>E11.9</t>
  </si>
  <si>
    <t>NA (SODIUM)</t>
  </si>
  <si>
    <t>K (POTASSIUM)</t>
  </si>
  <si>
    <t>BLOOD EXTRACTION FEE</t>
  </si>
  <si>
    <t>CL (CHLORIDE)</t>
  </si>
  <si>
    <t>CREATININE (CREA)</t>
  </si>
  <si>
    <t>LIPID PROFILE</t>
  </si>
  <si>
    <t>BLOOD C/S (2 SITES)</t>
  </si>
  <si>
    <t>RANDOM BLOOD SUGAR</t>
  </si>
  <si>
    <t>HBA1C / GLYCOSYLATED</t>
  </si>
  <si>
    <t>FASTING BLOOD SUGAR</t>
  </si>
  <si>
    <t>Chest PA ADULT (1 view)</t>
  </si>
  <si>
    <t>ACETYLCYSTEINE 600MG</t>
  </si>
  <si>
    <t>HYDROCORTISONE SODIUM SUCCINATE</t>
  </si>
  <si>
    <t>IPRATROPIUM+SALBUTAMOL</t>
  </si>
  <si>
    <t>POTASSIUM CHLORIDE</t>
  </si>
  <si>
    <t>AZITHROMYCIN DIHYDRATE 500MG</t>
  </si>
  <si>
    <t>PLAIN NSS 1L (X 12S</t>
  </si>
  <si>
    <t>FELODIPINE 10MG</t>
  </si>
  <si>
    <t>METOCLOPRAMIDE HCL</t>
  </si>
  <si>
    <t>PARACETAMOL (ACETAMINOPHEN)</t>
  </si>
  <si>
    <t>MUPIROCIN 2% / 5G</t>
  </si>
  <si>
    <t>tablet</t>
  </si>
  <si>
    <t>bottle</t>
  </si>
  <si>
    <t>ampule</t>
  </si>
  <si>
    <t>600MG</t>
  </si>
  <si>
    <t>250MG</t>
  </si>
  <si>
    <t>500MCG+2.5MG-2.5ML</t>
  </si>
  <si>
    <t>1g</t>
  </si>
  <si>
    <t>500MG</t>
  </si>
  <si>
    <t>1 litter</t>
  </si>
  <si>
    <t>10mg</t>
  </si>
  <si>
    <t>5MG/ML-2ML</t>
  </si>
  <si>
    <t>5g</t>
  </si>
  <si>
    <t>OXYGEN FULL TANK</t>
  </si>
  <si>
    <t>DISPOSABLE SYRINGE 10ML G 21</t>
  </si>
  <si>
    <t>SYRINGE 10ML W/ NEEDLE G21</t>
  </si>
  <si>
    <t xml:space="preserve">IV SET W/ AIRWAY FOR IV PUSH, VACOSET/MACRODRIP, </t>
  </si>
  <si>
    <t>cylinder</t>
  </si>
  <si>
    <t>228703/73848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</si>
</sst>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47</xdr:row>
          <xdr:rowOff>22860</xdr:rowOff>
        </xdr:from>
        <xdr:to>
          <xdr:col>1</xdr:col>
          <xdr:colOff>731520</xdr:colOff>
          <xdr:row>47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1508760</xdr:colOff>
          <xdr:row>47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54</xdr:row>
          <xdr:rowOff>22860</xdr:rowOff>
        </xdr:from>
        <xdr:to>
          <xdr:col>1</xdr:col>
          <xdr:colOff>731520</xdr:colOff>
          <xdr:row>54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54</xdr:row>
          <xdr:rowOff>22860</xdr:rowOff>
        </xdr:from>
        <xdr:to>
          <xdr:col>1</xdr:col>
          <xdr:colOff>1508760</xdr:colOff>
          <xdr:row>54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59</xdr:row>
          <xdr:rowOff>22860</xdr:rowOff>
        </xdr:from>
        <xdr:to>
          <xdr:col>1</xdr:col>
          <xdr:colOff>731520</xdr:colOff>
          <xdr:row>59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59</xdr:row>
          <xdr:rowOff>22860</xdr:rowOff>
        </xdr:from>
        <xdr:to>
          <xdr:col>1</xdr:col>
          <xdr:colOff>1508760</xdr:colOff>
          <xdr:row>59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68</xdr:row>
          <xdr:rowOff>22860</xdr:rowOff>
        </xdr:from>
        <xdr:to>
          <xdr:col>1</xdr:col>
          <xdr:colOff>731520</xdr:colOff>
          <xdr:row>68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68</xdr:row>
          <xdr:rowOff>22860</xdr:rowOff>
        </xdr:from>
        <xdr:to>
          <xdr:col>1</xdr:col>
          <xdr:colOff>1508760</xdr:colOff>
          <xdr:row>68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221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182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52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43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185</v>
      </c>
      <c r="D37" s="23"/>
      <c r="E37" s="55">
        <v>4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190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191</v>
      </c>
      <c r="D43" s="23"/>
      <c r="E43" s="55">
        <v>2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192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 t="s">
        <v>188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19</v>
      </c>
      <c r="C47" s="120"/>
      <c r="D47" s="117"/>
      <c r="E47" s="120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193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44</v>
      </c>
      <c r="C52" s="120"/>
      <c r="D52" s="117"/>
      <c r="E52" s="120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45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6" t="s">
        <v>53</v>
      </c>
      <c r="C54" s="117"/>
      <c r="D54" s="117"/>
      <c r="E54" s="117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6" t="s">
        <v>20</v>
      </c>
      <c r="C59" s="117"/>
      <c r="D59" s="117"/>
      <c r="E59" s="117"/>
      <c r="F59" s="11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55</v>
      </c>
      <c r="C68" s="17" t="s">
        <v>51</v>
      </c>
      <c r="D68" s="17" t="s">
        <v>56</v>
      </c>
      <c r="E68" s="18" t="s">
        <v>57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166</v>
      </c>
      <c r="D69" s="55">
        <v>7804.78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167</v>
      </c>
      <c r="D70" s="55">
        <v>669.71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168</v>
      </c>
      <c r="D71" s="55">
        <v>120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169</v>
      </c>
      <c r="D72" s="55">
        <v>6080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170</v>
      </c>
      <c r="D73" s="55">
        <v>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171</v>
      </c>
      <c r="D74" s="55">
        <v>2000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172</v>
      </c>
      <c r="D75" s="55">
        <v>4500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5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21174.489999999998</v>
      </c>
      <c r="E80" s="59">
        <f>SUM(E69:E79)</f>
        <v>0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47</xdr:row>
                    <xdr:rowOff>22860</xdr:rowOff>
                  </from>
                  <to>
                    <xdr:col>1</xdr:col>
                    <xdr:colOff>731520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1508760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54</xdr:row>
                    <xdr:rowOff>22860</xdr:rowOff>
                  </from>
                  <to>
                    <xdr:col>1</xdr:col>
                    <xdr:colOff>731520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54</xdr:row>
                    <xdr:rowOff>22860</xdr:rowOff>
                  </from>
                  <to>
                    <xdr:col>1</xdr:col>
                    <xdr:colOff>1508760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59</xdr:row>
                    <xdr:rowOff>22860</xdr:rowOff>
                  </from>
                  <to>
                    <xdr:col>1</xdr:col>
                    <xdr:colOff>731520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59</xdr:row>
                    <xdr:rowOff>22860</xdr:rowOff>
                  </from>
                  <to>
                    <xdr:col>1</xdr:col>
                    <xdr:colOff>1508760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68</xdr:row>
                    <xdr:rowOff>22860</xdr:rowOff>
                  </from>
                  <to>
                    <xdr:col>1</xdr:col>
                    <xdr:colOff>731520</xdr:colOff>
                    <xdr:row>68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68</xdr:row>
                    <xdr:rowOff>22860</xdr:rowOff>
                  </from>
                  <to>
                    <xdr:col>1</xdr:col>
                    <xdr:colOff>1508760</xdr:colOff>
                    <xdr:row>68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B8" workbookViewId="0">
      <selection activeCell="G23" sqref="G23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4.4" x14ac:dyDescent="0.3">
      <c r="B11" s="42">
        <v>1</v>
      </c>
      <c r="C11" s="69" t="s">
        <v>194</v>
      </c>
      <c r="D11" s="27" t="s">
        <v>204</v>
      </c>
      <c r="E11" s="27" t="s">
        <v>207</v>
      </c>
      <c r="F11" s="55">
        <v>1</v>
      </c>
      <c r="G11" s="55">
        <v>1</v>
      </c>
      <c r="H11" s="55">
        <v>10</v>
      </c>
      <c r="I11" s="55">
        <v>23</v>
      </c>
      <c r="J11" s="55">
        <f>H11*I11</f>
        <v>230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28.2" x14ac:dyDescent="0.3">
      <c r="B12" s="42">
        <v>2</v>
      </c>
      <c r="C12" s="27" t="s">
        <v>195</v>
      </c>
      <c r="D12" s="27" t="s">
        <v>175</v>
      </c>
      <c r="E12" s="27" t="s">
        <v>208</v>
      </c>
      <c r="F12" s="55">
        <v>3</v>
      </c>
      <c r="G12" s="55">
        <v>4</v>
      </c>
      <c r="H12" s="55">
        <v>13</v>
      </c>
      <c r="I12" s="55">
        <v>71.12</v>
      </c>
      <c r="J12" s="55">
        <f t="shared" ref="J12:J22" si="0">H12*I12</f>
        <v>924.56000000000006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28.2" x14ac:dyDescent="0.3">
      <c r="B13" s="42">
        <v>3</v>
      </c>
      <c r="C13" s="27" t="s">
        <v>196</v>
      </c>
      <c r="D13" s="27" t="s">
        <v>175</v>
      </c>
      <c r="E13" s="27" t="s">
        <v>209</v>
      </c>
      <c r="F13" s="55">
        <v>5</v>
      </c>
      <c r="G13" s="55">
        <v>4</v>
      </c>
      <c r="H13" s="55">
        <v>20</v>
      </c>
      <c r="I13" s="55">
        <v>12.57</v>
      </c>
      <c r="J13" s="55">
        <f t="shared" si="0"/>
        <v>251.4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4.4" x14ac:dyDescent="0.3">
      <c r="B14" s="42">
        <v>4</v>
      </c>
      <c r="C14" s="27" t="s">
        <v>197</v>
      </c>
      <c r="D14" s="27" t="s">
        <v>205</v>
      </c>
      <c r="E14" s="27" t="s">
        <v>207</v>
      </c>
      <c r="F14" s="55">
        <v>4</v>
      </c>
      <c r="G14" s="55">
        <v>4</v>
      </c>
      <c r="H14" s="55">
        <v>17</v>
      </c>
      <c r="I14" s="55">
        <v>14.67</v>
      </c>
      <c r="J14" s="55">
        <f t="shared" si="0"/>
        <v>249.39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4.4" x14ac:dyDescent="0.3">
      <c r="B15" s="42">
        <v>5</v>
      </c>
      <c r="C15" s="27" t="s">
        <v>177</v>
      </c>
      <c r="D15" s="27" t="s">
        <v>175</v>
      </c>
      <c r="E15" s="27" t="s">
        <v>210</v>
      </c>
      <c r="F15" s="55">
        <v>3</v>
      </c>
      <c r="G15" s="55">
        <v>4</v>
      </c>
      <c r="H15" s="55">
        <v>12</v>
      </c>
      <c r="I15" s="55">
        <v>20.149999999999999</v>
      </c>
      <c r="J15" s="55">
        <f t="shared" si="0"/>
        <v>241.79999999999998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4.4" x14ac:dyDescent="0.3">
      <c r="B16" s="42">
        <v>6</v>
      </c>
      <c r="C16" s="27" t="s">
        <v>198</v>
      </c>
      <c r="D16" s="27" t="s">
        <v>175</v>
      </c>
      <c r="E16" s="27" t="s">
        <v>211</v>
      </c>
      <c r="F16" s="55">
        <v>1</v>
      </c>
      <c r="G16" s="55">
        <v>3</v>
      </c>
      <c r="H16" s="55">
        <v>3</v>
      </c>
      <c r="I16" s="55">
        <v>144.66</v>
      </c>
      <c r="J16" s="55">
        <f t="shared" si="0"/>
        <v>433.98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175</v>
      </c>
      <c r="E17" s="27" t="s">
        <v>211</v>
      </c>
      <c r="F17" s="55">
        <v>2</v>
      </c>
      <c r="G17" s="55">
        <v>3</v>
      </c>
      <c r="H17" s="55">
        <v>6</v>
      </c>
      <c r="I17" s="55">
        <v>766.66700000000003</v>
      </c>
      <c r="J17" s="55">
        <f t="shared" si="0"/>
        <v>4600.0020000000004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4.4" x14ac:dyDescent="0.3">
      <c r="B18" s="42">
        <v>8</v>
      </c>
      <c r="C18" s="27" t="s">
        <v>199</v>
      </c>
      <c r="D18" s="27" t="s">
        <v>173</v>
      </c>
      <c r="E18" s="27" t="s">
        <v>212</v>
      </c>
      <c r="F18" s="55">
        <v>2</v>
      </c>
      <c r="G18" s="55">
        <v>4</v>
      </c>
      <c r="H18" s="55">
        <v>8</v>
      </c>
      <c r="I18" s="55">
        <v>50.664999999999999</v>
      </c>
      <c r="J18" s="55">
        <f t="shared" si="0"/>
        <v>405.32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204</v>
      </c>
      <c r="E19" s="27" t="s">
        <v>213</v>
      </c>
      <c r="F19" s="55">
        <v>2</v>
      </c>
      <c r="G19" s="55">
        <v>4</v>
      </c>
      <c r="H19" s="55">
        <v>8</v>
      </c>
      <c r="I19" s="55">
        <v>43.86</v>
      </c>
      <c r="J19" s="55">
        <f t="shared" si="0"/>
        <v>350.88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27" t="s">
        <v>201</v>
      </c>
      <c r="D20" s="27" t="s">
        <v>206</v>
      </c>
      <c r="E20" s="27" t="s">
        <v>214</v>
      </c>
      <c r="F20" s="55">
        <v>2</v>
      </c>
      <c r="G20" s="55">
        <v>4</v>
      </c>
      <c r="H20" s="55">
        <v>6</v>
      </c>
      <c r="I20" s="55">
        <v>3.24</v>
      </c>
      <c r="J20" s="55">
        <f t="shared" si="0"/>
        <v>19.440000000000001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202</v>
      </c>
      <c r="D21" s="27" t="s">
        <v>206</v>
      </c>
      <c r="E21" s="27" t="s">
        <v>178</v>
      </c>
      <c r="F21" s="55">
        <v>3</v>
      </c>
      <c r="G21" s="55">
        <v>3</v>
      </c>
      <c r="H21" s="55">
        <v>7</v>
      </c>
      <c r="I21" s="55">
        <v>4.57</v>
      </c>
      <c r="J21" s="55">
        <f t="shared" si="0"/>
        <v>31.990000000000002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203</v>
      </c>
      <c r="D22" s="27" t="s">
        <v>175</v>
      </c>
      <c r="E22" s="27" t="s">
        <v>215</v>
      </c>
      <c r="F22" s="55">
        <v>1</v>
      </c>
      <c r="G22" s="55">
        <v>1</v>
      </c>
      <c r="H22" s="55">
        <v>1</v>
      </c>
      <c r="I22" s="55">
        <v>65.77</v>
      </c>
      <c r="J22" s="55">
        <f t="shared" si="0"/>
        <v>65.77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4.4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workbookViewId="0">
      <selection activeCell="C13" sqref="C13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216</v>
      </c>
      <c r="D16" s="70" t="s">
        <v>220</v>
      </c>
      <c r="E16" s="55">
        <v>1</v>
      </c>
      <c r="F16" s="55">
        <v>560</v>
      </c>
      <c r="G16" s="55">
        <f>+E16*F16</f>
        <v>560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4" x14ac:dyDescent="0.3">
      <c r="B17" s="68">
        <v>2</v>
      </c>
      <c r="C17" s="69" t="s">
        <v>176</v>
      </c>
      <c r="D17" s="70" t="s">
        <v>179</v>
      </c>
      <c r="E17" s="55">
        <v>2</v>
      </c>
      <c r="F17" s="55">
        <v>13.25</v>
      </c>
      <c r="G17" s="55">
        <f t="shared" ref="G17:G20" si="0">+E17*F17</f>
        <v>26.5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4" x14ac:dyDescent="0.3">
      <c r="B18" s="68">
        <v>3</v>
      </c>
      <c r="C18" s="69" t="s">
        <v>217</v>
      </c>
      <c r="D18" s="70" t="s">
        <v>179</v>
      </c>
      <c r="E18" s="55">
        <v>5</v>
      </c>
      <c r="F18" s="55">
        <v>2.7</v>
      </c>
      <c r="G18" s="55">
        <f t="shared" si="0"/>
        <v>13.5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218</v>
      </c>
      <c r="D19" s="70" t="s">
        <v>179</v>
      </c>
      <c r="E19" s="55">
        <v>5</v>
      </c>
      <c r="F19" s="55">
        <v>8.1999999999999993</v>
      </c>
      <c r="G19" s="55">
        <f t="shared" si="0"/>
        <v>41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219</v>
      </c>
      <c r="D20" s="70" t="s">
        <v>180</v>
      </c>
      <c r="E20" s="55">
        <v>2</v>
      </c>
      <c r="F20" s="55">
        <v>14</v>
      </c>
      <c r="G20" s="55">
        <f t="shared" si="0"/>
        <v>28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4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76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29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20" sqref="E20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2018-06-04T10:39:14Z</dcterms:modified>
</cp:coreProperties>
</file>