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9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Drugs&amp;Med'!$C$11:$C$15</definedName>
    <definedName name="_xlnm.Print_Area" localSheetId="0">'1.1 Case data_general'!$B$1:$F$61</definedName>
    <definedName name="_xlnm.Print_Area" localSheetId="1">'1.2 Drugs&amp;Med'!$B$2:$J$16</definedName>
  </definedNames>
  <calcPr calcId="162913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1" i="1"/>
  <c r="E61" i="1"/>
  <c r="D6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<sst xmlns="http://schemas.openxmlformats.org/spreadsheetml/2006/main" count="485" uniqueCount="193">
  <si>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</si>
  <si>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</si>
  <si>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</si>
  <si>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</si>
  <si>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</si>
  <si>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</si>
  <si>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</si>
  <si>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</si>
  <si>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</si>
  <si>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</si>
  <si>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</si>
  <si>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</si>
  <si>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</si>
  <si>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</si>
  <si>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</si>
  <si>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</si>
  <si>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</si>
  <si>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</si>
  <si>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</si>
  <si>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</si>
  <si>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</si>
  <si>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</si>
  <si>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</si>
  <si>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</si>
  <si>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</si>
  <si>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</si>
  <si>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</si>
  <si>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</si>
  <si>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</si>
  <si>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</si>
  <si>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</si>
  <si>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</si>
  <si>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</si>
  <si>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</si>
  <si>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</si>
  <si>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</si>
  <si>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</si>
  <si>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</si>
  <si>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</si>
  <si>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</si>
  <si>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</si>
  <si>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</si>
  <si>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</si>
  <si>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</si>
  <si>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</si>
  <si>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</si>
  <si>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</si>
  <si>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</si>
  <si>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</si>
  <si>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</si>
  <si>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</si>
  <si>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</si>
  <si>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</si>
  <si>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</si>
  <si>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</si>
  <si>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</si>
  <si>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</si>
  <si>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</si>
  <si>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</si>
  <si>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</si>
  <si>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</si>
  <si>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</si>
  <si>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</si>
  <si>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</si>
  <si>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</si>
  <si>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</si>
  <si>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</si>
  <si>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</si>
  <si>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</si>
  <si>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</si>
  <si>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</si>
  <si>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</si>
  <si>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</si>
  <si>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</si>
  <si>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</si>
  <si>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</si>
  <si>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</si>
  <si>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</si>
  <si>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</si>
  <si>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</si>
  <si>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</si>
  <si>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</si>
  <si>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</si>
  <si>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</si>
  <si>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</si>
  <si>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</si>
  <si>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</si>
  <si>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</si>
  <si>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</si>
  <si>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</si>
  <si>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</si>
  <si>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</si>
  <si>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</si>
  <si>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</si>
  <si>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</si>
  <si>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</si>
  <si>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</si>
  <si>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</si>
  <si>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</si>
  <si>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</si>
  <si>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</si>
  <si>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</si>
  <si>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</si>
  <si>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</si>
  <si>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</si>
  <si>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</si>
  <si>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</si>
  <si>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</si>
  <si>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</si>
  <si>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</si>
  <si>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</si>
  <si>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</si>
  <si>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</si>
  <si>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</si>
  <si>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</si>
  <si>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</si>
  <si>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</si>
  <si>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</si>
  <si>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</si>
  <si>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</si>
  <si>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</si>
  <si>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</si>
  <si>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</si>
  <si>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</si>
  <si>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</si>
  <si>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</si>
  <si>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</si>
  <si>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</si>
  <si>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</si>
  <si>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</si>
  <si>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</si>
  <si>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</si>
  <si>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</si>
  <si>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</si>
  <si>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</si>
  <si>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</si>
  <si>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</si>
  <si>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</si>
  <si>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</si>
  <si>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</si>
  <si>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</si>
  <si>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</si>
  <si>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</si>
  <si>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</si>
  <si>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</si>
  <si>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</si>
  <si>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</si>
  <si>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</si>
  <si>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</si>
  <si>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</si>
  <si>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</si>
  <si>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</si>
  <si>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</si>
  <si>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</si>
  <si>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</si>
  <si>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</si>
  <si>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</si>
  <si>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</si>
  <si>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</si>
  <si>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</si>
  <si>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</si>
  <si>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</si>
  <si>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</si>
  <si>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</si>
  <si>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</si>
  <si>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</si>
  <si>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</si>
  <si>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</si>
  <si>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</si>
  <si>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</si>
  <si>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360032/73968</t>
  </si>
  <si>
    <t>BLOOD C/S</t>
  </si>
  <si>
    <t>CBC, PC</t>
  </si>
  <si>
    <t>BLOOD EXTRACTION FEE</t>
  </si>
  <si>
    <t>CHEST PAL YOUNG (2 VIEWS)</t>
  </si>
  <si>
    <t>(MICROSET) IV INFUSION SET</t>
  </si>
  <si>
    <t>tablet</t>
  </si>
  <si>
    <t>200mg</t>
  </si>
  <si>
    <t>piece</t>
  </si>
  <si>
    <t>vial</t>
  </si>
  <si>
    <t>bottle</t>
  </si>
  <si>
    <t xml:space="preserve">AMPICILLIN + SULBACTAM </t>
  </si>
  <si>
    <t xml:space="preserve">SALBUTAMOL SULPHATE </t>
  </si>
  <si>
    <t>IV CATHETER GAUGE 24</t>
  </si>
  <si>
    <t>DISPOSABLE SYRINGE 1ML G 25</t>
  </si>
  <si>
    <t>DISPOSABLE SYRINGE 3ML G 23</t>
  </si>
  <si>
    <t>DISPOSABLE SYRINGE 10ML G21</t>
  </si>
  <si>
    <t>CAP MR</t>
  </si>
  <si>
    <t>PARACETAMOL   (ACETAMINOPHEN)</t>
  </si>
  <si>
    <t>300MG-2ML</t>
  </si>
  <si>
    <t>750MG</t>
  </si>
  <si>
    <t>1MG/ML-2.5ML</t>
  </si>
  <si>
    <t>ERYTHROMYCIN SUSPENSION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</si>
</sst>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733425</xdr:colOff>
          <xdr:row>31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1504950</xdr:colOff>
          <xdr:row>31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98"/>
  <sheetViews>
    <sheetView tabSelected="1" zoomScaleNormal="100" workbookViewId="0">
      <selection activeCell="C22" sqref="C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51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42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158</v>
      </c>
      <c r="C27" s="113" t="s">
        <v>162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4" t="s">
        <v>123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160</v>
      </c>
      <c r="C29" s="114" t="s">
        <v>138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4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171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172</v>
      </c>
      <c r="D33" s="23"/>
      <c r="E33" s="55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173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19</v>
      </c>
      <c r="C35" s="120"/>
      <c r="D35" s="117"/>
      <c r="E35" s="120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43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44</v>
      </c>
      <c r="C38" s="13"/>
      <c r="D38" s="13"/>
      <c r="E38" s="16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6" t="s">
        <v>52</v>
      </c>
      <c r="C39" s="117"/>
      <c r="D39" s="117"/>
      <c r="E39" s="117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20"/>
      <c r="B40" s="30">
        <v>1</v>
      </c>
      <c r="C40" s="31"/>
      <c r="D40" s="32"/>
      <c r="E40" s="57"/>
      <c r="F40" s="5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2</v>
      </c>
      <c r="C41" s="31"/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26">
        <v>3</v>
      </c>
      <c r="C42" s="27"/>
      <c r="D42" s="28"/>
      <c r="E42" s="55"/>
      <c r="F42" s="5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4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20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5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6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/>
      <c r="C51" s="25"/>
      <c r="D51" s="25"/>
      <c r="E51" s="25"/>
      <c r="F51" s="2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57.75" customHeight="1" thickBot="1" x14ac:dyDescent="0.35">
      <c r="A53" s="1"/>
      <c r="B53" s="17" t="s">
        <v>54</v>
      </c>
      <c r="C53" s="17" t="s">
        <v>50</v>
      </c>
      <c r="D53" s="17" t="s">
        <v>55</v>
      </c>
      <c r="E53" s="18" t="s">
        <v>56</v>
      </c>
      <c r="F53" s="19" t="s">
        <v>21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2">
        <v>1</v>
      </c>
      <c r="C54" s="27" t="s">
        <v>164</v>
      </c>
      <c r="D54" s="55">
        <v>882.11</v>
      </c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0">
        <v>2</v>
      </c>
      <c r="C55" s="27" t="s">
        <v>165</v>
      </c>
      <c r="D55" s="55">
        <v>54.57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3</v>
      </c>
      <c r="C56" s="27" t="s">
        <v>166</v>
      </c>
      <c r="D56" s="55">
        <v>200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4</v>
      </c>
      <c r="C57" s="27" t="s">
        <v>167</v>
      </c>
      <c r="D57" s="55">
        <v>1405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5</v>
      </c>
      <c r="C58" s="27" t="s">
        <v>168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6</v>
      </c>
      <c r="C59" s="27" t="s">
        <v>169</v>
      </c>
      <c r="D59" s="55">
        <v>4500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4.9000000000000004" customHeight="1" thickBot="1" x14ac:dyDescent="0.35">
      <c r="A60" s="1"/>
      <c r="B60" s="1"/>
      <c r="C60" s="1"/>
      <c r="D60" s="58"/>
      <c r="E60" s="58"/>
      <c r="F60" s="5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Top="1" x14ac:dyDescent="0.3">
      <c r="A61" s="1"/>
      <c r="B61" s="11"/>
      <c r="C61" s="4" t="s">
        <v>22</v>
      </c>
      <c r="D61" s="59">
        <f>SUM(D54:D60)</f>
        <v>9041.68</v>
      </c>
      <c r="E61" s="59">
        <f>SUM(E54:E60)</f>
        <v>0</v>
      </c>
      <c r="F61" s="59">
        <f>SUM(F54:F60)</f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</sheetData>
  <sheetProtection algorithmName="SHA-512" hashValue="fP95w3hIHeydGh+pNNbqsP5egN8obkaVyejgItc51GXnSqSTaVF0xH1xRGvYJBhCrwI2VWdxf/R0K3yK8Exgow==" saltValue="+lzOiG8d/3OvuEhPEKT6IA==" spinCount="100000" sheet="1" objects="1" scenarios="1" formatColumns="0" formatRows="0" sort="0" autoFilter="0"/>
  <mergeCells count="12">
    <mergeCell ref="B44:F44"/>
    <mergeCell ref="B37:F37"/>
    <mergeCell ref="B12:F12"/>
    <mergeCell ref="B13:F13"/>
    <mergeCell ref="B14:F14"/>
    <mergeCell ref="B15:F15"/>
    <mergeCell ref="B18:F18"/>
    <mergeCell ref="B20:F20"/>
    <mergeCell ref="B31:F31"/>
    <mergeCell ref="B26:F26"/>
    <mergeCell ref="B35:F35"/>
    <mergeCell ref="B39:F39"/>
  </mergeCells>
  <dataValidations count="1">
    <dataValidation type="decimal" operator="greaterThanOrEqual" allowBlank="1" showInputMessage="1" showErrorMessage="1" sqref="E30 E36 E38 E21:F25 E40:F43 E45:F50 D54:F59 E32: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733425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1504950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6.5" x14ac:dyDescent="0.3">
      <c r="B11" s="42">
        <v>1</v>
      </c>
      <c r="C11" s="27" t="s">
        <v>188</v>
      </c>
      <c r="D11" s="27" t="s">
        <v>176</v>
      </c>
      <c r="E11" s="27" t="s">
        <v>189</v>
      </c>
      <c r="F11" s="55">
        <v>1</v>
      </c>
      <c r="G11" s="55">
        <v>3</v>
      </c>
      <c r="H11" s="55">
        <v>3</v>
      </c>
      <c r="I11" s="55">
        <v>4.57</v>
      </c>
      <c r="J11" s="55">
        <f>H11*I11</f>
        <v>13.71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181</v>
      </c>
      <c r="D12" s="27" t="s">
        <v>179</v>
      </c>
      <c r="E12" s="27" t="s">
        <v>190</v>
      </c>
      <c r="F12" s="55">
        <v>4</v>
      </c>
      <c r="G12" s="55">
        <v>4</v>
      </c>
      <c r="H12" s="55">
        <v>20</v>
      </c>
      <c r="I12" s="55">
        <v>26.93</v>
      </c>
      <c r="J12" s="55">
        <f t="shared" ref="J12:J15" si="0">H12*I12</f>
        <v>538.6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182</v>
      </c>
      <c r="D13" s="27" t="s">
        <v>180</v>
      </c>
      <c r="E13" s="27" t="s">
        <v>191</v>
      </c>
      <c r="F13" s="55">
        <v>4</v>
      </c>
      <c r="G13" s="55">
        <v>3</v>
      </c>
      <c r="H13" s="55">
        <v>12</v>
      </c>
      <c r="I13" s="55">
        <v>5.65</v>
      </c>
      <c r="J13" s="55">
        <f t="shared" si="0"/>
        <v>67.800000000000011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192</v>
      </c>
      <c r="D14" s="27" t="s">
        <v>180</v>
      </c>
      <c r="E14" s="27" t="s">
        <v>177</v>
      </c>
      <c r="F14" s="55">
        <v>1</v>
      </c>
      <c r="G14" s="55">
        <v>1</v>
      </c>
      <c r="H14" s="55">
        <v>1</v>
      </c>
      <c r="I14" s="55">
        <v>72</v>
      </c>
      <c r="J14" s="55">
        <f t="shared" si="0"/>
        <v>72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175</v>
      </c>
      <c r="D15" s="27" t="s">
        <v>178</v>
      </c>
      <c r="E15" s="27" t="s">
        <v>178</v>
      </c>
      <c r="F15" s="55">
        <v>2</v>
      </c>
      <c r="G15" s="55">
        <v>4</v>
      </c>
      <c r="H15" s="55">
        <v>10</v>
      </c>
      <c r="I15" s="55">
        <v>19</v>
      </c>
      <c r="J15" s="55">
        <f t="shared" si="0"/>
        <v>190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algorithmName="SHA-512" hashValue="KV9QYIYz9DeomN/OvRUiZcGk+X99WgiwBCSwj75RcycQ/dDM9X/+u1IBEqo27WvczKjqQMuwJ8Fdolv7slohwg==" saltValue="UdHeekanP8MRpevGFYCD/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6.5" x14ac:dyDescent="0.3">
      <c r="B16" s="68">
        <v>1</v>
      </c>
      <c r="C16" s="69" t="s">
        <v>183</v>
      </c>
      <c r="D16" s="70" t="s">
        <v>178</v>
      </c>
      <c r="E16" s="55">
        <v>2</v>
      </c>
      <c r="F16" s="55">
        <v>14.33</v>
      </c>
      <c r="G16" s="55">
        <f>+E16*F16</f>
        <v>28.66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6.5" x14ac:dyDescent="0.3">
      <c r="B17" s="68">
        <v>2</v>
      </c>
      <c r="C17" s="69" t="s">
        <v>184</v>
      </c>
      <c r="D17" s="70" t="s">
        <v>178</v>
      </c>
      <c r="E17" s="55">
        <v>2</v>
      </c>
      <c r="F17" s="55">
        <v>1.6</v>
      </c>
      <c r="G17" s="55">
        <f t="shared" ref="G17:G20" si="0">+E17*F17</f>
        <v>3.2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6.5" x14ac:dyDescent="0.3">
      <c r="B18" s="68">
        <v>3</v>
      </c>
      <c r="C18" s="69" t="s">
        <v>185</v>
      </c>
      <c r="D18" s="70" t="s">
        <v>178</v>
      </c>
      <c r="E18" s="55">
        <v>4</v>
      </c>
      <c r="F18" s="55">
        <v>1.6</v>
      </c>
      <c r="G18" s="55">
        <f t="shared" si="0"/>
        <v>6.4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6.5" x14ac:dyDescent="0.3">
      <c r="B19" s="68">
        <v>4</v>
      </c>
      <c r="C19" s="69" t="s">
        <v>184</v>
      </c>
      <c r="D19" s="70" t="s">
        <v>178</v>
      </c>
      <c r="E19" s="55">
        <v>5</v>
      </c>
      <c r="F19" s="55">
        <v>1.6</v>
      </c>
      <c r="G19" s="55">
        <f t="shared" si="0"/>
        <v>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6.5" x14ac:dyDescent="0.3">
      <c r="B20" s="68">
        <v>5</v>
      </c>
      <c r="C20" s="69" t="s">
        <v>186</v>
      </c>
      <c r="D20" s="70" t="s">
        <v>178</v>
      </c>
      <c r="E20" s="55">
        <v>3</v>
      </c>
      <c r="F20" s="55">
        <v>2.77</v>
      </c>
      <c r="G20" s="55">
        <f t="shared" si="0"/>
        <v>8.31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6.5" x14ac:dyDescent="0.3">
      <c r="B21" s="137" t="s">
        <v>75</v>
      </c>
      <c r="C21" s="138"/>
      <c r="D21" s="138"/>
      <c r="E21" s="138"/>
      <c r="F21" s="138"/>
      <c r="G21" s="1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29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algorithmName="SHA-512" hashValue="wNHV4v1QlMUGGuet7+m20D7NzsOdv2OiCRy6zUY1LWUsFl2U0Yka89sVtF6eA9bXzgBeWFQIj25mvcTCNv2iAg==" saltValue="nRJirPJ75olCjuszUc4/Yw==" spinCount="100000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3" sqref="C13: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2018-06-01T01:17:09Z</dcterms:modified>
</cp:coreProperties>
</file>