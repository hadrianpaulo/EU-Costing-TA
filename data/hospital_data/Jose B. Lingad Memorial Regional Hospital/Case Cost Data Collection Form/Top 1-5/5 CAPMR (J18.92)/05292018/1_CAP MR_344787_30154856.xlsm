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80" windowWidth="15528" windowHeight="720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data_general'!$B$1:$F$70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G28" i="9"/>
  <c r="J17" i="2"/>
  <c r="J16" i="2"/>
  <c r="J15" i="2"/>
  <c r="J14" i="2"/>
  <c r="J13" i="2"/>
  <c r="J12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G11" i="11" l="1" a="1"/>
  <c r="G11" i="11" s="1"/>
  <c r="G12" i="11" s="1" a="1"/>
  <c r="G12" i="11" s="1"/>
  <c r="F8" i="11" a="1"/>
  <c r="F8" i="11" s="1"/>
  <c r="F9" i="11" s="1" a="1"/>
  <c r="F9" i="11" s="1"/>
  <c r="J11" i="2"/>
  <c r="D70" i="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<sst xmlns="http://schemas.openxmlformats.org/spreadsheetml/2006/main" count="509" uniqueCount="210">
  <si>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</si>
  <si>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</si>
  <si>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</si>
  <si>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</si>
  <si>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</si>
  <si>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</si>
  <si>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</si>
  <si>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</si>
  <si>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</si>
  <si>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</si>
  <si>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</si>
  <si>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</si>
  <si>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</si>
  <si>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</si>
  <si>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</si>
  <si>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</si>
  <si>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</si>
  <si>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</si>
  <si>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</si>
  <si>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</si>
  <si>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</si>
  <si>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</si>
  <si>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</si>
  <si>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</si>
  <si>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</si>
  <si>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</si>
  <si>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</si>
  <si>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</si>
  <si>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</si>
  <si>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</si>
  <si>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</si>
  <si>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</si>
  <si>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</si>
  <si>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</si>
  <si>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</si>
  <si>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</si>
  <si>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</si>
  <si>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</si>
  <si>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</si>
  <si>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</si>
  <si>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</si>
  <si>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</si>
  <si>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</si>
  <si>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</si>
  <si>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</si>
  <si>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</si>
  <si>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</si>
  <si>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</si>
  <si>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</si>
  <si>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</si>
  <si>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</si>
  <si>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</si>
  <si>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</si>
  <si>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</si>
  <si>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</si>
  <si>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</si>
  <si>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</si>
  <si>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</si>
  <si>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</si>
  <si>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</si>
  <si>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</si>
  <si>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</si>
  <si>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</si>
  <si>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</si>
  <si>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</si>
  <si>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</si>
  <si>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</si>
  <si>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</si>
  <si>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</si>
  <si>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</si>
  <si>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</si>
  <si>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</si>
  <si>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</si>
  <si>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</si>
  <si>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</si>
  <si>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</si>
  <si>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</si>
  <si>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</si>
  <si>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</si>
  <si>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</si>
  <si>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</si>
  <si>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</si>
  <si>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</si>
  <si>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</si>
  <si>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</si>
  <si>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</si>
  <si>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</si>
  <si>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</si>
  <si>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</si>
  <si>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</si>
  <si>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</si>
  <si>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</si>
  <si>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</si>
  <si>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</si>
  <si>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</si>
  <si>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</si>
  <si>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</si>
  <si>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</si>
  <si>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</si>
  <si>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</si>
  <si>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</si>
  <si>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</si>
  <si>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</si>
  <si>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</si>
  <si>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</si>
  <si>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</si>
  <si>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</si>
  <si>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</si>
  <si>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</si>
  <si>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</si>
  <si>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</si>
  <si>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</si>
  <si>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</si>
  <si>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</si>
  <si>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</si>
  <si>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</si>
  <si>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</si>
  <si>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</si>
  <si>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</si>
  <si>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</si>
  <si>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</si>
  <si>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</si>
  <si>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</si>
  <si>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</si>
  <si>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</si>
  <si>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</si>
  <si>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</si>
  <si>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</si>
  <si>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</si>
  <si>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</si>
  <si>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</si>
  <si>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</si>
  <si>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</si>
  <si>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</si>
  <si>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</si>
  <si>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</si>
  <si>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</si>
  <si>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</si>
  <si>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</si>
  <si>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</si>
  <si>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</si>
  <si>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</si>
  <si>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</si>
  <si>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</si>
  <si>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</si>
  <si>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</si>
  <si>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</si>
  <si>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</si>
  <si>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</si>
  <si>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</si>
  <si>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</si>
  <si>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</si>
  <si>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</si>
  <si>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</si>
  <si>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</si>
  <si>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</si>
  <si>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</si>
  <si>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</si>
  <si>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</si>
  <si>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</si>
  <si>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</si>
  <si>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</si>
  <si>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</si>
  <si>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</si>
  <si>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</si>
  <si>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</si>
  <si>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</si>
  <si>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</si>
  <si>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</si>
  <si>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</si>
  <si>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</si>
  <si>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</si>
  <si>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</si>
  <si>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</si>
  <si>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</si>
  <si>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BLOOD C/S</t>
  </si>
  <si>
    <t>CBC, PC</t>
  </si>
  <si>
    <t>vial</t>
  </si>
  <si>
    <t>IV CATHETER GAUGE 26</t>
  </si>
  <si>
    <t>IV CATHETER GAUGE 24</t>
  </si>
  <si>
    <t>SALBUTAMOL SULPHATE</t>
  </si>
  <si>
    <t>1MG/ML-2.5ML</t>
  </si>
  <si>
    <t>300MG-2ML</t>
  </si>
  <si>
    <t>OXYGEN NASAL CANNULA WITH THREAD CONNECTOR</t>
  </si>
  <si>
    <t>pcs</t>
  </si>
  <si>
    <t>set</t>
  </si>
  <si>
    <t>BLOOD EXTRACTION FEE</t>
  </si>
  <si>
    <t>Chest APL PEDIA (2 views)</t>
  </si>
  <si>
    <t>DISPOSABLE SYRINGE 10ML G 21</t>
  </si>
  <si>
    <t>DISPOSABLE SYRINGE 1ML G 25,</t>
  </si>
  <si>
    <t>DISPOSABLE SYRINGE 3ML G 23</t>
  </si>
  <si>
    <t>(D5LRS 1L) 5% DEXTROSE IN LACTATED RINGERS SOLUTION 1000ML (D5 LRS)</t>
  </si>
  <si>
    <t>CEFUROXIME SODIUM</t>
  </si>
  <si>
    <t>DEXAMETHASONE SODIUM PHOSPHATE</t>
  </si>
  <si>
    <t>ERYTHROMYCIN 200MG SUSPENSION</t>
  </si>
  <si>
    <t>IPRATROPIUM+SALBUTAMOL</t>
  </si>
  <si>
    <t>PARACETAMOL (ACETAMINOPHEN)</t>
  </si>
  <si>
    <t>ampule</t>
  </si>
  <si>
    <t>750MG</t>
  </si>
  <si>
    <t>4MG/ML-2ML</t>
  </si>
  <si>
    <t>200 MG</t>
  </si>
  <si>
    <t>500MCG+2.5MG-2.5ML</t>
  </si>
  <si>
    <t>IV CATHETER GAUGE 18</t>
  </si>
  <si>
    <t>IV CATHETER GAUGE 20</t>
  </si>
  <si>
    <t>IV CATHETER GAUGE 22</t>
  </si>
  <si>
    <t xml:space="preserve">IV SET W/ AIRWAY FOR IV PUSH VACOSET/ </t>
  </si>
  <si>
    <t>IV SET W/ AIRWAY FOR IV PUSH,</t>
  </si>
  <si>
    <t>NEBULIZER KIT WITH MOUTH PIECE</t>
  </si>
  <si>
    <t xml:space="preserve">OXYGEN NASAL CANNULA W/ THREAD CONNECTOR </t>
  </si>
  <si>
    <t>344787/73955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</si>
</sst>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22860</xdr:rowOff>
        </xdr:from>
        <xdr:to>
          <xdr:col>1</xdr:col>
          <xdr:colOff>731520</xdr:colOff>
          <xdr:row>37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37</xdr:row>
          <xdr:rowOff>22860</xdr:rowOff>
        </xdr:from>
        <xdr:to>
          <xdr:col>1</xdr:col>
          <xdr:colOff>1508760</xdr:colOff>
          <xdr:row>37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44</xdr:row>
          <xdr:rowOff>22860</xdr:rowOff>
        </xdr:from>
        <xdr:to>
          <xdr:col>1</xdr:col>
          <xdr:colOff>731520</xdr:colOff>
          <xdr:row>44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22860</xdr:rowOff>
        </xdr:from>
        <xdr:to>
          <xdr:col>1</xdr:col>
          <xdr:colOff>1508760</xdr:colOff>
          <xdr:row>44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49</xdr:row>
          <xdr:rowOff>22860</xdr:rowOff>
        </xdr:from>
        <xdr:to>
          <xdr:col>1</xdr:col>
          <xdr:colOff>731520</xdr:colOff>
          <xdr:row>49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1508760</xdr:colOff>
          <xdr:row>49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58</xdr:row>
          <xdr:rowOff>22860</xdr:rowOff>
        </xdr:from>
        <xdr:to>
          <xdr:col>1</xdr:col>
          <xdr:colOff>731520</xdr:colOff>
          <xdr:row>58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58</xdr:row>
          <xdr:rowOff>22860</xdr:rowOff>
        </xdr:from>
        <xdr:to>
          <xdr:col>1</xdr:col>
          <xdr:colOff>1508760</xdr:colOff>
          <xdr:row>58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19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187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44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53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20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1113.77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660.56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190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169</v>
      </c>
      <c r="D62" s="55">
        <v>1585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170</v>
      </c>
      <c r="D63" s="55">
        <v>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 t="s">
        <v>171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 t="s">
        <v>172</v>
      </c>
      <c r="D65" s="55">
        <v>4500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5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10049.33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37</xdr:row>
                    <xdr:rowOff>22860</xdr:rowOff>
                  </from>
                  <to>
                    <xdr:col>1</xdr:col>
                    <xdr:colOff>731520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37</xdr:row>
                    <xdr:rowOff>22860</xdr:rowOff>
                  </from>
                  <to>
                    <xdr:col>1</xdr:col>
                    <xdr:colOff>1508760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44</xdr:row>
                    <xdr:rowOff>22860</xdr:rowOff>
                  </from>
                  <to>
                    <xdr:col>1</xdr:col>
                    <xdr:colOff>731520</xdr:colOff>
                    <xdr:row>44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44</xdr:row>
                    <xdr:rowOff>22860</xdr:rowOff>
                  </from>
                  <to>
                    <xdr:col>1</xdr:col>
                    <xdr:colOff>1508760</xdr:colOff>
                    <xdr:row>44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49</xdr:row>
                    <xdr:rowOff>22860</xdr:rowOff>
                  </from>
                  <to>
                    <xdr:col>1</xdr:col>
                    <xdr:colOff>731520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1508760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58</xdr:row>
                    <xdr:rowOff>22860</xdr:rowOff>
                  </from>
                  <to>
                    <xdr:col>1</xdr:col>
                    <xdr:colOff>731520</xdr:colOff>
                    <xdr:row>58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58</xdr:row>
                    <xdr:rowOff>22860</xdr:rowOff>
                  </from>
                  <to>
                    <xdr:col>1</xdr:col>
                    <xdr:colOff>1508760</xdr:colOff>
                    <xdr:row>58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35" workbookViewId="0">
      <selection activeCell="J11" sqref="J11:J17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42" x14ac:dyDescent="0.3">
      <c r="B11" s="42">
        <v>1</v>
      </c>
      <c r="C11" s="69" t="s">
        <v>191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3</v>
      </c>
      <c r="I11" s="55">
        <v>49.33</v>
      </c>
      <c r="J11" s="55">
        <f>H11*I11</f>
        <v>147.99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4.4" x14ac:dyDescent="0.3">
      <c r="B12" s="42">
        <v>2</v>
      </c>
      <c r="C12" s="27" t="s">
        <v>192</v>
      </c>
      <c r="D12" s="27" t="s">
        <v>177</v>
      </c>
      <c r="E12" s="27" t="s">
        <v>198</v>
      </c>
      <c r="F12" s="55">
        <v>4</v>
      </c>
      <c r="G12" s="55">
        <v>3</v>
      </c>
      <c r="H12" s="55">
        <v>14</v>
      </c>
      <c r="I12" s="55">
        <v>20.52</v>
      </c>
      <c r="J12" s="55">
        <f t="shared" ref="J12:J17" si="0">H12*I12</f>
        <v>287.27999999999997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27" t="s">
        <v>193</v>
      </c>
      <c r="D13" s="27" t="s">
        <v>177</v>
      </c>
      <c r="E13" s="27" t="s">
        <v>199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194</v>
      </c>
      <c r="D14" s="27" t="s">
        <v>177</v>
      </c>
      <c r="E14" s="27" t="s">
        <v>200</v>
      </c>
      <c r="F14" s="55">
        <v>1</v>
      </c>
      <c r="G14" s="55">
        <v>1</v>
      </c>
      <c r="H14" s="55">
        <v>1</v>
      </c>
      <c r="I14" s="55">
        <v>72</v>
      </c>
      <c r="J14" s="55">
        <f t="shared" si="0"/>
        <v>72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27" t="s">
        <v>195</v>
      </c>
      <c r="D15" s="27" t="s">
        <v>177</v>
      </c>
      <c r="E15" s="27" t="s">
        <v>201</v>
      </c>
      <c r="F15" s="55">
        <v>4</v>
      </c>
      <c r="G15" s="55">
        <v>4</v>
      </c>
      <c r="H15" s="55">
        <v>26</v>
      </c>
      <c r="I15" s="55">
        <v>12.57</v>
      </c>
      <c r="J15" s="55">
        <f t="shared" si="0"/>
        <v>326.82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 t="s">
        <v>196</v>
      </c>
      <c r="D16" s="27" t="s">
        <v>197</v>
      </c>
      <c r="E16" s="27" t="s">
        <v>182</v>
      </c>
      <c r="F16" s="55">
        <v>2</v>
      </c>
      <c r="G16" s="55">
        <v>3</v>
      </c>
      <c r="H16" s="55">
        <v>6</v>
      </c>
      <c r="I16" s="55">
        <v>4.57</v>
      </c>
      <c r="J16" s="55">
        <f t="shared" si="0"/>
        <v>27.42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180</v>
      </c>
      <c r="D17" s="27" t="s">
        <v>197</v>
      </c>
      <c r="E17" s="27" t="s">
        <v>181</v>
      </c>
      <c r="F17" s="55">
        <v>8</v>
      </c>
      <c r="G17" s="55">
        <v>4</v>
      </c>
      <c r="H17" s="55">
        <v>42</v>
      </c>
      <c r="I17" s="55">
        <v>5.65</v>
      </c>
      <c r="J17" s="55">
        <f t="shared" si="0"/>
        <v>237.3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25" workbookViewId="0">
      <selection activeCell="G37" sqref="G37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184</v>
      </c>
      <c r="E16" s="55">
        <v>6</v>
      </c>
      <c r="F16" s="55">
        <v>2.78</v>
      </c>
      <c r="G16" s="55">
        <f>+E16*F16</f>
        <v>16.68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189</v>
      </c>
      <c r="D17" s="70" t="s">
        <v>184</v>
      </c>
      <c r="E17" s="55">
        <v>7</v>
      </c>
      <c r="F17" s="55">
        <v>1.61</v>
      </c>
      <c r="G17" s="55">
        <f t="shared" ref="G17:G28" si="0">+E17*F17</f>
        <v>11.270000000000001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190</v>
      </c>
      <c r="D18" s="70" t="s">
        <v>184</v>
      </c>
      <c r="E18" s="55">
        <v>7</v>
      </c>
      <c r="F18" s="55">
        <v>1.61</v>
      </c>
      <c r="G18" s="55">
        <f t="shared" si="0"/>
        <v>11.270000000000001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184</v>
      </c>
      <c r="E19" s="55">
        <v>3</v>
      </c>
      <c r="F19" s="55">
        <v>13.13</v>
      </c>
      <c r="G19" s="55">
        <f t="shared" si="0"/>
        <v>39.39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184</v>
      </c>
      <c r="E20" s="55">
        <v>3</v>
      </c>
      <c r="F20" s="55">
        <v>13.135</v>
      </c>
      <c r="G20" s="55">
        <f t="shared" si="0"/>
        <v>39.405000000000001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204</v>
      </c>
      <c r="D21" s="70" t="s">
        <v>184</v>
      </c>
      <c r="E21" s="55">
        <v>3</v>
      </c>
      <c r="F21" s="55">
        <v>13.134</v>
      </c>
      <c r="G21" s="55">
        <f t="shared" si="0"/>
        <v>39.402000000000001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179</v>
      </c>
      <c r="D22" s="70" t="s">
        <v>184</v>
      </c>
      <c r="E22" s="55">
        <v>6</v>
      </c>
      <c r="F22" s="55">
        <v>13.33</v>
      </c>
      <c r="G22" s="55">
        <f t="shared" si="0"/>
        <v>79.98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178</v>
      </c>
      <c r="D23" s="70" t="s">
        <v>184</v>
      </c>
      <c r="E23" s="55">
        <v>3</v>
      </c>
      <c r="F23" s="55">
        <v>19.84</v>
      </c>
      <c r="G23" s="55">
        <f t="shared" si="0"/>
        <v>59.519999999999996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205</v>
      </c>
      <c r="D24" s="70" t="s">
        <v>185</v>
      </c>
      <c r="E24" s="55">
        <v>2</v>
      </c>
      <c r="F24" s="55">
        <v>14</v>
      </c>
      <c r="G24" s="55">
        <f t="shared" si="0"/>
        <v>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206</v>
      </c>
      <c r="D25" s="70" t="s">
        <v>185</v>
      </c>
      <c r="E25" s="55">
        <v>6</v>
      </c>
      <c r="F25" s="55">
        <v>20.440000000000001</v>
      </c>
      <c r="G25" s="55">
        <f t="shared" si="0"/>
        <v>122.64000000000001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 t="s">
        <v>207</v>
      </c>
      <c r="D26" s="70" t="s">
        <v>185</v>
      </c>
      <c r="E26" s="55">
        <v>3</v>
      </c>
      <c r="F26" s="55">
        <v>38</v>
      </c>
      <c r="G26" s="55">
        <f t="shared" si="0"/>
        <v>114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208</v>
      </c>
      <c r="D27" s="70" t="s">
        <v>185</v>
      </c>
      <c r="E27" s="55">
        <v>3</v>
      </c>
      <c r="F27" s="55">
        <v>17</v>
      </c>
      <c r="G27" s="55">
        <f t="shared" si="0"/>
        <v>51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183</v>
      </c>
      <c r="D28" s="70" t="s">
        <v>185</v>
      </c>
      <c r="E28" s="55">
        <v>3</v>
      </c>
      <c r="F28" s="55">
        <v>16</v>
      </c>
      <c r="G28" s="55">
        <f t="shared" si="0"/>
        <v>48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76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7" sqref="C17:J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2018-06-04T10:37:25Z</dcterms:modified>
</cp:coreProperties>
</file>