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80" windowWidth="15528" windowHeight="720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Drugs&amp;Med'!$C$11:$C$20</definedName>
    <definedName name="_xlnm.Print_Area" localSheetId="0">'1.1 Case data_general'!$B$1:$F$82</definedName>
    <definedName name="_xlnm.Print_Area" localSheetId="1">'1.2 Drugs&amp;Med'!$B$2:$J$21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J17" i="2"/>
  <c r="J16" i="2"/>
  <c r="J15" i="2"/>
  <c r="J14" i="2"/>
  <c r="J13" i="2"/>
  <c r="J12" i="2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2" i="1"/>
  <c r="E82" i="1"/>
  <c r="G11" i="11" l="1" a="1"/>
  <c r="G11" i="11" s="1"/>
  <c r="G12" i="11" s="1" a="1"/>
  <c r="G12" i="11" s="1"/>
  <c r="F8" i="11" a="1"/>
  <c r="F8" i="11" s="1"/>
  <c r="F9" i="11" s="1" a="1"/>
  <c r="F9" i="11" s="1"/>
  <c r="J11" i="2"/>
  <c r="D82" i="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<sst xmlns="http://schemas.openxmlformats.org/spreadsheetml/2006/main" count="509" uniqueCount="217">
  <si>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</si>
  <si>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</si>
  <si>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</si>
  <si>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</si>
  <si>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</si>
  <si>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</si>
  <si>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</si>
  <si>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</si>
  <si>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</si>
  <si>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</si>
  <si>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</si>
  <si>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</si>
  <si>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</si>
  <si>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</si>
  <si>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</si>
  <si>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</si>
  <si>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</si>
  <si>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</si>
  <si>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</si>
  <si>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</si>
  <si>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</si>
  <si>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</si>
  <si>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</si>
  <si>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</si>
  <si>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</si>
  <si>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</si>
  <si>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</si>
  <si>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</si>
  <si>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</si>
  <si>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</si>
  <si>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</si>
  <si>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</si>
  <si>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</si>
  <si>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</si>
  <si>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</si>
  <si>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</si>
  <si>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</si>
  <si>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</si>
  <si>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</si>
  <si>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</si>
  <si>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</si>
  <si>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</si>
  <si>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</si>
  <si>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</si>
  <si>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</si>
  <si>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</si>
  <si>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</si>
  <si>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</si>
  <si>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</si>
  <si>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</si>
  <si>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</si>
  <si>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</si>
  <si>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</si>
  <si>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</si>
  <si>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</si>
  <si>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</si>
  <si>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</si>
  <si>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</si>
  <si>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</si>
  <si>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</si>
  <si>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</si>
  <si>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</si>
  <si>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</si>
  <si>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</si>
  <si>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</si>
  <si>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</si>
  <si>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</si>
  <si>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</si>
  <si>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</si>
  <si>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</si>
  <si>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</si>
  <si>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</si>
  <si>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</si>
  <si>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</si>
  <si>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</si>
  <si>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</si>
  <si>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</si>
  <si>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</si>
  <si>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</si>
  <si>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</si>
  <si>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</si>
  <si>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</si>
  <si>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</si>
  <si>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</si>
  <si>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</si>
  <si>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</si>
  <si>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</si>
  <si>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</si>
  <si>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</si>
  <si>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</si>
  <si>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</si>
  <si>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</si>
  <si>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</si>
  <si>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</si>
  <si>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</si>
  <si>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</si>
  <si>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</si>
  <si>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</si>
  <si>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</si>
  <si>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</si>
  <si>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</si>
  <si>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</si>
  <si>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</si>
  <si>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</si>
  <si>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</si>
  <si>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</si>
  <si>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</si>
  <si>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</si>
  <si>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</si>
  <si>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</si>
  <si>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</si>
  <si>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</si>
  <si>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</si>
  <si>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</si>
  <si>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</si>
  <si>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</si>
  <si>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</si>
  <si>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</si>
  <si>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</si>
  <si>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</si>
  <si>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</si>
  <si>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</si>
  <si>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</si>
  <si>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</si>
  <si>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</si>
  <si>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</si>
  <si>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</si>
  <si>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</si>
  <si>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</si>
  <si>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</si>
  <si>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</si>
  <si>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</si>
  <si>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</si>
  <si>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</si>
  <si>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</si>
  <si>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</si>
  <si>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</si>
  <si>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</si>
  <si>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</si>
  <si>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</si>
  <si>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</si>
  <si>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</si>
  <si>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</si>
  <si>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</si>
  <si>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</si>
  <si>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</si>
  <si>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</si>
  <si>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</si>
  <si>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</si>
  <si>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</si>
  <si>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</si>
  <si>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</si>
  <si>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</si>
  <si>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</si>
  <si>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</si>
  <si>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</si>
  <si>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</si>
  <si>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</si>
  <si>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</si>
  <si>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</si>
  <si>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</si>
  <si>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</si>
  <si>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</si>
  <si>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</si>
  <si>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</si>
  <si>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</si>
  <si>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</si>
  <si>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</si>
  <si>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</si>
  <si>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</si>
  <si>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</si>
  <si>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</si>
  <si>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</si>
  <si>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</si>
  <si>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1 liter</t>
  </si>
  <si>
    <t>CBC, PC</t>
  </si>
  <si>
    <t>vial</t>
  </si>
  <si>
    <t>CEFTRIAXONE SODIUM 1G</t>
  </si>
  <si>
    <t>pcs</t>
  </si>
  <si>
    <t>set</t>
  </si>
  <si>
    <t>BLOOD EXTRACTION FEE</t>
  </si>
  <si>
    <t>DISPOSABLE SYRINGE 10ML G 21</t>
  </si>
  <si>
    <t>IPRATROPIUM+SALBUTAMOL</t>
  </si>
  <si>
    <t>500MCG+2.5MG-2.5ML</t>
  </si>
  <si>
    <t>NEBULIZER KIT WITH MOUTH PIECE</t>
  </si>
  <si>
    <t>NA (SODIUM)</t>
  </si>
  <si>
    <t>K (POTASSIUM)</t>
  </si>
  <si>
    <t>CL (CHLORIDE)</t>
  </si>
  <si>
    <t>ER TRANSACTION)</t>
  </si>
  <si>
    <t>CREATININE (CREA)</t>
  </si>
  <si>
    <t>J44.9</t>
  </si>
  <si>
    <t>I10.1</t>
  </si>
  <si>
    <t>E11.9</t>
  </si>
  <si>
    <t>BLOOD CS</t>
  </si>
  <si>
    <t>BLOOD UREA NITROGEN (BUN)</t>
  </si>
  <si>
    <t>FASTING BLOOD SUGAR</t>
  </si>
  <si>
    <t>GRAMS STAIN (GS)</t>
  </si>
  <si>
    <t>HBA1C / GLYCOSYLATED</t>
  </si>
  <si>
    <t>RESPIRATORY C/S SPUTUM,</t>
  </si>
  <si>
    <t>URINALYSIS (UA)(</t>
  </si>
  <si>
    <t>Chest PA ADULT (1 view)</t>
  </si>
  <si>
    <t>PLAIN NSS 1L (X 12S)</t>
  </si>
  <si>
    <t>ACETYLCYSTEINE 600MG IN BLISTER FOIL PACK</t>
  </si>
  <si>
    <t>AZITHROMYCIN DIHYDRATE</t>
  </si>
  <si>
    <t>AMLODIPINE BESYLATE 5MG</t>
  </si>
  <si>
    <t xml:space="preserve">AMLODIPINE BESYLATE 10MG </t>
  </si>
  <si>
    <t>tablet</t>
  </si>
  <si>
    <t>nebule</t>
  </si>
  <si>
    <t>5MG</t>
  </si>
  <si>
    <t>500MG</t>
  </si>
  <si>
    <t>1g</t>
  </si>
  <si>
    <t>10mg</t>
  </si>
  <si>
    <t>ASEPTO BULB SYRINGE TIP 60mL</t>
  </si>
  <si>
    <t>DISPOSABLE SYRINGE 50ML</t>
  </si>
  <si>
    <t>SYRINGE 10ML W/ NEEDLE G21</t>
  </si>
  <si>
    <t>GAUZE SPONGE 4"X4", 8 PLY, 28X24 MESH, UNSTERILE, W/O
BLUE DETECTOR, PACK</t>
  </si>
  <si>
    <t>359695/73889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</si>
</sst>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23</xdr:row>
          <xdr:rowOff>22860</xdr:rowOff>
        </xdr:from>
        <xdr:to>
          <xdr:col>1</xdr:col>
          <xdr:colOff>731520</xdr:colOff>
          <xdr:row>23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23</xdr:row>
          <xdr:rowOff>22860</xdr:rowOff>
        </xdr:from>
        <xdr:to>
          <xdr:col>1</xdr:col>
          <xdr:colOff>1508760</xdr:colOff>
          <xdr:row>23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22860</xdr:rowOff>
        </xdr:from>
        <xdr:to>
          <xdr:col>1</xdr:col>
          <xdr:colOff>731520</xdr:colOff>
          <xdr:row>34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34</xdr:row>
          <xdr:rowOff>22860</xdr:rowOff>
        </xdr:from>
        <xdr:to>
          <xdr:col>1</xdr:col>
          <xdr:colOff>1508760</xdr:colOff>
          <xdr:row>34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49</xdr:row>
          <xdr:rowOff>22860</xdr:rowOff>
        </xdr:from>
        <xdr:to>
          <xdr:col>1</xdr:col>
          <xdr:colOff>731520</xdr:colOff>
          <xdr:row>49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49</xdr:row>
          <xdr:rowOff>22860</xdr:rowOff>
        </xdr:from>
        <xdr:to>
          <xdr:col>1</xdr:col>
          <xdr:colOff>1508760</xdr:colOff>
          <xdr:row>49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56</xdr:row>
          <xdr:rowOff>22860</xdr:rowOff>
        </xdr:from>
        <xdr:to>
          <xdr:col>1</xdr:col>
          <xdr:colOff>731520</xdr:colOff>
          <xdr:row>56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56</xdr:row>
          <xdr:rowOff>22860</xdr:rowOff>
        </xdr:from>
        <xdr:to>
          <xdr:col>1</xdr:col>
          <xdr:colOff>1508760</xdr:colOff>
          <xdr:row>56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61</xdr:row>
          <xdr:rowOff>22860</xdr:rowOff>
        </xdr:from>
        <xdr:to>
          <xdr:col>1</xdr:col>
          <xdr:colOff>731520</xdr:colOff>
          <xdr:row>61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61</xdr:row>
          <xdr:rowOff>22860</xdr:rowOff>
        </xdr:from>
        <xdr:to>
          <xdr:col>1</xdr:col>
          <xdr:colOff>1508760</xdr:colOff>
          <xdr:row>61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70</xdr:row>
          <xdr:rowOff>22860</xdr:rowOff>
        </xdr:from>
        <xdr:to>
          <xdr:col>1</xdr:col>
          <xdr:colOff>731520</xdr:colOff>
          <xdr:row>70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70</xdr:row>
          <xdr:rowOff>22860</xdr:rowOff>
        </xdr:from>
        <xdr:to>
          <xdr:col>1</xdr:col>
          <xdr:colOff>1508760</xdr:colOff>
          <xdr:row>70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30480</xdr:rowOff>
        </xdr:from>
        <xdr:to>
          <xdr:col>1</xdr:col>
          <xdr:colOff>762000</xdr:colOff>
          <xdr:row>26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26</xdr:row>
          <xdr:rowOff>30480</xdr:rowOff>
        </xdr:from>
        <xdr:to>
          <xdr:col>1</xdr:col>
          <xdr:colOff>1531620</xdr:colOff>
          <xdr:row>26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37</xdr:row>
          <xdr:rowOff>30480</xdr:rowOff>
        </xdr:from>
        <xdr:to>
          <xdr:col>1</xdr:col>
          <xdr:colOff>769620</xdr:colOff>
          <xdr:row>38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37</xdr:row>
          <xdr:rowOff>30480</xdr:rowOff>
        </xdr:from>
        <xdr:to>
          <xdr:col>1</xdr:col>
          <xdr:colOff>1546860</xdr:colOff>
          <xdr:row>38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9"/>
  <sheetViews>
    <sheetView tabSelected="1" topLeftCell="A69" zoomScaleNormal="100" workbookViewId="0">
      <selection activeCell="G88" sqref="G88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4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191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 t="s">
        <v>192</v>
      </c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6" t="s">
        <v>52</v>
      </c>
      <c r="C23" s="117"/>
      <c r="D23" s="117"/>
      <c r="E23" s="117"/>
      <c r="F23" s="118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1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2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3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4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5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19" t="s">
        <v>43</v>
      </c>
      <c r="C29" s="120"/>
      <c r="D29" s="120"/>
      <c r="E29" s="120"/>
      <c r="F29" s="130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3" t="s">
        <v>163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160</v>
      </c>
      <c r="C31" s="114" t="s">
        <v>124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4" t="s">
        <v>161</v>
      </c>
      <c r="C32" s="114" t="s">
        <v>138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5" t="s">
        <v>17</v>
      </c>
      <c r="C33" s="7"/>
      <c r="D33" s="7"/>
      <c r="E33" s="56">
        <v>4</v>
      </c>
      <c r="F33" s="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thickBot="1" x14ac:dyDescent="0.35">
      <c r="A34" s="1"/>
      <c r="B34" s="116" t="s">
        <v>18</v>
      </c>
      <c r="C34" s="117"/>
      <c r="D34" s="117"/>
      <c r="E34" s="117"/>
      <c r="F34" s="118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1</v>
      </c>
      <c r="C35" s="31" t="s">
        <v>193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2</v>
      </c>
      <c r="C36" s="27" t="s">
        <v>180</v>
      </c>
      <c r="D36" s="23"/>
      <c r="E36" s="57">
        <v>4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3</v>
      </c>
      <c r="C37" s="27" t="s">
        <v>194</v>
      </c>
      <c r="D37" s="23"/>
      <c r="E37" s="57">
        <v>2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4</v>
      </c>
      <c r="C38" s="27" t="s">
        <v>175</v>
      </c>
      <c r="D38" s="23"/>
      <c r="E38" s="57">
        <v>2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5</v>
      </c>
      <c r="C39" s="27" t="s">
        <v>187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6</v>
      </c>
      <c r="C40" s="27" t="s">
        <v>189</v>
      </c>
      <c r="D40" s="23"/>
      <c r="E40" s="57">
        <v>2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7</v>
      </c>
      <c r="C41" s="27" t="s">
        <v>188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8</v>
      </c>
      <c r="C42" s="27" t="s">
        <v>195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9</v>
      </c>
      <c r="C43" s="27" t="s">
        <v>196</v>
      </c>
      <c r="D43" s="23"/>
      <c r="E43" s="57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10</v>
      </c>
      <c r="C44" s="27" t="s">
        <v>197</v>
      </c>
      <c r="D44" s="23"/>
      <c r="E44" s="57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11</v>
      </c>
      <c r="C45" s="27" t="s">
        <v>186</v>
      </c>
      <c r="D45" s="23"/>
      <c r="E45" s="57">
        <v>2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12</v>
      </c>
      <c r="C46" s="27" t="s">
        <v>185</v>
      </c>
      <c r="D46" s="23"/>
      <c r="E46" s="57">
        <v>2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13</v>
      </c>
      <c r="C47" s="27" t="s">
        <v>198</v>
      </c>
      <c r="D47" s="23"/>
      <c r="E47" s="57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14</v>
      </c>
      <c r="C48" s="27" t="s">
        <v>199</v>
      </c>
      <c r="D48" s="23"/>
      <c r="E48" s="57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9" t="s">
        <v>19</v>
      </c>
      <c r="C49" s="120"/>
      <c r="D49" s="117"/>
      <c r="E49" s="120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200</v>
      </c>
      <c r="D50" s="23"/>
      <c r="E50" s="55">
        <v>1</v>
      </c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3"/>
      <c r="E52" s="55"/>
      <c r="F52" s="24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3"/>
      <c r="E53" s="55"/>
      <c r="F53" s="24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9" t="s">
        <v>44</v>
      </c>
      <c r="C54" s="120"/>
      <c r="D54" s="117"/>
      <c r="E54" s="120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4" t="s">
        <v>45</v>
      </c>
      <c r="C55" s="13"/>
      <c r="D55" s="13"/>
      <c r="E55" s="16"/>
      <c r="F55" s="13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6" t="s">
        <v>53</v>
      </c>
      <c r="C56" s="117"/>
      <c r="D56" s="117"/>
      <c r="E56" s="117"/>
      <c r="F56" s="118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30">
        <v>1</v>
      </c>
      <c r="C57" s="31"/>
      <c r="D57" s="32"/>
      <c r="E57" s="57"/>
      <c r="F57" s="5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30">
        <v>2</v>
      </c>
      <c r="C58" s="31"/>
      <c r="D58" s="32"/>
      <c r="E58" s="57"/>
      <c r="F58" s="5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20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20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Bot="1" x14ac:dyDescent="0.35">
      <c r="A61" s="1"/>
      <c r="B61" s="116" t="s">
        <v>20</v>
      </c>
      <c r="C61" s="117"/>
      <c r="D61" s="117"/>
      <c r="E61" s="117"/>
      <c r="F61" s="118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1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2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3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4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6">
        <v>5</v>
      </c>
      <c r="C66" s="27"/>
      <c r="D66" s="28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26">
        <v>6</v>
      </c>
      <c r="C67" s="27"/>
      <c r="D67" s="28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25"/>
      <c r="C68" s="25"/>
      <c r="D68" s="25"/>
      <c r="E68" s="25"/>
      <c r="F68" s="2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57.75" customHeight="1" thickBot="1" x14ac:dyDescent="0.35">
      <c r="A70" s="1"/>
      <c r="B70" s="17" t="s">
        <v>55</v>
      </c>
      <c r="C70" s="17" t="s">
        <v>51</v>
      </c>
      <c r="D70" s="17" t="s">
        <v>56</v>
      </c>
      <c r="E70" s="18" t="s">
        <v>57</v>
      </c>
      <c r="F70" s="19" t="s">
        <v>21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2">
        <v>1</v>
      </c>
      <c r="C71" s="27" t="s">
        <v>166</v>
      </c>
      <c r="D71" s="55">
        <v>2114.41</v>
      </c>
      <c r="E71" s="55">
        <v>2552.6999999999998</v>
      </c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2</v>
      </c>
      <c r="C72" s="27" t="s">
        <v>167</v>
      </c>
      <c r="D72" s="55">
        <v>450.59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3</v>
      </c>
      <c r="C73" s="27" t="s">
        <v>168</v>
      </c>
      <c r="D73" s="55">
        <v>120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4</v>
      </c>
      <c r="C74" s="27" t="s">
        <v>169</v>
      </c>
      <c r="D74" s="55">
        <v>5815</v>
      </c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5</v>
      </c>
      <c r="C75" s="27" t="s">
        <v>170</v>
      </c>
      <c r="D75" s="55">
        <v>0</v>
      </c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6</v>
      </c>
      <c r="C76" s="27" t="s">
        <v>171</v>
      </c>
      <c r="D76" s="55">
        <v>2000</v>
      </c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7</v>
      </c>
      <c r="C77" s="27" t="s">
        <v>172</v>
      </c>
      <c r="D77" s="55">
        <v>4500</v>
      </c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8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0">
        <v>9</v>
      </c>
      <c r="C79" s="27"/>
      <c r="D79" s="55"/>
      <c r="E79" s="55"/>
      <c r="F79" s="55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0">
        <v>10</v>
      </c>
      <c r="C80" s="27"/>
      <c r="D80" s="55"/>
      <c r="E80" s="55"/>
      <c r="F80" s="55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4.95" customHeight="1" thickBot="1" x14ac:dyDescent="0.35">
      <c r="A81" s="1"/>
      <c r="B81" s="1"/>
      <c r="C81" s="1"/>
      <c r="D81" s="58"/>
      <c r="E81" s="58"/>
      <c r="F81" s="58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thickTop="1" x14ac:dyDescent="0.3">
      <c r="A82" s="1"/>
      <c r="B82" s="11"/>
      <c r="C82" s="4" t="s">
        <v>22</v>
      </c>
      <c r="D82" s="59">
        <f>SUM(D71:D81)</f>
        <v>15000</v>
      </c>
      <c r="E82" s="59">
        <f>SUM(E71:E81)</f>
        <v>2552.6999999999998</v>
      </c>
      <c r="F82" s="59">
        <f>SUM(F71:F81)</f>
        <v>0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  <row r="1018" spans="1:25" ht="13.5" customHeight="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</row>
    <row r="1019" spans="1:25" ht="13.5" customHeight="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</row>
  </sheetData>
  <sheetProtection formatColumns="0" formatRows="0" sort="0" autoFilter="0"/>
  <mergeCells count="12">
    <mergeCell ref="B61:F61"/>
    <mergeCell ref="B54:F54"/>
    <mergeCell ref="B12:F12"/>
    <mergeCell ref="B13:F13"/>
    <mergeCell ref="B14:F14"/>
    <mergeCell ref="B15:F15"/>
    <mergeCell ref="B18:F18"/>
    <mergeCell ref="B23:F23"/>
    <mergeCell ref="B34:F34"/>
    <mergeCell ref="B29:F29"/>
    <mergeCell ref="B49:F49"/>
    <mergeCell ref="B56:F56"/>
  </mergeCells>
  <dataValidations count="1">
    <dataValidation type="decimal" operator="greaterThanOrEqual" allowBlank="1" showInputMessage="1" showErrorMessage="1" sqref="E33 E50:E53 E55 E24:F28 E57:F60 E62:F67 D71:F80 E35:E4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23</xdr:row>
                    <xdr:rowOff>22860</xdr:rowOff>
                  </from>
                  <to>
                    <xdr:col>1</xdr:col>
                    <xdr:colOff>731520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23</xdr:row>
                    <xdr:rowOff>22860</xdr:rowOff>
                  </from>
                  <to>
                    <xdr:col>1</xdr:col>
                    <xdr:colOff>1508760</xdr:colOff>
                    <xdr:row>23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34</xdr:row>
                    <xdr:rowOff>22860</xdr:rowOff>
                  </from>
                  <to>
                    <xdr:col>1</xdr:col>
                    <xdr:colOff>731520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34</xdr:row>
                    <xdr:rowOff>22860</xdr:rowOff>
                  </from>
                  <to>
                    <xdr:col>1</xdr:col>
                    <xdr:colOff>1508760</xdr:colOff>
                    <xdr:row>34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49</xdr:row>
                    <xdr:rowOff>22860</xdr:rowOff>
                  </from>
                  <to>
                    <xdr:col>1</xdr:col>
                    <xdr:colOff>731520</xdr:colOff>
                    <xdr:row>49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49</xdr:row>
                    <xdr:rowOff>22860</xdr:rowOff>
                  </from>
                  <to>
                    <xdr:col>1</xdr:col>
                    <xdr:colOff>1508760</xdr:colOff>
                    <xdr:row>49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56</xdr:row>
                    <xdr:rowOff>22860</xdr:rowOff>
                  </from>
                  <to>
                    <xdr:col>1</xdr:col>
                    <xdr:colOff>731520</xdr:colOff>
                    <xdr:row>56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56</xdr:row>
                    <xdr:rowOff>22860</xdr:rowOff>
                  </from>
                  <to>
                    <xdr:col>1</xdr:col>
                    <xdr:colOff>1508760</xdr:colOff>
                    <xdr:row>56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61</xdr:row>
                    <xdr:rowOff>22860</xdr:rowOff>
                  </from>
                  <to>
                    <xdr:col>1</xdr:col>
                    <xdr:colOff>731520</xdr:colOff>
                    <xdr:row>61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61</xdr:row>
                    <xdr:rowOff>22860</xdr:rowOff>
                  </from>
                  <to>
                    <xdr:col>1</xdr:col>
                    <xdr:colOff>1508760</xdr:colOff>
                    <xdr:row>61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70</xdr:row>
                    <xdr:rowOff>22860</xdr:rowOff>
                  </from>
                  <to>
                    <xdr:col>1</xdr:col>
                    <xdr:colOff>731520</xdr:colOff>
                    <xdr:row>70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70</xdr:row>
                    <xdr:rowOff>22860</xdr:rowOff>
                  </from>
                  <to>
                    <xdr:col>1</xdr:col>
                    <xdr:colOff>1508760</xdr:colOff>
                    <xdr:row>70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topLeftCell="B1" workbookViewId="0">
      <selection activeCell="G11" sqref="G11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4.4" x14ac:dyDescent="0.3">
      <c r="B11" s="42">
        <v>1</v>
      </c>
      <c r="C11" s="69" t="s">
        <v>201</v>
      </c>
      <c r="D11" s="27" t="s">
        <v>173</v>
      </c>
      <c r="E11" s="27" t="s">
        <v>174</v>
      </c>
      <c r="F11" s="55"/>
      <c r="G11" s="55"/>
      <c r="H11" s="55">
        <v>7</v>
      </c>
      <c r="I11" s="55">
        <v>50.67</v>
      </c>
      <c r="J11" s="55">
        <f>H11*I11</f>
        <v>354.69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28.2" x14ac:dyDescent="0.3">
      <c r="B12" s="42">
        <v>2</v>
      </c>
      <c r="C12" s="27" t="s">
        <v>202</v>
      </c>
      <c r="D12" s="27" t="s">
        <v>206</v>
      </c>
      <c r="E12" s="27" t="s">
        <v>208</v>
      </c>
      <c r="F12" s="55"/>
      <c r="G12" s="55"/>
      <c r="H12" s="55">
        <v>8</v>
      </c>
      <c r="I12" s="55">
        <v>23</v>
      </c>
      <c r="J12" s="55">
        <f t="shared" ref="J12:J17" si="0">H12*I12</f>
        <v>184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4.4" x14ac:dyDescent="0.3">
      <c r="B13" s="42">
        <v>3</v>
      </c>
      <c r="C13" s="27" t="s">
        <v>203</v>
      </c>
      <c r="D13" s="27" t="s">
        <v>176</v>
      </c>
      <c r="E13" s="27" t="s">
        <v>209</v>
      </c>
      <c r="F13" s="55"/>
      <c r="G13" s="55"/>
      <c r="H13" s="55">
        <v>5</v>
      </c>
      <c r="I13" s="55">
        <v>766.67</v>
      </c>
      <c r="J13" s="55">
        <f t="shared" si="0"/>
        <v>3833.35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4.4" x14ac:dyDescent="0.3">
      <c r="B14" s="42">
        <v>4</v>
      </c>
      <c r="C14" s="27" t="s">
        <v>177</v>
      </c>
      <c r="D14" s="27" t="s">
        <v>176</v>
      </c>
      <c r="E14" s="27" t="s">
        <v>210</v>
      </c>
      <c r="F14" s="55"/>
      <c r="G14" s="55"/>
      <c r="H14" s="55">
        <v>10</v>
      </c>
      <c r="I14" s="55">
        <v>20.149999999999999</v>
      </c>
      <c r="J14" s="55">
        <f t="shared" si="0"/>
        <v>201.5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4.4" x14ac:dyDescent="0.3">
      <c r="B15" s="42">
        <v>5</v>
      </c>
      <c r="C15" s="27" t="s">
        <v>204</v>
      </c>
      <c r="D15" s="27" t="s">
        <v>206</v>
      </c>
      <c r="E15" s="27" t="s">
        <v>208</v>
      </c>
      <c r="F15" s="55"/>
      <c r="G15" s="55"/>
      <c r="H15" s="55">
        <v>5</v>
      </c>
      <c r="I15" s="55">
        <v>2.64</v>
      </c>
      <c r="J15" s="55">
        <f t="shared" si="0"/>
        <v>13.200000000000001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4.4" x14ac:dyDescent="0.3">
      <c r="B16" s="42">
        <v>6</v>
      </c>
      <c r="C16" s="27" t="s">
        <v>205</v>
      </c>
      <c r="D16" s="27" t="s">
        <v>206</v>
      </c>
      <c r="E16" s="27" t="s">
        <v>211</v>
      </c>
      <c r="F16" s="55"/>
      <c r="G16" s="55"/>
      <c r="H16" s="55">
        <v>1</v>
      </c>
      <c r="I16" s="55">
        <v>5.07</v>
      </c>
      <c r="J16" s="55">
        <f t="shared" si="0"/>
        <v>5.07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207</v>
      </c>
      <c r="E17" s="27" t="s">
        <v>183</v>
      </c>
      <c r="F17" s="55"/>
      <c r="G17" s="55"/>
      <c r="H17" s="55">
        <v>6</v>
      </c>
      <c r="I17" s="55">
        <v>12.55</v>
      </c>
      <c r="J17" s="55">
        <f t="shared" si="0"/>
        <v>75.300000000000011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4.4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4.4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3"/>
    <row r="23" spans="1:20" ht="15.75" customHeight="1" x14ac:dyDescent="0.3"/>
    <row r="24" spans="1:20" ht="15.75" customHeight="1" x14ac:dyDescent="0.3"/>
    <row r="25" spans="1:20" ht="15.75" customHeight="1" x14ac:dyDescent="0.3"/>
    <row r="26" spans="1:20" ht="15.75" customHeight="1" x14ac:dyDescent="0.3"/>
    <row r="27" spans="1:20" ht="15.75" customHeight="1" x14ac:dyDescent="0.3"/>
    <row r="28" spans="1:20" ht="15.75" customHeight="1" x14ac:dyDescent="0.3"/>
    <row r="29" spans="1:20" ht="15.75" customHeight="1" x14ac:dyDescent="0.3"/>
    <row r="30" spans="1:20" ht="15.75" customHeight="1" x14ac:dyDescent="0.3"/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9" workbookViewId="0">
      <selection activeCell="D22" sqref="D22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10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212</v>
      </c>
      <c r="D16" s="70" t="s">
        <v>178</v>
      </c>
      <c r="E16" s="55">
        <v>1</v>
      </c>
      <c r="F16" s="55">
        <v>23.91</v>
      </c>
      <c r="G16" s="55">
        <f>+E16*F16</f>
        <v>23.91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4" x14ac:dyDescent="0.3">
      <c r="B17" s="68">
        <v>2</v>
      </c>
      <c r="C17" s="69" t="s">
        <v>213</v>
      </c>
      <c r="D17" s="70" t="s">
        <v>178</v>
      </c>
      <c r="E17" s="55">
        <v>1</v>
      </c>
      <c r="F17" s="55">
        <v>277.33</v>
      </c>
      <c r="G17" s="55">
        <f t="shared" ref="G17:G25" si="0">+E17*F17</f>
        <v>277.33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4" x14ac:dyDescent="0.3">
      <c r="B18" s="68">
        <v>3</v>
      </c>
      <c r="C18" s="69" t="s">
        <v>214</v>
      </c>
      <c r="D18" s="70" t="s">
        <v>178</v>
      </c>
      <c r="E18" s="55">
        <v>10</v>
      </c>
      <c r="F18" s="55">
        <v>8.24</v>
      </c>
      <c r="G18" s="55">
        <f t="shared" si="0"/>
        <v>82.4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178</v>
      </c>
      <c r="E19" s="55">
        <v>5</v>
      </c>
      <c r="F19" s="55">
        <v>2.77</v>
      </c>
      <c r="G19" s="55">
        <f t="shared" si="0"/>
        <v>13.85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179</v>
      </c>
      <c r="E20" s="55">
        <v>1</v>
      </c>
      <c r="F20" s="55">
        <v>38</v>
      </c>
      <c r="G20" s="55">
        <f t="shared" si="0"/>
        <v>38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215</v>
      </c>
      <c r="D21" s="70" t="s">
        <v>179</v>
      </c>
      <c r="E21" s="55">
        <v>10</v>
      </c>
      <c r="F21" s="55">
        <v>1.51</v>
      </c>
      <c r="G21" s="55">
        <f t="shared" si="0"/>
        <v>15.1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4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4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137" t="s">
        <v>76</v>
      </c>
      <c r="C26" s="138"/>
      <c r="D26" s="138"/>
      <c r="E26" s="138"/>
      <c r="F26" s="138"/>
      <c r="G26" s="139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2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3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4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5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6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7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8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9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10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7" t="s">
        <v>29</v>
      </c>
      <c r="C37" s="138"/>
      <c r="D37" s="138"/>
      <c r="E37" s="138"/>
      <c r="F37" s="138"/>
      <c r="G37" s="139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3"/>
    <row r="51" spans="1:16" ht="15.75" customHeight="1" x14ac:dyDescent="0.3"/>
    <row r="52" spans="1:16" ht="15.75" customHeight="1" x14ac:dyDescent="0.3"/>
    <row r="53" spans="1:16" ht="15.75" customHeight="1" x14ac:dyDescent="0.3"/>
    <row r="54" spans="1:16" ht="15.75" customHeight="1" x14ac:dyDescent="0.3"/>
    <row r="55" spans="1:16" ht="15.75" customHeight="1" x14ac:dyDescent="0.3"/>
    <row r="56" spans="1:16" ht="15.75" customHeight="1" x14ac:dyDescent="0.3"/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</sheetData>
  <sheetProtection password="C2E9" sheet="1" objects="1" scenarios="1" formatColumns="0" formatRows="0" sort="0" autoFilter="0"/>
  <mergeCells count="9">
    <mergeCell ref="B7:G7"/>
    <mergeCell ref="B26:G26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30480</xdr:rowOff>
                  </from>
                  <to>
                    <xdr:col>1</xdr:col>
                    <xdr:colOff>762000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26</xdr:row>
                    <xdr:rowOff>30480</xdr:rowOff>
                  </from>
                  <to>
                    <xdr:col>1</xdr:col>
                    <xdr:colOff>1531620</xdr:colOff>
                    <xdr:row>26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37</xdr:row>
                    <xdr:rowOff>30480</xdr:rowOff>
                  </from>
                  <to>
                    <xdr:col>1</xdr:col>
                    <xdr:colOff>769620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37</xdr:row>
                    <xdr:rowOff>30480</xdr:rowOff>
                  </from>
                  <to>
                    <xdr:col>1</xdr:col>
                    <xdr:colOff>1546860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17" sqref="C17:J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data_general'!$C$30</f>
        <v>Level II and III</v>
      </c>
      <c r="G1" s="112" t="str">
        <f>'1.1 Case data_general'!$C$31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2018-06-04T10:36:12Z</dcterms:modified>
</cp:coreProperties>
</file>