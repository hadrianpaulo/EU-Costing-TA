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8" windowHeight="726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data_general'!$B$1:$F$76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E65" i="1" l="1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J23" i="2" l="1"/>
  <c r="J22" i="2"/>
  <c r="J27" i="2"/>
  <c r="J26" i="2"/>
  <c r="J25" i="2"/>
  <c r="J24" i="2"/>
  <c r="J15" i="2"/>
  <c r="J14" i="2"/>
  <c r="G16" i="9"/>
  <c r="J12" i="2" l="1"/>
  <c r="J13" i="2"/>
  <c r="J16" i="2"/>
  <c r="J17" i="2"/>
  <c r="J18" i="2"/>
  <c r="J19" i="2"/>
  <c r="J20" i="2"/>
  <c r="J2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<sst xmlns="http://schemas.openxmlformats.org/spreadsheetml/2006/main" count="551" uniqueCount="232">
  <si>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</si>
  <si>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</si>
  <si>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</si>
  <si>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</si>
  <si>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</si>
  <si>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</si>
  <si>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</si>
  <si>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</si>
  <si>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</si>
  <si>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</si>
  <si>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</si>
  <si>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</si>
  <si>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</si>
  <si>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</si>
  <si>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</si>
  <si>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</si>
  <si>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</si>
  <si>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</si>
  <si>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</si>
  <si>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</si>
  <si>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</si>
  <si>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</si>
  <si>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</si>
  <si>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</si>
  <si>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</si>
  <si>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</si>
  <si>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</si>
  <si>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</si>
  <si>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</si>
  <si>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</si>
  <si>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</si>
  <si>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</si>
  <si>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</si>
  <si>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</si>
  <si>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</si>
  <si>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</si>
  <si>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</si>
  <si>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</si>
  <si>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</si>
  <si>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</si>
  <si>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</si>
  <si>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</si>
  <si>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</si>
  <si>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</si>
  <si>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</si>
  <si>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</si>
  <si>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</si>
  <si>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</si>
  <si>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</si>
  <si>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</si>
  <si>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</si>
  <si>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</si>
  <si>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</si>
  <si>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</si>
  <si>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</si>
  <si>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</si>
  <si>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</si>
  <si>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</si>
  <si>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</si>
  <si>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</si>
  <si>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</si>
  <si>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</si>
  <si>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</si>
  <si>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</si>
  <si>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</si>
  <si>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</si>
  <si>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</si>
  <si>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</si>
  <si>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</si>
  <si>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</si>
  <si>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</si>
  <si>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</si>
  <si>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</si>
  <si>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</si>
  <si>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</si>
  <si>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</si>
  <si>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</si>
  <si>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</si>
  <si>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</si>
  <si>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</si>
  <si>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</si>
  <si>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</si>
  <si>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</si>
  <si>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</si>
  <si>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</si>
  <si>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</si>
  <si>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</si>
  <si>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</si>
  <si>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</si>
  <si>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</si>
  <si>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</si>
  <si>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</si>
  <si>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</si>
  <si>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</si>
  <si>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</si>
  <si>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</si>
  <si>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</si>
  <si>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</si>
  <si>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</si>
  <si>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</si>
  <si>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</si>
  <si>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</si>
  <si>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</si>
  <si>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</si>
  <si>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</si>
  <si>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</si>
  <si>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</si>
  <si>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</si>
  <si>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</si>
  <si>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</si>
  <si>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</si>
  <si>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</si>
  <si>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</si>
  <si>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</si>
  <si>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</si>
  <si>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</si>
  <si>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</si>
  <si>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</si>
  <si>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</si>
  <si>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</si>
  <si>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</si>
  <si>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</si>
  <si>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</si>
  <si>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</si>
  <si>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</si>
  <si>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</si>
  <si>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</si>
  <si>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</si>
  <si>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</si>
  <si>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</si>
  <si>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</si>
  <si>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</si>
  <si>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</si>
  <si>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</si>
  <si>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</si>
  <si>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</si>
  <si>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</si>
  <si>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</si>
  <si>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</si>
  <si>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</si>
  <si>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</si>
  <si>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</si>
  <si>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</si>
  <si>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</si>
  <si>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</si>
  <si>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</si>
  <si>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</si>
  <si>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</si>
  <si>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</si>
  <si>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</si>
  <si>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</si>
  <si>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</si>
  <si>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</si>
  <si>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</si>
  <si>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</si>
  <si>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</si>
  <si>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</si>
  <si>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</si>
  <si>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</si>
  <si>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</si>
  <si>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</si>
  <si>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</si>
  <si>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</si>
  <si>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</si>
  <si>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</si>
  <si>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</si>
  <si>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</si>
  <si>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</si>
  <si>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</si>
  <si>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</si>
  <si>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</si>
  <si>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</si>
  <si>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</si>
  <si>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</si>
  <si>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</si>
  <si>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</si>
  <si>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</si>
  <si>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M30.3</t>
  </si>
  <si>
    <t>BLOOD C/S</t>
  </si>
  <si>
    <t>CBC, PC</t>
  </si>
  <si>
    <t>BLOOD EXTRACTION FEE</t>
  </si>
  <si>
    <t>CHEST APL PEDIA (2 VIEWS)</t>
  </si>
  <si>
    <t>vial</t>
  </si>
  <si>
    <t>1  liter</t>
  </si>
  <si>
    <t xml:space="preserve">DOBUTAMINE HCL </t>
  </si>
  <si>
    <t xml:space="preserve">NOREPINEPHRINE BITARTAE </t>
  </si>
  <si>
    <t>IV CATHETER GAUGE 26</t>
  </si>
  <si>
    <t>IV CATHETER GAUGE 24</t>
  </si>
  <si>
    <t>500 ml</t>
  </si>
  <si>
    <t>CRP</t>
  </si>
  <si>
    <t>ASO TITER</t>
  </si>
  <si>
    <t>ERYTHROCYTES SEDIMENTATION RATE (ESR)</t>
  </si>
  <si>
    <t>ANTI-STREPTOLYSIN O (ASO)</t>
  </si>
  <si>
    <t xml:space="preserve">(D5 IMB 500ML) D5% BAL. MULTIPLE MAINTENANCE SOLN </t>
  </si>
  <si>
    <t>1MG/ML-2.5ML</t>
  </si>
  <si>
    <t>TABLET</t>
  </si>
  <si>
    <t>(D5LRS 1L) 5% DEXTROSE IN LACTATED RINGERS SOLUTION 1000ML (D5 LRS)</t>
  </si>
  <si>
    <t>(D5W 500ML) 5% DEXTROSE IN WATER 500ML</t>
  </si>
  <si>
    <t xml:space="preserve">5% DEXTROSE 0.9% SODIUM CHLORIDE 1000ML ( D5 NSS 1L ) </t>
  </si>
  <si>
    <t xml:space="preserve">5% DEXTROSE I. 0.9% SODIUM CHLORIDE 500ML (D5 NSS 500 ML) </t>
  </si>
  <si>
    <t>ALUMINUM HYDROXIDE + MAGNESIUM HYDROXIDE,</t>
  </si>
  <si>
    <t xml:space="preserve">AMPICILLIN + SULBACTAM </t>
  </si>
  <si>
    <t>ASPIRIN 80MG BLISTER/FOIL</t>
  </si>
  <si>
    <t xml:space="preserve">CEFTRIAXONE SODIUM 1G </t>
  </si>
  <si>
    <t xml:space="preserve">D5 WATER 500ML </t>
  </si>
  <si>
    <t xml:space="preserve">HUMAN NORMAL IMMUNOGLOBULIN (IGIV) </t>
  </si>
  <si>
    <t xml:space="preserve">NOREPINEPHRINE BITARTRATE </t>
  </si>
  <si>
    <t xml:space="preserve">PARACETAMOL (ACETAMINOPHEN)  </t>
  </si>
  <si>
    <t xml:space="preserve">PLAIN NSS 1L (X 12S) </t>
  </si>
  <si>
    <t xml:space="preserve">SALBUTAMOL SULPHATE </t>
  </si>
  <si>
    <t>ampule</t>
  </si>
  <si>
    <t xml:space="preserve">225MG + 200MG/5ML </t>
  </si>
  <si>
    <t>750MG</t>
  </si>
  <si>
    <t>80MG</t>
  </si>
  <si>
    <t>1 grm</t>
  </si>
  <si>
    <t>12.5MG/ML-20ML</t>
  </si>
  <si>
    <t>50MG/ML, 100ML</t>
  </si>
  <si>
    <t>300MG-2ML</t>
  </si>
  <si>
    <t>DISPOSABLE SYRINGE 10ML G 21</t>
  </si>
  <si>
    <t xml:space="preserve">DISPOSABLE SYRINGE 1ML G 25, </t>
  </si>
  <si>
    <t>DISPOSABLE SYRINGE 3ML G 23,</t>
  </si>
  <si>
    <t xml:space="preserve">DISPOSABLE SYRINGE 50ML </t>
  </si>
  <si>
    <t xml:space="preserve">DISPOSABLE SYRINGE 5ML G 23, </t>
  </si>
  <si>
    <t>FOLEY CATHETER FR 18, 2 WAY,</t>
  </si>
  <si>
    <t>HEPARIN LOCK BOX</t>
  </si>
  <si>
    <t>LUBRICANT JELLY 5G/SACHET,</t>
  </si>
  <si>
    <t>sachet</t>
  </si>
  <si>
    <t>NGT 10, COILED 100CM</t>
  </si>
  <si>
    <t xml:space="preserve">PLASTER OF PARIS BANDAGE FAST SETTING 6" X 5 YARDS </t>
  </si>
  <si>
    <t>SUCTION CATHETER 16 ( W/ FTC 53CM)</t>
  </si>
  <si>
    <t>BACTERIOLISTIC (STERILE) ELASTIC BANDAGE SKIN TONE 4 X 5 YARD</t>
  </si>
  <si>
    <t>357366/736149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</si>
</sst>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22860</xdr:rowOff>
        </xdr:from>
        <xdr:to>
          <xdr:col>1</xdr:col>
          <xdr:colOff>731520</xdr:colOff>
          <xdr:row>43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43</xdr:row>
          <xdr:rowOff>22860</xdr:rowOff>
        </xdr:from>
        <xdr:to>
          <xdr:col>1</xdr:col>
          <xdr:colOff>1508760</xdr:colOff>
          <xdr:row>43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50</xdr:row>
          <xdr:rowOff>22860</xdr:rowOff>
        </xdr:from>
        <xdr:to>
          <xdr:col>1</xdr:col>
          <xdr:colOff>731520</xdr:colOff>
          <xdr:row>50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50</xdr:row>
          <xdr:rowOff>22860</xdr:rowOff>
        </xdr:from>
        <xdr:to>
          <xdr:col>1</xdr:col>
          <xdr:colOff>1508760</xdr:colOff>
          <xdr:row>50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55</xdr:row>
          <xdr:rowOff>22860</xdr:rowOff>
        </xdr:from>
        <xdr:to>
          <xdr:col>1</xdr:col>
          <xdr:colOff>731520</xdr:colOff>
          <xdr:row>55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55</xdr:row>
          <xdr:rowOff>22860</xdr:rowOff>
        </xdr:from>
        <xdr:to>
          <xdr:col>1</xdr:col>
          <xdr:colOff>1508760</xdr:colOff>
          <xdr:row>55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64</xdr:row>
          <xdr:rowOff>22860</xdr:rowOff>
        </xdr:from>
        <xdr:to>
          <xdr:col>1</xdr:col>
          <xdr:colOff>731520</xdr:colOff>
          <xdr:row>64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64</xdr:row>
          <xdr:rowOff>22860</xdr:rowOff>
        </xdr:from>
        <xdr:to>
          <xdr:col>1</xdr:col>
          <xdr:colOff>1508760</xdr:colOff>
          <xdr:row>64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topLeftCell="A12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231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179</v>
      </c>
      <c r="D35" s="23"/>
      <c r="E35" s="55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4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190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191</v>
      </c>
      <c r="D39" s="23"/>
      <c r="E39" s="55">
        <v>2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181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46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55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6" t="s">
        <v>20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168</v>
      </c>
      <c r="D65" s="55">
        <v>2710</v>
      </c>
      <c r="E65" s="55">
        <f>72936.01-2710</f>
        <v>70226.009999999995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169</v>
      </c>
      <c r="D66" s="55"/>
      <c r="E66" s="55">
        <v>4155.59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170</v>
      </c>
      <c r="D67" s="55">
        <v>190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171</v>
      </c>
      <c r="D68" s="55">
        <v>2600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172</v>
      </c>
      <c r="D69" s="55">
        <v>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173</v>
      </c>
      <c r="D70" s="55">
        <v>5000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174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5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15000</v>
      </c>
      <c r="E76" s="59">
        <f>SUM(E65:E75)</f>
        <v>74381.599999999991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43</xdr:row>
                    <xdr:rowOff>22860</xdr:rowOff>
                  </from>
                  <to>
                    <xdr:col>1</xdr:col>
                    <xdr:colOff>731520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43</xdr:row>
                    <xdr:rowOff>22860</xdr:rowOff>
                  </from>
                  <to>
                    <xdr:col>1</xdr:col>
                    <xdr:colOff>1508760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50</xdr:row>
                    <xdr:rowOff>22860</xdr:rowOff>
                  </from>
                  <to>
                    <xdr:col>1</xdr:col>
                    <xdr:colOff>731520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50</xdr:row>
                    <xdr:rowOff>22860</xdr:rowOff>
                  </from>
                  <to>
                    <xdr:col>1</xdr:col>
                    <xdr:colOff>1508760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55</xdr:row>
                    <xdr:rowOff>22860</xdr:rowOff>
                  </from>
                  <to>
                    <xdr:col>1</xdr:col>
                    <xdr:colOff>731520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55</xdr:row>
                    <xdr:rowOff>22860</xdr:rowOff>
                  </from>
                  <to>
                    <xdr:col>1</xdr:col>
                    <xdr:colOff>1508760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64</xdr:row>
                    <xdr:rowOff>22860</xdr:rowOff>
                  </from>
                  <to>
                    <xdr:col>1</xdr:col>
                    <xdr:colOff>731520</xdr:colOff>
                    <xdr:row>64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64</xdr:row>
                    <xdr:rowOff>22860</xdr:rowOff>
                  </from>
                  <to>
                    <xdr:col>1</xdr:col>
                    <xdr:colOff>1508760</xdr:colOff>
                    <xdr:row>64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B1" workbookViewId="0">
      <selection activeCell="J29" sqref="J29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28.2" x14ac:dyDescent="0.3">
      <c r="B11" s="42">
        <v>1</v>
      </c>
      <c r="C11" s="69" t="s">
        <v>193</v>
      </c>
      <c r="D11" s="27" t="s">
        <v>175</v>
      </c>
      <c r="E11" s="27" t="s">
        <v>188</v>
      </c>
      <c r="F11" s="55"/>
      <c r="G11" s="55"/>
      <c r="H11" s="55">
        <v>1</v>
      </c>
      <c r="I11" s="55">
        <v>93</v>
      </c>
      <c r="J11" s="55">
        <f>H11*I11</f>
        <v>93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42" x14ac:dyDescent="0.3">
      <c r="B12" s="42">
        <v>2</v>
      </c>
      <c r="C12" s="27" t="s">
        <v>196</v>
      </c>
      <c r="D12" s="27" t="s">
        <v>175</v>
      </c>
      <c r="E12" s="27" t="s">
        <v>176</v>
      </c>
      <c r="F12" s="55"/>
      <c r="G12" s="55"/>
      <c r="H12" s="55">
        <v>2</v>
      </c>
      <c r="I12" s="55">
        <v>49.33</v>
      </c>
      <c r="J12" s="55">
        <f t="shared" ref="J12:J27" si="0">H12*I12</f>
        <v>98.66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28.2" x14ac:dyDescent="0.3">
      <c r="B13" s="42">
        <v>3</v>
      </c>
      <c r="C13" s="27" t="s">
        <v>197</v>
      </c>
      <c r="D13" s="27" t="s">
        <v>175</v>
      </c>
      <c r="E13" s="27" t="s">
        <v>188</v>
      </c>
      <c r="F13" s="55"/>
      <c r="G13" s="55"/>
      <c r="H13" s="55">
        <v>3</v>
      </c>
      <c r="I13" s="55">
        <v>49.33</v>
      </c>
      <c r="J13" s="55">
        <f t="shared" si="0"/>
        <v>147.99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27" t="s">
        <v>198</v>
      </c>
      <c r="D14" s="27" t="s">
        <v>175</v>
      </c>
      <c r="E14" s="27" t="s">
        <v>183</v>
      </c>
      <c r="F14" s="55"/>
      <c r="G14" s="55"/>
      <c r="H14" s="55">
        <v>1</v>
      </c>
      <c r="I14" s="55">
        <v>57.05</v>
      </c>
      <c r="J14" s="55">
        <f t="shared" si="0"/>
        <v>57.05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28.2" x14ac:dyDescent="0.3">
      <c r="B15" s="42">
        <v>5</v>
      </c>
      <c r="C15" s="27" t="s">
        <v>199</v>
      </c>
      <c r="D15" s="27" t="s">
        <v>175</v>
      </c>
      <c r="E15" s="27" t="s">
        <v>188</v>
      </c>
      <c r="F15" s="55"/>
      <c r="G15" s="55"/>
      <c r="H15" s="55">
        <v>8</v>
      </c>
      <c r="I15" s="55">
        <v>57.05</v>
      </c>
      <c r="J15" s="55">
        <f t="shared" si="0"/>
        <v>456.4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28.2" x14ac:dyDescent="0.3">
      <c r="B16" s="42">
        <v>6</v>
      </c>
      <c r="C16" s="27" t="s">
        <v>200</v>
      </c>
      <c r="D16" s="27" t="s">
        <v>182</v>
      </c>
      <c r="E16" s="27" t="s">
        <v>211</v>
      </c>
      <c r="F16" s="55"/>
      <c r="G16" s="55"/>
      <c r="H16" s="55">
        <v>1</v>
      </c>
      <c r="I16" s="55">
        <v>30.67</v>
      </c>
      <c r="J16" s="55">
        <f t="shared" si="0"/>
        <v>30.67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182</v>
      </c>
      <c r="E17" s="27" t="s">
        <v>212</v>
      </c>
      <c r="F17" s="55"/>
      <c r="G17" s="55"/>
      <c r="H17" s="55">
        <v>22</v>
      </c>
      <c r="I17" s="55">
        <v>26.93</v>
      </c>
      <c r="J17" s="55">
        <f t="shared" si="0"/>
        <v>592.46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4.4" x14ac:dyDescent="0.3">
      <c r="B18" s="42">
        <v>8</v>
      </c>
      <c r="C18" s="27" t="s">
        <v>202</v>
      </c>
      <c r="D18" s="27" t="s">
        <v>195</v>
      </c>
      <c r="E18" s="27" t="s">
        <v>213</v>
      </c>
      <c r="F18" s="55"/>
      <c r="G18" s="55"/>
      <c r="H18" s="55">
        <v>60</v>
      </c>
      <c r="I18" s="55">
        <v>1.33</v>
      </c>
      <c r="J18" s="55">
        <f t="shared" si="0"/>
        <v>79.800000000000011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203</v>
      </c>
      <c r="D19" s="27" t="s">
        <v>182</v>
      </c>
      <c r="E19" s="27" t="s">
        <v>214</v>
      </c>
      <c r="F19" s="55"/>
      <c r="G19" s="55"/>
      <c r="H19" s="55">
        <v>6</v>
      </c>
      <c r="I19" s="55">
        <v>20.149999999999999</v>
      </c>
      <c r="J19" s="55">
        <f t="shared" si="0"/>
        <v>120.89999999999999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 t="s">
        <v>204</v>
      </c>
      <c r="D20" s="27" t="s">
        <v>175</v>
      </c>
      <c r="E20" s="27" t="s">
        <v>188</v>
      </c>
      <c r="F20" s="55"/>
      <c r="G20" s="55"/>
      <c r="H20" s="55">
        <v>2</v>
      </c>
      <c r="I20" s="55">
        <v>55.85</v>
      </c>
      <c r="J20" s="55">
        <f t="shared" si="0"/>
        <v>111.7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184</v>
      </c>
      <c r="D21" s="27" t="s">
        <v>182</v>
      </c>
      <c r="E21" s="27" t="s">
        <v>215</v>
      </c>
      <c r="F21" s="55"/>
      <c r="G21" s="55"/>
      <c r="H21" s="55">
        <v>3</v>
      </c>
      <c r="I21" s="55">
        <v>104.43</v>
      </c>
      <c r="J21" s="55">
        <f t="shared" si="0"/>
        <v>313.29000000000002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205</v>
      </c>
      <c r="D22" s="27" t="s">
        <v>182</v>
      </c>
      <c r="E22" s="27" t="s">
        <v>194</v>
      </c>
      <c r="F22" s="55"/>
      <c r="G22" s="55"/>
      <c r="H22" s="55">
        <v>6</v>
      </c>
      <c r="I22" s="55">
        <v>11588</v>
      </c>
      <c r="J22" s="55">
        <f t="shared" si="0"/>
        <v>69528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185</v>
      </c>
      <c r="D23" s="27" t="s">
        <v>182</v>
      </c>
      <c r="E23" s="27" t="s">
        <v>216</v>
      </c>
      <c r="F23" s="55"/>
      <c r="G23" s="55"/>
      <c r="H23" s="55">
        <v>3</v>
      </c>
      <c r="I23" s="55">
        <v>122.81</v>
      </c>
      <c r="J23" s="55">
        <f t="shared" si="0"/>
        <v>368.43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206</v>
      </c>
      <c r="D24" s="27" t="s">
        <v>182</v>
      </c>
      <c r="E24" s="27" t="s">
        <v>216</v>
      </c>
      <c r="F24" s="55"/>
      <c r="G24" s="55"/>
      <c r="H24" s="55">
        <v>3</v>
      </c>
      <c r="I24" s="55">
        <v>131.11000000000001</v>
      </c>
      <c r="J24" s="55">
        <f t="shared" si="0"/>
        <v>393.33000000000004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207</v>
      </c>
      <c r="D25" s="27" t="s">
        <v>210</v>
      </c>
      <c r="E25" s="27" t="s">
        <v>217</v>
      </c>
      <c r="F25" s="55"/>
      <c r="G25" s="55"/>
      <c r="H25" s="55">
        <v>34</v>
      </c>
      <c r="I25" s="55">
        <v>4.57</v>
      </c>
      <c r="J25" s="55">
        <f t="shared" si="0"/>
        <v>155.38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4.4" x14ac:dyDescent="0.3">
      <c r="B26" s="42">
        <v>16</v>
      </c>
      <c r="C26" s="27" t="s">
        <v>208</v>
      </c>
      <c r="D26" s="27" t="s">
        <v>175</v>
      </c>
      <c r="E26" s="27" t="s">
        <v>176</v>
      </c>
      <c r="F26" s="55"/>
      <c r="G26" s="55"/>
      <c r="H26" s="55">
        <v>5</v>
      </c>
      <c r="I26" s="55">
        <v>50.67</v>
      </c>
      <c r="J26" s="55">
        <f t="shared" si="0"/>
        <v>253.35000000000002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209</v>
      </c>
      <c r="D27" s="27" t="s">
        <v>182</v>
      </c>
      <c r="E27" s="27" t="s">
        <v>194</v>
      </c>
      <c r="F27" s="55"/>
      <c r="G27" s="55"/>
      <c r="H27" s="55">
        <v>24</v>
      </c>
      <c r="I27" s="55">
        <v>5.65</v>
      </c>
      <c r="J27" s="55">
        <f t="shared" si="0"/>
        <v>135.60000000000002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3" workbookViewId="0">
      <selection activeCell="H28" sqref="H28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227</v>
      </c>
      <c r="D16" s="70" t="s">
        <v>29</v>
      </c>
      <c r="E16" s="55">
        <v>2</v>
      </c>
      <c r="F16" s="55">
        <v>186.67</v>
      </c>
      <c r="G16" s="55">
        <f t="shared" ref="G16:G31" si="0">+E16*F16</f>
        <v>373.34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4" x14ac:dyDescent="0.3">
      <c r="B17" s="68">
        <v>2</v>
      </c>
      <c r="C17" s="69" t="s">
        <v>218</v>
      </c>
      <c r="D17" s="70" t="s">
        <v>29</v>
      </c>
      <c r="E17" s="55">
        <v>28</v>
      </c>
      <c r="F17" s="55">
        <v>2.27</v>
      </c>
      <c r="G17" s="55">
        <f t="shared" si="0"/>
        <v>63.56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4" x14ac:dyDescent="0.3">
      <c r="B18" s="68">
        <v>3</v>
      </c>
      <c r="C18" s="69" t="s">
        <v>219</v>
      </c>
      <c r="D18" s="70" t="s">
        <v>29</v>
      </c>
      <c r="E18" s="55">
        <v>26</v>
      </c>
      <c r="F18" s="55">
        <v>1.6</v>
      </c>
      <c r="G18" s="55">
        <f t="shared" si="0"/>
        <v>41.6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220</v>
      </c>
      <c r="D19" s="70" t="s">
        <v>29</v>
      </c>
      <c r="E19" s="55">
        <v>16</v>
      </c>
      <c r="F19" s="55">
        <v>1.6</v>
      </c>
      <c r="G19" s="55">
        <f t="shared" si="0"/>
        <v>25.6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221</v>
      </c>
      <c r="D20" s="70" t="s">
        <v>29</v>
      </c>
      <c r="E20" s="55">
        <v>5</v>
      </c>
      <c r="F20" s="55">
        <v>277.33</v>
      </c>
      <c r="G20" s="55">
        <f t="shared" si="0"/>
        <v>1386.6499999999999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221</v>
      </c>
      <c r="D21" s="70" t="s">
        <v>29</v>
      </c>
      <c r="E21" s="55">
        <v>2</v>
      </c>
      <c r="F21" s="55">
        <v>277.33</v>
      </c>
      <c r="G21" s="55">
        <f t="shared" si="0"/>
        <v>554.66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 t="s">
        <v>222</v>
      </c>
      <c r="D22" s="70" t="s">
        <v>29</v>
      </c>
      <c r="E22" s="55">
        <v>23</v>
      </c>
      <c r="F22" s="55">
        <v>5</v>
      </c>
      <c r="G22" s="55">
        <f t="shared" si="0"/>
        <v>115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 t="s">
        <v>223</v>
      </c>
      <c r="D23" s="70" t="s">
        <v>29</v>
      </c>
      <c r="E23" s="55">
        <v>5</v>
      </c>
      <c r="F23" s="55">
        <v>27.75</v>
      </c>
      <c r="G23" s="55">
        <f t="shared" si="0"/>
        <v>138.75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224</v>
      </c>
      <c r="D24" s="70" t="s">
        <v>29</v>
      </c>
      <c r="E24" s="55">
        <v>10</v>
      </c>
      <c r="F24" s="55">
        <v>8.2200000000000006</v>
      </c>
      <c r="G24" s="55">
        <f t="shared" si="0"/>
        <v>82.2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187</v>
      </c>
      <c r="D25" s="70" t="s">
        <v>29</v>
      </c>
      <c r="E25" s="55">
        <v>2</v>
      </c>
      <c r="F25" s="55">
        <v>13.6</v>
      </c>
      <c r="G25" s="55">
        <f t="shared" si="0"/>
        <v>27.2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 t="s">
        <v>186</v>
      </c>
      <c r="D26" s="70" t="s">
        <v>29</v>
      </c>
      <c r="E26" s="55">
        <v>3</v>
      </c>
      <c r="F26" s="55">
        <v>19.84</v>
      </c>
      <c r="G26" s="55">
        <f t="shared" si="0"/>
        <v>59.519999999999996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225</v>
      </c>
      <c r="D27" s="70" t="s">
        <v>226</v>
      </c>
      <c r="E27" s="55">
        <v>10</v>
      </c>
      <c r="F27" s="55">
        <v>10</v>
      </c>
      <c r="G27" s="55">
        <f t="shared" si="0"/>
        <v>100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228</v>
      </c>
      <c r="D28" s="70" t="s">
        <v>29</v>
      </c>
      <c r="E28" s="55">
        <v>7</v>
      </c>
      <c r="F28" s="55">
        <v>120</v>
      </c>
      <c r="G28" s="55">
        <f t="shared" si="0"/>
        <v>840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229</v>
      </c>
      <c r="D29" s="70" t="s">
        <v>29</v>
      </c>
      <c r="E29" s="55">
        <v>5</v>
      </c>
      <c r="F29" s="55">
        <v>6.91</v>
      </c>
      <c r="G29" s="55">
        <f t="shared" si="0"/>
        <v>34.549999999999997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230</v>
      </c>
      <c r="D30" s="70" t="s">
        <v>29</v>
      </c>
      <c r="E30" s="55">
        <v>10</v>
      </c>
      <c r="F30" s="55">
        <v>25.87</v>
      </c>
      <c r="G30" s="55">
        <f t="shared" si="0"/>
        <v>258.7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187</v>
      </c>
      <c r="D31" s="70" t="s">
        <v>29</v>
      </c>
      <c r="E31" s="55">
        <v>2</v>
      </c>
      <c r="F31" s="55">
        <v>13.33</v>
      </c>
      <c r="G31" s="55">
        <f t="shared" si="0"/>
        <v>26.66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78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30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8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9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3" sqref="D13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42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 t="s">
        <v>43</v>
      </c>
      <c r="D14" s="55"/>
      <c r="E14" s="55">
        <v>50</v>
      </c>
      <c r="F14" s="55"/>
      <c r="G14" s="55">
        <v>50</v>
      </c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400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44</v>
      </c>
      <c r="D30" s="88">
        <f t="shared" ref="D30:N30" si="1">SUM(D13:D22)</f>
        <v>25</v>
      </c>
      <c r="E30" s="88">
        <f t="shared" si="1"/>
        <v>50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x14ac:dyDescent="0.3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cp:lastPrinted>2018-05-29T08:09:54Z</cp:lastPrinted>
  <dcterms:created xsi:type="dcterms:W3CDTF">2018-05-11T08:46:15Z</dcterms:created>
  <dcterms:modified xsi:type="dcterms:W3CDTF">2018-06-04T10:08:43Z</dcterms:modified>
</cp:coreProperties>
</file>