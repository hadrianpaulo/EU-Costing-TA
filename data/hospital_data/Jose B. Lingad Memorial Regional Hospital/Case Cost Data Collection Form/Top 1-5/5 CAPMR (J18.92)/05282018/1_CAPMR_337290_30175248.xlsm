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Supplies_Medical'!$C$15:$C$44</definedName>
    <definedName name="Drugs">'1.2 Drugs&amp;Med'!$C$11:$C$13</definedName>
    <definedName name="_xlnm.Print_Area" localSheetId="0">'1.1 Case data_general'!$B$1:$F$74</definedName>
    <definedName name="_xlnm.Print_Area" localSheetId="1">'1.2 Drugs&amp;Med'!$B$2:$J$14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G17" i="9" l="1"/>
  <c r="G18" i="9"/>
  <c r="G19" i="9"/>
  <c r="G20" i="9"/>
  <c r="G16" i="9"/>
  <c r="J12" i="2" l="1"/>
  <c r="J13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<sst xmlns="http://schemas.openxmlformats.org/spreadsheetml/2006/main" count="485" uniqueCount="196">
  <si>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</si>
  <si>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</si>
  <si>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</si>
  <si>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</si>
  <si>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</si>
  <si>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</si>
  <si>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</si>
  <si>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</si>
  <si>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</si>
  <si>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</si>
  <si>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</si>
  <si>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</si>
  <si>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</si>
  <si>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</si>
  <si>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</si>
  <si>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</si>
  <si>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</si>
  <si>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</si>
  <si>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</si>
  <si>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</si>
  <si>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</si>
  <si>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</si>
  <si>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</si>
  <si>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</si>
  <si>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</si>
  <si>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</si>
  <si>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</si>
  <si>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</si>
  <si>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</si>
  <si>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</si>
  <si>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</si>
  <si>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</si>
  <si>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</si>
  <si>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</si>
  <si>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</si>
  <si>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</si>
  <si>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</si>
  <si>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</si>
  <si>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</si>
  <si>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</si>
  <si>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</si>
  <si>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</si>
  <si>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</si>
  <si>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</si>
  <si>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</si>
  <si>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</si>
  <si>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</si>
  <si>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</si>
  <si>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</si>
  <si>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</si>
  <si>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</si>
  <si>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</si>
  <si>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</si>
  <si>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</si>
  <si>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</si>
  <si>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</si>
  <si>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</si>
  <si>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</si>
  <si>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</si>
  <si>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</si>
  <si>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</si>
  <si>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</si>
  <si>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</si>
  <si>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</si>
  <si>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</si>
  <si>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</si>
  <si>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</si>
  <si>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</si>
  <si>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</si>
  <si>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</si>
  <si>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</si>
  <si>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</si>
  <si>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</si>
  <si>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</si>
  <si>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</si>
  <si>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</si>
  <si>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</si>
  <si>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</si>
  <si>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</si>
  <si>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</si>
  <si>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</si>
  <si>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</si>
  <si>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</si>
  <si>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</si>
  <si>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</si>
  <si>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</si>
  <si>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</si>
  <si>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</si>
  <si>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</si>
  <si>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</si>
  <si>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</si>
  <si>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</si>
  <si>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</si>
  <si>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</si>
  <si>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</si>
  <si>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</si>
  <si>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</si>
  <si>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</si>
  <si>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</si>
  <si>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</si>
  <si>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</si>
  <si>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</si>
  <si>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</si>
  <si>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</si>
  <si>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</si>
  <si>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</si>
  <si>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</si>
  <si>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</si>
  <si>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</si>
  <si>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</si>
  <si>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</si>
  <si>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</si>
  <si>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</si>
  <si>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</si>
  <si>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</si>
  <si>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</si>
  <si>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</si>
  <si>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</si>
  <si>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</si>
  <si>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</si>
  <si>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</si>
  <si>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</si>
  <si>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</si>
  <si>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</si>
  <si>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</si>
  <si>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</si>
  <si>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</si>
  <si>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</si>
  <si>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</si>
  <si>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</si>
  <si>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</si>
  <si>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</si>
  <si>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</si>
  <si>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</si>
  <si>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</si>
  <si>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</si>
  <si>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</si>
  <si>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</si>
  <si>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</si>
  <si>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</si>
  <si>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</si>
  <si>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</si>
  <si>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</si>
  <si>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</si>
  <si>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</si>
  <si>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</si>
  <si>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</si>
  <si>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</si>
  <si>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</si>
  <si>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</si>
  <si>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</si>
  <si>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</si>
  <si>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</si>
  <si>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</si>
  <si>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</si>
  <si>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</si>
  <si>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</si>
  <si>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</si>
  <si>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</si>
  <si>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</si>
  <si>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</si>
  <si>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</si>
  <si>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</si>
  <si>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</si>
  <si>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</si>
  <si>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</si>
  <si>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</si>
  <si>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</si>
  <si>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</si>
  <si>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</si>
  <si>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PROFESSIONAL FEE</t>
  </si>
  <si>
    <t>fluid</t>
  </si>
  <si>
    <t>pack</t>
  </si>
  <si>
    <t>IV SET W/ AIRWAY FOR IV PUSH, MICRODRIP, PEDIA</t>
  </si>
  <si>
    <t>set</t>
  </si>
  <si>
    <t>IV SET FOR PEDIA W/ BURETTE FOR DOSIFICATION VENTS W/ FILTER, SOLUSET</t>
  </si>
  <si>
    <t>piece</t>
  </si>
  <si>
    <t>DISPOSABLE SYRINGE 1ML G 25, W/ NEEDLE</t>
  </si>
  <si>
    <t>BLOOD C/S</t>
  </si>
  <si>
    <t>CBC, PC</t>
  </si>
  <si>
    <t>CHEST APL PEDIA (2 VIEWS)</t>
  </si>
  <si>
    <t>vial</t>
  </si>
  <si>
    <t>750MG</t>
  </si>
  <si>
    <t>1 L</t>
  </si>
  <si>
    <t>ROOM AND BOARD</t>
  </si>
  <si>
    <t>337290/73855</t>
  </si>
  <si>
    <t>(D5 0.3 NACL 500 ML) 5% DEXTROSE IN 0.3% SODIUM CHLORIDE 500ML (D5 0.3 NACL 500ML)</t>
  </si>
  <si>
    <t>55 ML</t>
  </si>
  <si>
    <t>IV CATHETER GAUGE 24</t>
  </si>
  <si>
    <t>DISPOSABLE SYRINGE 3ML G 23, W/ NEEDLE</t>
  </si>
  <si>
    <t>BLOOD EXTRACTION</t>
  </si>
  <si>
    <t xml:space="preserve">CEFUROXIME SODIUM </t>
  </si>
  <si>
    <t>5% DEXTROSE 0.9% SODIUM CHLORIDE ( D5 NSS 1L )</t>
  </si>
  <si>
    <t>CAP MR</t>
  </si>
  <si>
    <t>DISPOSABLE SYRINGE 10ML G 21, W/ NEEDLE</t>
  </si>
  <si>
    <t>HEPARIN 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</si>
</sst>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23</xdr:row>
          <xdr:rowOff>28575</xdr:rowOff>
        </xdr:from>
        <xdr:to>
          <xdr:col>1</xdr:col>
          <xdr:colOff>762000</xdr:colOff>
          <xdr:row>23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23</xdr:row>
          <xdr:rowOff>28575</xdr:rowOff>
        </xdr:from>
        <xdr:to>
          <xdr:col>1</xdr:col>
          <xdr:colOff>1533525</xdr:colOff>
          <xdr:row>23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28575</xdr:rowOff>
        </xdr:from>
        <xdr:to>
          <xdr:col>1</xdr:col>
          <xdr:colOff>771525</xdr:colOff>
          <xdr:row>34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34</xdr:row>
          <xdr:rowOff>28575</xdr:rowOff>
        </xdr:from>
        <xdr:to>
          <xdr:col>1</xdr:col>
          <xdr:colOff>1543050</xdr:colOff>
          <xdr:row>34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15" zoomScaleNormal="100" workbookViewId="0">
      <selection activeCell="C69" sqref="C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180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384.11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381.34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168</v>
      </c>
      <c r="D65" s="55">
        <v>190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169</v>
      </c>
      <c r="D66" s="55">
        <v>1405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184</v>
      </c>
      <c r="D67" s="55">
        <v>1500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170</v>
      </c>
      <c r="D68" s="55">
        <v>4500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8360.4500000000007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4"/>
  <sheetViews>
    <sheetView workbookViewId="0">
      <selection activeCell="I11" sqref="I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171</v>
      </c>
      <c r="E11" s="27" t="s">
        <v>187</v>
      </c>
      <c r="F11" s="55">
        <v>1</v>
      </c>
      <c r="G11" s="55">
        <v>1</v>
      </c>
      <c r="H11" s="55">
        <v>2</v>
      </c>
      <c r="I11" s="55">
        <v>50.67</v>
      </c>
      <c r="J11" s="55">
        <f>H11*I11</f>
        <v>101.34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181</v>
      </c>
      <c r="E12" s="27" t="s">
        <v>182</v>
      </c>
      <c r="F12" s="55">
        <v>3</v>
      </c>
      <c r="G12" s="55">
        <v>3</v>
      </c>
      <c r="H12" s="55">
        <v>11</v>
      </c>
      <c r="I12" s="55">
        <v>20.52</v>
      </c>
      <c r="J12" s="55">
        <f t="shared" ref="J12:J13" si="0">H12*I12</f>
        <v>225.72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171</v>
      </c>
      <c r="E13" s="27" t="s">
        <v>183</v>
      </c>
      <c r="F13" s="55">
        <v>1</v>
      </c>
      <c r="G13" s="55">
        <v>1</v>
      </c>
      <c r="H13" s="55">
        <v>1</v>
      </c>
      <c r="I13" s="55">
        <v>57.05</v>
      </c>
      <c r="J13" s="55">
        <f t="shared" si="0"/>
        <v>57.05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25">
      <c r="A14" s="33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20" ht="15.75" customHeight="1" x14ac:dyDescent="0.25"/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8"/>
  <sheetViews>
    <sheetView workbookViewId="0">
      <selection activeCell="G16" sqref="G16: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174</v>
      </c>
      <c r="E16" s="55">
        <v>2</v>
      </c>
      <c r="F16" s="55">
        <v>20.440000000000001</v>
      </c>
      <c r="G16" s="55">
        <f>E16*F16</f>
        <v>40.880000000000003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174</v>
      </c>
      <c r="E17" s="55">
        <v>2</v>
      </c>
      <c r="F17" s="55">
        <v>120</v>
      </c>
      <c r="G17" s="55">
        <f t="shared" ref="G17:G22" si="0">E17*F17</f>
        <v>240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172</v>
      </c>
      <c r="E18" s="55">
        <v>3</v>
      </c>
      <c r="F18" s="55">
        <v>13.33</v>
      </c>
      <c r="G18" s="55">
        <f t="shared" si="0"/>
        <v>39.99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176</v>
      </c>
      <c r="E19" s="55">
        <v>12</v>
      </c>
      <c r="F19" s="55">
        <v>1.6</v>
      </c>
      <c r="G19" s="55">
        <f t="shared" si="0"/>
        <v>19.200000000000003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176</v>
      </c>
      <c r="E20" s="55">
        <v>12</v>
      </c>
      <c r="F20" s="55">
        <v>1.6</v>
      </c>
      <c r="G20" s="55">
        <f t="shared" si="0"/>
        <v>19.200000000000003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194</v>
      </c>
      <c r="D21" s="70" t="s">
        <v>176</v>
      </c>
      <c r="E21" s="55">
        <v>5</v>
      </c>
      <c r="F21" s="55">
        <v>2.77</v>
      </c>
      <c r="G21" s="55">
        <f t="shared" si="0"/>
        <v>13.85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195</v>
      </c>
      <c r="D22" s="70" t="s">
        <v>176</v>
      </c>
      <c r="E22" s="55">
        <v>1</v>
      </c>
      <c r="F22" s="55">
        <v>8.2200000000000006</v>
      </c>
      <c r="G22" s="55">
        <f t="shared" si="0"/>
        <v>8.2200000000000006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137" t="s">
        <v>77</v>
      </c>
      <c r="C23" s="138"/>
      <c r="D23" s="138"/>
      <c r="E23" s="138"/>
      <c r="F23" s="138"/>
      <c r="G23" s="139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1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2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3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4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5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6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7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8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9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10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137" t="s">
        <v>29</v>
      </c>
      <c r="C34" s="138"/>
      <c r="D34" s="138"/>
      <c r="E34" s="138"/>
      <c r="F34" s="138"/>
      <c r="G34" s="139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2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3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4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5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6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7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8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9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10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9">
    <mergeCell ref="B7:G7"/>
    <mergeCell ref="B23:G23"/>
    <mergeCell ref="B34:G3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23</xdr:row>
                    <xdr:rowOff>28575</xdr:rowOff>
                  </from>
                  <to>
                    <xdr:col>1</xdr:col>
                    <xdr:colOff>762000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23</xdr:row>
                    <xdr:rowOff>28575</xdr:rowOff>
                  </from>
                  <to>
                    <xdr:col>1</xdr:col>
                    <xdr:colOff>1533525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34</xdr:row>
                    <xdr:rowOff>28575</xdr:rowOff>
                  </from>
                  <to>
                    <xdr:col>1</xdr:col>
                    <xdr:colOff>771525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34</xdr:row>
                    <xdr:rowOff>28575</xdr:rowOff>
                  </from>
                  <to>
                    <xdr:col>1</xdr:col>
                    <xdr:colOff>1543050</xdr:colOff>
                    <xdr:row>34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C13" sqref="C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3</cp:lastModifiedBy>
  <dcterms:created xsi:type="dcterms:W3CDTF">2018-05-11T08:46:15Z</dcterms:created>
  <dcterms:modified xsi:type="dcterms:W3CDTF">2018-05-29T05:55:40Z</dcterms:modified>
</cp:coreProperties>
</file>