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8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data_general'!$B$1:$F$70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D60" i="1" l="1"/>
  <c r="G25" i="9"/>
  <c r="G24" i="9"/>
  <c r="G23" i="9"/>
  <c r="G22" i="9"/>
  <c r="G21" i="9"/>
  <c r="G20" i="9"/>
  <c r="G19" i="9"/>
  <c r="G18" i="9"/>
  <c r="G17" i="9"/>
  <c r="G16" i="9"/>
  <c r="D59" i="1"/>
  <c r="J15" i="2" l="1"/>
  <c r="J14" i="2"/>
  <c r="J12" i="2" l="1"/>
  <c r="J13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<sst xmlns="http://schemas.openxmlformats.org/spreadsheetml/2006/main" count="496" uniqueCount="202">
  <si>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</si>
  <si>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</si>
  <si>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</si>
  <si>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</si>
  <si>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</si>
  <si>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</si>
  <si>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</si>
  <si>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</si>
  <si>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</si>
  <si>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</si>
  <si>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</si>
  <si>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</si>
  <si>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</si>
  <si>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</si>
  <si>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</si>
  <si>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</si>
  <si>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</si>
  <si>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</si>
  <si>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</si>
  <si>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</si>
  <si>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</si>
  <si>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</si>
  <si>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</si>
  <si>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</si>
  <si>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</si>
  <si>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</si>
  <si>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</si>
  <si>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</si>
  <si>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</si>
  <si>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</si>
  <si>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</si>
  <si>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</si>
  <si>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</si>
  <si>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</si>
  <si>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</si>
  <si>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</si>
  <si>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</si>
  <si>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</si>
  <si>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</si>
  <si>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</si>
  <si>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</si>
  <si>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</si>
  <si>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</si>
  <si>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</si>
  <si>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</si>
  <si>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</si>
  <si>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</si>
  <si>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</si>
  <si>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</si>
  <si>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</si>
  <si>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</si>
  <si>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</si>
  <si>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</si>
  <si>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</si>
  <si>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</si>
  <si>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</si>
  <si>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</si>
  <si>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</si>
  <si>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</si>
  <si>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</si>
  <si>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</si>
  <si>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</si>
  <si>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</si>
  <si>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</si>
  <si>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</si>
  <si>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</si>
  <si>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</si>
  <si>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</si>
  <si>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</si>
  <si>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</si>
  <si>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</si>
  <si>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</si>
  <si>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</si>
  <si>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</si>
  <si>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</si>
  <si>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</si>
  <si>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</si>
  <si>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</si>
  <si>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</si>
  <si>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</si>
  <si>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</si>
  <si>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</si>
  <si>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</si>
  <si>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</si>
  <si>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</si>
  <si>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</si>
  <si>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</si>
  <si>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</si>
  <si>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</si>
  <si>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</si>
  <si>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</si>
  <si>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</si>
  <si>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</si>
  <si>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</si>
  <si>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</si>
  <si>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</si>
  <si>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</si>
  <si>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</si>
  <si>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</si>
  <si>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</si>
  <si>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</si>
  <si>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</si>
  <si>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</si>
  <si>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</si>
  <si>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</si>
  <si>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</si>
  <si>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</si>
  <si>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</si>
  <si>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</si>
  <si>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</si>
  <si>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</si>
  <si>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</si>
  <si>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</si>
  <si>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</si>
  <si>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</si>
  <si>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</si>
  <si>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</si>
  <si>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</si>
  <si>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</si>
  <si>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</si>
  <si>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</si>
  <si>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</si>
  <si>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</si>
  <si>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</si>
  <si>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</si>
  <si>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</si>
  <si>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</si>
  <si>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</si>
  <si>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</si>
  <si>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</si>
  <si>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</si>
  <si>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</si>
  <si>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</si>
  <si>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</si>
  <si>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</si>
  <si>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</si>
  <si>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</si>
  <si>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</si>
  <si>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</si>
  <si>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</si>
  <si>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</si>
  <si>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</si>
  <si>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</si>
  <si>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</si>
  <si>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</si>
  <si>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</si>
  <si>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</si>
  <si>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</si>
  <si>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</si>
  <si>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</si>
  <si>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</si>
  <si>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</si>
  <si>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</si>
  <si>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</si>
  <si>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</si>
  <si>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</si>
  <si>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</si>
  <si>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</si>
  <si>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</si>
  <si>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</si>
  <si>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</si>
  <si>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</si>
  <si>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</si>
  <si>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</si>
  <si>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</si>
  <si>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</si>
  <si>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</si>
  <si>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</si>
  <si>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</si>
  <si>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</si>
  <si>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</si>
  <si>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</si>
  <si>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</si>
  <si>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</si>
  <si>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</si>
  <si>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BLOOD C/S</t>
  </si>
  <si>
    <t>CBC, PC</t>
  </si>
  <si>
    <t>vial</t>
  </si>
  <si>
    <t xml:space="preserve">PARACETAMOL (ACETAMINOPHEN) </t>
  </si>
  <si>
    <t>IV CATHETER GAUGE 26</t>
  </si>
  <si>
    <t>IV CATHETER GAUGE 24</t>
  </si>
  <si>
    <t>500 ml</t>
  </si>
  <si>
    <t>SALBUTAMOL SULPHATE</t>
  </si>
  <si>
    <t>1MG/ML-2.5ML</t>
  </si>
  <si>
    <t>CEFTRIAXONE SODIUM 1G</t>
  </si>
  <si>
    <t>AFB STAIN</t>
  </si>
  <si>
    <t>5% DEXTROSE 0.9% SODIUM CHLORIDE 1000ML ( D5 NSS 1L )</t>
  </si>
  <si>
    <t>5% DEXTROSE I. 0.9% SODIUM 2.00 500 ML</t>
  </si>
  <si>
    <t>300MG-2ML</t>
  </si>
  <si>
    <t>1 grm</t>
  </si>
  <si>
    <t xml:space="preserve">DISPOSABLE SYRINGE 10ML G 21, </t>
  </si>
  <si>
    <t xml:space="preserve">DISPOSABLE SYRINGE 1ML G 25, </t>
  </si>
  <si>
    <t xml:space="preserve">DISPOSABLE SYRINGE 3ML G 23, </t>
  </si>
  <si>
    <t xml:space="preserve">HEPARIN LOCK  </t>
  </si>
  <si>
    <t xml:space="preserve">INDIVIDUAL IV KIT CONTENTS:  </t>
  </si>
  <si>
    <t>IV SET FOR PEDIA W/ BURETTE 2.</t>
  </si>
  <si>
    <t xml:space="preserve">IV SET W/ AIRWAY FOR IV PUSH, </t>
  </si>
  <si>
    <t>OXYGEN NASAL CANNULA WITH THREAD CONNECTOR</t>
  </si>
  <si>
    <t>pcs</t>
  </si>
  <si>
    <t>kit</t>
  </si>
  <si>
    <t>set</t>
  </si>
  <si>
    <t>117714/73846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</si>
</sst>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22860</xdr:rowOff>
        </xdr:from>
        <xdr:to>
          <xdr:col>1</xdr:col>
          <xdr:colOff>731520</xdr:colOff>
          <xdr:row>37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37</xdr:row>
          <xdr:rowOff>22860</xdr:rowOff>
        </xdr:from>
        <xdr:to>
          <xdr:col>1</xdr:col>
          <xdr:colOff>1508760</xdr:colOff>
          <xdr:row>37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44</xdr:row>
          <xdr:rowOff>22860</xdr:rowOff>
        </xdr:from>
        <xdr:to>
          <xdr:col>1</xdr:col>
          <xdr:colOff>731520</xdr:colOff>
          <xdr:row>44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22860</xdr:rowOff>
        </xdr:from>
        <xdr:to>
          <xdr:col>1</xdr:col>
          <xdr:colOff>1508760</xdr:colOff>
          <xdr:row>44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49</xdr:row>
          <xdr:rowOff>22860</xdr:rowOff>
        </xdr:from>
        <xdr:to>
          <xdr:col>1</xdr:col>
          <xdr:colOff>731520</xdr:colOff>
          <xdr:row>49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1508760</xdr:colOff>
          <xdr:row>49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58</xdr:row>
          <xdr:rowOff>22860</xdr:rowOff>
        </xdr:from>
        <xdr:to>
          <xdr:col>1</xdr:col>
          <xdr:colOff>731520</xdr:colOff>
          <xdr:row>58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58</xdr:row>
          <xdr:rowOff>22860</xdr:rowOff>
        </xdr:from>
        <xdr:to>
          <xdr:col>1</xdr:col>
          <xdr:colOff>1508760</xdr:colOff>
          <xdr:row>58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19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44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53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20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f>SUM('1.2 Drugs&amp;Med'!J11:J15)</f>
        <v>398.73999999999995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f>SUM('1.3 Supplies_Medical'!G16:G25)</f>
        <v>761.2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169</v>
      </c>
      <c r="D62" s="55">
        <v>1450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170</v>
      </c>
      <c r="D63" s="55">
        <v>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 t="s">
        <v>171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 t="s">
        <v>172</v>
      </c>
      <c r="D65" s="55">
        <v>4500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5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9109.94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37</xdr:row>
                    <xdr:rowOff>22860</xdr:rowOff>
                  </from>
                  <to>
                    <xdr:col>1</xdr:col>
                    <xdr:colOff>731520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37</xdr:row>
                    <xdr:rowOff>22860</xdr:rowOff>
                  </from>
                  <to>
                    <xdr:col>1</xdr:col>
                    <xdr:colOff>1508760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44</xdr:row>
                    <xdr:rowOff>22860</xdr:rowOff>
                  </from>
                  <to>
                    <xdr:col>1</xdr:col>
                    <xdr:colOff>731520</xdr:colOff>
                    <xdr:row>44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44</xdr:row>
                    <xdr:rowOff>22860</xdr:rowOff>
                  </from>
                  <to>
                    <xdr:col>1</xdr:col>
                    <xdr:colOff>1508760</xdr:colOff>
                    <xdr:row>44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49</xdr:row>
                    <xdr:rowOff>22860</xdr:rowOff>
                  </from>
                  <to>
                    <xdr:col>1</xdr:col>
                    <xdr:colOff>731520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1508760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58</xdr:row>
                    <xdr:rowOff>22860</xdr:rowOff>
                  </from>
                  <to>
                    <xdr:col>1</xdr:col>
                    <xdr:colOff>731520</xdr:colOff>
                    <xdr:row>58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58</xdr:row>
                    <xdr:rowOff>22860</xdr:rowOff>
                  </from>
                  <to>
                    <xdr:col>1</xdr:col>
                    <xdr:colOff>1508760</xdr:colOff>
                    <xdr:row>58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1" workbookViewId="0">
      <selection activeCell="G16" sqref="G16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28.2" x14ac:dyDescent="0.3">
      <c r="B11" s="42">
        <v>1</v>
      </c>
      <c r="C11" s="69" t="s">
        <v>186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57.05</v>
      </c>
      <c r="J11" s="55">
        <f>H11*I11</f>
        <v>57.05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4.4" x14ac:dyDescent="0.3">
      <c r="B12" s="42">
        <v>2</v>
      </c>
      <c r="C12" s="27" t="s">
        <v>178</v>
      </c>
      <c r="D12" s="27" t="s">
        <v>177</v>
      </c>
      <c r="E12" s="27" t="s">
        <v>188</v>
      </c>
      <c r="F12" s="55">
        <v>1</v>
      </c>
      <c r="G12" s="55">
        <v>1</v>
      </c>
      <c r="H12" s="55">
        <v>2</v>
      </c>
      <c r="I12" s="55">
        <v>4.57</v>
      </c>
      <c r="J12" s="55">
        <f t="shared" ref="J12:J15" si="0">H12*I12</f>
        <v>9.14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4.4" x14ac:dyDescent="0.3">
      <c r="B13" s="42">
        <v>3</v>
      </c>
      <c r="C13" s="27" t="s">
        <v>184</v>
      </c>
      <c r="D13" s="27" t="s">
        <v>177</v>
      </c>
      <c r="E13" s="27" t="s">
        <v>189</v>
      </c>
      <c r="F13" s="55">
        <v>3</v>
      </c>
      <c r="G13" s="55">
        <v>4</v>
      </c>
      <c r="H13" s="55">
        <v>10</v>
      </c>
      <c r="I13" s="55">
        <v>20.149999999999999</v>
      </c>
      <c r="J13" s="55">
        <f t="shared" si="0"/>
        <v>201.5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187</v>
      </c>
      <c r="D14" s="27" t="s">
        <v>173</v>
      </c>
      <c r="E14" s="27" t="s">
        <v>181</v>
      </c>
      <c r="F14" s="55">
        <v>1</v>
      </c>
      <c r="G14" s="55">
        <v>1</v>
      </c>
      <c r="H14" s="55">
        <v>2</v>
      </c>
      <c r="I14" s="55">
        <v>57.05</v>
      </c>
      <c r="J14" s="55">
        <f t="shared" si="0"/>
        <v>114.1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4.4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1</v>
      </c>
      <c r="G15" s="55">
        <v>1</v>
      </c>
      <c r="H15" s="55">
        <v>3</v>
      </c>
      <c r="I15" s="55">
        <v>5.65</v>
      </c>
      <c r="J15" s="55">
        <f t="shared" si="0"/>
        <v>16.950000000000003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4.4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7" workbookViewId="0">
      <selection activeCell="G16" sqref="G16:G25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198</v>
      </c>
      <c r="E16" s="55">
        <v>5</v>
      </c>
      <c r="F16" s="55">
        <v>2.77</v>
      </c>
      <c r="G16" s="55">
        <f>+E16*F16</f>
        <v>13.85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191</v>
      </c>
      <c r="D17" s="70" t="s">
        <v>198</v>
      </c>
      <c r="E17" s="55">
        <v>9</v>
      </c>
      <c r="F17" s="55">
        <v>1.6</v>
      </c>
      <c r="G17" s="55">
        <f t="shared" ref="G17:G25" si="0">+E17*F17</f>
        <v>14.4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192</v>
      </c>
      <c r="D18" s="70" t="s">
        <v>198</v>
      </c>
      <c r="E18" s="55">
        <v>9</v>
      </c>
      <c r="F18" s="55">
        <v>1.6</v>
      </c>
      <c r="G18" s="55">
        <f t="shared" si="0"/>
        <v>14.4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198</v>
      </c>
      <c r="E19" s="55">
        <v>1</v>
      </c>
      <c r="F19" s="55">
        <v>8.2200000000000006</v>
      </c>
      <c r="G19" s="55">
        <f t="shared" si="0"/>
        <v>8.2200000000000006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199</v>
      </c>
      <c r="E20" s="55">
        <v>2</v>
      </c>
      <c r="F20" s="55">
        <v>105.33</v>
      </c>
      <c r="G20" s="55">
        <f t="shared" si="0"/>
        <v>210.66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198</v>
      </c>
      <c r="E21" s="55">
        <v>3</v>
      </c>
      <c r="F21" s="55">
        <v>13.33</v>
      </c>
      <c r="G21" s="55">
        <f t="shared" si="0"/>
        <v>39.99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 t="s">
        <v>179</v>
      </c>
      <c r="D22" s="70" t="s">
        <v>198</v>
      </c>
      <c r="E22" s="55">
        <v>2</v>
      </c>
      <c r="F22" s="55">
        <v>19.84</v>
      </c>
      <c r="G22" s="55">
        <f t="shared" si="0"/>
        <v>39.68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 t="s">
        <v>195</v>
      </c>
      <c r="D23" s="70" t="s">
        <v>198</v>
      </c>
      <c r="E23" s="55">
        <v>3</v>
      </c>
      <c r="F23" s="55">
        <v>120</v>
      </c>
      <c r="G23" s="55">
        <f t="shared" si="0"/>
        <v>360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196</v>
      </c>
      <c r="D24" s="70" t="s">
        <v>198</v>
      </c>
      <c r="E24" s="55">
        <v>2</v>
      </c>
      <c r="F24" s="55">
        <v>14</v>
      </c>
      <c r="G24" s="55">
        <f t="shared" si="0"/>
        <v>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197</v>
      </c>
      <c r="D25" s="70" t="s">
        <v>200</v>
      </c>
      <c r="E25" s="55">
        <v>2</v>
      </c>
      <c r="F25" s="55">
        <v>16</v>
      </c>
      <c r="G25" s="55">
        <f t="shared" si="0"/>
        <v>32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76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29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20" sqref="E20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2018-06-04T10:12:01Z</dcterms:modified>
</cp:coreProperties>
</file>