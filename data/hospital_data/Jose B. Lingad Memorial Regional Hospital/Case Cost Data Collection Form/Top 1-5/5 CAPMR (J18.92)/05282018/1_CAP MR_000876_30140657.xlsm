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PHIC-ECLAIMS 4\Desktop\Case Cost Data Collection Form\05282018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Supplies_Medical'!$C$15:$C$46</definedName>
    <definedName name="Drugs">'1.2 Drugs&amp;Med'!$C$11:$C$25</definedName>
    <definedName name="_xlnm.Print_Area" localSheetId="0">'1.1 Case data_general'!$B$1:$F$77</definedName>
    <definedName name="_xlnm.Print_Area" localSheetId="1">'1.2 Drugs&amp;Med'!$B$2:$J$26</definedName>
  </definedNames>
  <calcPr calcId="162913"/>
</workbook>
</file>

<file path=xl/calcChain.xml><?xml version="1.0" encoding="utf-8"?>
<calcChain xmlns="http://schemas.openxmlformats.org/spreadsheetml/2006/main">
  <c r="J25" i="2" l="1"/>
  <c r="G24" i="9"/>
  <c r="G23" i="9"/>
  <c r="G22" i="9"/>
  <c r="G21" i="9"/>
  <c r="G20" i="9"/>
  <c r="G19" i="9"/>
  <c r="G18" i="9"/>
  <c r="G17" i="9" l="1"/>
  <c r="G16" i="9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7" i="1"/>
  <c r="E77" i="1"/>
  <c r="D77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<sst xmlns="http://schemas.openxmlformats.org/spreadsheetml/2006/main" count="538" uniqueCount="233">
  <si>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</si>
  <si>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</si>
  <si>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</si>
  <si>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</si>
  <si>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</si>
  <si>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</si>
  <si>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</si>
  <si>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</si>
  <si>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</si>
  <si>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</si>
  <si>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</si>
  <si>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</si>
  <si>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</si>
  <si>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</si>
  <si>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</si>
  <si>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</si>
  <si>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</si>
  <si>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</si>
  <si>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</si>
  <si>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</si>
  <si>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</si>
  <si>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</si>
  <si>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</si>
  <si>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</si>
  <si>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</si>
  <si>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</si>
  <si>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</si>
  <si>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</si>
  <si>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</si>
  <si>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</si>
  <si>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</si>
  <si>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</si>
  <si>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</si>
  <si>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</si>
  <si>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</si>
  <si>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</si>
  <si>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</si>
  <si>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</si>
  <si>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</si>
  <si>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</si>
  <si>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</si>
  <si>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</si>
  <si>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</si>
  <si>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</si>
  <si>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</si>
  <si>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</si>
  <si>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</si>
  <si>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</si>
  <si>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</si>
  <si>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</si>
  <si>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</si>
  <si>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</si>
  <si>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</si>
  <si>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</si>
  <si>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</si>
  <si>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</si>
  <si>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</si>
  <si>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</si>
  <si>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</si>
  <si>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</si>
  <si>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</si>
  <si>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</si>
  <si>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</si>
  <si>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</si>
  <si>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</si>
  <si>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</si>
  <si>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</si>
  <si>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</si>
  <si>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</si>
  <si>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</si>
  <si>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</si>
  <si>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</si>
  <si>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</si>
  <si>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</si>
  <si>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</si>
  <si>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</si>
  <si>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</si>
  <si>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</si>
  <si>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</si>
  <si>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</si>
  <si>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</si>
  <si>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</si>
  <si>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</si>
  <si>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</si>
  <si>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</si>
  <si>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</si>
  <si>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</si>
  <si>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</si>
  <si>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</si>
  <si>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</si>
  <si>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</si>
  <si>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</si>
  <si>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</si>
  <si>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</si>
  <si>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</si>
  <si>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</si>
  <si>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</si>
  <si>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</si>
  <si>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</si>
  <si>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</si>
  <si>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</si>
  <si>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</si>
  <si>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</si>
  <si>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</si>
  <si>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</si>
  <si>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</si>
  <si>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</si>
  <si>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</si>
  <si>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</si>
  <si>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</si>
  <si>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</si>
  <si>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</si>
  <si>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</si>
  <si>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</si>
  <si>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</si>
  <si>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</si>
  <si>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</si>
  <si>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</si>
  <si>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</si>
  <si>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</si>
  <si>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</si>
  <si>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</si>
  <si>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</si>
  <si>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</si>
  <si>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</si>
  <si>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</si>
  <si>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</si>
  <si>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</si>
  <si>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</si>
  <si>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</si>
  <si>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</si>
  <si>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</si>
  <si>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</si>
  <si>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</si>
  <si>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</si>
  <si>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</si>
  <si>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</si>
  <si>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</si>
  <si>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</si>
  <si>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</si>
  <si>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</si>
  <si>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</si>
  <si>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</si>
  <si>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</si>
  <si>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</si>
  <si>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</si>
  <si>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</si>
  <si>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</si>
  <si>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</si>
  <si>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</si>
  <si>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</si>
  <si>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</si>
  <si>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</si>
  <si>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</si>
  <si>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</si>
  <si>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</si>
  <si>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</si>
  <si>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</si>
  <si>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</si>
  <si>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</si>
  <si>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</si>
  <si>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</si>
  <si>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</si>
  <si>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J18.92</t>
  </si>
  <si>
    <t>MEDICINES</t>
  </si>
  <si>
    <t>SUPPLIES</t>
  </si>
  <si>
    <t>XRAY</t>
  </si>
  <si>
    <t>LABORATORY</t>
  </si>
  <si>
    <t>ROOM AND ACCOMMODATION</t>
  </si>
  <si>
    <t>PROFESSIONAL FEE</t>
  </si>
  <si>
    <t>fluid</t>
  </si>
  <si>
    <t>1 liter</t>
  </si>
  <si>
    <t>E11.9</t>
  </si>
  <si>
    <t>BLOOD EXTRACTION FEE</t>
  </si>
  <si>
    <t>URINE KETONE</t>
  </si>
  <si>
    <t>URINALYSIS (UA)</t>
  </si>
  <si>
    <t>FASTING BLOOD SUGAR/FBS</t>
  </si>
  <si>
    <t>BLOOD C/S (2 SITES)</t>
  </si>
  <si>
    <t>HBA1C / GLYCOSYLATED</t>
  </si>
  <si>
    <t>ARTERIAL BLOOD GASES (ABG)</t>
  </si>
  <si>
    <t>NA (SODIUM)</t>
  </si>
  <si>
    <t>CREATININE (CREA)</t>
  </si>
  <si>
    <t>K (POTASSIUM)</t>
  </si>
  <si>
    <t>QUANTITATIVE TROPONIN I</t>
  </si>
  <si>
    <t>BLOOD UREA NITROGEN (BUN)</t>
  </si>
  <si>
    <t>RANDOM BLOOD SUGAR (RBS)</t>
  </si>
  <si>
    <t>IONIZED CALCIUM (ICA)</t>
  </si>
  <si>
    <t>CKMB</t>
  </si>
  <si>
    <t>CBC, PC</t>
  </si>
  <si>
    <t>MG (MAGNESIUM)</t>
  </si>
  <si>
    <t>CHEST AP ADULT</t>
  </si>
  <si>
    <t>tablet</t>
  </si>
  <si>
    <t xml:space="preserve">ROSUVASTATIN </t>
  </si>
  <si>
    <t xml:space="preserve">PLAIN NSS </t>
  </si>
  <si>
    <t>pack</t>
  </si>
  <si>
    <t>ACETYLCYSTEINE IN BLISTER FOIL PACK</t>
  </si>
  <si>
    <t>vial</t>
  </si>
  <si>
    <t xml:space="preserve">CLARITHROMYCIN </t>
  </si>
  <si>
    <t xml:space="preserve">CAPTOPRIL </t>
  </si>
  <si>
    <t>METOPROLOL BLISTER/FOIL PACK</t>
  </si>
  <si>
    <t>CEFTRIAXONE SODIUM</t>
  </si>
  <si>
    <t>IV SET FOR PEDIA W/ BURETTE FOR DOSIFICATION VENTS W/ FILTER, SOLUSET</t>
  </si>
  <si>
    <t>set</t>
  </si>
  <si>
    <t>VENTURI MASK, ADULT</t>
  </si>
  <si>
    <t>piece</t>
  </si>
  <si>
    <t>(MICROSET) IV INFUSION SET PEDIA</t>
  </si>
  <si>
    <t>5mg</t>
  </si>
  <si>
    <t>ISOSORBIDE DINITRATE BLISTER/FOIL PACK</t>
  </si>
  <si>
    <t>STERILLE COTTON</t>
  </si>
  <si>
    <t>DISPOSABLE SYRINGE 1ML G 25, W/ NEEDLE (CPR NEEDED)</t>
  </si>
  <si>
    <t>DISPOSABLE SYRINGE 10ML G 21, W/ NEEDLE  (CPR NEEDED)</t>
  </si>
  <si>
    <t>DISPOSABLE SYRINGE 3ML G 23, W/ NEEDLE (CPR NEEDED)</t>
  </si>
  <si>
    <t xml:space="preserve">DISPOSABLE SYRINGE 5ML G 23, W/ NEEDLE </t>
  </si>
  <si>
    <t>ECG PAPER, UNWAXED,  50MM X 30M GREEN NON-GLOSSY</t>
  </si>
  <si>
    <t>80mg</t>
  </si>
  <si>
    <t>500mg</t>
  </si>
  <si>
    <t>1gram</t>
  </si>
  <si>
    <t>25mg</t>
  </si>
  <si>
    <t>50mg</t>
  </si>
  <si>
    <t>600mg</t>
  </si>
  <si>
    <t>20mg</t>
  </si>
  <si>
    <t>75mg</t>
  </si>
  <si>
    <t>500ml</t>
  </si>
  <si>
    <t>bottle</t>
  </si>
  <si>
    <t>CAP MR</t>
  </si>
  <si>
    <t>I20.0</t>
  </si>
  <si>
    <t>HEPARIN LOCK</t>
  </si>
  <si>
    <t>CLOPIDOGREL IN BLISTER FOIL PACK</t>
  </si>
  <si>
    <t xml:space="preserve">FUROSEMIDE </t>
  </si>
  <si>
    <t>D5 WATER</t>
  </si>
  <si>
    <t>120ml 3.35G/5ML</t>
  </si>
  <si>
    <t xml:space="preserve">LACTULOSE SYRUP BOTTLE </t>
  </si>
  <si>
    <t>ASPIRIN BLISTER/FOIL PACK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</si>
</sst>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51</xdr:row>
          <xdr:rowOff>19050</xdr:rowOff>
        </xdr:from>
        <xdr:to>
          <xdr:col>1</xdr:col>
          <xdr:colOff>733425</xdr:colOff>
          <xdr:row>51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51</xdr:row>
          <xdr:rowOff>19050</xdr:rowOff>
        </xdr:from>
        <xdr:to>
          <xdr:col>1</xdr:col>
          <xdr:colOff>1504950</xdr:colOff>
          <xdr:row>51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55</xdr:row>
          <xdr:rowOff>19050</xdr:rowOff>
        </xdr:from>
        <xdr:to>
          <xdr:col>1</xdr:col>
          <xdr:colOff>733425</xdr:colOff>
          <xdr:row>55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55</xdr:row>
          <xdr:rowOff>19050</xdr:rowOff>
        </xdr:from>
        <xdr:to>
          <xdr:col>1</xdr:col>
          <xdr:colOff>1504950</xdr:colOff>
          <xdr:row>55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60</xdr:row>
          <xdr:rowOff>19050</xdr:rowOff>
        </xdr:from>
        <xdr:to>
          <xdr:col>1</xdr:col>
          <xdr:colOff>733425</xdr:colOff>
          <xdr:row>60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60</xdr:row>
          <xdr:rowOff>19050</xdr:rowOff>
        </xdr:from>
        <xdr:to>
          <xdr:col>1</xdr:col>
          <xdr:colOff>1504950</xdr:colOff>
          <xdr:row>60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69</xdr:row>
          <xdr:rowOff>19050</xdr:rowOff>
        </xdr:from>
        <xdr:to>
          <xdr:col>1</xdr:col>
          <xdr:colOff>733425</xdr:colOff>
          <xdr:row>69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69</xdr:row>
          <xdr:rowOff>19050</xdr:rowOff>
        </xdr:from>
        <xdr:to>
          <xdr:col>1</xdr:col>
          <xdr:colOff>1504950</xdr:colOff>
          <xdr:row>69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25</xdr:row>
          <xdr:rowOff>28575</xdr:rowOff>
        </xdr:from>
        <xdr:to>
          <xdr:col>1</xdr:col>
          <xdr:colOff>762000</xdr:colOff>
          <xdr:row>25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25</xdr:row>
          <xdr:rowOff>28575</xdr:rowOff>
        </xdr:from>
        <xdr:to>
          <xdr:col>1</xdr:col>
          <xdr:colOff>1533525</xdr:colOff>
          <xdr:row>25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28575</xdr:rowOff>
        </xdr:from>
        <xdr:to>
          <xdr:col>1</xdr:col>
          <xdr:colOff>771525</xdr:colOff>
          <xdr:row>36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36</xdr:row>
          <xdr:rowOff>28575</xdr:rowOff>
        </xdr:from>
        <xdr:to>
          <xdr:col>1</xdr:col>
          <xdr:colOff>1543050</xdr:colOff>
          <xdr:row>36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4"/>
  <sheetViews>
    <sheetView tabSelected="1" topLeftCell="A27" zoomScaleNormal="100" workbookViewId="0">
      <selection activeCell="C20" sqref="C20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224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17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1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6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59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60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>
        <v>876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163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225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 t="s">
        <v>172</v>
      </c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51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42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173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174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175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176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177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178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 t="s">
        <v>179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 t="s">
        <v>180</v>
      </c>
      <c r="D41" s="23"/>
      <c r="E41" s="55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 t="s">
        <v>181</v>
      </c>
      <c r="D42" s="23"/>
      <c r="E42" s="55">
        <v>1</v>
      </c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10</v>
      </c>
      <c r="C43" s="27" t="s">
        <v>182</v>
      </c>
      <c r="D43" s="23"/>
      <c r="E43" s="55">
        <v>1</v>
      </c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11</v>
      </c>
      <c r="C44" s="27" t="s">
        <v>183</v>
      </c>
      <c r="D44" s="23"/>
      <c r="E44" s="55">
        <v>1</v>
      </c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12</v>
      </c>
      <c r="C45" s="27" t="s">
        <v>184</v>
      </c>
      <c r="D45" s="23"/>
      <c r="E45" s="55">
        <v>1</v>
      </c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13</v>
      </c>
      <c r="C46" s="27" t="s">
        <v>185</v>
      </c>
      <c r="D46" s="23"/>
      <c r="E46" s="55">
        <v>1</v>
      </c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14</v>
      </c>
      <c r="C47" s="27" t="s">
        <v>186</v>
      </c>
      <c r="D47" s="23"/>
      <c r="E47" s="55">
        <v>1</v>
      </c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15</v>
      </c>
      <c r="C48" s="27" t="s">
        <v>187</v>
      </c>
      <c r="D48" s="23"/>
      <c r="E48" s="55">
        <v>1</v>
      </c>
      <c r="F48" s="24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16</v>
      </c>
      <c r="C49" s="27" t="s">
        <v>188</v>
      </c>
      <c r="D49" s="23"/>
      <c r="E49" s="55">
        <v>1</v>
      </c>
      <c r="F49" s="24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17</v>
      </c>
      <c r="C50" s="27" t="s">
        <v>189</v>
      </c>
      <c r="D50" s="23"/>
      <c r="E50" s="55">
        <v>1</v>
      </c>
      <c r="F50" s="24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thickBot="1" x14ac:dyDescent="0.35">
      <c r="A51" s="1"/>
      <c r="B51" s="119" t="s">
        <v>19</v>
      </c>
      <c r="C51" s="120"/>
      <c r="D51" s="117"/>
      <c r="E51" s="120"/>
      <c r="F51" s="118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1</v>
      </c>
      <c r="C52" s="27" t="s">
        <v>190</v>
      </c>
      <c r="D52" s="23"/>
      <c r="E52" s="55">
        <v>1</v>
      </c>
      <c r="F52" s="24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9" t="s">
        <v>43</v>
      </c>
      <c r="C53" s="120"/>
      <c r="D53" s="117"/>
      <c r="E53" s="120"/>
      <c r="F53" s="118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14" t="s">
        <v>44</v>
      </c>
      <c r="C54" s="13"/>
      <c r="D54" s="13"/>
      <c r="E54" s="16"/>
      <c r="F54" s="13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thickBot="1" x14ac:dyDescent="0.35">
      <c r="A55" s="1"/>
      <c r="B55" s="116" t="s">
        <v>52</v>
      </c>
      <c r="C55" s="117"/>
      <c r="D55" s="117"/>
      <c r="E55" s="117"/>
      <c r="F55" s="118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20"/>
      <c r="B56" s="30">
        <v>1</v>
      </c>
      <c r="C56" s="31"/>
      <c r="D56" s="32"/>
      <c r="E56" s="57"/>
      <c r="F56" s="57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20"/>
      <c r="B57" s="30">
        <v>2</v>
      </c>
      <c r="C57" s="31"/>
      <c r="D57" s="32"/>
      <c r="E57" s="57"/>
      <c r="F57" s="57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20"/>
      <c r="B58" s="26">
        <v>3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20"/>
      <c r="B59" s="26">
        <v>4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thickBot="1" x14ac:dyDescent="0.35">
      <c r="A60" s="1"/>
      <c r="B60" s="116" t="s">
        <v>20</v>
      </c>
      <c r="C60" s="117"/>
      <c r="D60" s="117"/>
      <c r="E60" s="117"/>
      <c r="F60" s="118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1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6">
        <v>2</v>
      </c>
      <c r="C62" s="27"/>
      <c r="D62" s="28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26">
        <v>3</v>
      </c>
      <c r="C63" s="27"/>
      <c r="D63" s="28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26">
        <v>4</v>
      </c>
      <c r="C64" s="27"/>
      <c r="D64" s="28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26">
        <v>5</v>
      </c>
      <c r="C65" s="27"/>
      <c r="D65" s="28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26">
        <v>6</v>
      </c>
      <c r="C66" s="27"/>
      <c r="D66" s="28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25"/>
      <c r="C67" s="25"/>
      <c r="D67" s="25"/>
      <c r="E67" s="25"/>
      <c r="F67" s="2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57.75" customHeight="1" thickBot="1" x14ac:dyDescent="0.35">
      <c r="A69" s="1"/>
      <c r="B69" s="17" t="s">
        <v>54</v>
      </c>
      <c r="C69" s="17" t="s">
        <v>50</v>
      </c>
      <c r="D69" s="17" t="s">
        <v>55</v>
      </c>
      <c r="E69" s="18" t="s">
        <v>56</v>
      </c>
      <c r="F69" s="19" t="s">
        <v>21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2">
        <v>1</v>
      </c>
      <c r="C70" s="27" t="s">
        <v>164</v>
      </c>
      <c r="D70" s="55">
        <v>1074.8599999999999</v>
      </c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2</v>
      </c>
      <c r="C71" s="27" t="s">
        <v>165</v>
      </c>
      <c r="D71" s="55">
        <v>777.59</v>
      </c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3</v>
      </c>
      <c r="C72" s="27" t="s">
        <v>166</v>
      </c>
      <c r="D72" s="55">
        <v>120</v>
      </c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4</v>
      </c>
      <c r="C73" s="27" t="s">
        <v>167</v>
      </c>
      <c r="D73" s="55">
        <v>6190</v>
      </c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5</v>
      </c>
      <c r="C74" s="27" t="s">
        <v>168</v>
      </c>
      <c r="D74" s="55">
        <v>1500</v>
      </c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6</v>
      </c>
      <c r="C75" s="27" t="s">
        <v>169</v>
      </c>
      <c r="D75" s="55">
        <v>4500</v>
      </c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4.9000000000000004" customHeight="1" thickBot="1" x14ac:dyDescent="0.35">
      <c r="A76" s="1"/>
      <c r="B76" s="1"/>
      <c r="C76" s="1"/>
      <c r="D76" s="58"/>
      <c r="E76" s="58"/>
      <c r="F76" s="58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thickTop="1" x14ac:dyDescent="0.3">
      <c r="A77" s="1"/>
      <c r="B77" s="11"/>
      <c r="C77" s="4" t="s">
        <v>22</v>
      </c>
      <c r="D77" s="59">
        <f>SUM(D70:D76)</f>
        <v>14162.45</v>
      </c>
      <c r="E77" s="59">
        <f>SUM(E70:E76)</f>
        <v>0</v>
      </c>
      <c r="F77" s="59">
        <f>SUM(F70:F76)</f>
        <v>0</v>
      </c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</sheetData>
  <sheetProtection password="C2E9" sheet="1" objects="1" scenarios="1" formatColumns="0" formatRows="0" sort="0" autoFilter="0"/>
  <mergeCells count="12">
    <mergeCell ref="B60:F60"/>
    <mergeCell ref="B53:F53"/>
    <mergeCell ref="B12:F12"/>
    <mergeCell ref="B13:F13"/>
    <mergeCell ref="B14:F14"/>
    <mergeCell ref="B15:F15"/>
    <mergeCell ref="B18:F18"/>
    <mergeCell ref="B22:F22"/>
    <mergeCell ref="B33:F33"/>
    <mergeCell ref="B28:F28"/>
    <mergeCell ref="B51:F51"/>
    <mergeCell ref="B55:F55"/>
  </mergeCells>
  <dataValidations count="1">
    <dataValidation type="decimal" operator="greaterThanOrEqual" allowBlank="1" showInputMessage="1" showErrorMessage="1" sqref="E32 E52 E54 E23:F27 E56:F59 E61:F66 D70:F75 E34:E36 E37:E50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51</xdr:row>
                    <xdr:rowOff>19050</xdr:rowOff>
                  </from>
                  <to>
                    <xdr:col>1</xdr:col>
                    <xdr:colOff>733425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51</xdr:row>
                    <xdr:rowOff>19050</xdr:rowOff>
                  </from>
                  <to>
                    <xdr:col>1</xdr:col>
                    <xdr:colOff>1504950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55</xdr:row>
                    <xdr:rowOff>19050</xdr:rowOff>
                  </from>
                  <to>
                    <xdr:col>1</xdr:col>
                    <xdr:colOff>733425</xdr:colOff>
                    <xdr:row>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55</xdr:row>
                    <xdr:rowOff>19050</xdr:rowOff>
                  </from>
                  <to>
                    <xdr:col>1</xdr:col>
                    <xdr:colOff>1504950</xdr:colOff>
                    <xdr:row>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60</xdr:row>
                    <xdr:rowOff>19050</xdr:rowOff>
                  </from>
                  <to>
                    <xdr:col>1</xdr:col>
                    <xdr:colOff>733425</xdr:colOff>
                    <xdr:row>60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60</xdr:row>
                    <xdr:rowOff>19050</xdr:rowOff>
                  </from>
                  <to>
                    <xdr:col>1</xdr:col>
                    <xdr:colOff>1504950</xdr:colOff>
                    <xdr:row>60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69</xdr:row>
                    <xdr:rowOff>19050</xdr:rowOff>
                  </from>
                  <to>
                    <xdr:col>1</xdr:col>
                    <xdr:colOff>733425</xdr:colOff>
                    <xdr:row>69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69</xdr:row>
                    <xdr:rowOff>19050</xdr:rowOff>
                  </from>
                  <to>
                    <xdr:col>1</xdr:col>
                    <xdr:colOff>1504950</xdr:colOff>
                    <xdr:row>69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6"/>
  <sheetViews>
    <sheetView workbookViewId="0">
      <selection activeCell="C18" sqref="C18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CAP MR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15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63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192</v>
      </c>
      <c r="D11" s="27" t="s">
        <v>191</v>
      </c>
      <c r="E11" s="27" t="s">
        <v>220</v>
      </c>
      <c r="F11" s="55">
        <v>3</v>
      </c>
      <c r="G11" s="55">
        <v>3</v>
      </c>
      <c r="H11" s="55">
        <v>5</v>
      </c>
      <c r="I11" s="55">
        <v>14.73</v>
      </c>
      <c r="J11" s="55">
        <f>H11*I11</f>
        <v>73.650000000000006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193</v>
      </c>
      <c r="D12" s="27" t="s">
        <v>170</v>
      </c>
      <c r="E12" s="27" t="s">
        <v>171</v>
      </c>
      <c r="F12" s="55">
        <v>1</v>
      </c>
      <c r="G12" s="55">
        <v>3</v>
      </c>
      <c r="H12" s="55">
        <v>4</v>
      </c>
      <c r="I12" s="55">
        <v>50.67</v>
      </c>
      <c r="J12" s="55">
        <f t="shared" ref="J12:J24" si="0">H12*I12</f>
        <v>202.68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195</v>
      </c>
      <c r="D13" s="27" t="s">
        <v>191</v>
      </c>
      <c r="E13" s="27" t="s">
        <v>219</v>
      </c>
      <c r="F13" s="55">
        <v>2</v>
      </c>
      <c r="G13" s="55">
        <v>3</v>
      </c>
      <c r="H13" s="55">
        <v>6</v>
      </c>
      <c r="I13" s="55">
        <v>23</v>
      </c>
      <c r="J13" s="55">
        <f t="shared" si="0"/>
        <v>138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199</v>
      </c>
      <c r="D14" s="27" t="s">
        <v>191</v>
      </c>
      <c r="E14" s="27" t="s">
        <v>218</v>
      </c>
      <c r="F14" s="55">
        <v>2</v>
      </c>
      <c r="G14" s="55">
        <v>3</v>
      </c>
      <c r="H14" s="55">
        <v>6</v>
      </c>
      <c r="I14" s="55">
        <v>2</v>
      </c>
      <c r="J14" s="55">
        <f t="shared" si="0"/>
        <v>12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198</v>
      </c>
      <c r="D15" s="27" t="s">
        <v>191</v>
      </c>
      <c r="E15" s="27" t="s">
        <v>217</v>
      </c>
      <c r="F15" s="55">
        <v>2</v>
      </c>
      <c r="G15" s="55">
        <v>3</v>
      </c>
      <c r="H15" s="55">
        <v>8</v>
      </c>
      <c r="I15" s="55">
        <v>0.73</v>
      </c>
      <c r="J15" s="55">
        <f t="shared" si="0"/>
        <v>5.84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200</v>
      </c>
      <c r="D16" s="27" t="s">
        <v>196</v>
      </c>
      <c r="E16" s="27" t="s">
        <v>216</v>
      </c>
      <c r="F16" s="55">
        <v>4</v>
      </c>
      <c r="G16" s="55">
        <v>3</v>
      </c>
      <c r="H16" s="55">
        <v>10</v>
      </c>
      <c r="I16" s="55">
        <v>20.149999999999999</v>
      </c>
      <c r="J16" s="55">
        <f t="shared" si="0"/>
        <v>201.5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197</v>
      </c>
      <c r="D17" s="27" t="s">
        <v>191</v>
      </c>
      <c r="E17" s="27" t="s">
        <v>215</v>
      </c>
      <c r="F17" s="55">
        <v>2</v>
      </c>
      <c r="G17" s="55">
        <v>2</v>
      </c>
      <c r="H17" s="55">
        <v>2</v>
      </c>
      <c r="I17" s="55">
        <v>16</v>
      </c>
      <c r="J17" s="55">
        <f t="shared" si="0"/>
        <v>32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33" x14ac:dyDescent="0.3">
      <c r="B18" s="42">
        <v>8</v>
      </c>
      <c r="C18" s="27" t="s">
        <v>207</v>
      </c>
      <c r="D18" s="27" t="s">
        <v>191</v>
      </c>
      <c r="E18" s="27" t="s">
        <v>206</v>
      </c>
      <c r="F18" s="55">
        <v>3</v>
      </c>
      <c r="G18" s="55">
        <v>1</v>
      </c>
      <c r="H18" s="55">
        <v>3</v>
      </c>
      <c r="I18" s="55">
        <v>10</v>
      </c>
      <c r="J18" s="55">
        <f t="shared" si="0"/>
        <v>30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232</v>
      </c>
      <c r="D19" s="27" t="s">
        <v>191</v>
      </c>
      <c r="E19" s="27" t="s">
        <v>214</v>
      </c>
      <c r="F19" s="55">
        <v>2</v>
      </c>
      <c r="G19" s="55">
        <v>1</v>
      </c>
      <c r="H19" s="55">
        <v>3</v>
      </c>
      <c r="I19" s="55">
        <v>3</v>
      </c>
      <c r="J19" s="55">
        <f t="shared" si="0"/>
        <v>9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227</v>
      </c>
      <c r="D20" s="27" t="s">
        <v>191</v>
      </c>
      <c r="E20" s="27" t="s">
        <v>221</v>
      </c>
      <c r="F20" s="55">
        <v>2</v>
      </c>
      <c r="G20" s="55">
        <v>1</v>
      </c>
      <c r="H20" s="55">
        <v>3</v>
      </c>
      <c r="I20" s="55">
        <v>1.71</v>
      </c>
      <c r="J20" s="55">
        <f t="shared" si="0"/>
        <v>5.13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228</v>
      </c>
      <c r="D21" s="27" t="s">
        <v>196</v>
      </c>
      <c r="E21" s="27" t="s">
        <v>220</v>
      </c>
      <c r="F21" s="55">
        <v>6</v>
      </c>
      <c r="G21" s="55">
        <v>1</v>
      </c>
      <c r="H21" s="55">
        <v>7</v>
      </c>
      <c r="I21" s="55">
        <v>3.2</v>
      </c>
      <c r="J21" s="55">
        <f t="shared" si="0"/>
        <v>22.400000000000002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 t="s">
        <v>229</v>
      </c>
      <c r="D22" s="27" t="s">
        <v>170</v>
      </c>
      <c r="E22" s="27" t="s">
        <v>222</v>
      </c>
      <c r="F22" s="55">
        <v>2</v>
      </c>
      <c r="G22" s="55">
        <v>1</v>
      </c>
      <c r="H22" s="55">
        <v>2</v>
      </c>
      <c r="I22" s="55">
        <v>55.85</v>
      </c>
      <c r="J22" s="55">
        <f t="shared" si="0"/>
        <v>111.7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6.5" x14ac:dyDescent="0.3">
      <c r="B23" s="42">
        <v>13</v>
      </c>
      <c r="C23" s="27" t="s">
        <v>231</v>
      </c>
      <c r="D23" s="27" t="s">
        <v>223</v>
      </c>
      <c r="E23" s="27" t="s">
        <v>230</v>
      </c>
      <c r="F23" s="55">
        <v>1</v>
      </c>
      <c r="G23" s="55">
        <v>1</v>
      </c>
      <c r="H23" s="55">
        <v>1</v>
      </c>
      <c r="I23" s="55">
        <v>160</v>
      </c>
      <c r="J23" s="55">
        <f t="shared" si="0"/>
        <v>160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 t="s">
        <v>205</v>
      </c>
      <c r="D24" s="27" t="s">
        <v>204</v>
      </c>
      <c r="E24" s="27" t="s">
        <v>204</v>
      </c>
      <c r="F24" s="55">
        <v>1</v>
      </c>
      <c r="G24" s="55">
        <v>1</v>
      </c>
      <c r="H24" s="55">
        <v>2</v>
      </c>
      <c r="I24" s="55">
        <v>19</v>
      </c>
      <c r="J24" s="55">
        <f t="shared" si="0"/>
        <v>38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 t="s">
        <v>197</v>
      </c>
      <c r="D25" s="27" t="s">
        <v>191</v>
      </c>
      <c r="E25" s="27" t="s">
        <v>215</v>
      </c>
      <c r="F25" s="55">
        <v>2</v>
      </c>
      <c r="G25" s="55">
        <v>2</v>
      </c>
      <c r="H25" s="55">
        <v>2</v>
      </c>
      <c r="I25" s="55">
        <v>16.48</v>
      </c>
      <c r="J25" s="55">
        <f t="shared" ref="J25" si="1">H25*I25</f>
        <v>32.96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25">
      <c r="A26" s="33"/>
      <c r="B26" s="34"/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</row>
    <row r="27" spans="1:20" ht="15.75" customHeight="1" x14ac:dyDescent="0.25"/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5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0"/>
  <sheetViews>
    <sheetView workbookViewId="0">
      <selection activeCell="C18" sqref="C18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CAP MR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9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68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71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33" x14ac:dyDescent="0.3">
      <c r="B16" s="68">
        <v>1</v>
      </c>
      <c r="C16" s="69" t="s">
        <v>201</v>
      </c>
      <c r="D16" s="70" t="s">
        <v>202</v>
      </c>
      <c r="E16" s="55">
        <v>2</v>
      </c>
      <c r="F16" s="55">
        <v>120</v>
      </c>
      <c r="G16" s="55">
        <f>+F16*E16</f>
        <v>240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6.5" x14ac:dyDescent="0.3">
      <c r="B17" s="68">
        <v>2</v>
      </c>
      <c r="C17" s="69" t="s">
        <v>203</v>
      </c>
      <c r="D17" s="70" t="s">
        <v>204</v>
      </c>
      <c r="E17" s="55">
        <v>1</v>
      </c>
      <c r="F17" s="55">
        <v>210.67</v>
      </c>
      <c r="G17" s="55">
        <f t="shared" ref="G17" si="0">+F17*E17</f>
        <v>210.67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33" x14ac:dyDescent="0.3">
      <c r="B18" s="68">
        <v>3</v>
      </c>
      <c r="C18" s="69" t="s">
        <v>210</v>
      </c>
      <c r="D18" s="70" t="s">
        <v>204</v>
      </c>
      <c r="E18" s="55">
        <v>10</v>
      </c>
      <c r="F18" s="55">
        <v>2.77</v>
      </c>
      <c r="G18" s="55">
        <f t="shared" ref="G18:G24" si="1">+F18*E18</f>
        <v>27.7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6.5" x14ac:dyDescent="0.3">
      <c r="B19" s="68">
        <v>4</v>
      </c>
      <c r="C19" s="69" t="s">
        <v>226</v>
      </c>
      <c r="D19" s="70" t="s">
        <v>204</v>
      </c>
      <c r="E19" s="55">
        <v>1</v>
      </c>
      <c r="F19" s="55">
        <v>8.2200000000000006</v>
      </c>
      <c r="G19" s="55">
        <f t="shared" si="1"/>
        <v>8.2200000000000006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6.5" x14ac:dyDescent="0.3">
      <c r="B20" s="68">
        <v>5</v>
      </c>
      <c r="C20" s="69" t="s">
        <v>208</v>
      </c>
      <c r="D20" s="70" t="s">
        <v>194</v>
      </c>
      <c r="E20" s="55">
        <v>10</v>
      </c>
      <c r="F20" s="55">
        <v>15</v>
      </c>
      <c r="G20" s="55">
        <f t="shared" si="1"/>
        <v>150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209</v>
      </c>
      <c r="D21" s="70" t="s">
        <v>204</v>
      </c>
      <c r="E21" s="55">
        <v>5</v>
      </c>
      <c r="F21" s="55">
        <v>1.6</v>
      </c>
      <c r="G21" s="55">
        <f t="shared" si="1"/>
        <v>8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33" x14ac:dyDescent="0.3">
      <c r="B22" s="68">
        <v>7</v>
      </c>
      <c r="C22" s="69" t="s">
        <v>211</v>
      </c>
      <c r="D22" s="70" t="s">
        <v>204</v>
      </c>
      <c r="E22" s="55">
        <v>5</v>
      </c>
      <c r="F22" s="55">
        <v>1.6</v>
      </c>
      <c r="G22" s="55">
        <f t="shared" si="1"/>
        <v>8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6.5" x14ac:dyDescent="0.3">
      <c r="B23" s="68">
        <v>8</v>
      </c>
      <c r="C23" s="69" t="s">
        <v>212</v>
      </c>
      <c r="D23" s="70" t="s">
        <v>204</v>
      </c>
      <c r="E23" s="55">
        <v>5</v>
      </c>
      <c r="F23" s="55">
        <v>5</v>
      </c>
      <c r="G23" s="55">
        <f t="shared" si="1"/>
        <v>25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33" x14ac:dyDescent="0.3">
      <c r="B24" s="68">
        <v>9</v>
      </c>
      <c r="C24" s="69" t="s">
        <v>213</v>
      </c>
      <c r="D24" s="70" t="s">
        <v>204</v>
      </c>
      <c r="E24" s="55">
        <v>1</v>
      </c>
      <c r="F24" s="55">
        <v>100</v>
      </c>
      <c r="G24" s="55">
        <f t="shared" si="1"/>
        <v>100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137" t="s">
        <v>75</v>
      </c>
      <c r="C25" s="138"/>
      <c r="D25" s="138"/>
      <c r="E25" s="138"/>
      <c r="F25" s="138"/>
      <c r="G25" s="139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2</v>
      </c>
      <c r="C27" s="69"/>
      <c r="D27" s="70"/>
      <c r="E27" s="55"/>
      <c r="F27" s="55"/>
      <c r="G27" s="55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3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4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5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6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7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1:16" ht="14.25" customHeight="1" x14ac:dyDescent="0.3">
      <c r="B33" s="68">
        <v>8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1:16" ht="14.25" customHeight="1" x14ac:dyDescent="0.3">
      <c r="B34" s="68">
        <v>9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1:16" ht="14.25" customHeight="1" x14ac:dyDescent="0.3">
      <c r="B35" s="68">
        <v>10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1:16" ht="14.25" customHeight="1" x14ac:dyDescent="0.3">
      <c r="B36" s="137" t="s">
        <v>29</v>
      </c>
      <c r="C36" s="138"/>
      <c r="D36" s="138"/>
      <c r="E36" s="138"/>
      <c r="F36" s="138"/>
      <c r="G36" s="139"/>
      <c r="H36" s="39"/>
      <c r="I36" s="39"/>
      <c r="J36" s="39"/>
      <c r="K36" s="39"/>
      <c r="L36" s="39"/>
      <c r="M36" s="39"/>
      <c r="N36" s="39"/>
      <c r="O36" s="39"/>
      <c r="P36" s="39"/>
    </row>
    <row r="37" spans="1:16" ht="14.25" customHeight="1" x14ac:dyDescent="0.3">
      <c r="B37" s="68">
        <v>1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1:16" ht="14.25" customHeight="1" x14ac:dyDescent="0.3">
      <c r="B38" s="68">
        <v>2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1:16" ht="14.25" customHeight="1" x14ac:dyDescent="0.3">
      <c r="B39" s="68">
        <v>3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1:16" ht="14.25" customHeight="1" x14ac:dyDescent="0.3">
      <c r="B40" s="68">
        <v>4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1:16" ht="14.25" customHeight="1" x14ac:dyDescent="0.3">
      <c r="B41" s="68">
        <v>5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1:16" ht="14.25" customHeight="1" x14ac:dyDescent="0.3">
      <c r="B42" s="68">
        <v>6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1:16" ht="14.25" customHeight="1" x14ac:dyDescent="0.3">
      <c r="B43" s="68">
        <v>7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1:16" ht="14.25" customHeight="1" x14ac:dyDescent="0.3">
      <c r="B44" s="68">
        <v>8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1:16" ht="14.25" customHeight="1" x14ac:dyDescent="0.3">
      <c r="B45" s="68">
        <v>9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1:16" ht="14.25" customHeight="1" x14ac:dyDescent="0.3">
      <c r="B46" s="68">
        <v>10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1:16" ht="14.25" customHeight="1" x14ac:dyDescent="0.3">
      <c r="A47" s="44"/>
      <c r="B47" s="39"/>
      <c r="C47" s="44"/>
      <c r="D47" s="39"/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</row>
    <row r="48" spans="1:16" ht="14.25" customHeight="1" x14ac:dyDescent="0.3">
      <c r="A48" s="44"/>
      <c r="B48" s="39"/>
      <c r="C48" s="44"/>
      <c r="D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</row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</sheetData>
  <sheetProtection password="C2E9" sheet="1" objects="1" scenarios="1" formatColumns="0" formatRows="0" sort="0" autoFilter="0"/>
  <mergeCells count="9">
    <mergeCell ref="B7:G7"/>
    <mergeCell ref="B25:G25"/>
    <mergeCell ref="B36:G36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6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25</xdr:row>
                    <xdr:rowOff>28575</xdr:rowOff>
                  </from>
                  <to>
                    <xdr:col>1</xdr:col>
                    <xdr:colOff>762000</xdr:colOff>
                    <xdr:row>25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25</xdr:row>
                    <xdr:rowOff>28575</xdr:rowOff>
                  </from>
                  <to>
                    <xdr:col>1</xdr:col>
                    <xdr:colOff>1533525</xdr:colOff>
                    <xdr:row>25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36</xdr:row>
                    <xdr:rowOff>28575</xdr:rowOff>
                  </from>
                  <to>
                    <xdr:col>1</xdr:col>
                    <xdr:colOff>771525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36</xdr:row>
                    <xdr:rowOff>28575</xdr:rowOff>
                  </from>
                  <to>
                    <xdr:col>1</xdr:col>
                    <xdr:colOff>1543050</xdr:colOff>
                    <xdr:row>36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L18" sqref="A12:L1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CAP MR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32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PHIC-ECLAIMS 4</cp:lastModifiedBy>
  <dcterms:created xsi:type="dcterms:W3CDTF">2018-05-11T08:46:15Z</dcterms:created>
  <dcterms:modified xsi:type="dcterms:W3CDTF">2018-06-01T01:05:02Z</dcterms:modified>
</cp:coreProperties>
</file>