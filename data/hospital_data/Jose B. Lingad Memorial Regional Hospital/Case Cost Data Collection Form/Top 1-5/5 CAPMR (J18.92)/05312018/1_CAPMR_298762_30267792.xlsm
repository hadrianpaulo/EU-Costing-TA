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Supplies_Medical'!$C$15:$C$44</definedName>
    <definedName name="Drugs">'1.2 Drugs&amp;Med'!$C$11:$C$17</definedName>
    <definedName name="_xlnm.Print_Area" localSheetId="0">'1.1 Case data_general'!$B$1:$F$65</definedName>
    <definedName name="_xlnm.Print_Area" localSheetId="1">'1.2 Drugs&amp;Med'!$B$2:$J$18</definedName>
  </definedNames>
  <calcPr calcId="162913"/>
  <fileRecoveryPr repairLoad="1"/>
</workbook>
</file>

<file path=xl/calcChain.xml><?xml version="1.0" encoding="utf-8"?>
<calcChain xmlns="http://schemas.openxmlformats.org/spreadsheetml/2006/main">
  <c r="J17" i="2" l="1"/>
  <c r="G17" i="9"/>
  <c r="G18" i="9"/>
  <c r="G19" i="9"/>
  <c r="G20" i="9"/>
  <c r="G21" i="9"/>
  <c r="G22" i="9"/>
  <c r="G16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5" i="1"/>
  <c r="E65" i="1"/>
  <c r="D6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<sst xmlns="http://schemas.openxmlformats.org/spreadsheetml/2006/main" count="495" uniqueCount="202">
  <si>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</si>
  <si>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</si>
  <si>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</si>
  <si>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</si>
  <si>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</si>
  <si>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</si>
  <si>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</si>
  <si>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</si>
  <si>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</si>
  <si>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</si>
  <si>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</si>
  <si>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</si>
  <si>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</si>
  <si>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</si>
  <si>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</si>
  <si>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</si>
  <si>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</si>
  <si>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</si>
  <si>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</si>
  <si>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</si>
  <si>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</si>
  <si>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</si>
  <si>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</si>
  <si>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</si>
  <si>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</si>
  <si>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</si>
  <si>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</si>
  <si>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</si>
  <si>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</si>
  <si>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</si>
  <si>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</si>
  <si>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</si>
  <si>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</si>
  <si>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</si>
  <si>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</si>
  <si>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</si>
  <si>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</si>
  <si>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</si>
  <si>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</si>
  <si>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</si>
  <si>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</si>
  <si>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</si>
  <si>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</si>
  <si>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</si>
  <si>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</si>
  <si>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</si>
  <si>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</si>
  <si>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</si>
  <si>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</si>
  <si>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</si>
  <si>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</si>
  <si>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</si>
  <si>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</si>
  <si>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</si>
  <si>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</si>
  <si>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</si>
  <si>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</si>
  <si>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</si>
  <si>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</si>
  <si>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</si>
  <si>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</si>
  <si>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</si>
  <si>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</si>
  <si>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</si>
  <si>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</si>
  <si>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</si>
  <si>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</si>
  <si>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</si>
  <si>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</si>
  <si>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</si>
  <si>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</si>
  <si>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</si>
  <si>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</si>
  <si>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</si>
  <si>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</si>
  <si>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</si>
  <si>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</si>
  <si>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</si>
  <si>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</si>
  <si>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</si>
  <si>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</si>
  <si>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</si>
  <si>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</si>
  <si>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</si>
  <si>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</si>
  <si>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</si>
  <si>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</si>
  <si>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</si>
  <si>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</si>
  <si>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</si>
  <si>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</si>
  <si>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</si>
  <si>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</si>
  <si>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</si>
  <si>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</si>
  <si>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</si>
  <si>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</si>
  <si>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</si>
  <si>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</si>
  <si>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</si>
  <si>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</si>
  <si>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</si>
  <si>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</si>
  <si>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</si>
  <si>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</si>
  <si>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</si>
  <si>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</si>
  <si>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</si>
  <si>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</si>
  <si>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</si>
  <si>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</si>
  <si>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</si>
  <si>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</si>
  <si>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</si>
  <si>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</si>
  <si>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</si>
  <si>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</si>
  <si>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</si>
  <si>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</si>
  <si>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</si>
  <si>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</si>
  <si>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</si>
  <si>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</si>
  <si>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</si>
  <si>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</si>
  <si>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</si>
  <si>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</si>
  <si>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</si>
  <si>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</si>
  <si>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</si>
  <si>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</si>
  <si>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</si>
  <si>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</si>
  <si>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</si>
  <si>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</si>
  <si>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</si>
  <si>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</si>
  <si>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</si>
  <si>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</si>
  <si>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</si>
  <si>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</si>
  <si>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</si>
  <si>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</si>
  <si>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</si>
  <si>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</si>
  <si>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</si>
  <si>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</si>
  <si>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</si>
  <si>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</si>
  <si>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</si>
  <si>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</si>
  <si>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</si>
  <si>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</si>
  <si>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</si>
  <si>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</si>
  <si>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</si>
  <si>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</si>
  <si>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</si>
  <si>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</si>
  <si>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</si>
  <si>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</si>
  <si>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</si>
  <si>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</si>
  <si>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J18.92</t>
  </si>
  <si>
    <t>MEDICINES</t>
  </si>
  <si>
    <t>SUPPLIES</t>
  </si>
  <si>
    <t>XRAY</t>
  </si>
  <si>
    <t>LABORATORY</t>
  </si>
  <si>
    <t>ROOM AND ACCOMMODATION</t>
  </si>
  <si>
    <t>PROFESSIONAL FEE</t>
  </si>
  <si>
    <t>298762/74489</t>
  </si>
  <si>
    <t>J68.3</t>
  </si>
  <si>
    <t>100MG</t>
  </si>
  <si>
    <t>IV SET W/ AIRWAY FOR IV PUSH, MICRODRIP, PEDIA</t>
  </si>
  <si>
    <t>IV CATHETER GAUGE 26</t>
  </si>
  <si>
    <t>NEBULIZER KIT WITH MOUTH PIECE</t>
  </si>
  <si>
    <t>NEBULIZER KIT WITH FACE MASK (PEDIA)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</si>
  <si>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</si>
  <si>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OXYGEN NASAL CANNULA WITH THREAD CONNECTOR FOR PEDIA (CURVED FLAIRED TIP)</t>
  </si>
  <si>
    <t>GAUZE SPONGE 4"X4", 8 PLY, 28X24 MESH, UNSTERILE,  W/O BLUE DETECTOR, PACK OF 100S (OS 4X4) (CPR NEEDED)</t>
  </si>
  <si>
    <t>HYDROCORTISONE SODIUM SUCCINATE</t>
  </si>
  <si>
    <t xml:space="preserve">IPRATROPIUM+SALBUTAMOL </t>
  </si>
  <si>
    <t>500MCG+2.5MG-2.5ML</t>
  </si>
  <si>
    <t xml:space="preserve">PARACETAMOL (ACETAMINOPHEN) </t>
  </si>
  <si>
    <t>300MG-2ML</t>
  </si>
  <si>
    <t>SALBUTAMOL SULPHATE</t>
  </si>
  <si>
    <t>1MG/ML-2.5ML</t>
  </si>
  <si>
    <t>CEFUROXIME SODIUM</t>
  </si>
  <si>
    <t xml:space="preserve"> 750MG</t>
  </si>
  <si>
    <t>(D5LRS 1L) 5% DEXTROSE IN LACTATED RINGERS SOLUTION (D5 LRS) X 12S</t>
  </si>
  <si>
    <t>1000ML  5%</t>
  </si>
  <si>
    <t xml:space="preserve"> 250MG</t>
  </si>
  <si>
    <t>TABLET</t>
  </si>
  <si>
    <t>FLUID</t>
  </si>
  <si>
    <t>VIAL</t>
  </si>
  <si>
    <t>DROPS</t>
  </si>
  <si>
    <t>BOTTLE</t>
  </si>
  <si>
    <t>BLOOD C/S</t>
  </si>
  <si>
    <t>CBC, PC</t>
  </si>
  <si>
    <t>Chest APL PEDIA (2 views)</t>
  </si>
  <si>
    <t>CAP MR</t>
  </si>
  <si>
    <t>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</si>
</sst>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 applyFont="1" applyAlignment="1" applyProtection="1">
      <protection locked="0"/>
    </xf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28575</xdr:rowOff>
        </xdr:from>
        <xdr:to>
          <xdr:col>1</xdr:col>
          <xdr:colOff>762000</xdr:colOff>
          <xdr:row>23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23</xdr:row>
          <xdr:rowOff>28575</xdr:rowOff>
        </xdr:from>
        <xdr:to>
          <xdr:col>1</xdr:col>
          <xdr:colOff>1533525</xdr:colOff>
          <xdr:row>23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28575</xdr:rowOff>
        </xdr:from>
        <xdr:to>
          <xdr:col>1</xdr:col>
          <xdr:colOff>771525</xdr:colOff>
          <xdr:row>34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34</xdr:row>
          <xdr:rowOff>28575</xdr:rowOff>
        </xdr:from>
        <xdr:to>
          <xdr:col>1</xdr:col>
          <xdr:colOff>1543050</xdr:colOff>
          <xdr:row>34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2"/>
  <sheetViews>
    <sheetView tabSelected="1" zoomScaleNormal="100" workbookViewId="0">
      <selection activeCell="E31" sqref="E3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200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9" t="s">
        <v>42</v>
      </c>
      <c r="C27" s="120"/>
      <c r="D27" s="120"/>
      <c r="E27" s="120"/>
      <c r="F27" s="13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6" t="s">
        <v>18</v>
      </c>
      <c r="C32" s="117"/>
      <c r="D32" s="117"/>
      <c r="E32" s="117"/>
      <c r="F32" s="11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198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9" t="s">
        <v>19</v>
      </c>
      <c r="C35" s="120"/>
      <c r="D35" s="117"/>
      <c r="E35" s="120"/>
      <c r="F35" s="118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199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9" t="s">
        <v>43</v>
      </c>
      <c r="C37" s="120"/>
      <c r="D37" s="117"/>
      <c r="E37" s="120"/>
      <c r="F37" s="118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14" t="s">
        <v>44</v>
      </c>
      <c r="C38" s="13"/>
      <c r="D38" s="13"/>
      <c r="E38" s="16"/>
      <c r="F38" s="13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6" t="s">
        <v>52</v>
      </c>
      <c r="C39" s="117"/>
      <c r="D39" s="117"/>
      <c r="E39" s="117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20"/>
      <c r="B40" s="30">
        <v>1</v>
      </c>
      <c r="C40" s="31"/>
      <c r="D40" s="32"/>
      <c r="E40" s="57"/>
      <c r="F40" s="5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20"/>
      <c r="B41" s="30">
        <v>2</v>
      </c>
      <c r="C41" s="31"/>
      <c r="D41" s="32"/>
      <c r="E41" s="57"/>
      <c r="F41" s="5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26">
        <v>3</v>
      </c>
      <c r="C42" s="27"/>
      <c r="D42" s="28"/>
      <c r="E42" s="55"/>
      <c r="F42" s="55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26">
        <v>4</v>
      </c>
      <c r="C43" s="27"/>
      <c r="D43" s="28"/>
      <c r="E43" s="55"/>
      <c r="F43" s="55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6" t="s">
        <v>20</v>
      </c>
      <c r="C44" s="117"/>
      <c r="D44" s="117"/>
      <c r="E44" s="117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5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6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5"/>
      <c r="C51" s="25"/>
      <c r="D51" s="25"/>
      <c r="E51" s="25"/>
      <c r="F51" s="2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57.75" customHeight="1" thickBot="1" x14ac:dyDescent="0.35">
      <c r="A53" s="1"/>
      <c r="B53" s="17" t="s">
        <v>54</v>
      </c>
      <c r="C53" s="17" t="s">
        <v>50</v>
      </c>
      <c r="D53" s="17" t="s">
        <v>55</v>
      </c>
      <c r="E53" s="18" t="s">
        <v>56</v>
      </c>
      <c r="F53" s="19" t="s">
        <v>21</v>
      </c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2">
        <v>1</v>
      </c>
      <c r="C54" s="27" t="s">
        <v>164</v>
      </c>
      <c r="D54" s="55">
        <v>1497.89</v>
      </c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0">
        <v>2</v>
      </c>
      <c r="C55" s="27" t="s">
        <v>165</v>
      </c>
      <c r="D55" s="55">
        <v>304.99</v>
      </c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0">
        <v>3</v>
      </c>
      <c r="C56" s="27" t="s">
        <v>166</v>
      </c>
      <c r="D56" s="55">
        <v>190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4</v>
      </c>
      <c r="C57" s="27" t="s">
        <v>167</v>
      </c>
      <c r="D57" s="55">
        <v>1380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5</v>
      </c>
      <c r="C58" s="27" t="s">
        <v>168</v>
      </c>
      <c r="D58" s="55">
        <v>1800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6</v>
      </c>
      <c r="C59" s="27" t="s">
        <v>169</v>
      </c>
      <c r="D59" s="55">
        <v>4500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7</v>
      </c>
      <c r="C60" s="151"/>
      <c r="D60" s="151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8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9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10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4.9000000000000004" customHeight="1" thickBot="1" x14ac:dyDescent="0.35">
      <c r="A64" s="1"/>
      <c r="B64" s="1"/>
      <c r="C64" s="1"/>
      <c r="D64" s="58"/>
      <c r="E64" s="58"/>
      <c r="F64" s="58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thickTop="1" x14ac:dyDescent="0.3">
      <c r="A65" s="1"/>
      <c r="B65" s="11"/>
      <c r="C65" s="4" t="s">
        <v>22</v>
      </c>
      <c r="D65" s="59">
        <f>SUM(D54:D64)</f>
        <v>9672.880000000001</v>
      </c>
      <c r="E65" s="59">
        <f>SUM(E54:E64)</f>
        <v>0</v>
      </c>
      <c r="F65" s="59">
        <f>SUM(F54:F64)</f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</sheetData>
  <sheetProtection algorithmName="SHA-512" hashValue="5zN/7PuIMRwJPiT+nMhcyiI5vAYAYyXdMGPEn82qYStuWO8qujMI/DQ7ukoFYkO+Bi90T/DM+KJPeIX/mcdtpg==" saltValue="j/Q7Aa6SrdYyYY32vsEz8Q==" spinCount="100000" sheet="1" objects="1" scenarios="1" formatColumns="0" formatRows="0" sort="0" autoFilter="0"/>
  <mergeCells count="12">
    <mergeCell ref="B44:F44"/>
    <mergeCell ref="B37:F37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39:F39"/>
  </mergeCells>
  <dataValidations count="1">
    <dataValidation type="decimal" operator="greaterThanOrEqual" allowBlank="1" showInputMessage="1" showErrorMessage="1" sqref="E31 E36 E38 E22:F26 E40:F43 E45:F50 E33:E34 E54:F63 D54:D59 D61:D6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D16" sqref="D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MR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33" x14ac:dyDescent="0.3">
      <c r="B11" s="42">
        <v>1</v>
      </c>
      <c r="C11" s="27" t="s">
        <v>180</v>
      </c>
      <c r="D11" s="27" t="s">
        <v>194</v>
      </c>
      <c r="E11" s="27" t="s">
        <v>172</v>
      </c>
      <c r="F11" s="55">
        <v>3</v>
      </c>
      <c r="G11" s="55">
        <v>3</v>
      </c>
      <c r="H11" s="55">
        <v>10</v>
      </c>
      <c r="I11" s="55">
        <v>26.67</v>
      </c>
      <c r="J11" s="55">
        <f>H11*I11</f>
        <v>266.70000000000005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33" x14ac:dyDescent="0.3">
      <c r="B12" s="42">
        <v>2</v>
      </c>
      <c r="C12" s="27" t="s">
        <v>181</v>
      </c>
      <c r="D12" s="27" t="s">
        <v>195</v>
      </c>
      <c r="E12" s="27" t="s">
        <v>182</v>
      </c>
      <c r="F12" s="55">
        <v>4</v>
      </c>
      <c r="G12" s="55">
        <v>3</v>
      </c>
      <c r="H12" s="55">
        <v>17</v>
      </c>
      <c r="I12" s="55">
        <v>12.57</v>
      </c>
      <c r="J12" s="55">
        <f t="shared" ref="J12:J16" si="0">H12*I12</f>
        <v>213.69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183</v>
      </c>
      <c r="D13" s="27" t="s">
        <v>192</v>
      </c>
      <c r="E13" s="27" t="s">
        <v>184</v>
      </c>
      <c r="F13" s="55">
        <v>2</v>
      </c>
      <c r="G13" s="55">
        <v>3</v>
      </c>
      <c r="H13" s="55">
        <v>7</v>
      </c>
      <c r="I13" s="55">
        <v>4.57</v>
      </c>
      <c r="J13" s="55">
        <f t="shared" si="0"/>
        <v>31.990000000000002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185</v>
      </c>
      <c r="D14" s="27" t="s">
        <v>196</v>
      </c>
      <c r="E14" s="27" t="s">
        <v>186</v>
      </c>
      <c r="F14" s="55">
        <v>4</v>
      </c>
      <c r="G14" s="55">
        <v>3</v>
      </c>
      <c r="H14" s="55">
        <v>34</v>
      </c>
      <c r="I14" s="55">
        <v>5.65</v>
      </c>
      <c r="J14" s="55">
        <f t="shared" si="0"/>
        <v>192.10000000000002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187</v>
      </c>
      <c r="D15" s="27" t="s">
        <v>194</v>
      </c>
      <c r="E15" s="27" t="s">
        <v>188</v>
      </c>
      <c r="F15" s="55">
        <v>4</v>
      </c>
      <c r="G15" s="55">
        <v>3</v>
      </c>
      <c r="H15" s="55">
        <v>12</v>
      </c>
      <c r="I15" s="55">
        <v>20.52</v>
      </c>
      <c r="J15" s="55">
        <f t="shared" si="0"/>
        <v>246.24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49.5" x14ac:dyDescent="0.3">
      <c r="B16" s="42">
        <v>6</v>
      </c>
      <c r="C16" s="27" t="s">
        <v>189</v>
      </c>
      <c r="D16" s="27" t="s">
        <v>193</v>
      </c>
      <c r="E16" s="27" t="s">
        <v>190</v>
      </c>
      <c r="F16" s="55">
        <v>1</v>
      </c>
      <c r="G16" s="55">
        <v>1</v>
      </c>
      <c r="H16" s="55">
        <v>1</v>
      </c>
      <c r="I16" s="55">
        <v>49.33</v>
      </c>
      <c r="J16" s="55">
        <f t="shared" si="0"/>
        <v>49.33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33" x14ac:dyDescent="0.3">
      <c r="B17" s="42">
        <v>7</v>
      </c>
      <c r="C17" s="27" t="s">
        <v>180</v>
      </c>
      <c r="D17" s="27" t="s">
        <v>194</v>
      </c>
      <c r="E17" s="27" t="s">
        <v>191</v>
      </c>
      <c r="F17" s="55">
        <v>2</v>
      </c>
      <c r="G17" s="55">
        <v>3</v>
      </c>
      <c r="H17" s="55">
        <v>7</v>
      </c>
      <c r="I17" s="55">
        <v>71.12</v>
      </c>
      <c r="J17" s="55">
        <f t="shared" ref="J17" si="1">H17*I17</f>
        <v>497.84000000000003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algorithmName="SHA-512" hashValue="DpNychOeZNYVdsHSRjQbHGG9KlYYcJ2aYL5pwdyS6lsSDeaCqmIvJROejHZqe+TWwe8m6YdHA21gSJbNxU8P9A==" saltValue="3cnF+WdhuuP2d4pyc8p6r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8"/>
  <sheetViews>
    <sheetView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33" x14ac:dyDescent="0.3">
      <c r="B16" s="68">
        <v>1</v>
      </c>
      <c r="C16" s="69" t="s">
        <v>173</v>
      </c>
      <c r="D16" s="70" t="s">
        <v>201</v>
      </c>
      <c r="E16" s="55">
        <v>1</v>
      </c>
      <c r="F16" s="55">
        <v>20.440000000000001</v>
      </c>
      <c r="G16" s="55">
        <f>+E16*F16</f>
        <v>20.440000000000001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6.5" x14ac:dyDescent="0.3">
      <c r="B17" s="68">
        <v>2</v>
      </c>
      <c r="C17" s="69" t="s">
        <v>174</v>
      </c>
      <c r="D17" s="70" t="s">
        <v>201</v>
      </c>
      <c r="E17" s="55">
        <v>2</v>
      </c>
      <c r="F17" s="55">
        <v>14.33</v>
      </c>
      <c r="G17" s="55">
        <f t="shared" ref="G17:G22" si="0">+E17*F17</f>
        <v>28.66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6.5" x14ac:dyDescent="0.3">
      <c r="B18" s="68">
        <v>3</v>
      </c>
      <c r="C18" s="69" t="s">
        <v>175</v>
      </c>
      <c r="D18" s="70" t="s">
        <v>201</v>
      </c>
      <c r="E18" s="55">
        <v>1</v>
      </c>
      <c r="F18" s="55">
        <v>38</v>
      </c>
      <c r="G18" s="55">
        <f t="shared" si="0"/>
        <v>38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6.5" x14ac:dyDescent="0.3">
      <c r="B19" s="68">
        <v>4</v>
      </c>
      <c r="C19" s="69" t="s">
        <v>176</v>
      </c>
      <c r="D19" s="70" t="s">
        <v>201</v>
      </c>
      <c r="E19" s="55">
        <v>1</v>
      </c>
      <c r="F19" s="55">
        <v>50.36</v>
      </c>
      <c r="G19" s="55">
        <f t="shared" si="0"/>
        <v>50.36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32" x14ac:dyDescent="0.3">
      <c r="B20" s="68">
        <v>5</v>
      </c>
      <c r="C20" s="69" t="s">
        <v>177</v>
      </c>
      <c r="D20" s="70" t="s">
        <v>201</v>
      </c>
      <c r="E20" s="55">
        <v>1</v>
      </c>
      <c r="F20" s="55">
        <v>105.33</v>
      </c>
      <c r="G20" s="55">
        <f t="shared" si="0"/>
        <v>105.33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49.5" x14ac:dyDescent="0.3">
      <c r="B21" s="68">
        <v>6</v>
      </c>
      <c r="C21" s="69" t="s">
        <v>178</v>
      </c>
      <c r="D21" s="70" t="s">
        <v>201</v>
      </c>
      <c r="E21" s="55">
        <v>2</v>
      </c>
      <c r="F21" s="55">
        <v>16</v>
      </c>
      <c r="G21" s="55">
        <f t="shared" si="0"/>
        <v>32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49.5" x14ac:dyDescent="0.3">
      <c r="B22" s="68">
        <v>7</v>
      </c>
      <c r="C22" s="69" t="s">
        <v>179</v>
      </c>
      <c r="D22" s="70" t="s">
        <v>201</v>
      </c>
      <c r="E22" s="55">
        <v>20</v>
      </c>
      <c r="F22" s="55">
        <v>1.51</v>
      </c>
      <c r="G22" s="55">
        <f t="shared" si="0"/>
        <v>30.2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137" t="s">
        <v>75</v>
      </c>
      <c r="C23" s="138"/>
      <c r="D23" s="138"/>
      <c r="E23" s="138"/>
      <c r="F23" s="138"/>
      <c r="G23" s="139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1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2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3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4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5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6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7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8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9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10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137" t="s">
        <v>29</v>
      </c>
      <c r="C34" s="138"/>
      <c r="D34" s="138"/>
      <c r="E34" s="138"/>
      <c r="F34" s="138"/>
      <c r="G34" s="139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1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2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3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4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5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6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7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8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9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10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A46" s="44"/>
      <c r="B46" s="39"/>
      <c r="C46" s="44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algorithmName="SHA-512" hashValue="Z2+w4pYTgYT1n89ea3pF2/GS3IFTfV8dWOtkKwDpubTvi/qIuAQr3vW0pKhA9BFrD8g/D/bkwSI3Xa98RzdLkg==" saltValue="VRvXzzJIfX+5MBjQl5Zuzg==" spinCount="100000" sheet="1" objects="1" scenarios="1" formatColumns="0" formatRows="0" sort="0" autoFilter="0"/>
  <mergeCells count="9">
    <mergeCell ref="B7:G7"/>
    <mergeCell ref="B23:G23"/>
    <mergeCell ref="B34:G3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23</xdr:row>
                    <xdr:rowOff>28575</xdr:rowOff>
                  </from>
                  <to>
                    <xdr:col>1</xdr:col>
                    <xdr:colOff>762000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23</xdr:row>
                    <xdr:rowOff>28575</xdr:rowOff>
                  </from>
                  <to>
                    <xdr:col>1</xdr:col>
                    <xdr:colOff>1533525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34</xdr:row>
                    <xdr:rowOff>28575</xdr:rowOff>
                  </from>
                  <to>
                    <xdr:col>1</xdr:col>
                    <xdr:colOff>771525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34</xdr:row>
                    <xdr:rowOff>28575</xdr:rowOff>
                  </from>
                  <to>
                    <xdr:col>1</xdr:col>
                    <xdr:colOff>1543050</xdr:colOff>
                    <xdr:row>34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K23" sqref="K2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MR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2018-06-04T07:57:10Z</dcterms:modified>
</cp:coreProperties>
</file>