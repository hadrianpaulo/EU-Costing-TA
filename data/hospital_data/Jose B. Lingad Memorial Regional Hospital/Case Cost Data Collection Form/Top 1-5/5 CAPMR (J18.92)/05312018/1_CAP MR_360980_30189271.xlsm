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60" windowWidth="15528" windowHeight="732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Supplies_Medical'!$C$15:$C$54</definedName>
    <definedName name="Drugs">'1.2 Drugs&amp;Med'!$C$11:$C$21</definedName>
    <definedName name="_xlnm.Print_Area" localSheetId="0">'1.1 Case data_general'!$B$1:$F$71</definedName>
    <definedName name="_xlnm.Print_Area" localSheetId="1">'1.2 Drugs&amp;Med'!$B$2:$J$30</definedName>
  </definedNames>
  <calcPr calcId="144525"/>
</workbook>
</file>

<file path=xl/calcChain.xml><?xml version="1.0" encoding="utf-8"?>
<calcChain xmlns="http://schemas.openxmlformats.org/spreadsheetml/2006/main">
  <c r="G17" i="9" l="1"/>
  <c r="G18" i="9"/>
  <c r="G19" i="9"/>
  <c r="G20" i="9"/>
  <c r="G21" i="9"/>
  <c r="G22" i="9"/>
  <c r="G23" i="9"/>
  <c r="G24" i="9"/>
  <c r="G25" i="9"/>
  <c r="G26" i="9"/>
  <c r="G27" i="9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G16" i="9" l="1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<sst xmlns="http://schemas.openxmlformats.org/spreadsheetml/2006/main" count="518" uniqueCount="211">
  <si>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</si>
  <si>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</si>
  <si>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</si>
  <si>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</si>
  <si>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</si>
  <si>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</si>
  <si>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</si>
  <si>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</si>
  <si>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</si>
  <si>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</si>
  <si>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</si>
  <si>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</si>
  <si>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</si>
  <si>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</si>
  <si>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</si>
  <si>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</si>
  <si>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</si>
  <si>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</si>
  <si>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</si>
  <si>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</si>
  <si>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</si>
  <si>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</si>
  <si>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</si>
  <si>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</si>
  <si>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</si>
  <si>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</si>
  <si>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</si>
  <si>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</si>
  <si>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</si>
  <si>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</si>
  <si>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</si>
  <si>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</si>
  <si>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</si>
  <si>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</si>
  <si>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</si>
  <si>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</si>
  <si>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</si>
  <si>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</si>
  <si>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</si>
  <si>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</si>
  <si>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</si>
  <si>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</si>
  <si>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</si>
  <si>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</si>
  <si>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</si>
  <si>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</si>
  <si>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</si>
  <si>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</si>
  <si>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</si>
  <si>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</si>
  <si>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</si>
  <si>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</si>
  <si>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</si>
  <si>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</si>
  <si>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</si>
  <si>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</si>
  <si>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</si>
  <si>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</si>
  <si>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</si>
  <si>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</si>
  <si>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</si>
  <si>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</si>
  <si>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</si>
  <si>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</si>
  <si>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</si>
  <si>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</si>
  <si>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</si>
  <si>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</si>
  <si>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</si>
  <si>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</si>
  <si>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</si>
  <si>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</si>
  <si>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</si>
  <si>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</si>
  <si>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</si>
  <si>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</si>
  <si>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</si>
  <si>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</si>
  <si>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</si>
  <si>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</si>
  <si>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</si>
  <si>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</si>
  <si>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</si>
  <si>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</si>
  <si>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</si>
  <si>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</si>
  <si>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</si>
  <si>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</si>
  <si>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</si>
  <si>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</si>
  <si>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</si>
  <si>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</si>
  <si>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</si>
  <si>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</si>
  <si>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</si>
  <si>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</si>
  <si>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</si>
  <si>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</si>
  <si>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</si>
  <si>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</si>
  <si>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</si>
  <si>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</si>
  <si>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</si>
  <si>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</si>
  <si>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</si>
  <si>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</si>
  <si>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</si>
  <si>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</si>
  <si>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</si>
  <si>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</si>
  <si>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</si>
  <si>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</si>
  <si>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</si>
  <si>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</si>
  <si>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</si>
  <si>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</si>
  <si>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</si>
  <si>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</si>
  <si>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</si>
  <si>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</si>
  <si>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</si>
  <si>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</si>
  <si>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</si>
  <si>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</si>
  <si>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</si>
  <si>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</si>
  <si>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</si>
  <si>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</si>
  <si>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</si>
  <si>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</si>
  <si>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</si>
  <si>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</si>
  <si>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</si>
  <si>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</si>
  <si>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</si>
  <si>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</si>
  <si>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</si>
  <si>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</si>
  <si>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</si>
  <si>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</si>
  <si>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</si>
  <si>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</si>
  <si>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</si>
  <si>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</si>
  <si>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</si>
  <si>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</si>
  <si>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</si>
  <si>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</si>
  <si>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</si>
  <si>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</si>
  <si>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</si>
  <si>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</si>
  <si>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</si>
  <si>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</si>
  <si>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</si>
  <si>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</si>
  <si>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</si>
  <si>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</si>
  <si>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</si>
  <si>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</si>
  <si>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</si>
  <si>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</si>
  <si>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</si>
  <si>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</si>
  <si>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</si>
  <si>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J18.92</t>
  </si>
  <si>
    <t>MEDICINES</t>
  </si>
  <si>
    <t>SUPPLIES</t>
  </si>
  <si>
    <t>XRAY</t>
  </si>
  <si>
    <t>LABORATORY</t>
  </si>
  <si>
    <t>OTHERS (EEG)</t>
  </si>
  <si>
    <t>ROOM AND ACCOMMODATION</t>
  </si>
  <si>
    <t>PROFESSIONAL FEE</t>
  </si>
  <si>
    <t>fluid</t>
  </si>
  <si>
    <t>1 liter</t>
  </si>
  <si>
    <t>CBC, PC</t>
  </si>
  <si>
    <t>vial</t>
  </si>
  <si>
    <t>set</t>
  </si>
  <si>
    <t>BLOOD EXTRACTION FEE</t>
  </si>
  <si>
    <t>PLAIN NSS 1L  (X 12S)</t>
  </si>
  <si>
    <t>SALBUTAMOL SULPHATE  1MG/ML-2.5ML</t>
  </si>
  <si>
    <t>ampule</t>
  </si>
  <si>
    <t>DISPOSABLE SYRINGE 10ML G 21, W/ NEEDLE X 100S (CPR NEEDED)</t>
  </si>
  <si>
    <t>DISPOSABLE SYRINGE 3ML G 23, W/ NEEDLE X 100S (CPR NEEDED)</t>
  </si>
  <si>
    <t>DISPOSABLE SYRINGE 5ML G 23, W/ NEEDLE X 100S</t>
  </si>
  <si>
    <t>IV SET W/ AIRWAY FOR IV PUSH, MICRODRIP, PEDIA</t>
  </si>
  <si>
    <t>BLOOD C/S</t>
  </si>
  <si>
    <t>CHEST APL PEDIA (2 VIEWS)</t>
  </si>
  <si>
    <t>(IRRIGATING SOLN) 0.9% SODIUM CHLORIDE (PLAIN NSS) 1000ML (IRRIGATION) X 12S</t>
  </si>
  <si>
    <t>(D5W 500ML) 5% DEXTROSE IN WATER  500ML (D5 W 500ML) X 24S</t>
  </si>
  <si>
    <t>LACTATED RINGER''S SOLUTION 500ML  ( PLAIN LRS 500ML ) X 24S</t>
  </si>
  <si>
    <t>(D5 IMB 500ML) D5% BAL. MULTIPLE MAINTENANCE SOLN 500ML</t>
  </si>
  <si>
    <t>PARACETAMOL (ACETAMINOPHEN) 300MG-2ML</t>
  </si>
  <si>
    <t>CEFUROXIME SODIUM 750MG</t>
  </si>
  <si>
    <t>LACTATED RINGER''''''''''''''''S SOLUTION 500ML (PLAIN LRS 500ML)</t>
  </si>
  <si>
    <t>500 ml</t>
  </si>
  <si>
    <t>300MG-2ML</t>
  </si>
  <si>
    <t>1MG/ML-2.5ML</t>
  </si>
  <si>
    <t xml:space="preserve"> 1MG/ML-2.5ML</t>
  </si>
  <si>
    <t>750 mg</t>
  </si>
  <si>
    <t>OXYGEN NASAL CANNULA WITH THREAD CONNECTOR FOR PEDIA (CURVED FLAIRED TIP)</t>
  </si>
  <si>
    <t>OXYGEN NASAL CANNULA W/ THREAD CONNECTOR FOR NEONATE (CURVED FLAIRED TIP)</t>
  </si>
  <si>
    <t>GAUZE SPONGE 4"X4", 8 PLY, 28X24 MESH, UNSTERILE,  W/O BLUE DETECTOR, PACK OF 100S (OS 4X4) (CPR NEEDED)</t>
  </si>
  <si>
    <t>DISPOSABLE SYRINGE 1ML G 25, W/ NEEDLE X 100S (CPR NEEDED)</t>
  </si>
  <si>
    <t>IV SET FOR PEDIA W/ BURETTE FOR DOSIFICATION VENTS W/ FILTER, SOLUSET</t>
  </si>
  <si>
    <t>IV CATHETER GAUGE 24</t>
  </si>
  <si>
    <t>IV CATHETER GAUGE 26</t>
  </si>
  <si>
    <t>HEPARIN LOCK BOX OF 100''''''''''''''''S</t>
  </si>
  <si>
    <t>STERILLE COTTON</t>
  </si>
  <si>
    <t>pc</t>
  </si>
  <si>
    <t>360980/74370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</si>
</sst>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1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  <font>
      <sz val="8"/>
      <color indexed="8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2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20" fillId="0" borderId="0" xfId="0" applyFont="1" applyAlignment="1" applyProtection="1">
      <alignment vertical="top" wrapText="1"/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18</xdr:row>
          <xdr:rowOff>22860</xdr:rowOff>
        </xdr:from>
        <xdr:to>
          <xdr:col>1</xdr:col>
          <xdr:colOff>731520</xdr:colOff>
          <xdr:row>18</xdr:row>
          <xdr:rowOff>160020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18</xdr:row>
          <xdr:rowOff>22860</xdr:rowOff>
        </xdr:from>
        <xdr:to>
          <xdr:col>1</xdr:col>
          <xdr:colOff>1508760</xdr:colOff>
          <xdr:row>18</xdr:row>
          <xdr:rowOff>160020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22</xdr:row>
          <xdr:rowOff>22860</xdr:rowOff>
        </xdr:from>
        <xdr:to>
          <xdr:col>1</xdr:col>
          <xdr:colOff>731520</xdr:colOff>
          <xdr:row>22</xdr:row>
          <xdr:rowOff>160020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22</xdr:row>
          <xdr:rowOff>22860</xdr:rowOff>
        </xdr:from>
        <xdr:to>
          <xdr:col>1</xdr:col>
          <xdr:colOff>1508760</xdr:colOff>
          <xdr:row>22</xdr:row>
          <xdr:rowOff>160020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33</xdr:row>
          <xdr:rowOff>22860</xdr:rowOff>
        </xdr:from>
        <xdr:to>
          <xdr:col>1</xdr:col>
          <xdr:colOff>731520</xdr:colOff>
          <xdr:row>33</xdr:row>
          <xdr:rowOff>160020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33</xdr:row>
          <xdr:rowOff>22860</xdr:rowOff>
        </xdr:from>
        <xdr:to>
          <xdr:col>1</xdr:col>
          <xdr:colOff>1508760</xdr:colOff>
          <xdr:row>33</xdr:row>
          <xdr:rowOff>160020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38</xdr:row>
          <xdr:rowOff>22860</xdr:rowOff>
        </xdr:from>
        <xdr:to>
          <xdr:col>1</xdr:col>
          <xdr:colOff>731520</xdr:colOff>
          <xdr:row>38</xdr:row>
          <xdr:rowOff>160020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38</xdr:row>
          <xdr:rowOff>22860</xdr:rowOff>
        </xdr:from>
        <xdr:to>
          <xdr:col>1</xdr:col>
          <xdr:colOff>1508760</xdr:colOff>
          <xdr:row>38</xdr:row>
          <xdr:rowOff>160020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45</xdr:row>
          <xdr:rowOff>22860</xdr:rowOff>
        </xdr:from>
        <xdr:to>
          <xdr:col>1</xdr:col>
          <xdr:colOff>731520</xdr:colOff>
          <xdr:row>45</xdr:row>
          <xdr:rowOff>160020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45</xdr:row>
          <xdr:rowOff>22860</xdr:rowOff>
        </xdr:from>
        <xdr:to>
          <xdr:col>1</xdr:col>
          <xdr:colOff>1508760</xdr:colOff>
          <xdr:row>45</xdr:row>
          <xdr:rowOff>160020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50</xdr:row>
          <xdr:rowOff>22860</xdr:rowOff>
        </xdr:from>
        <xdr:to>
          <xdr:col>1</xdr:col>
          <xdr:colOff>731520</xdr:colOff>
          <xdr:row>50</xdr:row>
          <xdr:rowOff>160020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50</xdr:row>
          <xdr:rowOff>22860</xdr:rowOff>
        </xdr:from>
        <xdr:to>
          <xdr:col>1</xdr:col>
          <xdr:colOff>1508760</xdr:colOff>
          <xdr:row>50</xdr:row>
          <xdr:rowOff>160020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59</xdr:row>
          <xdr:rowOff>22860</xdr:rowOff>
        </xdr:from>
        <xdr:to>
          <xdr:col>1</xdr:col>
          <xdr:colOff>731520</xdr:colOff>
          <xdr:row>59</xdr:row>
          <xdr:rowOff>160020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784860</xdr:colOff>
          <xdr:row>59</xdr:row>
          <xdr:rowOff>22860</xdr:rowOff>
        </xdr:from>
        <xdr:to>
          <xdr:col>1</xdr:col>
          <xdr:colOff>1508760</xdr:colOff>
          <xdr:row>59</xdr:row>
          <xdr:rowOff>160020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10</xdr:row>
          <xdr:rowOff>7620</xdr:rowOff>
        </xdr:from>
        <xdr:to>
          <xdr:col>1</xdr:col>
          <xdr:colOff>731520</xdr:colOff>
          <xdr:row>10</xdr:row>
          <xdr:rowOff>160020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769620</xdr:colOff>
          <xdr:row>10</xdr:row>
          <xdr:rowOff>7620</xdr:rowOff>
        </xdr:from>
        <xdr:to>
          <xdr:col>1</xdr:col>
          <xdr:colOff>1493520</xdr:colOff>
          <xdr:row>10</xdr:row>
          <xdr:rowOff>160020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</xdr:colOff>
          <xdr:row>15</xdr:row>
          <xdr:rowOff>30480</xdr:rowOff>
        </xdr:from>
        <xdr:to>
          <xdr:col>1</xdr:col>
          <xdr:colOff>769620</xdr:colOff>
          <xdr:row>16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822960</xdr:colOff>
          <xdr:row>15</xdr:row>
          <xdr:rowOff>30480</xdr:rowOff>
        </xdr:from>
        <xdr:to>
          <xdr:col>1</xdr:col>
          <xdr:colOff>1546860</xdr:colOff>
          <xdr:row>16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33</xdr:row>
          <xdr:rowOff>30480</xdr:rowOff>
        </xdr:from>
        <xdr:to>
          <xdr:col>1</xdr:col>
          <xdr:colOff>762000</xdr:colOff>
          <xdr:row>33</xdr:row>
          <xdr:rowOff>160020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807720</xdr:colOff>
          <xdr:row>33</xdr:row>
          <xdr:rowOff>30480</xdr:rowOff>
        </xdr:from>
        <xdr:to>
          <xdr:col>1</xdr:col>
          <xdr:colOff>1531620</xdr:colOff>
          <xdr:row>33</xdr:row>
          <xdr:rowOff>160020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</xdr:colOff>
          <xdr:row>44</xdr:row>
          <xdr:rowOff>30480</xdr:rowOff>
        </xdr:from>
        <xdr:to>
          <xdr:col>1</xdr:col>
          <xdr:colOff>769620</xdr:colOff>
          <xdr:row>45</xdr:row>
          <xdr:rowOff>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822960</xdr:colOff>
          <xdr:row>44</xdr:row>
          <xdr:rowOff>30480</xdr:rowOff>
        </xdr:from>
        <xdr:to>
          <xdr:col>1</xdr:col>
          <xdr:colOff>1546860</xdr:colOff>
          <xdr:row>45</xdr:row>
          <xdr:rowOff>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12</xdr:row>
          <xdr:rowOff>7620</xdr:rowOff>
        </xdr:from>
        <xdr:to>
          <xdr:col>1</xdr:col>
          <xdr:colOff>754380</xdr:colOff>
          <xdr:row>12</xdr:row>
          <xdr:rowOff>160020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792480</xdr:colOff>
          <xdr:row>12</xdr:row>
          <xdr:rowOff>7620</xdr:rowOff>
        </xdr:from>
        <xdr:to>
          <xdr:col>1</xdr:col>
          <xdr:colOff>1516380</xdr:colOff>
          <xdr:row>12</xdr:row>
          <xdr:rowOff>160020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abSelected="1" topLeftCell="A15" zoomScaleNormal="100" workbookViewId="0">
      <selection activeCell="C17" sqref="C17"/>
    </sheetView>
  </sheetViews>
  <sheetFormatPr defaultColWidth="14.44140625" defaultRowHeight="15" customHeight="1" outlineLevelRow="1" x14ac:dyDescent="0.3"/>
  <cols>
    <col min="1" max="1" width="3.109375" customWidth="1"/>
    <col min="2" max="2" width="28.33203125" customWidth="1"/>
    <col min="3" max="3" width="29.109375" customWidth="1"/>
    <col min="4" max="5" width="23" customWidth="1"/>
    <col min="6" max="6" width="21" customWidth="1"/>
    <col min="7" max="25" width="9.10937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164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2" t="s">
        <v>60</v>
      </c>
      <c r="C12" s="123"/>
      <c r="D12" s="123"/>
      <c r="E12" s="123"/>
      <c r="F12" s="124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5" t="s">
        <v>2</v>
      </c>
      <c r="C13" s="126"/>
      <c r="D13" s="126"/>
      <c r="E13" s="126"/>
      <c r="F13" s="127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5" t="s">
        <v>4</v>
      </c>
      <c r="C14" s="126"/>
      <c r="D14" s="126"/>
      <c r="E14" s="126"/>
      <c r="F14" s="127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8" t="s">
        <v>61</v>
      </c>
      <c r="C15" s="129"/>
      <c r="D15" s="129"/>
      <c r="E15" s="129"/>
      <c r="F15" s="130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210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7" t="s">
        <v>15</v>
      </c>
      <c r="C18" s="118"/>
      <c r="D18" s="118"/>
      <c r="E18" s="118"/>
      <c r="F18" s="119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165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7" t="s">
        <v>52</v>
      </c>
      <c r="C22" s="118"/>
      <c r="D22" s="118"/>
      <c r="E22" s="118"/>
      <c r="F22" s="119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20" t="s">
        <v>43</v>
      </c>
      <c r="C28" s="121"/>
      <c r="D28" s="121"/>
      <c r="E28" s="121"/>
      <c r="F28" s="13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4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7" t="s">
        <v>18</v>
      </c>
      <c r="C33" s="118"/>
      <c r="D33" s="118"/>
      <c r="E33" s="118"/>
      <c r="F33" s="119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186</v>
      </c>
      <c r="D34" s="23"/>
      <c r="E34" s="57">
        <v>2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178</v>
      </c>
      <c r="D35" s="23"/>
      <c r="E35" s="55">
        <v>2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175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20" t="s">
        <v>19</v>
      </c>
      <c r="C38" s="121"/>
      <c r="D38" s="118"/>
      <c r="E38" s="121"/>
      <c r="F38" s="119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20" t="s">
        <v>44</v>
      </c>
      <c r="C43" s="121"/>
      <c r="D43" s="118"/>
      <c r="E43" s="121"/>
      <c r="F43" s="119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45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7" t="s">
        <v>53</v>
      </c>
      <c r="C45" s="118"/>
      <c r="D45" s="118"/>
      <c r="E45" s="118"/>
      <c r="F45" s="119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116" t="s">
        <v>187</v>
      </c>
      <c r="D46" s="32"/>
      <c r="E46" s="57">
        <v>1</v>
      </c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7" t="s">
        <v>20</v>
      </c>
      <c r="C50" s="118"/>
      <c r="D50" s="118"/>
      <c r="E50" s="118"/>
      <c r="F50" s="119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55</v>
      </c>
      <c r="C59" s="17" t="s">
        <v>51</v>
      </c>
      <c r="D59" s="17" t="s">
        <v>56</v>
      </c>
      <c r="E59" s="18" t="s">
        <v>57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166</v>
      </c>
      <c r="D60" s="55">
        <v>707.85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167</v>
      </c>
      <c r="D61" s="55">
        <v>785.24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168</v>
      </c>
      <c r="D62" s="55">
        <v>190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 t="s">
        <v>169</v>
      </c>
      <c r="D63" s="55">
        <v>2630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 t="s">
        <v>170</v>
      </c>
      <c r="D64" s="55">
        <v>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 t="s">
        <v>171</v>
      </c>
      <c r="D65" s="55">
        <v>1000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 t="s">
        <v>172</v>
      </c>
      <c r="D66" s="55">
        <v>4500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5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9813.09</v>
      </c>
      <c r="E71" s="59">
        <f>SUM(E60:E70)</f>
        <v>0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7620</xdr:colOff>
                    <xdr:row>18</xdr:row>
                    <xdr:rowOff>22860</xdr:rowOff>
                  </from>
                  <to>
                    <xdr:col>1</xdr:col>
                    <xdr:colOff>731520</xdr:colOff>
                    <xdr:row>18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784860</xdr:colOff>
                    <xdr:row>18</xdr:row>
                    <xdr:rowOff>22860</xdr:rowOff>
                  </from>
                  <to>
                    <xdr:col>1</xdr:col>
                    <xdr:colOff>1508760</xdr:colOff>
                    <xdr:row>18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7620</xdr:colOff>
                    <xdr:row>22</xdr:row>
                    <xdr:rowOff>22860</xdr:rowOff>
                  </from>
                  <to>
                    <xdr:col>1</xdr:col>
                    <xdr:colOff>731520</xdr:colOff>
                    <xdr:row>22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784860</xdr:colOff>
                    <xdr:row>22</xdr:row>
                    <xdr:rowOff>22860</xdr:rowOff>
                  </from>
                  <to>
                    <xdr:col>1</xdr:col>
                    <xdr:colOff>1508760</xdr:colOff>
                    <xdr:row>22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7620</xdr:colOff>
                    <xdr:row>33</xdr:row>
                    <xdr:rowOff>22860</xdr:rowOff>
                  </from>
                  <to>
                    <xdr:col>1</xdr:col>
                    <xdr:colOff>731520</xdr:colOff>
                    <xdr:row>33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784860</xdr:colOff>
                    <xdr:row>33</xdr:row>
                    <xdr:rowOff>22860</xdr:rowOff>
                  </from>
                  <to>
                    <xdr:col>1</xdr:col>
                    <xdr:colOff>1508760</xdr:colOff>
                    <xdr:row>33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7620</xdr:colOff>
                    <xdr:row>38</xdr:row>
                    <xdr:rowOff>22860</xdr:rowOff>
                  </from>
                  <to>
                    <xdr:col>1</xdr:col>
                    <xdr:colOff>731520</xdr:colOff>
                    <xdr:row>38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784860</xdr:colOff>
                    <xdr:row>38</xdr:row>
                    <xdr:rowOff>22860</xdr:rowOff>
                  </from>
                  <to>
                    <xdr:col>1</xdr:col>
                    <xdr:colOff>1508760</xdr:colOff>
                    <xdr:row>38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7620</xdr:colOff>
                    <xdr:row>45</xdr:row>
                    <xdr:rowOff>22860</xdr:rowOff>
                  </from>
                  <to>
                    <xdr:col>1</xdr:col>
                    <xdr:colOff>731520</xdr:colOff>
                    <xdr:row>45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784860</xdr:colOff>
                    <xdr:row>45</xdr:row>
                    <xdr:rowOff>22860</xdr:rowOff>
                  </from>
                  <to>
                    <xdr:col>1</xdr:col>
                    <xdr:colOff>1508760</xdr:colOff>
                    <xdr:row>45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7620</xdr:colOff>
                    <xdr:row>50</xdr:row>
                    <xdr:rowOff>22860</xdr:rowOff>
                  </from>
                  <to>
                    <xdr:col>1</xdr:col>
                    <xdr:colOff>731520</xdr:colOff>
                    <xdr:row>50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784860</xdr:colOff>
                    <xdr:row>50</xdr:row>
                    <xdr:rowOff>22860</xdr:rowOff>
                  </from>
                  <to>
                    <xdr:col>1</xdr:col>
                    <xdr:colOff>1508760</xdr:colOff>
                    <xdr:row>50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7620</xdr:colOff>
                    <xdr:row>59</xdr:row>
                    <xdr:rowOff>22860</xdr:rowOff>
                  </from>
                  <to>
                    <xdr:col>1</xdr:col>
                    <xdr:colOff>731520</xdr:colOff>
                    <xdr:row>59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784860</xdr:colOff>
                    <xdr:row>59</xdr:row>
                    <xdr:rowOff>22860</xdr:rowOff>
                  </from>
                  <to>
                    <xdr:col>1</xdr:col>
                    <xdr:colOff>1508760</xdr:colOff>
                    <xdr:row>59</xdr:row>
                    <xdr:rowOff>160020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80"/>
  <sheetViews>
    <sheetView topLeftCell="B9" workbookViewId="0">
      <selection activeCell="G21" sqref="G21"/>
    </sheetView>
  </sheetViews>
  <sheetFormatPr defaultColWidth="14.44140625" defaultRowHeight="15" customHeight="1" outlineLevelRow="1" x14ac:dyDescent="0.3"/>
  <cols>
    <col min="1" max="1" width="4.109375" style="35" customWidth="1"/>
    <col min="2" max="2" width="23.5546875" style="35" customWidth="1"/>
    <col min="3" max="3" width="30.5546875" style="35" bestFit="1" customWidth="1"/>
    <col min="4" max="7" width="18.109375" style="35" customWidth="1"/>
    <col min="8" max="8" width="14.109375" style="35" customWidth="1"/>
    <col min="9" max="9" width="13.5546875" style="35" customWidth="1"/>
    <col min="10" max="10" width="9.88671875" style="35" bestFit="1" customWidth="1"/>
    <col min="11" max="19" width="8.6640625" style="35" customWidth="1"/>
    <col min="20" max="16384" width="14.44140625" style="35"/>
  </cols>
  <sheetData>
    <row r="1" spans="1:20" ht="12.75" customHeight="1" x14ac:dyDescent="0.3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19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5" customHeight="1" x14ac:dyDescent="0.3">
      <c r="A8" s="33"/>
      <c r="B8" s="132" t="s">
        <v>64</v>
      </c>
      <c r="C8" s="133"/>
      <c r="D8" s="133"/>
      <c r="E8" s="133"/>
      <c r="F8" s="133"/>
      <c r="G8" s="133"/>
      <c r="H8" s="133"/>
      <c r="I8" s="133"/>
      <c r="J8" s="134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3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3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4.4" x14ac:dyDescent="0.3">
      <c r="B11" s="42">
        <v>1</v>
      </c>
      <c r="C11" s="69" t="s">
        <v>179</v>
      </c>
      <c r="D11" s="27" t="s">
        <v>173</v>
      </c>
      <c r="E11" s="27" t="s">
        <v>174</v>
      </c>
      <c r="F11" s="55">
        <v>1</v>
      </c>
      <c r="G11" s="55">
        <v>1</v>
      </c>
      <c r="H11" s="55">
        <v>1</v>
      </c>
      <c r="I11" s="55">
        <v>50.67</v>
      </c>
      <c r="J11" s="55">
        <f>H11*I11</f>
        <v>50.67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42" x14ac:dyDescent="0.3">
      <c r="B12" s="42">
        <v>2</v>
      </c>
      <c r="C12" s="27" t="s">
        <v>188</v>
      </c>
      <c r="D12" s="27" t="s">
        <v>173</v>
      </c>
      <c r="E12" s="27" t="s">
        <v>174</v>
      </c>
      <c r="F12" s="55">
        <v>1</v>
      </c>
      <c r="G12" s="55">
        <v>1</v>
      </c>
      <c r="H12" s="55">
        <v>1</v>
      </c>
      <c r="I12" s="55">
        <v>53.33</v>
      </c>
      <c r="J12" s="55">
        <f t="shared" ref="J12:J24" si="0">H12*I12</f>
        <v>53.33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28.2" x14ac:dyDescent="0.3">
      <c r="B13" s="42">
        <v>3</v>
      </c>
      <c r="C13" s="27" t="s">
        <v>189</v>
      </c>
      <c r="D13" s="27" t="s">
        <v>173</v>
      </c>
      <c r="E13" s="27" t="s">
        <v>195</v>
      </c>
      <c r="F13" s="55">
        <v>1</v>
      </c>
      <c r="G13" s="55">
        <v>1</v>
      </c>
      <c r="H13" s="55">
        <v>1</v>
      </c>
      <c r="I13" s="55">
        <v>49.33</v>
      </c>
      <c r="J13" s="55">
        <f t="shared" si="0"/>
        <v>49.33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28.2" x14ac:dyDescent="0.3">
      <c r="B14" s="42">
        <v>4</v>
      </c>
      <c r="C14" s="27" t="s">
        <v>190</v>
      </c>
      <c r="D14" s="27" t="s">
        <v>173</v>
      </c>
      <c r="E14" s="27" t="s">
        <v>195</v>
      </c>
      <c r="F14" s="55">
        <v>1</v>
      </c>
      <c r="G14" s="55">
        <v>1</v>
      </c>
      <c r="H14" s="55">
        <v>1</v>
      </c>
      <c r="I14" s="55">
        <v>57.05</v>
      </c>
      <c r="J14" s="55">
        <f t="shared" si="0"/>
        <v>57.05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28.2" x14ac:dyDescent="0.3">
      <c r="B15" s="42">
        <v>5</v>
      </c>
      <c r="C15" s="27" t="s">
        <v>191</v>
      </c>
      <c r="D15" s="27" t="s">
        <v>173</v>
      </c>
      <c r="E15" s="27" t="s">
        <v>195</v>
      </c>
      <c r="F15" s="55">
        <v>1</v>
      </c>
      <c r="G15" s="55">
        <v>1</v>
      </c>
      <c r="H15" s="55">
        <v>2</v>
      </c>
      <c r="I15" s="55">
        <v>93.33</v>
      </c>
      <c r="J15" s="55">
        <f t="shared" si="0"/>
        <v>186.66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28.2" x14ac:dyDescent="0.3">
      <c r="B16" s="42">
        <v>6</v>
      </c>
      <c r="C16" s="27" t="s">
        <v>192</v>
      </c>
      <c r="D16" s="27" t="s">
        <v>181</v>
      </c>
      <c r="E16" s="27" t="s">
        <v>196</v>
      </c>
      <c r="F16" s="55">
        <v>1</v>
      </c>
      <c r="G16" s="55">
        <v>3</v>
      </c>
      <c r="H16" s="55">
        <v>4</v>
      </c>
      <c r="I16" s="55">
        <v>4.57</v>
      </c>
      <c r="J16" s="55">
        <f t="shared" si="0"/>
        <v>18.28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28.2" x14ac:dyDescent="0.3">
      <c r="B17" s="42">
        <v>7</v>
      </c>
      <c r="C17" s="27" t="s">
        <v>180</v>
      </c>
      <c r="D17" s="27" t="s">
        <v>181</v>
      </c>
      <c r="E17" s="27" t="s">
        <v>197</v>
      </c>
      <c r="F17" s="55">
        <v>1</v>
      </c>
      <c r="G17" s="55">
        <v>3</v>
      </c>
      <c r="H17" s="55">
        <v>4</v>
      </c>
      <c r="I17" s="55">
        <v>5.65</v>
      </c>
      <c r="J17" s="55">
        <f t="shared" si="0"/>
        <v>22.6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28.2" x14ac:dyDescent="0.3">
      <c r="B18" s="42">
        <v>8</v>
      </c>
      <c r="C18" s="27" t="s">
        <v>180</v>
      </c>
      <c r="D18" s="27" t="s">
        <v>181</v>
      </c>
      <c r="E18" s="27" t="s">
        <v>198</v>
      </c>
      <c r="F18" s="55">
        <v>2</v>
      </c>
      <c r="G18" s="55">
        <v>3</v>
      </c>
      <c r="H18" s="55">
        <v>5</v>
      </c>
      <c r="I18" s="55">
        <v>5.65</v>
      </c>
      <c r="J18" s="55">
        <f t="shared" si="0"/>
        <v>28.25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193</v>
      </c>
      <c r="D19" s="27" t="s">
        <v>176</v>
      </c>
      <c r="E19" s="27" t="s">
        <v>199</v>
      </c>
      <c r="F19" s="55">
        <v>3</v>
      </c>
      <c r="G19" s="55">
        <v>3</v>
      </c>
      <c r="H19" s="55">
        <v>9</v>
      </c>
      <c r="I19" s="55">
        <v>20.52</v>
      </c>
      <c r="J19" s="55">
        <f t="shared" si="0"/>
        <v>184.68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28.2" x14ac:dyDescent="0.3">
      <c r="B20" s="42">
        <v>10</v>
      </c>
      <c r="C20" s="27" t="s">
        <v>194</v>
      </c>
      <c r="D20" s="27" t="s">
        <v>173</v>
      </c>
      <c r="E20" s="27" t="s">
        <v>195</v>
      </c>
      <c r="F20" s="55">
        <v>1</v>
      </c>
      <c r="G20" s="55">
        <v>1</v>
      </c>
      <c r="H20" s="55">
        <v>1</v>
      </c>
      <c r="I20" s="55">
        <v>57</v>
      </c>
      <c r="J20" s="55">
        <f t="shared" si="0"/>
        <v>57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4.4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4.4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4.4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3">
      <c r="B27" s="42">
        <v>17</v>
      </c>
      <c r="C27" s="27"/>
      <c r="D27" s="27"/>
      <c r="E27" s="27"/>
      <c r="F27" s="55"/>
      <c r="G27" s="55"/>
      <c r="H27" s="55"/>
      <c r="I27" s="55"/>
      <c r="J27" s="55"/>
      <c r="K27" s="34"/>
      <c r="L27" s="34"/>
      <c r="M27" s="34"/>
      <c r="N27" s="34"/>
      <c r="O27" s="34"/>
      <c r="P27" s="34"/>
      <c r="Q27" s="34"/>
      <c r="R27" s="34"/>
      <c r="S27" s="34"/>
      <c r="T27" s="34"/>
    </row>
    <row r="28" spans="1:20" ht="12.75" customHeight="1" x14ac:dyDescent="0.3">
      <c r="B28" s="42">
        <v>18</v>
      </c>
      <c r="C28" s="27"/>
      <c r="D28" s="27"/>
      <c r="E28" s="27"/>
      <c r="F28" s="55"/>
      <c r="G28" s="55"/>
      <c r="H28" s="55"/>
      <c r="I28" s="55"/>
      <c r="J28" s="55"/>
      <c r="K28" s="34"/>
      <c r="L28" s="34"/>
      <c r="M28" s="34"/>
      <c r="N28" s="34"/>
      <c r="O28" s="34"/>
      <c r="P28" s="34"/>
      <c r="Q28" s="34"/>
      <c r="R28" s="34"/>
      <c r="S28" s="34"/>
      <c r="T28" s="34"/>
    </row>
    <row r="29" spans="1:20" ht="12.75" customHeight="1" x14ac:dyDescent="0.3">
      <c r="B29" s="42">
        <v>19</v>
      </c>
      <c r="C29" s="27"/>
      <c r="D29" s="27"/>
      <c r="E29" s="27"/>
      <c r="F29" s="55"/>
      <c r="G29" s="55"/>
      <c r="H29" s="55"/>
      <c r="I29" s="55"/>
      <c r="J29" s="55"/>
      <c r="K29" s="34"/>
      <c r="L29" s="34"/>
      <c r="M29" s="34"/>
      <c r="N29" s="34"/>
      <c r="O29" s="34"/>
      <c r="P29" s="34"/>
      <c r="Q29" s="34"/>
      <c r="R29" s="34"/>
      <c r="S29" s="34"/>
      <c r="T29" s="34"/>
    </row>
    <row r="30" spans="1:20" ht="12.75" customHeight="1" x14ac:dyDescent="0.3">
      <c r="A30" s="33"/>
      <c r="B30" s="34"/>
      <c r="C30" s="34"/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</row>
    <row r="31" spans="1:20" ht="15.75" customHeight="1" x14ac:dyDescent="0.3"/>
    <row r="32" spans="1:20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</sheetData>
  <sheetProtection password="C2E9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9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7620</xdr:colOff>
                    <xdr:row>10</xdr:row>
                    <xdr:rowOff>7620</xdr:rowOff>
                  </from>
                  <to>
                    <xdr:col>1</xdr:col>
                    <xdr:colOff>731520</xdr:colOff>
                    <xdr:row>10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769620</xdr:colOff>
                    <xdr:row>10</xdr:row>
                    <xdr:rowOff>7620</xdr:rowOff>
                  </from>
                  <to>
                    <xdr:col>1</xdr:col>
                    <xdr:colOff>1493520</xdr:colOff>
                    <xdr:row>10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8"/>
  <sheetViews>
    <sheetView topLeftCell="A22" workbookViewId="0">
      <selection activeCell="F35" sqref="F35"/>
    </sheetView>
  </sheetViews>
  <sheetFormatPr defaultColWidth="14.44140625" defaultRowHeight="15" customHeight="1" outlineLevelRow="1" x14ac:dyDescent="0.3"/>
  <cols>
    <col min="1" max="1" width="2.44140625" style="35" customWidth="1"/>
    <col min="2" max="2" width="27" style="35" customWidth="1"/>
    <col min="3" max="3" width="48.77734375" style="35" bestFit="1" customWidth="1"/>
    <col min="4" max="4" width="22.44140625" style="35" bestFit="1" customWidth="1"/>
    <col min="5" max="5" width="10.44140625" style="35" customWidth="1"/>
    <col min="6" max="6" width="18.33203125" style="35" customWidth="1"/>
    <col min="7" max="7" width="26.88671875" style="35" bestFit="1" customWidth="1"/>
    <col min="8" max="16" width="8.6640625" style="35" customWidth="1"/>
    <col min="17" max="16384" width="14.441406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17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5" t="s">
        <v>23</v>
      </c>
      <c r="C7" s="136"/>
      <c r="D7" s="136"/>
      <c r="E7" s="136"/>
      <c r="F7" s="136"/>
      <c r="G7" s="137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1" t="s">
        <v>24</v>
      </c>
      <c r="C8" s="142"/>
      <c r="D8" s="142"/>
      <c r="E8" s="142"/>
      <c r="F8" s="142"/>
      <c r="G8" s="143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1" t="s">
        <v>69</v>
      </c>
      <c r="C9" s="142"/>
      <c r="D9" s="142"/>
      <c r="E9" s="142"/>
      <c r="F9" s="142"/>
      <c r="G9" s="143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1" t="s">
        <v>25</v>
      </c>
      <c r="C10" s="142"/>
      <c r="D10" s="142"/>
      <c r="E10" s="142"/>
      <c r="F10" s="142"/>
      <c r="G10" s="143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1" t="s">
        <v>26</v>
      </c>
      <c r="C11" s="142"/>
      <c r="D11" s="142"/>
      <c r="E11" s="142"/>
      <c r="F11" s="142"/>
      <c r="G11" s="143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4" t="s">
        <v>27</v>
      </c>
      <c r="C12" s="145"/>
      <c r="D12" s="145"/>
      <c r="E12" s="145"/>
      <c r="F12" s="145"/>
      <c r="G12" s="146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8" t="s">
        <v>72</v>
      </c>
      <c r="C15" s="139"/>
      <c r="D15" s="139"/>
      <c r="E15" s="139"/>
      <c r="F15" s="139"/>
      <c r="G15" s="140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200</v>
      </c>
      <c r="D16" s="70" t="s">
        <v>177</v>
      </c>
      <c r="E16" s="55">
        <v>2</v>
      </c>
      <c r="F16" s="55">
        <v>16</v>
      </c>
      <c r="G16" s="55">
        <f>+E16*F16</f>
        <v>32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28.2" x14ac:dyDescent="0.3">
      <c r="B17" s="68">
        <v>2</v>
      </c>
      <c r="C17" s="69" t="s">
        <v>201</v>
      </c>
      <c r="D17" s="70" t="s">
        <v>177</v>
      </c>
      <c r="E17" s="55">
        <v>2</v>
      </c>
      <c r="F17" s="55">
        <v>17</v>
      </c>
      <c r="G17" s="55">
        <f t="shared" ref="G17:G27" si="0">+E17*F17</f>
        <v>34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42" x14ac:dyDescent="0.3">
      <c r="B18" s="68">
        <v>3</v>
      </c>
      <c r="C18" s="69" t="s">
        <v>202</v>
      </c>
      <c r="D18" s="70" t="s">
        <v>177</v>
      </c>
      <c r="E18" s="55">
        <v>15</v>
      </c>
      <c r="F18" s="55">
        <v>1.51</v>
      </c>
      <c r="G18" s="55">
        <f t="shared" si="0"/>
        <v>22.65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203</v>
      </c>
      <c r="D19" s="70" t="s">
        <v>209</v>
      </c>
      <c r="E19" s="55">
        <v>3</v>
      </c>
      <c r="F19" s="55">
        <v>1.6</v>
      </c>
      <c r="G19" s="55">
        <f t="shared" si="0"/>
        <v>4.8000000000000007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183</v>
      </c>
      <c r="D20" s="70" t="s">
        <v>209</v>
      </c>
      <c r="E20" s="55">
        <v>8</v>
      </c>
      <c r="F20" s="55">
        <v>1.6</v>
      </c>
      <c r="G20" s="55">
        <f t="shared" si="0"/>
        <v>12.8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184</v>
      </c>
      <c r="D21" s="70" t="s">
        <v>209</v>
      </c>
      <c r="E21" s="55">
        <v>5</v>
      </c>
      <c r="F21" s="55">
        <v>5</v>
      </c>
      <c r="G21" s="55">
        <f t="shared" si="0"/>
        <v>25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28.2" x14ac:dyDescent="0.3">
      <c r="B22" s="68">
        <v>7</v>
      </c>
      <c r="C22" s="69" t="s">
        <v>182</v>
      </c>
      <c r="D22" s="70" t="s">
        <v>209</v>
      </c>
      <c r="E22" s="55">
        <v>11</v>
      </c>
      <c r="F22" s="55">
        <v>2.77</v>
      </c>
      <c r="G22" s="55">
        <f t="shared" si="0"/>
        <v>30.47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28.2" x14ac:dyDescent="0.3">
      <c r="B23" s="68">
        <v>8</v>
      </c>
      <c r="C23" s="69" t="s">
        <v>204</v>
      </c>
      <c r="D23" s="70" t="s">
        <v>177</v>
      </c>
      <c r="E23" s="55">
        <v>3</v>
      </c>
      <c r="F23" s="55">
        <v>116.67</v>
      </c>
      <c r="G23" s="55">
        <f t="shared" si="0"/>
        <v>350.01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205</v>
      </c>
      <c r="D24" s="70" t="s">
        <v>209</v>
      </c>
      <c r="E24" s="55">
        <v>6</v>
      </c>
      <c r="F24" s="55">
        <v>14.33</v>
      </c>
      <c r="G24" s="55">
        <f t="shared" si="0"/>
        <v>85.98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 t="s">
        <v>185</v>
      </c>
      <c r="D25" s="70" t="s">
        <v>209</v>
      </c>
      <c r="E25" s="55">
        <v>3</v>
      </c>
      <c r="F25" s="55">
        <v>20.440000000000001</v>
      </c>
      <c r="G25" s="55">
        <f t="shared" si="0"/>
        <v>61.320000000000007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4" x14ac:dyDescent="0.3">
      <c r="B26" s="68">
        <v>11</v>
      </c>
      <c r="C26" s="69" t="s">
        <v>206</v>
      </c>
      <c r="D26" s="70" t="s">
        <v>209</v>
      </c>
      <c r="E26" s="55">
        <v>3</v>
      </c>
      <c r="F26" s="55">
        <v>14.33</v>
      </c>
      <c r="G26" s="55">
        <f t="shared" si="0"/>
        <v>42.99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 t="s">
        <v>207</v>
      </c>
      <c r="D27" s="70" t="s">
        <v>209</v>
      </c>
      <c r="E27" s="55">
        <v>1</v>
      </c>
      <c r="F27" s="55">
        <v>8.2200000000000006</v>
      </c>
      <c r="G27" s="55">
        <f t="shared" si="0"/>
        <v>8.2200000000000006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13</v>
      </c>
      <c r="C28" s="69" t="s">
        <v>208</v>
      </c>
      <c r="D28" s="70" t="s">
        <v>177</v>
      </c>
      <c r="E28" s="55">
        <v>5</v>
      </c>
      <c r="F28" s="55">
        <v>15</v>
      </c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14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15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16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17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138" t="s">
        <v>76</v>
      </c>
      <c r="C33" s="139"/>
      <c r="D33" s="139"/>
      <c r="E33" s="139"/>
      <c r="F33" s="139"/>
      <c r="G33" s="140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1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2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3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4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5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6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7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8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9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10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138" t="s">
        <v>29</v>
      </c>
      <c r="C44" s="139"/>
      <c r="D44" s="139"/>
      <c r="E44" s="139"/>
      <c r="F44" s="139"/>
      <c r="G44" s="140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2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3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4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5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6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7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8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9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B54" s="68">
        <v>10</v>
      </c>
      <c r="C54" s="69"/>
      <c r="D54" s="70"/>
      <c r="E54" s="55"/>
      <c r="F54" s="55"/>
      <c r="G54" s="55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A55" s="44"/>
      <c r="B55" s="39"/>
      <c r="C55" s="44"/>
      <c r="D55" s="39"/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4.25" customHeight="1" x14ac:dyDescent="0.3">
      <c r="A56" s="44"/>
      <c r="B56" s="39"/>
      <c r="C56" s="44"/>
      <c r="D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</row>
    <row r="57" spans="1:16" ht="15.75" customHeight="1" x14ac:dyDescent="0.3"/>
    <row r="58" spans="1:16" ht="15.75" customHeight="1" x14ac:dyDescent="0.3"/>
    <row r="59" spans="1:16" ht="15.75" customHeight="1" x14ac:dyDescent="0.3"/>
    <row r="60" spans="1:16" ht="15.75" customHeight="1" x14ac:dyDescent="0.3"/>
    <row r="61" spans="1:16" ht="15.75" customHeight="1" x14ac:dyDescent="0.3"/>
    <row r="62" spans="1:16" ht="15.75" customHeight="1" x14ac:dyDescent="0.3"/>
    <row r="63" spans="1:16" ht="15.75" customHeight="1" x14ac:dyDescent="0.3"/>
    <row r="64" spans="1:16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</sheetData>
  <sheetProtection password="C2E9" sheet="1" objects="1" scenarios="1" formatColumns="0" formatRows="0" sort="0" autoFilter="0"/>
  <mergeCells count="9">
    <mergeCell ref="B7:G7"/>
    <mergeCell ref="B33:G33"/>
    <mergeCell ref="B44:G44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54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45720</xdr:colOff>
                    <xdr:row>15</xdr:row>
                    <xdr:rowOff>30480</xdr:rowOff>
                  </from>
                  <to>
                    <xdr:col>1</xdr:col>
                    <xdr:colOff>769620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822960</xdr:colOff>
                    <xdr:row>15</xdr:row>
                    <xdr:rowOff>30480</xdr:rowOff>
                  </from>
                  <to>
                    <xdr:col>1</xdr:col>
                    <xdr:colOff>1546860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33</xdr:row>
                    <xdr:rowOff>30480</xdr:rowOff>
                  </from>
                  <to>
                    <xdr:col>1</xdr:col>
                    <xdr:colOff>762000</xdr:colOff>
                    <xdr:row>33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807720</xdr:colOff>
                    <xdr:row>33</xdr:row>
                    <xdr:rowOff>30480</xdr:rowOff>
                  </from>
                  <to>
                    <xdr:col>1</xdr:col>
                    <xdr:colOff>1531620</xdr:colOff>
                    <xdr:row>33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45720</xdr:colOff>
                    <xdr:row>44</xdr:row>
                    <xdr:rowOff>30480</xdr:rowOff>
                  </from>
                  <to>
                    <xdr:col>1</xdr:col>
                    <xdr:colOff>769620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822960</xdr:colOff>
                    <xdr:row>44</xdr:row>
                    <xdr:rowOff>30480</xdr:rowOff>
                  </from>
                  <to>
                    <xdr:col>1</xdr:col>
                    <xdr:colOff>1546860</xdr:colOff>
                    <xdr:row>45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E19" sqref="E19"/>
    </sheetView>
  </sheetViews>
  <sheetFormatPr defaultColWidth="14.44140625" defaultRowHeight="15" customHeight="1" outlineLevelRow="1" x14ac:dyDescent="0.25"/>
  <cols>
    <col min="1" max="1" width="2.88671875" style="40" customWidth="1"/>
    <col min="2" max="2" width="26" style="40" customWidth="1"/>
    <col min="3" max="3" width="26.44140625" style="40" customWidth="1"/>
    <col min="4" max="7" width="12.109375" style="40" customWidth="1"/>
    <col min="8" max="8" width="13.44140625" style="40" customWidth="1"/>
    <col min="9" max="14" width="12.109375" style="40" customWidth="1"/>
    <col min="15" max="15" width="1.109375" style="40" customWidth="1"/>
    <col min="16" max="16" width="12.109375" style="40" customWidth="1"/>
    <col min="17" max="26" width="8.6640625" style="40" customWidth="1"/>
    <col min="27" max="16384" width="14.44140625" style="40"/>
  </cols>
  <sheetData>
    <row r="1" spans="2:26" ht="12.75" customHeight="1" x14ac:dyDescent="0.25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25">
      <c r="B2" s="79" t="s">
        <v>77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25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25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25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25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25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25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25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25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25">
      <c r="B11" s="87"/>
      <c r="C11" s="87"/>
      <c r="D11" s="147" t="s">
        <v>32</v>
      </c>
      <c r="E11" s="148"/>
      <c r="F11" s="148"/>
      <c r="G11" s="148"/>
      <c r="H11" s="148"/>
      <c r="I11" s="148"/>
      <c r="J11" s="148"/>
      <c r="K11" s="148"/>
      <c r="L11" s="148"/>
      <c r="M11" s="148"/>
      <c r="N11" s="149"/>
      <c r="P11" s="150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25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51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25">
      <c r="B13" s="43">
        <v>1</v>
      </c>
      <c r="C13" s="69" t="s">
        <v>41</v>
      </c>
      <c r="D13" s="55">
        <v>25</v>
      </c>
      <c r="E13" s="55"/>
      <c r="F13" s="55"/>
      <c r="G13" s="55">
        <v>40</v>
      </c>
      <c r="H13" s="55"/>
      <c r="I13" s="55"/>
      <c r="J13" s="55"/>
      <c r="K13" s="55"/>
      <c r="L13" s="55"/>
      <c r="M13" s="55"/>
      <c r="N13" s="55"/>
      <c r="P13" s="88">
        <f>SUM(D13:N13)</f>
        <v>65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25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>
        <v>300</v>
      </c>
      <c r="L14" s="55"/>
      <c r="M14" s="55"/>
      <c r="N14" s="55"/>
      <c r="P14" s="88">
        <f t="shared" ref="P14:P22" si="0">SUM(D14:N14)</f>
        <v>300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25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25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25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25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25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25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25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25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25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25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25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25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25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25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25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25">
      <c r="B30" s="43"/>
      <c r="C30" s="41" t="s">
        <v>42</v>
      </c>
      <c r="D30" s="88">
        <f t="shared" ref="D30:N30" si="1">SUM(D13:D22)</f>
        <v>25</v>
      </c>
      <c r="E30" s="88">
        <f t="shared" si="1"/>
        <v>0</v>
      </c>
      <c r="F30" s="88">
        <f t="shared" si="1"/>
        <v>0</v>
      </c>
      <c r="G30" s="88">
        <f t="shared" si="1"/>
        <v>40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300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365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25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30480</xdr:colOff>
                    <xdr:row>12</xdr:row>
                    <xdr:rowOff>7620</xdr:rowOff>
                  </from>
                  <to>
                    <xdr:col>1</xdr:col>
                    <xdr:colOff>754380</xdr:colOff>
                    <xdr:row>12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792480</xdr:colOff>
                    <xdr:row>12</xdr:row>
                    <xdr:rowOff>7620</xdr:rowOff>
                  </from>
                  <to>
                    <xdr:col>1</xdr:col>
                    <xdr:colOff>1516380</xdr:colOff>
                    <xdr:row>12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09375" defaultRowHeight="14.4" x14ac:dyDescent="0.3"/>
  <cols>
    <col min="1" max="1" width="15.88671875" style="95" customWidth="1"/>
    <col min="2" max="2" width="36.109375" style="95" customWidth="1"/>
    <col min="3" max="3" width="59.5546875" style="95" bestFit="1" customWidth="1"/>
    <col min="4" max="4" width="13.5546875" style="95" customWidth="1"/>
    <col min="5" max="5" width="14.6640625" style="95" bestFit="1" customWidth="1"/>
    <col min="6" max="6" width="27.88671875" style="95" bestFit="1" customWidth="1"/>
    <col min="7" max="7" width="38.44140625" style="95" bestFit="1" customWidth="1"/>
    <col min="8" max="9" width="14.6640625" style="95" customWidth="1"/>
    <col min="10" max="16384" width="9.109375" style="95"/>
  </cols>
  <sheetData>
    <row r="1" spans="1:9" ht="15" thickBot="1" x14ac:dyDescent="0.35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5.6" thickTop="1" thickBot="1" x14ac:dyDescent="0.35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x14ac:dyDescent="0.3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3">
      <c r="E118"/>
      <c r="F118"/>
      <c r="G118"/>
      <c r="H118"/>
      <c r="I118"/>
    </row>
    <row r="119" spans="1:9" x14ac:dyDescent="0.3">
      <c r="E119"/>
      <c r="F119"/>
      <c r="G119"/>
      <c r="H119"/>
      <c r="I119"/>
    </row>
    <row r="120" spans="1:9" x14ac:dyDescent="0.3">
      <c r="E120"/>
      <c r="F120"/>
      <c r="G120"/>
      <c r="H120"/>
      <c r="I120"/>
    </row>
    <row r="121" spans="1:9" x14ac:dyDescent="0.3">
      <c r="E121"/>
      <c r="F121"/>
      <c r="G121"/>
      <c r="H121"/>
      <c r="I121"/>
    </row>
    <row r="122" spans="1:9" x14ac:dyDescent="0.3">
      <c r="E122"/>
      <c r="F122"/>
      <c r="G122"/>
      <c r="H122"/>
      <c r="I122"/>
    </row>
    <row r="123" spans="1:9" x14ac:dyDescent="0.3">
      <c r="E123"/>
      <c r="F123"/>
      <c r="G123"/>
      <c r="H123"/>
      <c r="I123"/>
    </row>
    <row r="124" spans="1:9" x14ac:dyDescent="0.3">
      <c r="E124"/>
      <c r="F124"/>
      <c r="G124"/>
      <c r="H124"/>
      <c r="I124"/>
    </row>
    <row r="125" spans="1:9" x14ac:dyDescent="0.3">
      <c r="E125"/>
      <c r="F125"/>
      <c r="G125"/>
      <c r="H125"/>
      <c r="I125"/>
    </row>
    <row r="126" spans="1:9" x14ac:dyDescent="0.3">
      <c r="E126"/>
      <c r="F126"/>
      <c r="G126"/>
      <c r="H126"/>
      <c r="I126"/>
    </row>
    <row r="127" spans="1:9" x14ac:dyDescent="0.3">
      <c r="E127"/>
      <c r="F127"/>
      <c r="G127"/>
      <c r="H127"/>
      <c r="I127"/>
    </row>
    <row r="128" spans="1:9" x14ac:dyDescent="0.3">
      <c r="E128"/>
      <c r="F128"/>
      <c r="G128"/>
      <c r="H128"/>
      <c r="I128"/>
    </row>
    <row r="129" spans="5:9" x14ac:dyDescent="0.3">
      <c r="E129"/>
      <c r="F129"/>
      <c r="G129"/>
      <c r="H129"/>
      <c r="I129"/>
    </row>
    <row r="130" spans="5:9" x14ac:dyDescent="0.3">
      <c r="E130"/>
      <c r="F130"/>
      <c r="G130"/>
      <c r="H130"/>
      <c r="I130"/>
    </row>
    <row r="131" spans="5:9" x14ac:dyDescent="0.3">
      <c r="E131"/>
      <c r="F131"/>
      <c r="G131"/>
      <c r="H131"/>
      <c r="I131"/>
    </row>
    <row r="132" spans="5:9" x14ac:dyDescent="0.3">
      <c r="E132"/>
      <c r="F132"/>
      <c r="G132"/>
      <c r="H132"/>
      <c r="I132"/>
    </row>
    <row r="133" spans="5:9" x14ac:dyDescent="0.3">
      <c r="E133"/>
      <c r="F133"/>
      <c r="G133"/>
      <c r="H133"/>
      <c r="I133"/>
    </row>
    <row r="134" spans="5:9" x14ac:dyDescent="0.3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PHIC-ECLAIMS 1</cp:lastModifiedBy>
  <dcterms:created xsi:type="dcterms:W3CDTF">2018-05-11T08:46:15Z</dcterms:created>
  <dcterms:modified xsi:type="dcterms:W3CDTF">2018-06-04T10:40:43Z</dcterms:modified>
</cp:coreProperties>
</file>