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Drugs&amp;Med'!$C$11:$C$11</definedName>
    <definedName name="_xlnm.Print_Area" localSheetId="0">'1.1 Case data_general'!$B$1:$F$80</definedName>
    <definedName name="_xlnm.Print_Area" localSheetId="1">'1.2 Drugs&amp;Med'!$B$2:$J$22</definedName>
  </definedNames>
  <calcPr calcId="144525"/>
</workbook>
</file>

<file path=xl/calcChain.xml><?xml version="1.0" encoding="utf-8"?>
<calcChain xmlns="http://schemas.openxmlformats.org/spreadsheetml/2006/main">
  <c r="D69" i="1" l="1"/>
  <c r="J12" i="2"/>
  <c r="J13" i="2"/>
  <c r="J14" i="2"/>
  <c r="J15" i="2"/>
  <c r="J16" i="2"/>
  <c r="J17" i="2"/>
  <c r="J18" i="2"/>
  <c r="J19" i="2"/>
  <c r="G17" i="9" l="1"/>
  <c r="G18" i="9"/>
  <c r="G19" i="9"/>
  <c r="G20" i="9"/>
  <c r="G21" i="9"/>
  <c r="G22" i="9"/>
  <c r="G23" i="9"/>
  <c r="G24" i="9"/>
  <c r="G25" i="9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<sst xmlns="http://schemas.openxmlformats.org/spreadsheetml/2006/main" count="517" uniqueCount="221">
  <si>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</si>
  <si>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</si>
  <si>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</si>
  <si>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</si>
  <si>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</si>
  <si>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</si>
  <si>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</si>
  <si>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</si>
  <si>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</si>
  <si>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</si>
  <si>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</si>
  <si>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</si>
  <si>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</si>
  <si>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</si>
  <si>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</si>
  <si>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</si>
  <si>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</si>
  <si>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</si>
  <si>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</si>
  <si>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</si>
  <si>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</si>
  <si>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</si>
  <si>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</si>
  <si>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</si>
  <si>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</si>
  <si>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</si>
  <si>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</si>
  <si>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</si>
  <si>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</si>
  <si>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</si>
  <si>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</si>
  <si>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</si>
  <si>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</si>
  <si>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</si>
  <si>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</si>
  <si>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</si>
  <si>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</si>
  <si>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</si>
  <si>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</si>
  <si>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</si>
  <si>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</si>
  <si>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</si>
  <si>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</si>
  <si>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</si>
  <si>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</si>
  <si>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</si>
  <si>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</si>
  <si>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</si>
  <si>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</si>
  <si>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</si>
  <si>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</si>
  <si>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</si>
  <si>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</si>
  <si>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</si>
  <si>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</si>
  <si>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</si>
  <si>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</si>
  <si>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</si>
  <si>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</si>
  <si>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</si>
  <si>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</si>
  <si>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</si>
  <si>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</si>
  <si>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</si>
  <si>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</si>
  <si>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</si>
  <si>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</si>
  <si>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</si>
  <si>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</si>
  <si>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</si>
  <si>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</si>
  <si>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</si>
  <si>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</si>
  <si>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</si>
  <si>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</si>
  <si>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</si>
  <si>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</si>
  <si>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</si>
  <si>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</si>
  <si>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</si>
  <si>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</si>
  <si>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</si>
  <si>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</si>
  <si>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</si>
  <si>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</si>
  <si>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</si>
  <si>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</si>
  <si>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</si>
  <si>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</si>
  <si>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</si>
  <si>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</si>
  <si>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</si>
  <si>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</si>
  <si>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</si>
  <si>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</si>
  <si>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</si>
  <si>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</si>
  <si>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</si>
  <si>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</si>
  <si>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</si>
  <si>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</si>
  <si>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</si>
  <si>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</si>
  <si>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</si>
  <si>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</si>
  <si>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</si>
  <si>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</si>
  <si>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</si>
  <si>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</si>
  <si>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</si>
  <si>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</si>
  <si>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</si>
  <si>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</si>
  <si>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</si>
  <si>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</si>
  <si>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</si>
  <si>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</si>
  <si>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</si>
  <si>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</si>
  <si>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</si>
  <si>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</si>
  <si>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</si>
  <si>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</si>
  <si>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</si>
  <si>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</si>
  <si>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</si>
  <si>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</si>
  <si>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</si>
  <si>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</si>
  <si>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</si>
  <si>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</si>
  <si>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</si>
  <si>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</si>
  <si>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</si>
  <si>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</si>
  <si>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</si>
  <si>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</si>
  <si>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</si>
  <si>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</si>
  <si>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</si>
  <si>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</si>
  <si>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</si>
  <si>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</si>
  <si>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</si>
  <si>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</si>
  <si>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</si>
  <si>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</si>
  <si>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</si>
  <si>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</si>
  <si>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</si>
  <si>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</si>
  <si>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</si>
  <si>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</si>
  <si>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</si>
  <si>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</si>
  <si>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</si>
  <si>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</si>
  <si>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</si>
  <si>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</si>
  <si>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</si>
  <si>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</si>
  <si>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</si>
  <si>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</si>
  <si>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</si>
  <si>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</si>
  <si>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</si>
  <si>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</si>
  <si>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</si>
  <si>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</si>
  <si>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</si>
  <si>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</si>
  <si>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</si>
  <si>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</si>
  <si>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</si>
  <si>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</si>
  <si>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CBC, PC</t>
  </si>
  <si>
    <t>vial</t>
  </si>
  <si>
    <t>CEFTRIAXONE SODIUM 1G</t>
  </si>
  <si>
    <t>pcs</t>
  </si>
  <si>
    <t>kit</t>
  </si>
  <si>
    <t>set</t>
  </si>
  <si>
    <t>J44.1</t>
  </si>
  <si>
    <t>BLOOD EXTRACTION FEE</t>
  </si>
  <si>
    <t>CREATININE (CREA)</t>
  </si>
  <si>
    <t>BLOOD UREA NITROGEN (BUN)</t>
  </si>
  <si>
    <t>BLOOD C/S (2 SITES)</t>
  </si>
  <si>
    <t>RESPIRATORY C/S (SPUTUM, ETA, NASAL, THROAT)</t>
  </si>
  <si>
    <t>AZITHROMYCIN DIHYDRATE 500MG IN CRYSTALLINE FORM</t>
  </si>
  <si>
    <t>FORMETEROL 4.5MCG + BUDESONIDE 160MCG - 120 DOSES</t>
  </si>
  <si>
    <t>HYDROCORTISONE SODIUM SUCCINATE 250MG</t>
  </si>
  <si>
    <t>PLAIN NSS 1L  (X 12S)</t>
  </si>
  <si>
    <t>SALBUTAMOL SULPHATE  1MG/ML-2.5ML</t>
  </si>
  <si>
    <t>ampule</t>
  </si>
  <si>
    <t>500 mg</t>
  </si>
  <si>
    <t>250mg</t>
  </si>
  <si>
    <t>DISPOSABLE SYRINGE 10ML G 21, W/ NEEDLE X 100S (CPR NEEDED)</t>
  </si>
  <si>
    <t>DISPOSABLE SYRINGE 5ML G 23, W/ NEEDLE X 100S</t>
  </si>
  <si>
    <t>HEMOGLUCOTEST TEST STRIP BOX OF 50S W/ FREE GLUCOMETER MACHINE FOR EVERY PURCHASE OF 25 BOXES WITH 2 EXTRA BATTERIES FOR EVERY GLUCOMETER MACHINE (CURACHECK/KOREA)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</si>
  <si>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</si>
  <si>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IV CATHETER GAUGE 20</t>
  </si>
  <si>
    <t>IV SET W/ AIRWAY FOR IV PUSH, MICRODRIP, PEDIA</t>
  </si>
  <si>
    <t>AFB STAIN</t>
  </si>
  <si>
    <t>NA (SODIUM)</t>
  </si>
  <si>
    <t>K (POTASSIUM)</t>
  </si>
  <si>
    <t>ARTERIAL BLOOD GASES (ABG)</t>
  </si>
  <si>
    <t>A16.2</t>
  </si>
  <si>
    <t>HYDROCORTISONE SODIUM SUCCINATE 100MG</t>
  </si>
  <si>
    <t>IPRATROPIUM+SALBUTAMOL 500MCG+2.5MG-2.5ML</t>
  </si>
  <si>
    <t>(MICROSET) IV INFUSION SET PEDIA</t>
  </si>
  <si>
    <t>SALBUTAMOL + IPRATROPIUM 2.5ML; BR RESP 35NEBS/BOX (DONATION)</t>
  </si>
  <si>
    <t>500MCG+2.5MG-2.5ML</t>
  </si>
  <si>
    <t>nebule</t>
  </si>
  <si>
    <t>100mg</t>
  </si>
  <si>
    <t>1MG/ML-2.5ML</t>
  </si>
  <si>
    <t xml:space="preserve"> 2.5ML; </t>
  </si>
  <si>
    <t>4.5MCG +  100mcg</t>
  </si>
  <si>
    <t>1 gram</t>
  </si>
  <si>
    <t>GAUZE SPONGE 4"X4", 8 PLY, 28X24 MESH, UNSTERILE,  W/O BLUE DETECTOR, PACK OF 100S (OS 4X4) (CPR NEEDED)</t>
  </si>
  <si>
    <t>IV SET FOR PEDIA W/ BURETTE FOR DOSIFICATION VENTS W/ FILTER, SOLUSET</t>
  </si>
  <si>
    <t>SYRINGE 10ML W/ NEEDLE G21 (DISPOSABLE) - ULTRASHARP HYPODEMIC 100/BOX - SHELF LIFE : 12 MONTHS</t>
  </si>
  <si>
    <t>273908/74173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</si>
</sst>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47</xdr:row>
          <xdr:rowOff>22860</xdr:rowOff>
        </xdr:from>
        <xdr:to>
          <xdr:col>1</xdr:col>
          <xdr:colOff>731520</xdr:colOff>
          <xdr:row>47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1508760</xdr:colOff>
          <xdr:row>47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1</xdr:col>
          <xdr:colOff>731520</xdr:colOff>
          <xdr:row>54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1508760</xdr:colOff>
          <xdr:row>54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59</xdr:row>
          <xdr:rowOff>22860</xdr:rowOff>
        </xdr:from>
        <xdr:to>
          <xdr:col>1</xdr:col>
          <xdr:colOff>731520</xdr:colOff>
          <xdr:row>59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1508760</xdr:colOff>
          <xdr:row>59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1</xdr:col>
          <xdr:colOff>731520</xdr:colOff>
          <xdr:row>68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68</xdr:row>
          <xdr:rowOff>22860</xdr:rowOff>
        </xdr:from>
        <xdr:to>
          <xdr:col>1</xdr:col>
          <xdr:colOff>1508760</xdr:colOff>
          <xdr:row>68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topLeftCell="A3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220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205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201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202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3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203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5">
        <v>4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204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186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19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9" t="s">
        <v>44</v>
      </c>
      <c r="C52" s="120"/>
      <c r="D52" s="117"/>
      <c r="E52" s="120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45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53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6" t="s">
        <v>20</v>
      </c>
      <c r="C59" s="117"/>
      <c r="D59" s="117"/>
      <c r="E59" s="117"/>
      <c r="F59" s="11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55</v>
      </c>
      <c r="C68" s="17" t="s">
        <v>51</v>
      </c>
      <c r="D68" s="17" t="s">
        <v>56</v>
      </c>
      <c r="E68" s="18" t="s">
        <v>57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166</v>
      </c>
      <c r="D69" s="55">
        <f>4208.96-1570.21</f>
        <v>2638.75</v>
      </c>
      <c r="E69" s="55">
        <v>1570.21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167</v>
      </c>
      <c r="D70" s="55">
        <v>651.25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168</v>
      </c>
      <c r="D71" s="55">
        <v>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169</v>
      </c>
      <c r="D72" s="55">
        <v>5710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170</v>
      </c>
      <c r="D73" s="55">
        <v>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171</v>
      </c>
      <c r="D74" s="55">
        <v>1500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172</v>
      </c>
      <c r="D75" s="55">
        <v>4500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5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1570.21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47</xdr:row>
                    <xdr:rowOff>22860</xdr:rowOff>
                  </from>
                  <to>
                    <xdr:col>1</xdr:col>
                    <xdr:colOff>731520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1508760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54</xdr:row>
                    <xdr:rowOff>22860</xdr:rowOff>
                  </from>
                  <to>
                    <xdr:col>1</xdr:col>
                    <xdr:colOff>731520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1508760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59</xdr:row>
                    <xdr:rowOff>22860</xdr:rowOff>
                  </from>
                  <to>
                    <xdr:col>1</xdr:col>
                    <xdr:colOff>731520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1508760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68</xdr:row>
                    <xdr:rowOff>22860</xdr:rowOff>
                  </from>
                  <to>
                    <xdr:col>1</xdr:col>
                    <xdr:colOff>731520</xdr:colOff>
                    <xdr:row>68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68</xdr:row>
                    <xdr:rowOff>22860</xdr:rowOff>
                  </from>
                  <to>
                    <xdr:col>1</xdr:col>
                    <xdr:colOff>1508760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topLeftCell="B27" workbookViewId="0">
      <selection activeCell="G20" sqref="G20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28.2" x14ac:dyDescent="0.3">
      <c r="B11" s="42">
        <v>1</v>
      </c>
      <c r="C11" s="69" t="s">
        <v>187</v>
      </c>
      <c r="D11" s="27" t="s">
        <v>176</v>
      </c>
      <c r="E11" s="27" t="s">
        <v>193</v>
      </c>
      <c r="F11" s="55">
        <v>2</v>
      </c>
      <c r="G11" s="55">
        <v>1</v>
      </c>
      <c r="H11" s="55">
        <v>5</v>
      </c>
      <c r="I11" s="55">
        <v>144.66999999999999</v>
      </c>
      <c r="J11" s="55">
        <f>H11*I11</f>
        <v>723.34999999999991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4.4" x14ac:dyDescent="0.3">
      <c r="B12" s="42">
        <v>2</v>
      </c>
      <c r="C12" s="69" t="s">
        <v>190</v>
      </c>
      <c r="D12" s="27" t="s">
        <v>173</v>
      </c>
      <c r="E12" s="27" t="s">
        <v>174</v>
      </c>
      <c r="F12" s="55">
        <v>1</v>
      </c>
      <c r="G12" s="55">
        <v>3</v>
      </c>
      <c r="H12" s="55">
        <v>7</v>
      </c>
      <c r="I12" s="55">
        <v>50.67</v>
      </c>
      <c r="J12" s="55">
        <f t="shared" ref="J12:J19" si="0">H12*I12</f>
        <v>354.69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69" t="s">
        <v>206</v>
      </c>
      <c r="D13" s="27" t="s">
        <v>176</v>
      </c>
      <c r="E13" s="27" t="s">
        <v>212</v>
      </c>
      <c r="F13" s="55">
        <v>1</v>
      </c>
      <c r="G13" s="55">
        <v>1</v>
      </c>
      <c r="H13" s="55">
        <v>1</v>
      </c>
      <c r="I13" s="55">
        <v>26.67</v>
      </c>
      <c r="J13" s="55">
        <f t="shared" si="0"/>
        <v>26.67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69" t="s">
        <v>189</v>
      </c>
      <c r="D14" s="27" t="s">
        <v>176</v>
      </c>
      <c r="E14" s="27" t="s">
        <v>194</v>
      </c>
      <c r="F14" s="55">
        <v>3</v>
      </c>
      <c r="G14" s="55">
        <v>3</v>
      </c>
      <c r="H14" s="55">
        <v>11</v>
      </c>
      <c r="I14" s="55">
        <v>71.12</v>
      </c>
      <c r="J14" s="55">
        <f t="shared" si="0"/>
        <v>782.32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69" t="s">
        <v>207</v>
      </c>
      <c r="D15" s="27" t="s">
        <v>192</v>
      </c>
      <c r="E15" s="27" t="s">
        <v>210</v>
      </c>
      <c r="F15" s="55">
        <v>1</v>
      </c>
      <c r="G15" s="55">
        <v>1</v>
      </c>
      <c r="H15" s="55">
        <v>1</v>
      </c>
      <c r="I15" s="55">
        <v>12.57</v>
      </c>
      <c r="J15" s="55">
        <f t="shared" si="0"/>
        <v>12.57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69" t="s">
        <v>191</v>
      </c>
      <c r="D16" s="27" t="s">
        <v>192</v>
      </c>
      <c r="E16" s="27" t="s">
        <v>213</v>
      </c>
      <c r="F16" s="55">
        <v>12</v>
      </c>
      <c r="G16" s="55">
        <v>4</v>
      </c>
      <c r="H16" s="55">
        <v>51</v>
      </c>
      <c r="I16" s="55">
        <v>5.65</v>
      </c>
      <c r="J16" s="55">
        <f t="shared" si="0"/>
        <v>288.15000000000003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42" x14ac:dyDescent="0.3">
      <c r="B17" s="42">
        <v>7</v>
      </c>
      <c r="C17" s="69" t="s">
        <v>209</v>
      </c>
      <c r="D17" s="27" t="s">
        <v>211</v>
      </c>
      <c r="E17" s="27" t="s">
        <v>214</v>
      </c>
      <c r="F17" s="55">
        <v>1</v>
      </c>
      <c r="G17" s="55">
        <v>1</v>
      </c>
      <c r="H17" s="55">
        <v>1</v>
      </c>
      <c r="I17" s="55">
        <v>492.8</v>
      </c>
      <c r="J17" s="55">
        <f t="shared" si="0"/>
        <v>492.8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28.2" x14ac:dyDescent="0.3">
      <c r="B18" s="42">
        <v>8</v>
      </c>
      <c r="C18" s="69" t="s">
        <v>188</v>
      </c>
      <c r="D18" s="27" t="s">
        <v>192</v>
      </c>
      <c r="E18" s="27" t="s">
        <v>215</v>
      </c>
      <c r="F18" s="55">
        <v>1</v>
      </c>
      <c r="G18" s="55">
        <v>1</v>
      </c>
      <c r="H18" s="55">
        <v>1</v>
      </c>
      <c r="I18" s="55">
        <v>1269.9100000000001</v>
      </c>
      <c r="J18" s="55">
        <f t="shared" si="0"/>
        <v>1269.9100000000001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4.4" x14ac:dyDescent="0.3">
      <c r="B19" s="42">
        <v>9</v>
      </c>
      <c r="C19" s="69" t="s">
        <v>177</v>
      </c>
      <c r="D19" s="27" t="s">
        <v>176</v>
      </c>
      <c r="E19" s="27" t="s">
        <v>216</v>
      </c>
      <c r="F19" s="55">
        <v>2</v>
      </c>
      <c r="G19" s="55">
        <v>4</v>
      </c>
      <c r="H19" s="55">
        <v>10</v>
      </c>
      <c r="I19" s="55">
        <v>20.149999999999999</v>
      </c>
      <c r="J19" s="55">
        <f t="shared" si="0"/>
        <v>201.5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69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4.4" x14ac:dyDescent="0.3">
      <c r="B21" s="42">
        <v>11</v>
      </c>
      <c r="C21" s="69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3"/>
    <row r="24" spans="1:20" ht="15.75" customHeight="1" x14ac:dyDescent="0.3"/>
    <row r="25" spans="1:20" ht="15.75" customHeight="1" x14ac:dyDescent="0.3"/>
    <row r="26" spans="1:20" ht="15.75" customHeight="1" x14ac:dyDescent="0.3"/>
    <row r="27" spans="1:20" ht="15.75" customHeight="1" x14ac:dyDescent="0.3"/>
    <row r="28" spans="1:20" ht="15.75" customHeight="1" x14ac:dyDescent="0.3"/>
    <row r="29" spans="1:20" ht="15.75" customHeight="1" x14ac:dyDescent="0.3"/>
    <row r="30" spans="1:20" ht="15.75" customHeight="1" x14ac:dyDescent="0.3"/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6" workbookViewId="0">
      <selection activeCell="G16" sqref="G16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208</v>
      </c>
      <c r="D16" s="70" t="s">
        <v>180</v>
      </c>
      <c r="E16" s="55">
        <v>3</v>
      </c>
      <c r="F16" s="55">
        <v>19</v>
      </c>
      <c r="G16" s="55">
        <f>+E16*F16</f>
        <v>57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42" x14ac:dyDescent="0.3">
      <c r="B17" s="68">
        <v>2</v>
      </c>
      <c r="C17" s="69" t="s">
        <v>217</v>
      </c>
      <c r="D17" s="70" t="s">
        <v>180</v>
      </c>
      <c r="E17" s="55">
        <v>9</v>
      </c>
      <c r="F17" s="55">
        <v>1.51</v>
      </c>
      <c r="G17" s="55">
        <f t="shared" ref="G17:G25" si="0">+E17*F17</f>
        <v>13.59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196</v>
      </c>
      <c r="D18" s="70" t="s">
        <v>178</v>
      </c>
      <c r="E18" s="55">
        <v>5</v>
      </c>
      <c r="F18" s="55">
        <v>5</v>
      </c>
      <c r="G18" s="55">
        <f t="shared" si="0"/>
        <v>25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178</v>
      </c>
      <c r="E19" s="55">
        <v>30</v>
      </c>
      <c r="F19" s="55">
        <v>2.77</v>
      </c>
      <c r="G19" s="55">
        <f t="shared" si="0"/>
        <v>83.1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218</v>
      </c>
      <c r="D20" s="70" t="s">
        <v>178</v>
      </c>
      <c r="E20" s="55">
        <v>1</v>
      </c>
      <c r="F20" s="55">
        <v>116.67</v>
      </c>
      <c r="G20" s="55">
        <f t="shared" si="0"/>
        <v>116.67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178</v>
      </c>
      <c r="E21" s="55">
        <v>3</v>
      </c>
      <c r="F21" s="55">
        <v>13.13</v>
      </c>
      <c r="G21" s="55">
        <f t="shared" si="0"/>
        <v>39.39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200</v>
      </c>
      <c r="D22" s="70" t="s">
        <v>178</v>
      </c>
      <c r="E22" s="55">
        <v>1</v>
      </c>
      <c r="F22" s="55">
        <v>20.440000000000001</v>
      </c>
      <c r="G22" s="55">
        <f t="shared" si="0"/>
        <v>20.440000000000001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55.8" x14ac:dyDescent="0.3">
      <c r="B23" s="68">
        <v>8</v>
      </c>
      <c r="C23" s="69" t="s">
        <v>197</v>
      </c>
      <c r="D23" s="70" t="s">
        <v>179</v>
      </c>
      <c r="E23" s="55">
        <v>3</v>
      </c>
      <c r="F23" s="55">
        <v>20</v>
      </c>
      <c r="G23" s="55">
        <f t="shared" si="0"/>
        <v>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198</v>
      </c>
      <c r="D24" s="70" t="s">
        <v>179</v>
      </c>
      <c r="E24" s="55">
        <v>2</v>
      </c>
      <c r="F24" s="55">
        <v>105.33</v>
      </c>
      <c r="G24" s="55">
        <f t="shared" si="0"/>
        <v>210.66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219</v>
      </c>
      <c r="D25" s="70" t="s">
        <v>178</v>
      </c>
      <c r="E25" s="55">
        <v>10</v>
      </c>
      <c r="F25" s="55">
        <v>8.24</v>
      </c>
      <c r="G25" s="55">
        <f t="shared" si="0"/>
        <v>82.4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76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2018-06-04T10:10:45Z</dcterms:modified>
</cp:coreProperties>
</file>