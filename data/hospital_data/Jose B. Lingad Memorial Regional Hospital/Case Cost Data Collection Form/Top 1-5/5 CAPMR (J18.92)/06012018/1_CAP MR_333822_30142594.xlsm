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60" windowWidth="15528" windowHeight="732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Supplies_Medical'!$C$15:$C$54</definedName>
    <definedName name="Drugs">'1.2 Drugs&amp;Med'!$C$11:$C$21</definedName>
    <definedName name="_xlnm.Print_Area" localSheetId="0">'1.1 Case data_general'!$B$1:$F$87</definedName>
    <definedName name="_xlnm.Print_Area" localSheetId="1">'1.2 Drugs&amp;Med'!$B$2:$J$38</definedName>
  </definedNames>
  <calcPr calcId="144525"/>
</workbook>
</file>

<file path=xl/calcChain.xml><?xml version="1.0" encoding="utf-8"?>
<calcChain xmlns="http://schemas.openxmlformats.org/spreadsheetml/2006/main">
  <c r="G28" i="9" l="1"/>
  <c r="G29" i="9"/>
  <c r="G30" i="9"/>
  <c r="G31" i="9"/>
  <c r="G32" i="9"/>
  <c r="J25" i="2"/>
  <c r="J26" i="2"/>
  <c r="J27" i="2"/>
  <c r="J28" i="2"/>
  <c r="J29" i="2"/>
  <c r="J30" i="2"/>
  <c r="J31" i="2"/>
  <c r="J32" i="2"/>
  <c r="J33" i="2"/>
  <c r="J34" i="2"/>
  <c r="D76" i="1"/>
  <c r="G17" i="9" l="1"/>
  <c r="G18" i="9"/>
  <c r="G19" i="9"/>
  <c r="G20" i="9"/>
  <c r="G21" i="9"/>
  <c r="G22" i="9"/>
  <c r="G23" i="9"/>
  <c r="G24" i="9"/>
  <c r="G25" i="9"/>
  <c r="G26" i="9"/>
  <c r="G27" i="9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G16" i="9" l="1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87" i="1"/>
  <c r="E87" i="1"/>
  <c r="D87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<sst xmlns="http://schemas.openxmlformats.org/spreadsheetml/2006/main" count="584" uniqueCount="265">
  <si>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</si>
  <si>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</si>
  <si>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</si>
  <si>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</si>
  <si>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</si>
  <si>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</si>
  <si>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</si>
  <si>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</si>
  <si>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</si>
  <si>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</si>
  <si>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</si>
  <si>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</si>
  <si>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</si>
  <si>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</si>
  <si>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</si>
  <si>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</si>
  <si>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</si>
  <si>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</si>
  <si>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</si>
  <si>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</si>
  <si>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</si>
  <si>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</si>
  <si>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</si>
  <si>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</si>
  <si>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</si>
  <si>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</si>
  <si>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</si>
  <si>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</si>
  <si>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</si>
  <si>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</si>
  <si>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</si>
  <si>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</si>
  <si>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</si>
  <si>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</si>
  <si>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</si>
  <si>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</si>
  <si>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</si>
  <si>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</si>
  <si>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</si>
  <si>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</si>
  <si>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</si>
  <si>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</si>
  <si>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</si>
  <si>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</si>
  <si>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</si>
  <si>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</si>
  <si>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</si>
  <si>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</si>
  <si>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</si>
  <si>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</si>
  <si>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</si>
  <si>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</si>
  <si>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</si>
  <si>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</si>
  <si>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</si>
  <si>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</si>
  <si>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</si>
  <si>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</si>
  <si>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</si>
  <si>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</si>
  <si>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</si>
  <si>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</si>
  <si>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</si>
  <si>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</si>
  <si>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</si>
  <si>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</si>
  <si>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</si>
  <si>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</si>
  <si>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</si>
  <si>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</si>
  <si>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</si>
  <si>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</si>
  <si>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</si>
  <si>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</si>
  <si>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</si>
  <si>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</si>
  <si>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</si>
  <si>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</si>
  <si>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</si>
  <si>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</si>
  <si>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</si>
  <si>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</si>
  <si>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</si>
  <si>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</si>
  <si>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</si>
  <si>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</si>
  <si>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</si>
  <si>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</si>
  <si>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</si>
  <si>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</si>
  <si>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</si>
  <si>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</si>
  <si>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</si>
  <si>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</si>
  <si>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</si>
  <si>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</si>
  <si>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</si>
  <si>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</si>
  <si>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</si>
  <si>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</si>
  <si>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</si>
  <si>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</si>
  <si>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</si>
  <si>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</si>
  <si>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</si>
  <si>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</si>
  <si>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</si>
  <si>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</si>
  <si>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</si>
  <si>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</si>
  <si>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</si>
  <si>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</si>
  <si>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</si>
  <si>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</si>
  <si>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</si>
  <si>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</si>
  <si>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</si>
  <si>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</si>
  <si>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</si>
  <si>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</si>
  <si>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</si>
  <si>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</si>
  <si>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</si>
  <si>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</si>
  <si>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</si>
  <si>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</si>
  <si>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</si>
  <si>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</si>
  <si>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</si>
  <si>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</si>
  <si>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</si>
  <si>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</si>
  <si>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</si>
  <si>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</si>
  <si>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</si>
  <si>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</si>
  <si>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</si>
  <si>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</si>
  <si>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</si>
  <si>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</si>
  <si>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</si>
  <si>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</si>
  <si>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</si>
  <si>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</si>
  <si>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</si>
  <si>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</si>
  <si>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</si>
  <si>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</si>
  <si>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</si>
  <si>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</si>
  <si>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</si>
  <si>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</si>
  <si>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</si>
  <si>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</si>
  <si>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</si>
  <si>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</si>
  <si>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</si>
  <si>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</si>
  <si>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</si>
  <si>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</si>
  <si>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</si>
  <si>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</si>
  <si>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</si>
  <si>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</si>
  <si>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</si>
  <si>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J18.92</t>
  </si>
  <si>
    <t>MEDICINES</t>
  </si>
  <si>
    <t>SUPPLIES</t>
  </si>
  <si>
    <t>XRAY</t>
  </si>
  <si>
    <t>LABORATORY</t>
  </si>
  <si>
    <t>OTHERS (EEG)</t>
  </si>
  <si>
    <t>ROOM AND ACCOMMODATION</t>
  </si>
  <si>
    <t>PROFESSIONAL FEE</t>
  </si>
  <si>
    <t>fluid</t>
  </si>
  <si>
    <t>1 liter</t>
  </si>
  <si>
    <t>CBC, PC</t>
  </si>
  <si>
    <t>vial</t>
  </si>
  <si>
    <t>CEFTRIAXONE SODIUM 1G</t>
  </si>
  <si>
    <t>pcs</t>
  </si>
  <si>
    <t>set</t>
  </si>
  <si>
    <t>I25.1</t>
  </si>
  <si>
    <t>BLOOD EXTRACTION FEE</t>
  </si>
  <si>
    <t>CREATININE (CREA)</t>
  </si>
  <si>
    <t>GRAMS STAIN (GS)</t>
  </si>
  <si>
    <t>BLOOD UREA NITROGEN (BUN)</t>
  </si>
  <si>
    <t>BLOOD C/S (2 SITES)</t>
  </si>
  <si>
    <t>RANDOM BLOOD SUGAR (RBS)</t>
  </si>
  <si>
    <t>IONIZED CALCIUM (ICA)</t>
  </si>
  <si>
    <t>MG (MAGNESIUM)</t>
  </si>
  <si>
    <t>RESPIRATORY C/S (SPUTUM, ETA, NASAL, THROAT)</t>
  </si>
  <si>
    <t>AZITHROMYCIN DIHYDRATE 500MG IN CRYSTALLINE FORM</t>
  </si>
  <si>
    <t>PLAIN NSS 1L  (X 12S)</t>
  </si>
  <si>
    <t>ROSUVASTATIN 20MG. TABS.</t>
  </si>
  <si>
    <t>tablet</t>
  </si>
  <si>
    <t>bottle</t>
  </si>
  <si>
    <t>ampule</t>
  </si>
  <si>
    <t>20mg</t>
  </si>
  <si>
    <t>DISPOSABLE SYRINGE 10ML G 21, W/ NEEDLE X 100S (CPR NEEDED)</t>
  </si>
  <si>
    <t>DISPOSABLE SYRINGE 5ML G 23, W/ NEEDLE X 100S</t>
  </si>
  <si>
    <t>HEMOGLUCOTEST TEST STRIP BOX OF 50S W/ FREE GLUCOMETER MACHINE FOR EVERY PURCHASE OF 25 BOXES WITH 2 EXTRA BATTERIES FOR EVERY GLUCOMETER MACHINE (CURACHECK/KOREA)</t>
  </si>
  <si>
    <t>I20.0</t>
  </si>
  <si>
    <t>I50.0</t>
  </si>
  <si>
    <t>I10.1</t>
  </si>
  <si>
    <t>NA (SODIUM)</t>
  </si>
  <si>
    <t>K (POTASSIUM)</t>
  </si>
  <si>
    <t>QUANTITATIVE TROPONIN I</t>
  </si>
  <si>
    <t>AMYLASE</t>
  </si>
  <si>
    <t>CKMB</t>
  </si>
  <si>
    <t>URINALYSIS (UA)</t>
  </si>
  <si>
    <t>(D5W 500ML) 5% DEXTROSE IN WATER  500ML (D5 W 500ML) X 24S</t>
  </si>
  <si>
    <t>ENOXAPARIN NA 100MG/ML-0.4ML</t>
  </si>
  <si>
    <t>FUROSEMIDE 40MG IN BLISTER FOIL PACK</t>
  </si>
  <si>
    <t>FUROSEMIDE 20MG</t>
  </si>
  <si>
    <t>HYOSCINE N-BUTYLBROMIDE 20MG/ML-1ML</t>
  </si>
  <si>
    <t>IPRATROPIUM+SALBUTAMOL 500MCG+2.5MG-2.5ML</t>
  </si>
  <si>
    <t>ISOSORBIDE DINITRATE 5MG BLISTER/FOIL PACK</t>
  </si>
  <si>
    <t>ISOSORBIDE DINITRATE 1MG/ML10ML</t>
  </si>
  <si>
    <t>(PLAIN LRS 1L) LACTATED RINGER''''S SOLUTION 1000ML (PLAIN LRS 1L) X 12S</t>
  </si>
  <si>
    <t>LACTULOSE 3.35G/5ML SYRUP BOTTLE OF 120ML</t>
  </si>
  <si>
    <t>MAGNESIUM SULFATE 500MG/ML-2ML AMP</t>
  </si>
  <si>
    <t>MORPHINE 10MG-1ML</t>
  </si>
  <si>
    <t>NOREPINEPHRINE BITARTRATE 1MG/ML-2ML</t>
  </si>
  <si>
    <t>OMEPRAZOLE 40MG POWDER</t>
  </si>
  <si>
    <t>AMIODARONE HCI 50MG/3ML</t>
  </si>
  <si>
    <t>CARVEDILOL 25MG BLISTER/FOIL PACK</t>
  </si>
  <si>
    <t>TRIMETAZIDINE 35MG IN BLISTER/FOIL PACK</t>
  </si>
  <si>
    <t>CALCIUM CARBONATE 500MG BLISTER/FOIL PACK</t>
  </si>
  <si>
    <t>CALCIUM GLUCONATE 10% - 10ML</t>
  </si>
  <si>
    <t>HEPARIN SODIUM 5,000IU/5ML VLS</t>
  </si>
  <si>
    <t>500 ml</t>
  </si>
  <si>
    <t xml:space="preserve"> 100MG/ML-0.4ML</t>
  </si>
  <si>
    <t>40mg</t>
  </si>
  <si>
    <t>20MG/ML-1ML</t>
  </si>
  <si>
    <t>500MCG+2.5MG-2.5ML</t>
  </si>
  <si>
    <t>5mg</t>
  </si>
  <si>
    <t>1MG/ML10ML</t>
  </si>
  <si>
    <t>3.35G/5Ml</t>
  </si>
  <si>
    <t xml:space="preserve">500MG/ML-2ML </t>
  </si>
  <si>
    <t>10MG-1ML</t>
  </si>
  <si>
    <t>1MG/ML-2ML</t>
  </si>
  <si>
    <t>50MG/3ML</t>
  </si>
  <si>
    <t>25MG</t>
  </si>
  <si>
    <t>35MG</t>
  </si>
  <si>
    <t xml:space="preserve">500mg </t>
  </si>
  <si>
    <t>1 G</t>
  </si>
  <si>
    <t xml:space="preserve"> 5,000IU/5ML VLS</t>
  </si>
  <si>
    <t xml:space="preserve"> 10% - 10ML</t>
  </si>
  <si>
    <t xml:space="preserve"> 500MG</t>
  </si>
  <si>
    <t>20 mg</t>
  </si>
  <si>
    <t>(MICROSET) IV INFUSION SET PEDIA</t>
  </si>
  <si>
    <t>NEBULIZER KIT WITH MOUTH PIECE</t>
  </si>
  <si>
    <t>SURGICAL GLOVES ELBOW LENGTH (POWDER FREE)   SIZE 6 1/2</t>
  </si>
  <si>
    <t>ASEPTO BULB SYRINGE TIP 60ML</t>
  </si>
  <si>
    <t>IV SET FOR PEDIA W/ BURETTE FOR DOSIFICATION VENTS W/ FILTER, SOLUSET</t>
  </si>
  <si>
    <t>IV CATHETER GAUGE 24</t>
  </si>
  <si>
    <t>IV SET W/ AIRWAY FOR IV PUSH, VACOSET/MACRODRIP, ADULT</t>
  </si>
  <si>
    <t>HEPARIN LOCK BOX OF 100''''''''''''''''S</t>
  </si>
  <si>
    <t>LUBRICANT JELLY 5G/SACHET, BOX OF 100''''''''''''''''S, STERIL AND BACTERIOLISTIC (STERILE)</t>
  </si>
  <si>
    <t>OXYGEN MASK ADULT W/ CONNECTING TUBE</t>
  </si>
  <si>
    <t>URINE BAG, ADULT W/ DRAINAGE TUBE 2,000 ML</t>
  </si>
  <si>
    <t>VENTURI MASK, ADULT</t>
  </si>
  <si>
    <t>OXYGEN FULL TANK</t>
  </si>
  <si>
    <t>SYRINGE 10ML W/ NEEDLE G21 (DISPOSABLE) - ULTRASHARP HYPODEMIC 100/BOX - SHELF LIFE : 12 MONTHS</t>
  </si>
  <si>
    <t>cyl</t>
  </si>
  <si>
    <t>333822/74009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</si>
</sst>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18</xdr:row>
          <xdr:rowOff>22860</xdr:rowOff>
        </xdr:from>
        <xdr:to>
          <xdr:col>1</xdr:col>
          <xdr:colOff>731520</xdr:colOff>
          <xdr:row>18</xdr:row>
          <xdr:rowOff>160020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18</xdr:row>
          <xdr:rowOff>22860</xdr:rowOff>
        </xdr:from>
        <xdr:to>
          <xdr:col>1</xdr:col>
          <xdr:colOff>1508760</xdr:colOff>
          <xdr:row>18</xdr:row>
          <xdr:rowOff>160020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24</xdr:row>
          <xdr:rowOff>22860</xdr:rowOff>
        </xdr:from>
        <xdr:to>
          <xdr:col>1</xdr:col>
          <xdr:colOff>731520</xdr:colOff>
          <xdr:row>24</xdr:row>
          <xdr:rowOff>160020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24</xdr:row>
          <xdr:rowOff>22860</xdr:rowOff>
        </xdr:from>
        <xdr:to>
          <xdr:col>1</xdr:col>
          <xdr:colOff>1508760</xdr:colOff>
          <xdr:row>24</xdr:row>
          <xdr:rowOff>160020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35</xdr:row>
          <xdr:rowOff>22860</xdr:rowOff>
        </xdr:from>
        <xdr:to>
          <xdr:col>1</xdr:col>
          <xdr:colOff>731520</xdr:colOff>
          <xdr:row>35</xdr:row>
          <xdr:rowOff>160020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35</xdr:row>
          <xdr:rowOff>22860</xdr:rowOff>
        </xdr:from>
        <xdr:to>
          <xdr:col>1</xdr:col>
          <xdr:colOff>1508760</xdr:colOff>
          <xdr:row>35</xdr:row>
          <xdr:rowOff>160020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54</xdr:row>
          <xdr:rowOff>22860</xdr:rowOff>
        </xdr:from>
        <xdr:to>
          <xdr:col>1</xdr:col>
          <xdr:colOff>731520</xdr:colOff>
          <xdr:row>54</xdr:row>
          <xdr:rowOff>160020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54</xdr:row>
          <xdr:rowOff>22860</xdr:rowOff>
        </xdr:from>
        <xdr:to>
          <xdr:col>1</xdr:col>
          <xdr:colOff>1508760</xdr:colOff>
          <xdr:row>54</xdr:row>
          <xdr:rowOff>160020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61</xdr:row>
          <xdr:rowOff>22860</xdr:rowOff>
        </xdr:from>
        <xdr:to>
          <xdr:col>1</xdr:col>
          <xdr:colOff>731520</xdr:colOff>
          <xdr:row>61</xdr:row>
          <xdr:rowOff>160020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61</xdr:row>
          <xdr:rowOff>22860</xdr:rowOff>
        </xdr:from>
        <xdr:to>
          <xdr:col>1</xdr:col>
          <xdr:colOff>1508760</xdr:colOff>
          <xdr:row>61</xdr:row>
          <xdr:rowOff>160020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66</xdr:row>
          <xdr:rowOff>22860</xdr:rowOff>
        </xdr:from>
        <xdr:to>
          <xdr:col>1</xdr:col>
          <xdr:colOff>731520</xdr:colOff>
          <xdr:row>66</xdr:row>
          <xdr:rowOff>160020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66</xdr:row>
          <xdr:rowOff>22860</xdr:rowOff>
        </xdr:from>
        <xdr:to>
          <xdr:col>1</xdr:col>
          <xdr:colOff>1508760</xdr:colOff>
          <xdr:row>66</xdr:row>
          <xdr:rowOff>160020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75</xdr:row>
          <xdr:rowOff>22860</xdr:rowOff>
        </xdr:from>
        <xdr:to>
          <xdr:col>1</xdr:col>
          <xdr:colOff>731520</xdr:colOff>
          <xdr:row>75</xdr:row>
          <xdr:rowOff>160020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75</xdr:row>
          <xdr:rowOff>22860</xdr:rowOff>
        </xdr:from>
        <xdr:to>
          <xdr:col>1</xdr:col>
          <xdr:colOff>1508760</xdr:colOff>
          <xdr:row>75</xdr:row>
          <xdr:rowOff>160020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10</xdr:row>
          <xdr:rowOff>7620</xdr:rowOff>
        </xdr:from>
        <xdr:to>
          <xdr:col>1</xdr:col>
          <xdr:colOff>731520</xdr:colOff>
          <xdr:row>10</xdr:row>
          <xdr:rowOff>160020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769620</xdr:colOff>
          <xdr:row>10</xdr:row>
          <xdr:rowOff>7620</xdr:rowOff>
        </xdr:from>
        <xdr:to>
          <xdr:col>1</xdr:col>
          <xdr:colOff>1493520</xdr:colOff>
          <xdr:row>10</xdr:row>
          <xdr:rowOff>160020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15</xdr:row>
          <xdr:rowOff>30480</xdr:rowOff>
        </xdr:from>
        <xdr:to>
          <xdr:col>1</xdr:col>
          <xdr:colOff>769620</xdr:colOff>
          <xdr:row>16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822960</xdr:colOff>
          <xdr:row>15</xdr:row>
          <xdr:rowOff>30480</xdr:rowOff>
        </xdr:from>
        <xdr:to>
          <xdr:col>1</xdr:col>
          <xdr:colOff>1546860</xdr:colOff>
          <xdr:row>16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33</xdr:row>
          <xdr:rowOff>30480</xdr:rowOff>
        </xdr:from>
        <xdr:to>
          <xdr:col>1</xdr:col>
          <xdr:colOff>762000</xdr:colOff>
          <xdr:row>33</xdr:row>
          <xdr:rowOff>160020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807720</xdr:colOff>
          <xdr:row>33</xdr:row>
          <xdr:rowOff>30480</xdr:rowOff>
        </xdr:from>
        <xdr:to>
          <xdr:col>1</xdr:col>
          <xdr:colOff>1531620</xdr:colOff>
          <xdr:row>33</xdr:row>
          <xdr:rowOff>160020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44</xdr:row>
          <xdr:rowOff>30480</xdr:rowOff>
        </xdr:from>
        <xdr:to>
          <xdr:col>1</xdr:col>
          <xdr:colOff>769620</xdr:colOff>
          <xdr:row>45</xdr:row>
          <xdr:rowOff>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822960</xdr:colOff>
          <xdr:row>44</xdr:row>
          <xdr:rowOff>30480</xdr:rowOff>
        </xdr:from>
        <xdr:to>
          <xdr:col>1</xdr:col>
          <xdr:colOff>1546860</xdr:colOff>
          <xdr:row>45</xdr:row>
          <xdr:rowOff>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12</xdr:row>
          <xdr:rowOff>7620</xdr:rowOff>
        </xdr:from>
        <xdr:to>
          <xdr:col>1</xdr:col>
          <xdr:colOff>754380</xdr:colOff>
          <xdr:row>12</xdr:row>
          <xdr:rowOff>160020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792480</xdr:colOff>
          <xdr:row>12</xdr:row>
          <xdr:rowOff>7620</xdr:rowOff>
        </xdr:from>
        <xdr:to>
          <xdr:col>1</xdr:col>
          <xdr:colOff>1516380</xdr:colOff>
          <xdr:row>12</xdr:row>
          <xdr:rowOff>160020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24"/>
  <sheetViews>
    <sheetView tabSelected="1" zoomScaleNormal="100" workbookViewId="0">
      <selection activeCell="C17" sqref="C17"/>
    </sheetView>
  </sheetViews>
  <sheetFormatPr defaultColWidth="14.44140625" defaultRowHeight="15" customHeight="1" outlineLevelRow="1" x14ac:dyDescent="0.3"/>
  <cols>
    <col min="1" max="1" width="3.109375" customWidth="1"/>
    <col min="2" max="2" width="28.33203125" customWidth="1"/>
    <col min="3" max="3" width="29.109375" customWidth="1"/>
    <col min="4" max="5" width="23" customWidth="1"/>
    <col min="6" max="6" width="21" customWidth="1"/>
    <col min="7" max="25" width="9.10937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164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5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18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60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61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264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165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180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 t="s">
        <v>200</v>
      </c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30">
        <v>4</v>
      </c>
      <c r="C22" s="31" t="s">
        <v>201</v>
      </c>
      <c r="D22" s="21"/>
      <c r="E22" s="21"/>
      <c r="F22" s="22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30">
        <v>5</v>
      </c>
      <c r="C23" s="31" t="s">
        <v>202</v>
      </c>
      <c r="D23" s="21"/>
      <c r="E23" s="21"/>
      <c r="F23" s="22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thickBot="1" x14ac:dyDescent="0.35">
      <c r="A24" s="1"/>
      <c r="B24" s="116" t="s">
        <v>52</v>
      </c>
      <c r="C24" s="117"/>
      <c r="D24" s="117"/>
      <c r="E24" s="117"/>
      <c r="F24" s="118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1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2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3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26">
        <v>4</v>
      </c>
      <c r="C28" s="27"/>
      <c r="D28" s="29"/>
      <c r="E28" s="55"/>
      <c r="F28" s="55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26">
        <v>5</v>
      </c>
      <c r="C29" s="27"/>
      <c r="D29" s="29"/>
      <c r="E29" s="55"/>
      <c r="F29" s="55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thickBot="1" x14ac:dyDescent="0.35">
      <c r="A30" s="1"/>
      <c r="B30" s="119" t="s">
        <v>43</v>
      </c>
      <c r="C30" s="120"/>
      <c r="D30" s="120"/>
      <c r="E30" s="120"/>
      <c r="F30" s="130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10" t="s">
        <v>159</v>
      </c>
      <c r="C31" s="113" t="s">
        <v>163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10" t="s">
        <v>160</v>
      </c>
      <c r="C32" s="114" t="s">
        <v>124</v>
      </c>
      <c r="D32" s="13"/>
      <c r="E32" s="13"/>
      <c r="F32" s="13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14" t="s">
        <v>161</v>
      </c>
      <c r="C33" s="114" t="s">
        <v>138</v>
      </c>
      <c r="D33" s="13"/>
      <c r="E33" s="13"/>
      <c r="F33" s="13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15" t="s">
        <v>17</v>
      </c>
      <c r="C34" s="7"/>
      <c r="D34" s="7"/>
      <c r="E34" s="56">
        <v>6</v>
      </c>
      <c r="F34" s="7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thickBot="1" x14ac:dyDescent="0.35">
      <c r="A35" s="1"/>
      <c r="B35" s="116" t="s">
        <v>18</v>
      </c>
      <c r="C35" s="117"/>
      <c r="D35" s="117"/>
      <c r="E35" s="117"/>
      <c r="F35" s="118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30">
        <v>1</v>
      </c>
      <c r="C36" s="31" t="s">
        <v>203</v>
      </c>
      <c r="D36" s="23"/>
      <c r="E36" s="57">
        <v>3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2</v>
      </c>
      <c r="C37" s="27" t="s">
        <v>182</v>
      </c>
      <c r="D37" s="23"/>
      <c r="E37" s="55">
        <v>3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3</v>
      </c>
      <c r="C38" s="27" t="s">
        <v>204</v>
      </c>
      <c r="D38" s="23"/>
      <c r="E38" s="55">
        <v>3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4</v>
      </c>
      <c r="C39" s="27" t="s">
        <v>181</v>
      </c>
      <c r="D39" s="23"/>
      <c r="E39" s="55">
        <v>4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5</v>
      </c>
      <c r="C40" s="27" t="s">
        <v>183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6</v>
      </c>
      <c r="C41" s="27" t="s">
        <v>205</v>
      </c>
      <c r="D41" s="23"/>
      <c r="E41" s="55">
        <v>2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7</v>
      </c>
      <c r="C42" s="27" t="s">
        <v>184</v>
      </c>
      <c r="D42" s="23"/>
      <c r="E42" s="55">
        <v>1</v>
      </c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8</v>
      </c>
      <c r="C43" s="27" t="s">
        <v>185</v>
      </c>
      <c r="D43" s="23"/>
      <c r="E43" s="55">
        <v>2</v>
      </c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9</v>
      </c>
      <c r="C44" s="27" t="s">
        <v>186</v>
      </c>
      <c r="D44" s="23"/>
      <c r="E44" s="55">
        <v>1</v>
      </c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10</v>
      </c>
      <c r="C45" s="27" t="s">
        <v>187</v>
      </c>
      <c r="D45" s="23"/>
      <c r="E45" s="55">
        <v>1</v>
      </c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11</v>
      </c>
      <c r="C46" s="27" t="s">
        <v>206</v>
      </c>
      <c r="D46" s="23"/>
      <c r="E46" s="55">
        <v>1</v>
      </c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12</v>
      </c>
      <c r="C47" s="27" t="s">
        <v>207</v>
      </c>
      <c r="D47" s="23"/>
      <c r="E47" s="55">
        <v>2</v>
      </c>
      <c r="F47" s="2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13</v>
      </c>
      <c r="C48" s="27" t="s">
        <v>175</v>
      </c>
      <c r="D48" s="23"/>
      <c r="E48" s="55">
        <v>2</v>
      </c>
      <c r="F48" s="24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14</v>
      </c>
      <c r="C49" s="27" t="s">
        <v>188</v>
      </c>
      <c r="D49" s="23"/>
      <c r="E49" s="55">
        <v>3</v>
      </c>
      <c r="F49" s="24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15</v>
      </c>
      <c r="C50" s="27" t="s">
        <v>189</v>
      </c>
      <c r="D50" s="23"/>
      <c r="E50" s="55">
        <v>1</v>
      </c>
      <c r="F50" s="24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16</v>
      </c>
      <c r="C51" s="27" t="s">
        <v>208</v>
      </c>
      <c r="D51" s="23"/>
      <c r="E51" s="55">
        <v>1</v>
      </c>
      <c r="F51" s="24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17</v>
      </c>
      <c r="C52" s="27"/>
      <c r="D52" s="23"/>
      <c r="E52" s="55"/>
      <c r="F52" s="24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18</v>
      </c>
      <c r="C53" s="27"/>
      <c r="D53" s="23"/>
      <c r="E53" s="55"/>
      <c r="F53" s="24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thickBot="1" x14ac:dyDescent="0.35">
      <c r="A54" s="1"/>
      <c r="B54" s="119" t="s">
        <v>19</v>
      </c>
      <c r="C54" s="120"/>
      <c r="D54" s="117"/>
      <c r="E54" s="120"/>
      <c r="F54" s="118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1</v>
      </c>
      <c r="C55" s="27"/>
      <c r="D55" s="23"/>
      <c r="E55" s="55"/>
      <c r="F55" s="24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2</v>
      </c>
      <c r="C56" s="27"/>
      <c r="D56" s="23"/>
      <c r="E56" s="55"/>
      <c r="F56" s="24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3</v>
      </c>
      <c r="C57" s="27"/>
      <c r="D57" s="23"/>
      <c r="E57" s="55"/>
      <c r="F57" s="24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4</v>
      </c>
      <c r="C58" s="27"/>
      <c r="D58" s="23"/>
      <c r="E58" s="55"/>
      <c r="F58" s="24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thickBot="1" x14ac:dyDescent="0.35">
      <c r="A59" s="1"/>
      <c r="B59" s="119" t="s">
        <v>44</v>
      </c>
      <c r="C59" s="120"/>
      <c r="D59" s="117"/>
      <c r="E59" s="120"/>
      <c r="F59" s="118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4" t="s">
        <v>45</v>
      </c>
      <c r="C60" s="13"/>
      <c r="D60" s="13"/>
      <c r="E60" s="16"/>
      <c r="F60" s="13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thickBot="1" x14ac:dyDescent="0.35">
      <c r="A61" s="1"/>
      <c r="B61" s="116" t="s">
        <v>53</v>
      </c>
      <c r="C61" s="117"/>
      <c r="D61" s="117"/>
      <c r="E61" s="117"/>
      <c r="F61" s="118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20"/>
      <c r="B62" s="30">
        <v>1</v>
      </c>
      <c r="C62" s="31"/>
      <c r="D62" s="32"/>
      <c r="E62" s="57"/>
      <c r="F62" s="57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20"/>
      <c r="B63" s="30">
        <v>2</v>
      </c>
      <c r="C63" s="31"/>
      <c r="D63" s="32"/>
      <c r="E63" s="57"/>
      <c r="F63" s="57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20"/>
      <c r="B64" s="26">
        <v>3</v>
      </c>
      <c r="C64" s="27"/>
      <c r="D64" s="28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20"/>
      <c r="B65" s="26">
        <v>4</v>
      </c>
      <c r="C65" s="27"/>
      <c r="D65" s="28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thickBot="1" x14ac:dyDescent="0.35">
      <c r="A66" s="1"/>
      <c r="B66" s="116" t="s">
        <v>20</v>
      </c>
      <c r="C66" s="117"/>
      <c r="D66" s="117"/>
      <c r="E66" s="117"/>
      <c r="F66" s="118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26">
        <v>1</v>
      </c>
      <c r="C67" s="27"/>
      <c r="D67" s="28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26">
        <v>2</v>
      </c>
      <c r="C68" s="27"/>
      <c r="D68" s="28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26">
        <v>3</v>
      </c>
      <c r="C69" s="27"/>
      <c r="D69" s="28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26">
        <v>4</v>
      </c>
      <c r="C70" s="27"/>
      <c r="D70" s="28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26">
        <v>5</v>
      </c>
      <c r="C71" s="27"/>
      <c r="D71" s="28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26">
        <v>6</v>
      </c>
      <c r="C72" s="27"/>
      <c r="D72" s="28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25"/>
      <c r="C73" s="25"/>
      <c r="D73" s="25"/>
      <c r="E73" s="25"/>
      <c r="F73" s="2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57.75" customHeight="1" thickBot="1" x14ac:dyDescent="0.35">
      <c r="A75" s="1"/>
      <c r="B75" s="17" t="s">
        <v>55</v>
      </c>
      <c r="C75" s="17" t="s">
        <v>51</v>
      </c>
      <c r="D75" s="17" t="s">
        <v>56</v>
      </c>
      <c r="E75" s="18" t="s">
        <v>57</v>
      </c>
      <c r="F75" s="19" t="s">
        <v>21</v>
      </c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2">
        <v>1</v>
      </c>
      <c r="C76" s="27" t="s">
        <v>166</v>
      </c>
      <c r="D76" s="55">
        <f>8842.7-1582.7</f>
        <v>7260.0000000000009</v>
      </c>
      <c r="E76" s="55"/>
      <c r="F76" s="55">
        <v>1582.7</v>
      </c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0">
        <v>2</v>
      </c>
      <c r="C77" s="27" t="s">
        <v>167</v>
      </c>
      <c r="D77" s="55"/>
      <c r="E77" s="55"/>
      <c r="F77" s="55">
        <v>3544.26</v>
      </c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0">
        <v>3</v>
      </c>
      <c r="C78" s="27" t="s">
        <v>168</v>
      </c>
      <c r="D78" s="55">
        <v>240</v>
      </c>
      <c r="E78" s="55"/>
      <c r="F78" s="55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0">
        <v>4</v>
      </c>
      <c r="C79" s="27" t="s">
        <v>169</v>
      </c>
      <c r="D79" s="55"/>
      <c r="E79" s="55"/>
      <c r="F79" s="55">
        <v>11495</v>
      </c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0">
        <v>5</v>
      </c>
      <c r="C80" s="27" t="s">
        <v>170</v>
      </c>
      <c r="D80" s="55">
        <v>0</v>
      </c>
      <c r="E80" s="55"/>
      <c r="F80" s="55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0">
        <v>6</v>
      </c>
      <c r="C81" s="27" t="s">
        <v>171</v>
      </c>
      <c r="D81" s="55">
        <v>3000</v>
      </c>
      <c r="E81" s="55"/>
      <c r="F81" s="55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0">
        <v>7</v>
      </c>
      <c r="C82" s="27" t="s">
        <v>172</v>
      </c>
      <c r="D82" s="55">
        <v>4500</v>
      </c>
      <c r="E82" s="55"/>
      <c r="F82" s="55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0">
        <v>8</v>
      </c>
      <c r="C83" s="27"/>
      <c r="D83" s="55"/>
      <c r="E83" s="55"/>
      <c r="F83" s="55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0">
        <v>9</v>
      </c>
      <c r="C84" s="27"/>
      <c r="D84" s="55"/>
      <c r="E84" s="55"/>
      <c r="F84" s="55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0">
        <v>10</v>
      </c>
      <c r="C85" s="27"/>
      <c r="D85" s="55"/>
      <c r="E85" s="55"/>
      <c r="F85" s="55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4.95" customHeight="1" thickBot="1" x14ac:dyDescent="0.35">
      <c r="A86" s="1"/>
      <c r="B86" s="1"/>
      <c r="C86" s="1"/>
      <c r="D86" s="58"/>
      <c r="E86" s="58"/>
      <c r="F86" s="58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thickTop="1" x14ac:dyDescent="0.3">
      <c r="A87" s="1"/>
      <c r="B87" s="11"/>
      <c r="C87" s="4" t="s">
        <v>22</v>
      </c>
      <c r="D87" s="59">
        <f>SUM(D76:D86)</f>
        <v>15000</v>
      </c>
      <c r="E87" s="59">
        <f>SUM(E76:E86)</f>
        <v>0</v>
      </c>
      <c r="F87" s="59">
        <f>SUM(F76:F86)</f>
        <v>16621.96</v>
      </c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  <row r="1015" spans="1:25" ht="13.5" customHeight="1" x14ac:dyDescent="0.3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</row>
    <row r="1016" spans="1:25" ht="13.5" customHeight="1" x14ac:dyDescent="0.3">
      <c r="A1016" s="1"/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</row>
    <row r="1017" spans="1:25" ht="13.5" customHeight="1" x14ac:dyDescent="0.3">
      <c r="A1017" s="1"/>
      <c r="B1017" s="1"/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</row>
    <row r="1018" spans="1:25" ht="13.5" customHeight="1" x14ac:dyDescent="0.3">
      <c r="A1018" s="1"/>
      <c r="B1018" s="1"/>
      <c r="C1018" s="1"/>
      <c r="D1018" s="1"/>
      <c r="E1018" s="1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</row>
    <row r="1019" spans="1:25" ht="13.5" customHeight="1" x14ac:dyDescent="0.3">
      <c r="A1019" s="1"/>
      <c r="B1019" s="1"/>
      <c r="C1019" s="1"/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</row>
    <row r="1020" spans="1:25" ht="13.5" customHeight="1" x14ac:dyDescent="0.3">
      <c r="A1020" s="1"/>
      <c r="B1020" s="1"/>
      <c r="C1020" s="1"/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</row>
    <row r="1021" spans="1:25" ht="13.5" customHeight="1" x14ac:dyDescent="0.3">
      <c r="A1021" s="1"/>
      <c r="B1021" s="1"/>
      <c r="C1021" s="1"/>
      <c r="D1021" s="1"/>
      <c r="E1021" s="1"/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</row>
    <row r="1022" spans="1:25" ht="13.5" customHeight="1" x14ac:dyDescent="0.3">
      <c r="A1022" s="1"/>
      <c r="B1022" s="1"/>
      <c r="C1022" s="1"/>
      <c r="D1022" s="1"/>
      <c r="E1022" s="1"/>
      <c r="F1022" s="1"/>
      <c r="G1022" s="1"/>
      <c r="H1022" s="1"/>
      <c r="I1022" s="1"/>
      <c r="J1022" s="1"/>
      <c r="K1022" s="1"/>
      <c r="L1022" s="1"/>
      <c r="M1022" s="1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</row>
    <row r="1023" spans="1:25" ht="13.5" customHeight="1" x14ac:dyDescent="0.3">
      <c r="A1023" s="1"/>
      <c r="B1023" s="1"/>
      <c r="C1023" s="1"/>
      <c r="D1023" s="1"/>
      <c r="E1023" s="1"/>
      <c r="F1023" s="1"/>
      <c r="G1023" s="1"/>
      <c r="H1023" s="1"/>
      <c r="I1023" s="1"/>
      <c r="J1023" s="1"/>
      <c r="K1023" s="1"/>
      <c r="L1023" s="1"/>
      <c r="M1023" s="1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</row>
    <row r="1024" spans="1:25" ht="13.5" customHeight="1" x14ac:dyDescent="0.3">
      <c r="A1024" s="1"/>
      <c r="B1024" s="1"/>
      <c r="C1024" s="1"/>
      <c r="D1024" s="1"/>
      <c r="E1024" s="1"/>
      <c r="F1024" s="1"/>
      <c r="G1024" s="1"/>
      <c r="H1024" s="1"/>
      <c r="I1024" s="1"/>
      <c r="J1024" s="1"/>
      <c r="K1024" s="1"/>
      <c r="L1024" s="1"/>
      <c r="M1024" s="1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</row>
  </sheetData>
  <sheetProtection formatColumns="0" formatRows="0" sort="0" autoFilter="0"/>
  <mergeCells count="12">
    <mergeCell ref="B66:F66"/>
    <mergeCell ref="B59:F59"/>
    <mergeCell ref="B12:F12"/>
    <mergeCell ref="B13:F13"/>
    <mergeCell ref="B14:F14"/>
    <mergeCell ref="B15:F15"/>
    <mergeCell ref="B18:F18"/>
    <mergeCell ref="B24:F24"/>
    <mergeCell ref="B35:F35"/>
    <mergeCell ref="B30:F30"/>
    <mergeCell ref="B54:F54"/>
    <mergeCell ref="B61:F61"/>
  </mergeCells>
  <dataValidations count="1">
    <dataValidation type="decimal" operator="greaterThanOrEqual" allowBlank="1" showInputMessage="1" showErrorMessage="1" sqref="E34 E55:E58 E60 E25:F29 E62:F65 E67:F72 D76:F85 E36:E53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74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7620</xdr:colOff>
                    <xdr:row>18</xdr:row>
                    <xdr:rowOff>22860</xdr:rowOff>
                  </from>
                  <to>
                    <xdr:col>1</xdr:col>
                    <xdr:colOff>731520</xdr:colOff>
                    <xdr:row>18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784860</xdr:colOff>
                    <xdr:row>18</xdr:row>
                    <xdr:rowOff>22860</xdr:rowOff>
                  </from>
                  <to>
                    <xdr:col>1</xdr:col>
                    <xdr:colOff>1508760</xdr:colOff>
                    <xdr:row>18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7620</xdr:colOff>
                    <xdr:row>24</xdr:row>
                    <xdr:rowOff>22860</xdr:rowOff>
                  </from>
                  <to>
                    <xdr:col>1</xdr:col>
                    <xdr:colOff>731520</xdr:colOff>
                    <xdr:row>24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784860</xdr:colOff>
                    <xdr:row>24</xdr:row>
                    <xdr:rowOff>22860</xdr:rowOff>
                  </from>
                  <to>
                    <xdr:col>1</xdr:col>
                    <xdr:colOff>1508760</xdr:colOff>
                    <xdr:row>24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7620</xdr:colOff>
                    <xdr:row>35</xdr:row>
                    <xdr:rowOff>22860</xdr:rowOff>
                  </from>
                  <to>
                    <xdr:col>1</xdr:col>
                    <xdr:colOff>731520</xdr:colOff>
                    <xdr:row>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784860</xdr:colOff>
                    <xdr:row>35</xdr:row>
                    <xdr:rowOff>22860</xdr:rowOff>
                  </from>
                  <to>
                    <xdr:col>1</xdr:col>
                    <xdr:colOff>1508760</xdr:colOff>
                    <xdr:row>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7620</xdr:colOff>
                    <xdr:row>54</xdr:row>
                    <xdr:rowOff>22860</xdr:rowOff>
                  </from>
                  <to>
                    <xdr:col>1</xdr:col>
                    <xdr:colOff>731520</xdr:colOff>
                    <xdr:row>54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784860</xdr:colOff>
                    <xdr:row>54</xdr:row>
                    <xdr:rowOff>22860</xdr:rowOff>
                  </from>
                  <to>
                    <xdr:col>1</xdr:col>
                    <xdr:colOff>1508760</xdr:colOff>
                    <xdr:row>54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7620</xdr:colOff>
                    <xdr:row>61</xdr:row>
                    <xdr:rowOff>22860</xdr:rowOff>
                  </from>
                  <to>
                    <xdr:col>1</xdr:col>
                    <xdr:colOff>731520</xdr:colOff>
                    <xdr:row>61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784860</xdr:colOff>
                    <xdr:row>61</xdr:row>
                    <xdr:rowOff>22860</xdr:rowOff>
                  </from>
                  <to>
                    <xdr:col>1</xdr:col>
                    <xdr:colOff>1508760</xdr:colOff>
                    <xdr:row>61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7620</xdr:colOff>
                    <xdr:row>66</xdr:row>
                    <xdr:rowOff>22860</xdr:rowOff>
                  </from>
                  <to>
                    <xdr:col>1</xdr:col>
                    <xdr:colOff>731520</xdr:colOff>
                    <xdr:row>66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784860</xdr:colOff>
                    <xdr:row>66</xdr:row>
                    <xdr:rowOff>22860</xdr:rowOff>
                  </from>
                  <to>
                    <xdr:col>1</xdr:col>
                    <xdr:colOff>1508760</xdr:colOff>
                    <xdr:row>66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7620</xdr:colOff>
                    <xdr:row>75</xdr:row>
                    <xdr:rowOff>22860</xdr:rowOff>
                  </from>
                  <to>
                    <xdr:col>1</xdr:col>
                    <xdr:colOff>731520</xdr:colOff>
                    <xdr:row>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784860</xdr:colOff>
                    <xdr:row>75</xdr:row>
                    <xdr:rowOff>22860</xdr:rowOff>
                  </from>
                  <to>
                    <xdr:col>1</xdr:col>
                    <xdr:colOff>1508760</xdr:colOff>
                    <xdr:row>75</xdr:row>
                    <xdr:rowOff>160020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C33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C32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C31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88"/>
  <sheetViews>
    <sheetView topLeftCell="B18" workbookViewId="0">
      <selection activeCell="G35" sqref="G35"/>
    </sheetView>
  </sheetViews>
  <sheetFormatPr defaultColWidth="14.44140625" defaultRowHeight="15" customHeight="1" outlineLevelRow="1" x14ac:dyDescent="0.3"/>
  <cols>
    <col min="1" max="1" width="4.109375" style="35" customWidth="1"/>
    <col min="2" max="2" width="23.5546875" style="35" customWidth="1"/>
    <col min="3" max="3" width="30.5546875" style="35" bestFit="1" customWidth="1"/>
    <col min="4" max="7" width="18.109375" style="35" customWidth="1"/>
    <col min="8" max="8" width="14.109375" style="35" customWidth="1"/>
    <col min="9" max="9" width="13.5546875" style="35" customWidth="1"/>
    <col min="10" max="10" width="9.88671875" style="35" bestFit="1" customWidth="1"/>
    <col min="11" max="19" width="8.6640625" style="35" customWidth="1"/>
    <col min="20" max="16384" width="14.44140625" style="35"/>
  </cols>
  <sheetData>
    <row r="1" spans="1:20" ht="12.75" customHeight="1" x14ac:dyDescent="0.3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27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5" customHeight="1" x14ac:dyDescent="0.3">
      <c r="A8" s="33"/>
      <c r="B8" s="131" t="s">
        <v>64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3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3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4.4" x14ac:dyDescent="0.3">
      <c r="B11" s="42">
        <v>1</v>
      </c>
      <c r="C11" s="69" t="s">
        <v>191</v>
      </c>
      <c r="D11" s="27" t="s">
        <v>173</v>
      </c>
      <c r="E11" s="27" t="s">
        <v>174</v>
      </c>
      <c r="F11" s="55">
        <v>2</v>
      </c>
      <c r="G11" s="55">
        <v>6</v>
      </c>
      <c r="H11" s="55">
        <v>12</v>
      </c>
      <c r="I11" s="55">
        <v>50.67</v>
      </c>
      <c r="J11" s="55">
        <f>H11*I11</f>
        <v>608.04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28.2" x14ac:dyDescent="0.3">
      <c r="B12" s="42">
        <v>2</v>
      </c>
      <c r="C12" s="27" t="s">
        <v>209</v>
      </c>
      <c r="D12" s="27" t="s">
        <v>173</v>
      </c>
      <c r="E12" s="27" t="s">
        <v>229</v>
      </c>
      <c r="F12" s="55">
        <v>2</v>
      </c>
      <c r="G12" s="55">
        <v>6</v>
      </c>
      <c r="H12" s="55">
        <v>9</v>
      </c>
      <c r="I12" s="55">
        <v>49.33</v>
      </c>
      <c r="J12" s="55">
        <f t="shared" ref="J12:J34" si="0">H12*I12</f>
        <v>443.96999999999997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4.4" x14ac:dyDescent="0.3">
      <c r="B13" s="42">
        <v>3</v>
      </c>
      <c r="C13" s="27" t="s">
        <v>210</v>
      </c>
      <c r="D13" s="27" t="s">
        <v>176</v>
      </c>
      <c r="E13" s="27" t="s">
        <v>230</v>
      </c>
      <c r="F13" s="55">
        <v>1</v>
      </c>
      <c r="G13" s="55">
        <v>6</v>
      </c>
      <c r="H13" s="55">
        <v>6</v>
      </c>
      <c r="I13" s="55">
        <v>262.95999999999998</v>
      </c>
      <c r="J13" s="55">
        <f t="shared" si="0"/>
        <v>1577.7599999999998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28.2" x14ac:dyDescent="0.3">
      <c r="B14" s="42">
        <v>4</v>
      </c>
      <c r="C14" s="27" t="s">
        <v>211</v>
      </c>
      <c r="D14" s="27" t="s">
        <v>193</v>
      </c>
      <c r="E14" s="27" t="s">
        <v>231</v>
      </c>
      <c r="F14" s="55">
        <v>2</v>
      </c>
      <c r="G14" s="55">
        <v>6</v>
      </c>
      <c r="H14" s="55">
        <v>8</v>
      </c>
      <c r="I14" s="55">
        <v>2.5099999999999998</v>
      </c>
      <c r="J14" s="55">
        <f t="shared" si="0"/>
        <v>20.079999999999998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4.4" x14ac:dyDescent="0.3">
      <c r="B15" s="42">
        <v>5</v>
      </c>
      <c r="C15" s="27" t="s">
        <v>212</v>
      </c>
      <c r="D15" s="27" t="s">
        <v>195</v>
      </c>
      <c r="E15" s="27" t="s">
        <v>196</v>
      </c>
      <c r="F15" s="55">
        <v>9</v>
      </c>
      <c r="G15" s="55">
        <v>6</v>
      </c>
      <c r="H15" s="55">
        <v>55</v>
      </c>
      <c r="I15" s="55">
        <v>3.2</v>
      </c>
      <c r="J15" s="55">
        <f t="shared" si="0"/>
        <v>176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28.2" x14ac:dyDescent="0.3">
      <c r="B16" s="42">
        <v>6</v>
      </c>
      <c r="C16" s="27" t="s">
        <v>213</v>
      </c>
      <c r="D16" s="27" t="s">
        <v>195</v>
      </c>
      <c r="E16" s="27" t="s">
        <v>232</v>
      </c>
      <c r="F16" s="55">
        <v>1</v>
      </c>
      <c r="G16" s="55">
        <v>3</v>
      </c>
      <c r="H16" s="55">
        <v>3</v>
      </c>
      <c r="I16" s="55">
        <v>25.79</v>
      </c>
      <c r="J16" s="55">
        <f t="shared" si="0"/>
        <v>77.37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2:20" ht="28.2" x14ac:dyDescent="0.3">
      <c r="B17" s="42">
        <v>7</v>
      </c>
      <c r="C17" s="27" t="s">
        <v>214</v>
      </c>
      <c r="D17" s="27" t="s">
        <v>195</v>
      </c>
      <c r="E17" s="27" t="s">
        <v>233</v>
      </c>
      <c r="F17" s="55">
        <v>1</v>
      </c>
      <c r="G17" s="55">
        <v>2</v>
      </c>
      <c r="H17" s="55">
        <v>2</v>
      </c>
      <c r="I17" s="55">
        <v>12.57</v>
      </c>
      <c r="J17" s="55">
        <f t="shared" si="0"/>
        <v>25.14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2:20" ht="28.2" x14ac:dyDescent="0.3">
      <c r="B18" s="42">
        <v>8</v>
      </c>
      <c r="C18" s="27" t="s">
        <v>215</v>
      </c>
      <c r="D18" s="27" t="s">
        <v>193</v>
      </c>
      <c r="E18" s="27" t="s">
        <v>234</v>
      </c>
      <c r="F18" s="55">
        <v>1</v>
      </c>
      <c r="G18" s="55">
        <v>3</v>
      </c>
      <c r="H18" s="55">
        <v>3</v>
      </c>
      <c r="I18" s="55">
        <v>10</v>
      </c>
      <c r="J18" s="55">
        <f t="shared" si="0"/>
        <v>30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2:20" ht="12.75" customHeight="1" x14ac:dyDescent="0.3">
      <c r="B19" s="42">
        <v>9</v>
      </c>
      <c r="C19" s="27" t="s">
        <v>216</v>
      </c>
      <c r="D19" s="27" t="s">
        <v>195</v>
      </c>
      <c r="E19" s="27" t="s">
        <v>235</v>
      </c>
      <c r="F19" s="55">
        <v>1</v>
      </c>
      <c r="G19" s="55">
        <v>6</v>
      </c>
      <c r="H19" s="55">
        <v>6</v>
      </c>
      <c r="I19" s="55">
        <v>175.71</v>
      </c>
      <c r="J19" s="55">
        <f t="shared" si="0"/>
        <v>1054.26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2:20" ht="42" x14ac:dyDescent="0.3">
      <c r="B20" s="42">
        <v>10</v>
      </c>
      <c r="C20" s="27" t="s">
        <v>217</v>
      </c>
      <c r="D20" s="27" t="s">
        <v>173</v>
      </c>
      <c r="E20" s="27" t="s">
        <v>174</v>
      </c>
      <c r="F20" s="55">
        <v>1</v>
      </c>
      <c r="G20" s="55">
        <v>1</v>
      </c>
      <c r="H20" s="55">
        <v>2</v>
      </c>
      <c r="I20" s="55">
        <v>49.33</v>
      </c>
      <c r="J20" s="55">
        <f t="shared" si="0"/>
        <v>98.66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2:20" ht="28.2" x14ac:dyDescent="0.3">
      <c r="B21" s="42">
        <v>11</v>
      </c>
      <c r="C21" s="27" t="s">
        <v>218</v>
      </c>
      <c r="D21" s="27" t="s">
        <v>194</v>
      </c>
      <c r="E21" s="27" t="s">
        <v>236</v>
      </c>
      <c r="F21" s="55">
        <v>1</v>
      </c>
      <c r="G21" s="55">
        <v>1</v>
      </c>
      <c r="H21" s="55">
        <v>2</v>
      </c>
      <c r="I21" s="55">
        <v>160</v>
      </c>
      <c r="J21" s="55">
        <f t="shared" si="0"/>
        <v>320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2:20" ht="28.2" x14ac:dyDescent="0.3">
      <c r="B22" s="42">
        <v>12</v>
      </c>
      <c r="C22" s="27" t="s">
        <v>219</v>
      </c>
      <c r="D22" s="27" t="s">
        <v>195</v>
      </c>
      <c r="E22" s="27" t="s">
        <v>237</v>
      </c>
      <c r="F22" s="55">
        <v>1</v>
      </c>
      <c r="G22" s="55">
        <v>3</v>
      </c>
      <c r="H22" s="55">
        <v>5</v>
      </c>
      <c r="I22" s="55">
        <v>72</v>
      </c>
      <c r="J22" s="55">
        <f t="shared" si="0"/>
        <v>360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2:20" ht="14.4" x14ac:dyDescent="0.3">
      <c r="B23" s="42">
        <v>13</v>
      </c>
      <c r="C23" s="27" t="s">
        <v>220</v>
      </c>
      <c r="D23" s="27" t="s">
        <v>195</v>
      </c>
      <c r="E23" s="27" t="s">
        <v>238</v>
      </c>
      <c r="F23" s="55">
        <v>1</v>
      </c>
      <c r="G23" s="55">
        <v>3</v>
      </c>
      <c r="H23" s="55">
        <v>3</v>
      </c>
      <c r="I23" s="55">
        <v>66.67</v>
      </c>
      <c r="J23" s="55">
        <f t="shared" si="0"/>
        <v>200.01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2:20" ht="28.2" x14ac:dyDescent="0.3">
      <c r="B24" s="42">
        <v>14</v>
      </c>
      <c r="C24" s="27" t="s">
        <v>221</v>
      </c>
      <c r="D24" s="27" t="s">
        <v>195</v>
      </c>
      <c r="E24" s="27" t="s">
        <v>239</v>
      </c>
      <c r="F24" s="55">
        <v>3</v>
      </c>
      <c r="G24" s="55">
        <v>4</v>
      </c>
      <c r="H24" s="55">
        <v>12</v>
      </c>
      <c r="I24" s="55">
        <v>131.11000000000001</v>
      </c>
      <c r="J24" s="55">
        <f t="shared" si="0"/>
        <v>1573.3200000000002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2:20" ht="14.4" x14ac:dyDescent="0.3">
      <c r="B25" s="42">
        <v>15</v>
      </c>
      <c r="C25" s="27" t="s">
        <v>222</v>
      </c>
      <c r="D25" s="27" t="s">
        <v>176</v>
      </c>
      <c r="E25" s="27" t="s">
        <v>231</v>
      </c>
      <c r="F25" s="55">
        <v>2</v>
      </c>
      <c r="G25" s="55">
        <v>5</v>
      </c>
      <c r="H25" s="55">
        <v>10</v>
      </c>
      <c r="I25" s="55">
        <v>30.96</v>
      </c>
      <c r="J25" s="55">
        <f t="shared" si="0"/>
        <v>309.60000000000002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2:20" ht="14.4" x14ac:dyDescent="0.3">
      <c r="B26" s="42">
        <v>16</v>
      </c>
      <c r="C26" s="27" t="s">
        <v>223</v>
      </c>
      <c r="D26" s="27" t="s">
        <v>195</v>
      </c>
      <c r="E26" s="27" t="s">
        <v>240</v>
      </c>
      <c r="F26" s="55">
        <v>1</v>
      </c>
      <c r="G26" s="55">
        <v>1</v>
      </c>
      <c r="H26" s="55">
        <v>2</v>
      </c>
      <c r="I26" s="55">
        <v>343.49</v>
      </c>
      <c r="J26" s="55">
        <f t="shared" si="0"/>
        <v>686.98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2:20" ht="12.75" customHeight="1" x14ac:dyDescent="0.3">
      <c r="B27" s="42">
        <v>17</v>
      </c>
      <c r="C27" s="27" t="s">
        <v>224</v>
      </c>
      <c r="D27" s="27" t="s">
        <v>193</v>
      </c>
      <c r="E27" s="27" t="s">
        <v>241</v>
      </c>
      <c r="F27" s="55">
        <v>1</v>
      </c>
      <c r="G27" s="55">
        <v>5</v>
      </c>
      <c r="H27" s="55">
        <v>6</v>
      </c>
      <c r="I27" s="55">
        <v>5.67</v>
      </c>
      <c r="J27" s="55">
        <f t="shared" si="0"/>
        <v>34.019999999999996</v>
      </c>
      <c r="K27" s="34"/>
      <c r="L27" s="34"/>
      <c r="M27" s="34"/>
      <c r="N27" s="34"/>
      <c r="O27" s="34"/>
      <c r="P27" s="34"/>
      <c r="Q27" s="34"/>
      <c r="R27" s="34"/>
      <c r="S27" s="34"/>
      <c r="T27" s="34"/>
    </row>
    <row r="28" spans="2:20" ht="12.75" customHeight="1" x14ac:dyDescent="0.3">
      <c r="B28" s="42">
        <v>18</v>
      </c>
      <c r="C28" s="27" t="s">
        <v>225</v>
      </c>
      <c r="D28" s="27" t="s">
        <v>193</v>
      </c>
      <c r="E28" s="27" t="s">
        <v>242</v>
      </c>
      <c r="F28" s="55">
        <v>2</v>
      </c>
      <c r="G28" s="55">
        <v>6</v>
      </c>
      <c r="H28" s="55">
        <v>11</v>
      </c>
      <c r="I28" s="55">
        <v>6.67</v>
      </c>
      <c r="J28" s="55">
        <f t="shared" si="0"/>
        <v>73.37</v>
      </c>
      <c r="K28" s="34"/>
      <c r="L28" s="34"/>
      <c r="M28" s="34"/>
      <c r="N28" s="34"/>
      <c r="O28" s="34"/>
      <c r="P28" s="34"/>
      <c r="Q28" s="34"/>
      <c r="R28" s="34"/>
      <c r="S28" s="34"/>
      <c r="T28" s="34"/>
    </row>
    <row r="29" spans="2:20" ht="12.75" customHeight="1" x14ac:dyDescent="0.3">
      <c r="B29" s="42">
        <v>19</v>
      </c>
      <c r="C29" s="27" t="s">
        <v>226</v>
      </c>
      <c r="D29" s="27" t="s">
        <v>193</v>
      </c>
      <c r="E29" s="27" t="s">
        <v>243</v>
      </c>
      <c r="F29" s="55">
        <v>3</v>
      </c>
      <c r="G29" s="55">
        <v>6</v>
      </c>
      <c r="H29" s="55">
        <v>17</v>
      </c>
      <c r="I29" s="55">
        <v>1.83</v>
      </c>
      <c r="J29" s="55">
        <f t="shared" si="0"/>
        <v>31.11</v>
      </c>
      <c r="K29" s="34"/>
      <c r="L29" s="34"/>
      <c r="M29" s="34"/>
      <c r="N29" s="34"/>
      <c r="O29" s="34"/>
      <c r="P29" s="34"/>
      <c r="Q29" s="34"/>
      <c r="R29" s="34"/>
      <c r="S29" s="34"/>
      <c r="T29" s="34"/>
    </row>
    <row r="30" spans="2:20" ht="12.75" customHeight="1" x14ac:dyDescent="0.3">
      <c r="B30" s="42">
        <v>20</v>
      </c>
      <c r="C30" s="27" t="s">
        <v>227</v>
      </c>
      <c r="D30" s="27" t="s">
        <v>176</v>
      </c>
      <c r="E30" s="27" t="s">
        <v>246</v>
      </c>
      <c r="F30" s="55">
        <v>1</v>
      </c>
      <c r="G30" s="55">
        <v>1</v>
      </c>
      <c r="H30" s="55">
        <v>2</v>
      </c>
      <c r="I30" s="55">
        <v>23.84</v>
      </c>
      <c r="J30" s="55">
        <f t="shared" si="0"/>
        <v>47.68</v>
      </c>
      <c r="K30" s="34"/>
      <c r="L30" s="34"/>
      <c r="M30" s="34"/>
      <c r="N30" s="34"/>
      <c r="O30" s="34"/>
      <c r="P30" s="34"/>
      <c r="Q30" s="34"/>
      <c r="R30" s="34"/>
      <c r="S30" s="34"/>
      <c r="T30" s="34"/>
    </row>
    <row r="31" spans="2:20" ht="12.75" customHeight="1" x14ac:dyDescent="0.3">
      <c r="B31" s="42">
        <v>21</v>
      </c>
      <c r="C31" s="27" t="s">
        <v>177</v>
      </c>
      <c r="D31" s="27" t="s">
        <v>176</v>
      </c>
      <c r="E31" s="27" t="s">
        <v>244</v>
      </c>
      <c r="F31" s="55">
        <v>2</v>
      </c>
      <c r="G31" s="55">
        <v>6</v>
      </c>
      <c r="H31" s="55">
        <v>14</v>
      </c>
      <c r="I31" s="55">
        <v>20.149999999999999</v>
      </c>
      <c r="J31" s="55">
        <f t="shared" si="0"/>
        <v>282.09999999999997</v>
      </c>
      <c r="K31" s="34"/>
      <c r="L31" s="34"/>
      <c r="M31" s="34"/>
      <c r="N31" s="34"/>
      <c r="O31" s="34"/>
      <c r="P31" s="34"/>
      <c r="Q31" s="34"/>
      <c r="R31" s="34"/>
      <c r="S31" s="34"/>
      <c r="T31" s="34"/>
    </row>
    <row r="32" spans="2:20" ht="12.75" customHeight="1" x14ac:dyDescent="0.3">
      <c r="B32" s="42">
        <v>22</v>
      </c>
      <c r="C32" s="27" t="s">
        <v>228</v>
      </c>
      <c r="D32" s="27" t="s">
        <v>176</v>
      </c>
      <c r="E32" s="27" t="s">
        <v>245</v>
      </c>
      <c r="F32" s="55">
        <v>1</v>
      </c>
      <c r="G32" s="55">
        <v>1</v>
      </c>
      <c r="H32" s="55">
        <v>1</v>
      </c>
      <c r="I32" s="55">
        <v>219.11</v>
      </c>
      <c r="J32" s="55">
        <f t="shared" si="0"/>
        <v>219.11</v>
      </c>
      <c r="K32" s="34"/>
      <c r="L32" s="34"/>
      <c r="M32" s="34"/>
      <c r="N32" s="34"/>
      <c r="O32" s="34"/>
      <c r="P32" s="34"/>
      <c r="Q32" s="34"/>
      <c r="R32" s="34"/>
      <c r="S32" s="34"/>
      <c r="T32" s="34"/>
    </row>
    <row r="33" spans="1:20" ht="12.75" customHeight="1" x14ac:dyDescent="0.3">
      <c r="B33" s="42">
        <v>23</v>
      </c>
      <c r="C33" s="27" t="s">
        <v>190</v>
      </c>
      <c r="D33" s="27" t="s">
        <v>193</v>
      </c>
      <c r="E33" s="27" t="s">
        <v>247</v>
      </c>
      <c r="F33" s="55">
        <v>1</v>
      </c>
      <c r="G33" s="55">
        <v>3</v>
      </c>
      <c r="H33" s="55">
        <v>3</v>
      </c>
      <c r="I33" s="55">
        <v>144.66999999999999</v>
      </c>
      <c r="J33" s="55">
        <f t="shared" si="0"/>
        <v>434.01</v>
      </c>
      <c r="K33" s="34"/>
      <c r="L33" s="34"/>
      <c r="M33" s="34"/>
      <c r="N33" s="34"/>
      <c r="O33" s="34"/>
      <c r="P33" s="34"/>
      <c r="Q33" s="34"/>
      <c r="R33" s="34"/>
      <c r="S33" s="34"/>
      <c r="T33" s="34"/>
    </row>
    <row r="34" spans="1:20" ht="12.75" customHeight="1" x14ac:dyDescent="0.3">
      <c r="B34" s="42">
        <v>24</v>
      </c>
      <c r="C34" s="27" t="s">
        <v>192</v>
      </c>
      <c r="D34" s="27" t="s">
        <v>193</v>
      </c>
      <c r="E34" s="27" t="s">
        <v>248</v>
      </c>
      <c r="F34" s="55">
        <v>2</v>
      </c>
      <c r="G34" s="55">
        <v>4</v>
      </c>
      <c r="H34" s="55">
        <v>7</v>
      </c>
      <c r="I34" s="55">
        <v>14.73</v>
      </c>
      <c r="J34" s="55">
        <f t="shared" si="0"/>
        <v>103.11</v>
      </c>
      <c r="K34" s="34"/>
      <c r="L34" s="34"/>
      <c r="M34" s="34"/>
      <c r="N34" s="34"/>
      <c r="O34" s="34"/>
      <c r="P34" s="34"/>
      <c r="Q34" s="34"/>
      <c r="R34" s="34"/>
      <c r="S34" s="34"/>
      <c r="T34" s="34"/>
    </row>
    <row r="35" spans="1:20" ht="12.75" customHeight="1" x14ac:dyDescent="0.3">
      <c r="B35" s="42">
        <v>25</v>
      </c>
      <c r="C35" s="27"/>
      <c r="D35" s="27"/>
      <c r="E35" s="27"/>
      <c r="F35" s="55"/>
      <c r="G35" s="55"/>
      <c r="H35" s="55"/>
      <c r="I35" s="55"/>
      <c r="J35" s="55"/>
      <c r="K35" s="34"/>
      <c r="L35" s="34"/>
      <c r="M35" s="34"/>
      <c r="N35" s="34"/>
      <c r="O35" s="34"/>
      <c r="P35" s="34"/>
      <c r="Q35" s="34"/>
      <c r="R35" s="34"/>
      <c r="S35" s="34"/>
      <c r="T35" s="34"/>
    </row>
    <row r="36" spans="1:20" ht="12.75" customHeight="1" x14ac:dyDescent="0.3">
      <c r="B36" s="42">
        <v>26</v>
      </c>
      <c r="C36" s="27"/>
      <c r="D36" s="27"/>
      <c r="E36" s="27"/>
      <c r="F36" s="55"/>
      <c r="G36" s="55"/>
      <c r="H36" s="55"/>
      <c r="I36" s="55"/>
      <c r="J36" s="55"/>
      <c r="K36" s="34"/>
      <c r="L36" s="34"/>
      <c r="M36" s="34"/>
      <c r="N36" s="34"/>
      <c r="O36" s="34"/>
      <c r="P36" s="34"/>
      <c r="Q36" s="34"/>
      <c r="R36" s="34"/>
      <c r="S36" s="34"/>
      <c r="T36" s="34"/>
    </row>
    <row r="37" spans="1:20" ht="12.75" customHeight="1" x14ac:dyDescent="0.3">
      <c r="B37" s="42">
        <v>27</v>
      </c>
      <c r="C37" s="27"/>
      <c r="D37" s="27"/>
      <c r="E37" s="27"/>
      <c r="F37" s="55"/>
      <c r="G37" s="55"/>
      <c r="H37" s="55"/>
      <c r="I37" s="55"/>
      <c r="J37" s="55"/>
      <c r="K37" s="34"/>
      <c r="L37" s="34"/>
      <c r="M37" s="34"/>
      <c r="N37" s="34"/>
      <c r="O37" s="34"/>
      <c r="P37" s="34"/>
      <c r="Q37" s="34"/>
      <c r="R37" s="34"/>
      <c r="S37" s="34"/>
      <c r="T37" s="34"/>
    </row>
    <row r="38" spans="1:20" ht="12.75" customHeight="1" x14ac:dyDescent="0.3">
      <c r="A38" s="33"/>
      <c r="B38" s="34"/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</row>
    <row r="39" spans="1:20" ht="15.75" customHeight="1" x14ac:dyDescent="0.3"/>
    <row r="40" spans="1:20" ht="15.75" customHeight="1" x14ac:dyDescent="0.3"/>
    <row r="41" spans="1:20" ht="15.75" customHeight="1" x14ac:dyDescent="0.3"/>
    <row r="42" spans="1:20" ht="15.75" customHeight="1" x14ac:dyDescent="0.3"/>
    <row r="43" spans="1:20" ht="15.75" customHeight="1" x14ac:dyDescent="0.3"/>
    <row r="44" spans="1:20" ht="15.75" customHeight="1" x14ac:dyDescent="0.3"/>
    <row r="45" spans="1:20" ht="15.75" customHeight="1" x14ac:dyDescent="0.3"/>
    <row r="46" spans="1:20" ht="15.75" customHeight="1" x14ac:dyDescent="0.3"/>
    <row r="47" spans="1:20" ht="15.75" customHeight="1" x14ac:dyDescent="0.3"/>
    <row r="48" spans="1:20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37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7620</xdr:colOff>
                    <xdr:row>10</xdr:row>
                    <xdr:rowOff>7620</xdr:rowOff>
                  </from>
                  <to>
                    <xdr:col>1</xdr:col>
                    <xdr:colOff>731520</xdr:colOff>
                    <xdr:row>10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769620</xdr:colOff>
                    <xdr:row>10</xdr:row>
                    <xdr:rowOff>7620</xdr:rowOff>
                  </from>
                  <to>
                    <xdr:col>1</xdr:col>
                    <xdr:colOff>1493520</xdr:colOff>
                    <xdr:row>10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8"/>
  <sheetViews>
    <sheetView workbookViewId="0">
      <selection activeCell="G27" sqref="G27"/>
    </sheetView>
  </sheetViews>
  <sheetFormatPr defaultColWidth="14.44140625" defaultRowHeight="15" customHeight="1" outlineLevelRow="1" x14ac:dyDescent="0.3"/>
  <cols>
    <col min="1" max="1" width="2.44140625" style="35" customWidth="1"/>
    <col min="2" max="2" width="27" style="35" customWidth="1"/>
    <col min="3" max="3" width="48.77734375" style="35" bestFit="1" customWidth="1"/>
    <col min="4" max="4" width="22.44140625" style="35" bestFit="1" customWidth="1"/>
    <col min="5" max="5" width="10.44140625" style="35" customWidth="1"/>
    <col min="6" max="6" width="18.33203125" style="35" customWidth="1"/>
    <col min="7" max="7" width="26.88671875" style="35" bestFit="1" customWidth="1"/>
    <col min="8" max="16" width="8.6640625" style="35" customWidth="1"/>
    <col min="17" max="16384" width="14.441406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17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69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72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249</v>
      </c>
      <c r="D16" s="70" t="s">
        <v>178</v>
      </c>
      <c r="E16" s="55">
        <v>3</v>
      </c>
      <c r="F16" s="55">
        <v>19</v>
      </c>
      <c r="G16" s="55">
        <f>+E16*F16</f>
        <v>57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4" x14ac:dyDescent="0.3">
      <c r="B17" s="68">
        <v>2</v>
      </c>
      <c r="C17" s="69" t="s">
        <v>250</v>
      </c>
      <c r="D17" s="70" t="s">
        <v>178</v>
      </c>
      <c r="E17" s="55">
        <v>3</v>
      </c>
      <c r="F17" s="55">
        <v>38</v>
      </c>
      <c r="G17" s="55">
        <f t="shared" ref="G17:G32" si="0">+E17*F17</f>
        <v>114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28.2" x14ac:dyDescent="0.3">
      <c r="B18" s="68">
        <v>3</v>
      </c>
      <c r="C18" s="69" t="s">
        <v>251</v>
      </c>
      <c r="D18" s="70" t="s">
        <v>178</v>
      </c>
      <c r="E18" s="55">
        <v>4</v>
      </c>
      <c r="F18" s="55">
        <v>159.47</v>
      </c>
      <c r="G18" s="55">
        <f t="shared" si="0"/>
        <v>637.88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252</v>
      </c>
      <c r="D19" s="70" t="s">
        <v>178</v>
      </c>
      <c r="E19" s="55">
        <v>1</v>
      </c>
      <c r="F19" s="55">
        <v>23.91</v>
      </c>
      <c r="G19" s="55">
        <f t="shared" si="0"/>
        <v>23.91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198</v>
      </c>
      <c r="D20" s="70" t="s">
        <v>178</v>
      </c>
      <c r="E20" s="55">
        <v>5</v>
      </c>
      <c r="F20" s="55">
        <v>5</v>
      </c>
      <c r="G20" s="55">
        <f t="shared" si="0"/>
        <v>25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197</v>
      </c>
      <c r="D21" s="70" t="s">
        <v>178</v>
      </c>
      <c r="E21" s="55">
        <v>15</v>
      </c>
      <c r="F21" s="55">
        <v>2.77</v>
      </c>
      <c r="G21" s="55">
        <f t="shared" si="0"/>
        <v>41.55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28.2" x14ac:dyDescent="0.3">
      <c r="B22" s="68">
        <v>7</v>
      </c>
      <c r="C22" s="69" t="s">
        <v>253</v>
      </c>
      <c r="D22" s="70" t="s">
        <v>178</v>
      </c>
      <c r="E22" s="55">
        <v>2</v>
      </c>
      <c r="F22" s="55">
        <v>116.67</v>
      </c>
      <c r="G22" s="55">
        <f t="shared" si="0"/>
        <v>233.34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4" x14ac:dyDescent="0.3">
      <c r="B23" s="68">
        <v>8</v>
      </c>
      <c r="C23" s="69" t="s">
        <v>254</v>
      </c>
      <c r="D23" s="70" t="s">
        <v>178</v>
      </c>
      <c r="E23" s="55">
        <v>2</v>
      </c>
      <c r="F23" s="55">
        <v>13.33</v>
      </c>
      <c r="G23" s="55">
        <f t="shared" si="0"/>
        <v>26.66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255</v>
      </c>
      <c r="D24" s="70" t="s">
        <v>179</v>
      </c>
      <c r="E24" s="55">
        <v>5</v>
      </c>
      <c r="F24" s="55">
        <v>14</v>
      </c>
      <c r="G24" s="55">
        <f t="shared" si="0"/>
        <v>70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199</v>
      </c>
      <c r="D25" s="70" t="s">
        <v>178</v>
      </c>
      <c r="E25" s="55">
        <v>7</v>
      </c>
      <c r="F25" s="55">
        <v>20</v>
      </c>
      <c r="G25" s="55">
        <f t="shared" si="0"/>
        <v>140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4" x14ac:dyDescent="0.3">
      <c r="B26" s="68">
        <v>11</v>
      </c>
      <c r="C26" s="69" t="s">
        <v>256</v>
      </c>
      <c r="D26" s="70" t="s">
        <v>178</v>
      </c>
      <c r="E26" s="55">
        <v>2</v>
      </c>
      <c r="F26" s="55">
        <v>8.2200000000000006</v>
      </c>
      <c r="G26" s="55">
        <f t="shared" si="0"/>
        <v>16.440000000000001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 t="s">
        <v>257</v>
      </c>
      <c r="D27" s="70" t="s">
        <v>178</v>
      </c>
      <c r="E27" s="55">
        <v>2</v>
      </c>
      <c r="F27" s="55">
        <v>10</v>
      </c>
      <c r="G27" s="55">
        <f t="shared" si="0"/>
        <v>20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 t="s">
        <v>258</v>
      </c>
      <c r="D28" s="70" t="s">
        <v>179</v>
      </c>
      <c r="E28" s="55">
        <v>1</v>
      </c>
      <c r="F28" s="55">
        <v>37.130000000000003</v>
      </c>
      <c r="G28" s="55">
        <f t="shared" si="0"/>
        <v>37.130000000000003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69" t="s">
        <v>259</v>
      </c>
      <c r="D29" s="70" t="s">
        <v>178</v>
      </c>
      <c r="E29" s="55">
        <v>1</v>
      </c>
      <c r="F29" s="55">
        <v>15.81</v>
      </c>
      <c r="G29" s="55">
        <f t="shared" si="0"/>
        <v>15.81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15</v>
      </c>
      <c r="C30" s="69" t="s">
        <v>260</v>
      </c>
      <c r="D30" s="70" t="s">
        <v>178</v>
      </c>
      <c r="E30" s="55">
        <v>2</v>
      </c>
      <c r="F30" s="55">
        <v>210.67</v>
      </c>
      <c r="G30" s="55">
        <f t="shared" si="0"/>
        <v>421.34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16</v>
      </c>
      <c r="C31" s="69" t="s">
        <v>261</v>
      </c>
      <c r="D31" s="70" t="s">
        <v>263</v>
      </c>
      <c r="E31" s="55">
        <v>3</v>
      </c>
      <c r="F31" s="55">
        <v>560</v>
      </c>
      <c r="G31" s="55">
        <f t="shared" si="0"/>
        <v>1680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17</v>
      </c>
      <c r="C32" s="69" t="s">
        <v>262</v>
      </c>
      <c r="D32" s="70" t="s">
        <v>178</v>
      </c>
      <c r="E32" s="55">
        <v>5</v>
      </c>
      <c r="F32" s="55">
        <v>8.24</v>
      </c>
      <c r="G32" s="55">
        <f t="shared" si="0"/>
        <v>41.2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137" t="s">
        <v>76</v>
      </c>
      <c r="C33" s="138"/>
      <c r="D33" s="138"/>
      <c r="E33" s="138"/>
      <c r="F33" s="138"/>
      <c r="G33" s="139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1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2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3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4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5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6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7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8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9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10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137" t="s">
        <v>29</v>
      </c>
      <c r="C44" s="138"/>
      <c r="D44" s="138"/>
      <c r="E44" s="138"/>
      <c r="F44" s="138"/>
      <c r="G44" s="139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2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3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4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5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6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7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8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9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10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A55" s="44"/>
      <c r="B55" s="39"/>
      <c r="C55" s="44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A56" s="44"/>
      <c r="B56" s="39"/>
      <c r="C56" s="44"/>
      <c r="D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5.75" customHeight="1" x14ac:dyDescent="0.3"/>
    <row r="58" spans="1:16" ht="15.75" customHeight="1" x14ac:dyDescent="0.3"/>
    <row r="59" spans="1:16" ht="15.75" customHeight="1" x14ac:dyDescent="0.3"/>
    <row r="60" spans="1:16" ht="15.75" customHeight="1" x14ac:dyDescent="0.3"/>
    <row r="61" spans="1:16" ht="15.75" customHeight="1" x14ac:dyDescent="0.3"/>
    <row r="62" spans="1:16" ht="15.75" customHeight="1" x14ac:dyDescent="0.3"/>
    <row r="63" spans="1:16" ht="15.75" customHeight="1" x14ac:dyDescent="0.3"/>
    <row r="64" spans="1:16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</sheetData>
  <sheetProtection password="C2E9" sheet="1" objects="1" scenarios="1" formatColumns="0" formatRows="0" sort="0" autoFilter="0"/>
  <mergeCells count="9">
    <mergeCell ref="B7:G7"/>
    <mergeCell ref="B33:G33"/>
    <mergeCell ref="B44:G44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54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45720</xdr:colOff>
                    <xdr:row>15</xdr:row>
                    <xdr:rowOff>30480</xdr:rowOff>
                  </from>
                  <to>
                    <xdr:col>1</xdr:col>
                    <xdr:colOff>769620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822960</xdr:colOff>
                    <xdr:row>15</xdr:row>
                    <xdr:rowOff>30480</xdr:rowOff>
                  </from>
                  <to>
                    <xdr:col>1</xdr:col>
                    <xdr:colOff>1546860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33</xdr:row>
                    <xdr:rowOff>30480</xdr:rowOff>
                  </from>
                  <to>
                    <xdr:col>1</xdr:col>
                    <xdr:colOff>762000</xdr:colOff>
                    <xdr:row>33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807720</xdr:colOff>
                    <xdr:row>33</xdr:row>
                    <xdr:rowOff>30480</xdr:rowOff>
                  </from>
                  <to>
                    <xdr:col>1</xdr:col>
                    <xdr:colOff>1531620</xdr:colOff>
                    <xdr:row>33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45720</xdr:colOff>
                    <xdr:row>44</xdr:row>
                    <xdr:rowOff>30480</xdr:rowOff>
                  </from>
                  <to>
                    <xdr:col>1</xdr:col>
                    <xdr:colOff>769620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822960</xdr:colOff>
                    <xdr:row>44</xdr:row>
                    <xdr:rowOff>30480</xdr:rowOff>
                  </from>
                  <to>
                    <xdr:col>1</xdr:col>
                    <xdr:colOff>1546860</xdr:colOff>
                    <xdr:row>45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E19" sqref="E19"/>
    </sheetView>
  </sheetViews>
  <sheetFormatPr defaultColWidth="14.44140625" defaultRowHeight="15" customHeight="1" outlineLevelRow="1" x14ac:dyDescent="0.25"/>
  <cols>
    <col min="1" max="1" width="2.88671875" style="40" customWidth="1"/>
    <col min="2" max="2" width="26" style="40" customWidth="1"/>
    <col min="3" max="3" width="26.44140625" style="40" customWidth="1"/>
    <col min="4" max="7" width="12.109375" style="40" customWidth="1"/>
    <col min="8" max="8" width="13.44140625" style="40" customWidth="1"/>
    <col min="9" max="14" width="12.109375" style="40" customWidth="1"/>
    <col min="15" max="15" width="1.109375" style="40" customWidth="1"/>
    <col min="16" max="16" width="12.109375" style="40" customWidth="1"/>
    <col min="17" max="26" width="8.6640625" style="40" customWidth="1"/>
    <col min="27" max="16384" width="14.44140625" style="40"/>
  </cols>
  <sheetData>
    <row r="1" spans="2:26" ht="12.75" customHeight="1" x14ac:dyDescent="0.25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25">
      <c r="B2" s="79" t="s">
        <v>77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25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25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25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25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25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25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25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25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25">
      <c r="B11" s="87"/>
      <c r="C11" s="87"/>
      <c r="D11" s="146" t="s">
        <v>32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25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25">
      <c r="B13" s="43">
        <v>1</v>
      </c>
      <c r="C13" s="69" t="s">
        <v>41</v>
      </c>
      <c r="D13" s="55">
        <v>25</v>
      </c>
      <c r="E13" s="55"/>
      <c r="F13" s="55"/>
      <c r="G13" s="55">
        <v>40</v>
      </c>
      <c r="H13" s="55"/>
      <c r="I13" s="55"/>
      <c r="J13" s="55"/>
      <c r="K13" s="55"/>
      <c r="L13" s="55"/>
      <c r="M13" s="55"/>
      <c r="N13" s="55"/>
      <c r="P13" s="88">
        <f>SUM(D13:N13)</f>
        <v>65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25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>
        <v>300</v>
      </c>
      <c r="L14" s="55"/>
      <c r="M14" s="55"/>
      <c r="N14" s="55"/>
      <c r="P14" s="88">
        <f t="shared" ref="P14:P22" si="0">SUM(D14:N14)</f>
        <v>300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25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25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25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25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25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25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25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25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25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25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25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25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25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25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25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25">
      <c r="B30" s="43"/>
      <c r="C30" s="41" t="s">
        <v>42</v>
      </c>
      <c r="D30" s="88">
        <f t="shared" ref="D30:N30" si="1">SUM(D13:D22)</f>
        <v>25</v>
      </c>
      <c r="E30" s="88">
        <f t="shared" si="1"/>
        <v>0</v>
      </c>
      <c r="F30" s="88">
        <f t="shared" si="1"/>
        <v>0</v>
      </c>
      <c r="G30" s="88">
        <f t="shared" si="1"/>
        <v>40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300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365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25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30480</xdr:colOff>
                    <xdr:row>12</xdr:row>
                    <xdr:rowOff>7620</xdr:rowOff>
                  </from>
                  <to>
                    <xdr:col>1</xdr:col>
                    <xdr:colOff>754380</xdr:colOff>
                    <xdr:row>12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792480</xdr:colOff>
                    <xdr:row>12</xdr:row>
                    <xdr:rowOff>7620</xdr:rowOff>
                  </from>
                  <to>
                    <xdr:col>1</xdr:col>
                    <xdr:colOff>1516380</xdr:colOff>
                    <xdr:row>12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09375" defaultRowHeight="14.4" x14ac:dyDescent="0.3"/>
  <cols>
    <col min="1" max="1" width="15.88671875" style="95" customWidth="1"/>
    <col min="2" max="2" width="36.109375" style="95" customWidth="1"/>
    <col min="3" max="3" width="59.5546875" style="95" bestFit="1" customWidth="1"/>
    <col min="4" max="4" width="13.5546875" style="95" customWidth="1"/>
    <col min="5" max="5" width="14.6640625" style="95" bestFit="1" customWidth="1"/>
    <col min="6" max="6" width="27.88671875" style="95" bestFit="1" customWidth="1"/>
    <col min="7" max="7" width="38.44140625" style="95" bestFit="1" customWidth="1"/>
    <col min="8" max="9" width="14.6640625" style="95" customWidth="1"/>
    <col min="10" max="16384" width="9.109375" style="95"/>
  </cols>
  <sheetData>
    <row r="1" spans="1:9" ht="15" thickBot="1" x14ac:dyDescent="0.35">
      <c r="E1" s="93"/>
      <c r="F1" s="111" t="str">
        <f>'1.1 Case data_general'!$C$31</f>
        <v>Level II and III</v>
      </c>
      <c r="G1" s="112" t="str">
        <f>'1.1 Case data_general'!$C$32</f>
        <v>Clinical/Medical services</v>
      </c>
      <c r="H1" s="93"/>
      <c r="I1" s="93"/>
    </row>
    <row r="2" spans="1:9" ht="15.6" thickTop="1" thickBot="1" x14ac:dyDescent="0.35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x14ac:dyDescent="0.3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3">
      <c r="E118"/>
      <c r="F118"/>
      <c r="G118"/>
      <c r="H118"/>
      <c r="I118"/>
    </row>
    <row r="119" spans="1:9" x14ac:dyDescent="0.3">
      <c r="E119"/>
      <c r="F119"/>
      <c r="G119"/>
      <c r="H119"/>
      <c r="I119"/>
    </row>
    <row r="120" spans="1:9" x14ac:dyDescent="0.3">
      <c r="E120"/>
      <c r="F120"/>
      <c r="G120"/>
      <c r="H120"/>
      <c r="I120"/>
    </row>
    <row r="121" spans="1:9" x14ac:dyDescent="0.3">
      <c r="E121"/>
      <c r="F121"/>
      <c r="G121"/>
      <c r="H121"/>
      <c r="I121"/>
    </row>
    <row r="122" spans="1:9" x14ac:dyDescent="0.3">
      <c r="E122"/>
      <c r="F122"/>
      <c r="G122"/>
      <c r="H122"/>
      <c r="I122"/>
    </row>
    <row r="123" spans="1:9" x14ac:dyDescent="0.3">
      <c r="E123"/>
      <c r="F123"/>
      <c r="G123"/>
      <c r="H123"/>
      <c r="I123"/>
    </row>
    <row r="124" spans="1:9" x14ac:dyDescent="0.3">
      <c r="E124"/>
      <c r="F124"/>
      <c r="G124"/>
      <c r="H124"/>
      <c r="I124"/>
    </row>
    <row r="125" spans="1:9" x14ac:dyDescent="0.3">
      <c r="E125"/>
      <c r="F125"/>
      <c r="G125"/>
      <c r="H125"/>
      <c r="I125"/>
    </row>
    <row r="126" spans="1:9" x14ac:dyDescent="0.3">
      <c r="E126"/>
      <c r="F126"/>
      <c r="G126"/>
      <c r="H126"/>
      <c r="I126"/>
    </row>
    <row r="127" spans="1:9" x14ac:dyDescent="0.3">
      <c r="E127"/>
      <c r="F127"/>
      <c r="G127"/>
      <c r="H127"/>
      <c r="I127"/>
    </row>
    <row r="128" spans="1:9" x14ac:dyDescent="0.3">
      <c r="E128"/>
      <c r="F128"/>
      <c r="G128"/>
      <c r="H128"/>
      <c r="I128"/>
    </row>
    <row r="129" spans="5:9" x14ac:dyDescent="0.3">
      <c r="E129"/>
      <c r="F129"/>
      <c r="G129"/>
      <c r="H129"/>
      <c r="I129"/>
    </row>
    <row r="130" spans="5:9" x14ac:dyDescent="0.3">
      <c r="E130"/>
      <c r="F130"/>
      <c r="G130"/>
      <c r="H130"/>
      <c r="I130"/>
    </row>
    <row r="131" spans="5:9" x14ac:dyDescent="0.3">
      <c r="E131"/>
      <c r="F131"/>
      <c r="G131"/>
      <c r="H131"/>
      <c r="I131"/>
    </row>
    <row r="132" spans="5:9" x14ac:dyDescent="0.3">
      <c r="E132"/>
      <c r="F132"/>
      <c r="G132"/>
      <c r="H132"/>
      <c r="I132"/>
    </row>
    <row r="133" spans="5:9" x14ac:dyDescent="0.3">
      <c r="E133"/>
      <c r="F133"/>
      <c r="G133"/>
      <c r="H133"/>
      <c r="I133"/>
    </row>
    <row r="134" spans="5:9" x14ac:dyDescent="0.3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PHIC-ECLAIMS 1</cp:lastModifiedBy>
  <dcterms:created xsi:type="dcterms:W3CDTF">2018-05-11T08:46:15Z</dcterms:created>
  <dcterms:modified xsi:type="dcterms:W3CDTF">2018-06-04T10:20:03Z</dcterms:modified>
</cp:coreProperties>
</file>