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8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Supplies_Medical'!$C$15:$C$45</definedName>
    <definedName name="Drugs">'1.2 Drugs&amp;Med'!$C$11:$C$18</definedName>
    <definedName name="_xlnm.Print_Area" localSheetId="0">'1.1 Case data_general'!$B$1:$F$68</definedName>
    <definedName name="_xlnm.Print_Area" localSheetId="1">'1.2 Drugs&amp;Med'!$B$2:$J$19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J12" i="2"/>
  <c r="J13" i="2"/>
  <c r="J14" i="2"/>
  <c r="J15" i="2"/>
  <c r="J16" i="2"/>
  <c r="J17" i="2"/>
  <c r="J18" i="2"/>
  <c r="G16" i="9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<sst xmlns="http://schemas.openxmlformats.org/spreadsheetml/2006/main" count="500" uniqueCount="206">
  <si>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</si>
  <si>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</si>
  <si>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</si>
  <si>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</si>
  <si>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</si>
  <si>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</si>
  <si>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</si>
  <si>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</si>
  <si>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</si>
  <si>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</si>
  <si>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</si>
  <si>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</si>
  <si>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</si>
  <si>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</si>
  <si>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</si>
  <si>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</si>
  <si>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</si>
  <si>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</si>
  <si>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</si>
  <si>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</si>
  <si>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</si>
  <si>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</si>
  <si>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</si>
  <si>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</si>
  <si>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</si>
  <si>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</si>
  <si>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</si>
  <si>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</si>
  <si>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</si>
  <si>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</si>
  <si>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</si>
  <si>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</si>
  <si>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</si>
  <si>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</si>
  <si>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</si>
  <si>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</si>
  <si>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</si>
  <si>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</si>
  <si>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</si>
  <si>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</si>
  <si>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</si>
  <si>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</si>
  <si>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</si>
  <si>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</si>
  <si>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</si>
  <si>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</si>
  <si>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</si>
  <si>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</si>
  <si>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</si>
  <si>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</si>
  <si>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</si>
  <si>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</si>
  <si>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</si>
  <si>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</si>
  <si>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</si>
  <si>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</si>
  <si>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</si>
  <si>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</si>
  <si>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</si>
  <si>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</si>
  <si>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</si>
  <si>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</si>
  <si>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</si>
  <si>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</si>
  <si>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</si>
  <si>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</si>
  <si>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</si>
  <si>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</si>
  <si>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</si>
  <si>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</si>
  <si>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</si>
  <si>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</si>
  <si>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</si>
  <si>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</si>
  <si>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</si>
  <si>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</si>
  <si>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</si>
  <si>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</si>
  <si>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</si>
  <si>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</si>
  <si>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</si>
  <si>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</si>
  <si>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</si>
  <si>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</si>
  <si>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</si>
  <si>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</si>
  <si>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</si>
  <si>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</si>
  <si>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</si>
  <si>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</si>
  <si>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</si>
  <si>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</si>
  <si>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</si>
  <si>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</si>
  <si>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</si>
  <si>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</si>
  <si>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</si>
  <si>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</si>
  <si>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</si>
  <si>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</si>
  <si>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</si>
  <si>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</si>
  <si>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</si>
  <si>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</si>
  <si>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</si>
  <si>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</si>
  <si>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</si>
  <si>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</si>
  <si>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</si>
  <si>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</si>
  <si>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</si>
  <si>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</si>
  <si>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</si>
  <si>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</si>
  <si>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</si>
  <si>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</si>
  <si>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</si>
  <si>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</si>
  <si>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</si>
  <si>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</si>
  <si>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</si>
  <si>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</si>
  <si>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</si>
  <si>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</si>
  <si>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</si>
  <si>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</si>
  <si>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</si>
  <si>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</si>
  <si>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</si>
  <si>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</si>
  <si>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</si>
  <si>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</si>
  <si>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</si>
  <si>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</si>
  <si>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</si>
  <si>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</si>
  <si>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</si>
  <si>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</si>
  <si>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</si>
  <si>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</si>
  <si>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</si>
  <si>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</si>
  <si>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</si>
  <si>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</si>
  <si>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</si>
  <si>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</si>
  <si>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</si>
  <si>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</si>
  <si>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</si>
  <si>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</si>
  <si>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</si>
  <si>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</si>
  <si>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</si>
  <si>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</si>
  <si>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</si>
  <si>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</si>
  <si>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</si>
  <si>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</si>
  <si>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</si>
  <si>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</si>
  <si>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</si>
  <si>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</si>
  <si>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</si>
  <si>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</si>
  <si>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</si>
  <si>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</si>
  <si>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</si>
  <si>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</si>
  <si>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</si>
  <si>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</si>
  <si>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</si>
  <si>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</si>
  <si>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</si>
  <si>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CBC, PC</t>
  </si>
  <si>
    <t>vial</t>
  </si>
  <si>
    <t>pcs</t>
  </si>
  <si>
    <t>BLOOD EXTRACTION FEE</t>
  </si>
  <si>
    <t>bottle</t>
  </si>
  <si>
    <t>ampule</t>
  </si>
  <si>
    <t>DISPOSABLE SYRINGE 10ML G 21, W/ NEEDLE X 100S (CPR NEEDED)</t>
  </si>
  <si>
    <t>IPRATROPIUM+SALBUTAMOL 500MCG+2.5MG-2.5ML</t>
  </si>
  <si>
    <t>500MCG+2.5MG-2.5ML</t>
  </si>
  <si>
    <t>IV CATHETER GAUGE 24</t>
  </si>
  <si>
    <t>HEPARIN LOCK BOX OF 100''''''''''''''''S</t>
  </si>
  <si>
    <t>BLOOD C/S</t>
  </si>
  <si>
    <t>ERYTHROMYCIN 200MG SUSPENSION</t>
  </si>
  <si>
    <t>HYDROCORTISONE SODIUM SUCCINATE 100MG</t>
  </si>
  <si>
    <t>HYDROCORTISONE SODIUM SUCCINATE 250MG</t>
  </si>
  <si>
    <t>PARACETAMOL (ACETAMINOPHEN) 300MG-2ML</t>
  </si>
  <si>
    <t>PIPERACILLIN + TAZOBACTAM NA 2.25G (IM, IV INFUSION)</t>
  </si>
  <si>
    <t>PIPERACILLIN + TAZOBACTAM NA 4.5G (IM, IV INFUSION)</t>
  </si>
  <si>
    <t>SALBUTAMOL SULPHATE  1MG/ML-2.5ML</t>
  </si>
  <si>
    <t>vil</t>
  </si>
  <si>
    <t>200mg</t>
  </si>
  <si>
    <t>100mg</t>
  </si>
  <si>
    <t>250mg</t>
  </si>
  <si>
    <t>300MG-2ML</t>
  </si>
  <si>
    <t xml:space="preserve">2.25G </t>
  </si>
  <si>
    <t>4.5G</t>
  </si>
  <si>
    <t xml:space="preserve"> 1MG/ML-2.5ML</t>
  </si>
  <si>
    <t>DISPOSABLE SYRINGE 1ML G 25, W/ NEEDLE X 100S (CPR NEEDED)</t>
  </si>
  <si>
    <t>DISPOSABLE SYRINGE 3ML G 23, W/ NEEDLE X 100S (CPR NEEDED)</t>
  </si>
  <si>
    <t>IV CATHETER GAUGE 26</t>
  </si>
  <si>
    <t>NEBULIZER KIT WITH MOUTH</t>
  </si>
  <si>
    <t>kit</t>
  </si>
  <si>
    <t>360078/73994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</si>
</sst>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20</xdr:row>
          <xdr:rowOff>22860</xdr:rowOff>
        </xdr:from>
        <xdr:to>
          <xdr:col>1</xdr:col>
          <xdr:colOff>731520</xdr:colOff>
          <xdr:row>20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20</xdr:row>
          <xdr:rowOff>22860</xdr:rowOff>
        </xdr:from>
        <xdr:to>
          <xdr:col>1</xdr:col>
          <xdr:colOff>1508760</xdr:colOff>
          <xdr:row>20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31</xdr:row>
          <xdr:rowOff>22860</xdr:rowOff>
        </xdr:from>
        <xdr:to>
          <xdr:col>1</xdr:col>
          <xdr:colOff>731520</xdr:colOff>
          <xdr:row>31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31</xdr:row>
          <xdr:rowOff>22860</xdr:rowOff>
        </xdr:from>
        <xdr:to>
          <xdr:col>1</xdr:col>
          <xdr:colOff>1508760</xdr:colOff>
          <xdr:row>31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22860</xdr:rowOff>
        </xdr:from>
        <xdr:to>
          <xdr:col>1</xdr:col>
          <xdr:colOff>731520</xdr:colOff>
          <xdr:row>35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35</xdr:row>
          <xdr:rowOff>22860</xdr:rowOff>
        </xdr:from>
        <xdr:to>
          <xdr:col>1</xdr:col>
          <xdr:colOff>1508760</xdr:colOff>
          <xdr:row>35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42</xdr:row>
          <xdr:rowOff>22860</xdr:rowOff>
        </xdr:from>
        <xdr:to>
          <xdr:col>1</xdr:col>
          <xdr:colOff>731520</xdr:colOff>
          <xdr:row>42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42</xdr:row>
          <xdr:rowOff>22860</xdr:rowOff>
        </xdr:from>
        <xdr:to>
          <xdr:col>1</xdr:col>
          <xdr:colOff>1508760</xdr:colOff>
          <xdr:row>42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47</xdr:row>
          <xdr:rowOff>22860</xdr:rowOff>
        </xdr:from>
        <xdr:to>
          <xdr:col>1</xdr:col>
          <xdr:colOff>731520</xdr:colOff>
          <xdr:row>47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47</xdr:row>
          <xdr:rowOff>22860</xdr:rowOff>
        </xdr:from>
        <xdr:to>
          <xdr:col>1</xdr:col>
          <xdr:colOff>1508760</xdr:colOff>
          <xdr:row>47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56</xdr:row>
          <xdr:rowOff>22860</xdr:rowOff>
        </xdr:from>
        <xdr:to>
          <xdr:col>1</xdr:col>
          <xdr:colOff>731520</xdr:colOff>
          <xdr:row>56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56</xdr:row>
          <xdr:rowOff>22860</xdr:rowOff>
        </xdr:from>
        <xdr:to>
          <xdr:col>1</xdr:col>
          <xdr:colOff>1508760</xdr:colOff>
          <xdr:row>56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24</xdr:row>
          <xdr:rowOff>30480</xdr:rowOff>
        </xdr:from>
        <xdr:to>
          <xdr:col>1</xdr:col>
          <xdr:colOff>762000</xdr:colOff>
          <xdr:row>24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24</xdr:row>
          <xdr:rowOff>30480</xdr:rowOff>
        </xdr:from>
        <xdr:to>
          <xdr:col>1</xdr:col>
          <xdr:colOff>1531620</xdr:colOff>
          <xdr:row>24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35</xdr:row>
          <xdr:rowOff>30480</xdr:rowOff>
        </xdr:from>
        <xdr:to>
          <xdr:col>1</xdr:col>
          <xdr:colOff>769620</xdr:colOff>
          <xdr:row>36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35</xdr:row>
          <xdr:rowOff>30480</xdr:rowOff>
        </xdr:from>
        <xdr:to>
          <xdr:col>1</xdr:col>
          <xdr:colOff>1546860</xdr:colOff>
          <xdr:row>36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zoomScaleNormal="100" workbookViewId="0">
      <selection activeCell="C17" sqref="C17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6" t="s">
        <v>52</v>
      </c>
      <c r="C20" s="117"/>
      <c r="D20" s="117"/>
      <c r="E20" s="117"/>
      <c r="F20" s="118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6">
        <v>1</v>
      </c>
      <c r="C21" s="27"/>
      <c r="D21" s="29"/>
      <c r="E21" s="55"/>
      <c r="F21" s="5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2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3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4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5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thickBot="1" x14ac:dyDescent="0.35">
      <c r="A26" s="1"/>
      <c r="B26" s="119" t="s">
        <v>43</v>
      </c>
      <c r="C26" s="120"/>
      <c r="D26" s="120"/>
      <c r="E26" s="120"/>
      <c r="F26" s="130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10" t="s">
        <v>159</v>
      </c>
      <c r="C27" s="113" t="s">
        <v>163</v>
      </c>
      <c r="D27" s="13"/>
      <c r="E27" s="13"/>
      <c r="F27" s="1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160</v>
      </c>
      <c r="C28" s="114" t="s">
        <v>124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4" t="s">
        <v>161</v>
      </c>
      <c r="C29" s="114" t="s">
        <v>139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5" t="s">
        <v>17</v>
      </c>
      <c r="C30" s="7"/>
      <c r="D30" s="7"/>
      <c r="E30" s="56">
        <v>7</v>
      </c>
      <c r="F30" s="7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thickBot="1" x14ac:dyDescent="0.35">
      <c r="A31" s="1"/>
      <c r="B31" s="116" t="s">
        <v>18</v>
      </c>
      <c r="C31" s="117"/>
      <c r="D31" s="117"/>
      <c r="E31" s="117"/>
      <c r="F31" s="118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30">
        <v>1</v>
      </c>
      <c r="C32" s="31" t="s">
        <v>184</v>
      </c>
      <c r="D32" s="23"/>
      <c r="E32" s="57">
        <v>1</v>
      </c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2</v>
      </c>
      <c r="C33" s="27" t="s">
        <v>176</v>
      </c>
      <c r="D33" s="23"/>
      <c r="E33" s="55">
        <v>3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3</v>
      </c>
      <c r="C34" s="27" t="s">
        <v>173</v>
      </c>
      <c r="D34" s="23"/>
      <c r="E34" s="55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9" t="s">
        <v>19</v>
      </c>
      <c r="C35" s="120"/>
      <c r="D35" s="117"/>
      <c r="E35" s="120"/>
      <c r="F35" s="118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9" t="s">
        <v>44</v>
      </c>
      <c r="C40" s="120"/>
      <c r="D40" s="117"/>
      <c r="E40" s="120"/>
      <c r="F40" s="118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6" t="s">
        <v>53</v>
      </c>
      <c r="C42" s="117"/>
      <c r="D42" s="117"/>
      <c r="E42" s="117"/>
      <c r="F42" s="118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6" t="s">
        <v>20</v>
      </c>
      <c r="C47" s="117"/>
      <c r="D47" s="117"/>
      <c r="E47" s="117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166</v>
      </c>
      <c r="D57" s="55">
        <v>4107.6499999999996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167</v>
      </c>
      <c r="D58" s="55">
        <v>173.56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168</v>
      </c>
      <c r="D59" s="55">
        <v>190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 t="s">
        <v>169</v>
      </c>
      <c r="D60" s="55">
        <v>1815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 t="s">
        <v>170</v>
      </c>
      <c r="D61" s="55">
        <v>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 t="s">
        <v>171</v>
      </c>
      <c r="D62" s="55">
        <v>3500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 t="s">
        <v>172</v>
      </c>
      <c r="D63" s="55">
        <v>4500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5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14286.21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0:F20"/>
    <mergeCell ref="B31:F31"/>
    <mergeCell ref="B26:F26"/>
    <mergeCell ref="B35:F35"/>
    <mergeCell ref="B42:F42"/>
  </mergeCells>
  <dataValidations count="1">
    <dataValidation type="decimal" operator="greaterThanOrEqual" allowBlank="1" showInputMessage="1" showErrorMessage="1" sqref="E30 E36:E39 E41 E21:F25 E43:F46 E48:F53 D57:F66 E32: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20</xdr:row>
                    <xdr:rowOff>22860</xdr:rowOff>
                  </from>
                  <to>
                    <xdr:col>1</xdr:col>
                    <xdr:colOff>731520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20</xdr:row>
                    <xdr:rowOff>22860</xdr:rowOff>
                  </from>
                  <to>
                    <xdr:col>1</xdr:col>
                    <xdr:colOff>1508760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31</xdr:row>
                    <xdr:rowOff>22860</xdr:rowOff>
                  </from>
                  <to>
                    <xdr:col>1</xdr:col>
                    <xdr:colOff>731520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31</xdr:row>
                    <xdr:rowOff>22860</xdr:rowOff>
                  </from>
                  <to>
                    <xdr:col>1</xdr:col>
                    <xdr:colOff>1508760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35</xdr:row>
                    <xdr:rowOff>22860</xdr:rowOff>
                  </from>
                  <to>
                    <xdr:col>1</xdr:col>
                    <xdr:colOff>731520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35</xdr:row>
                    <xdr:rowOff>22860</xdr:rowOff>
                  </from>
                  <to>
                    <xdr:col>1</xdr:col>
                    <xdr:colOff>1508760</xdr:colOff>
                    <xdr:row>35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42</xdr:row>
                    <xdr:rowOff>22860</xdr:rowOff>
                  </from>
                  <to>
                    <xdr:col>1</xdr:col>
                    <xdr:colOff>731520</xdr:colOff>
                    <xdr:row>42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42</xdr:row>
                    <xdr:rowOff>22860</xdr:rowOff>
                  </from>
                  <to>
                    <xdr:col>1</xdr:col>
                    <xdr:colOff>1508760</xdr:colOff>
                    <xdr:row>42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47</xdr:row>
                    <xdr:rowOff>22860</xdr:rowOff>
                  </from>
                  <to>
                    <xdr:col>1</xdr:col>
                    <xdr:colOff>731520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47</xdr:row>
                    <xdr:rowOff>22860</xdr:rowOff>
                  </from>
                  <to>
                    <xdr:col>1</xdr:col>
                    <xdr:colOff>1508760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56</xdr:row>
                    <xdr:rowOff>22860</xdr:rowOff>
                  </from>
                  <to>
                    <xdr:col>1</xdr:col>
                    <xdr:colOff>731520</xdr:colOff>
                    <xdr:row>56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56</xdr:row>
                    <xdr:rowOff>22860</xdr:rowOff>
                  </from>
                  <to>
                    <xdr:col>1</xdr:col>
                    <xdr:colOff>1508760</xdr:colOff>
                    <xdr:row>56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C28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topLeftCell="B14" workbookViewId="0">
      <selection activeCell="E18" sqref="E18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28.2" x14ac:dyDescent="0.3">
      <c r="B11" s="42">
        <v>1</v>
      </c>
      <c r="C11" s="69" t="s">
        <v>185</v>
      </c>
      <c r="D11" s="27" t="s">
        <v>174</v>
      </c>
      <c r="E11" s="27" t="s">
        <v>193</v>
      </c>
      <c r="F11" s="55">
        <v>1</v>
      </c>
      <c r="G11" s="55">
        <v>1</v>
      </c>
      <c r="H11" s="55">
        <v>1</v>
      </c>
      <c r="I11" s="55">
        <v>72</v>
      </c>
      <c r="J11" s="55">
        <f>H11*I11</f>
        <v>72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28.2" x14ac:dyDescent="0.3">
      <c r="B12" s="42">
        <v>2</v>
      </c>
      <c r="C12" s="27" t="s">
        <v>186</v>
      </c>
      <c r="D12" s="27" t="s">
        <v>192</v>
      </c>
      <c r="E12" s="27" t="s">
        <v>194</v>
      </c>
      <c r="F12" s="55">
        <v>1</v>
      </c>
      <c r="G12" s="55">
        <v>7</v>
      </c>
      <c r="H12" s="55">
        <v>7</v>
      </c>
      <c r="I12" s="55">
        <v>26.67</v>
      </c>
      <c r="J12" s="55">
        <f t="shared" ref="J12:J18" si="0">H12*I12</f>
        <v>186.69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28.2" x14ac:dyDescent="0.3">
      <c r="B13" s="42">
        <v>3</v>
      </c>
      <c r="C13" s="27" t="s">
        <v>187</v>
      </c>
      <c r="D13" s="27" t="s">
        <v>174</v>
      </c>
      <c r="E13" s="27" t="s">
        <v>195</v>
      </c>
      <c r="F13" s="55">
        <v>1</v>
      </c>
      <c r="G13" s="55">
        <v>7</v>
      </c>
      <c r="H13" s="55">
        <v>7</v>
      </c>
      <c r="I13" s="55">
        <v>71.12</v>
      </c>
      <c r="J13" s="55">
        <f t="shared" si="0"/>
        <v>497.84000000000003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28.2" x14ac:dyDescent="0.3">
      <c r="B14" s="42">
        <v>4</v>
      </c>
      <c r="C14" s="27" t="s">
        <v>180</v>
      </c>
      <c r="D14" s="27" t="s">
        <v>178</v>
      </c>
      <c r="E14" s="27" t="s">
        <v>181</v>
      </c>
      <c r="F14" s="55">
        <v>2</v>
      </c>
      <c r="G14" s="55">
        <v>7</v>
      </c>
      <c r="H14" s="55">
        <v>18</v>
      </c>
      <c r="I14" s="55">
        <v>12.57</v>
      </c>
      <c r="J14" s="55">
        <f t="shared" si="0"/>
        <v>226.26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28.2" x14ac:dyDescent="0.3">
      <c r="B15" s="42">
        <v>5</v>
      </c>
      <c r="C15" s="27" t="s">
        <v>188</v>
      </c>
      <c r="D15" s="27" t="s">
        <v>178</v>
      </c>
      <c r="E15" s="27" t="s">
        <v>196</v>
      </c>
      <c r="F15" s="55">
        <v>1</v>
      </c>
      <c r="G15" s="55">
        <v>3</v>
      </c>
      <c r="H15" s="55">
        <v>3</v>
      </c>
      <c r="I15" s="55">
        <v>4.57</v>
      </c>
      <c r="J15" s="55">
        <f t="shared" si="0"/>
        <v>13.71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28.2" x14ac:dyDescent="0.3">
      <c r="B16" s="42">
        <v>6</v>
      </c>
      <c r="C16" s="27" t="s">
        <v>189</v>
      </c>
      <c r="D16" s="27" t="s">
        <v>177</v>
      </c>
      <c r="E16" s="27" t="s">
        <v>197</v>
      </c>
      <c r="F16" s="55">
        <v>1</v>
      </c>
      <c r="G16" s="55">
        <v>3</v>
      </c>
      <c r="H16" s="55">
        <v>3</v>
      </c>
      <c r="I16" s="55">
        <v>66.510000000000005</v>
      </c>
      <c r="J16" s="55">
        <f t="shared" si="0"/>
        <v>199.53000000000003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28.2" x14ac:dyDescent="0.3">
      <c r="B17" s="42">
        <v>7</v>
      </c>
      <c r="C17" s="27" t="s">
        <v>190</v>
      </c>
      <c r="D17" s="27" t="s">
        <v>177</v>
      </c>
      <c r="E17" s="27" t="s">
        <v>198</v>
      </c>
      <c r="F17" s="55">
        <v>3</v>
      </c>
      <c r="G17" s="55">
        <v>7</v>
      </c>
      <c r="H17" s="55">
        <v>21</v>
      </c>
      <c r="I17" s="55">
        <v>129.77000000000001</v>
      </c>
      <c r="J17" s="55">
        <f t="shared" si="0"/>
        <v>2725.17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28.2" x14ac:dyDescent="0.3">
      <c r="B18" s="42">
        <v>8</v>
      </c>
      <c r="C18" s="27" t="s">
        <v>191</v>
      </c>
      <c r="D18" s="27" t="s">
        <v>178</v>
      </c>
      <c r="E18" s="27" t="s">
        <v>199</v>
      </c>
      <c r="F18" s="55">
        <v>4</v>
      </c>
      <c r="G18" s="55">
        <v>7</v>
      </c>
      <c r="H18" s="55">
        <v>33</v>
      </c>
      <c r="I18" s="55">
        <v>5.65</v>
      </c>
      <c r="J18" s="55">
        <f t="shared" si="0"/>
        <v>186.45000000000002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3"/>
    <row r="21" spans="1:20" ht="15.75" customHeight="1" x14ac:dyDescent="0.3"/>
    <row r="22" spans="1:20" ht="15.75" customHeight="1" x14ac:dyDescent="0.3"/>
    <row r="23" spans="1:20" ht="15.75" customHeight="1" x14ac:dyDescent="0.3"/>
    <row r="24" spans="1:20" ht="15.75" customHeight="1" x14ac:dyDescent="0.3"/>
    <row r="25" spans="1:20" ht="15.75" customHeight="1" x14ac:dyDescent="0.3"/>
    <row r="26" spans="1:20" ht="15.75" customHeight="1" x14ac:dyDescent="0.3"/>
    <row r="27" spans="1:20" ht="15.75" customHeight="1" x14ac:dyDescent="0.3"/>
    <row r="28" spans="1:20" ht="15.75" customHeight="1" x14ac:dyDescent="0.3"/>
    <row r="29" spans="1:20" ht="15.75" customHeight="1" x14ac:dyDescent="0.3"/>
    <row r="30" spans="1:20" ht="15.75" customHeight="1" x14ac:dyDescent="0.3"/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9"/>
  <sheetViews>
    <sheetView topLeftCell="A13" workbookViewId="0">
      <selection activeCell="F29" sqref="F29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200</v>
      </c>
      <c r="D16" s="70" t="s">
        <v>175</v>
      </c>
      <c r="E16" s="55">
        <v>5</v>
      </c>
      <c r="F16" s="55">
        <v>1.6</v>
      </c>
      <c r="G16" s="55">
        <f>+E16*F16</f>
        <v>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28.2" x14ac:dyDescent="0.3">
      <c r="B17" s="68">
        <v>2</v>
      </c>
      <c r="C17" s="69" t="s">
        <v>201</v>
      </c>
      <c r="D17" s="70" t="s">
        <v>175</v>
      </c>
      <c r="E17" s="55">
        <v>7</v>
      </c>
      <c r="F17" s="55">
        <v>1.6</v>
      </c>
      <c r="G17" s="55">
        <f t="shared" ref="G17:G23" si="0">+E17*F17</f>
        <v>11.200000000000001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28.2" x14ac:dyDescent="0.3">
      <c r="B18" s="68">
        <v>3</v>
      </c>
      <c r="C18" s="69" t="s">
        <v>179</v>
      </c>
      <c r="D18" s="70" t="s">
        <v>175</v>
      </c>
      <c r="E18" s="55">
        <v>8</v>
      </c>
      <c r="F18" s="55">
        <v>2.77</v>
      </c>
      <c r="G18" s="55">
        <f t="shared" si="0"/>
        <v>22.16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182</v>
      </c>
      <c r="D19" s="70" t="s">
        <v>175</v>
      </c>
      <c r="E19" s="55">
        <v>2</v>
      </c>
      <c r="F19" s="55">
        <v>14.33</v>
      </c>
      <c r="G19" s="55">
        <f t="shared" si="0"/>
        <v>28.66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202</v>
      </c>
      <c r="D20" s="70" t="s">
        <v>175</v>
      </c>
      <c r="E20" s="55">
        <v>4</v>
      </c>
      <c r="F20" s="55">
        <v>14.33</v>
      </c>
      <c r="G20" s="55">
        <f t="shared" si="0"/>
        <v>57.32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175</v>
      </c>
      <c r="E21" s="55">
        <v>1</v>
      </c>
      <c r="F21" s="55">
        <v>8.2200000000000006</v>
      </c>
      <c r="G21" s="55">
        <f t="shared" si="0"/>
        <v>8.2200000000000006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4" x14ac:dyDescent="0.3">
      <c r="B22" s="68">
        <v>7</v>
      </c>
      <c r="C22" s="69" t="s">
        <v>203</v>
      </c>
      <c r="D22" s="70" t="s">
        <v>204</v>
      </c>
      <c r="E22" s="55">
        <v>1</v>
      </c>
      <c r="F22" s="55">
        <v>38</v>
      </c>
      <c r="G22" s="55">
        <f t="shared" si="0"/>
        <v>38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4" x14ac:dyDescent="0.3">
      <c r="B23" s="68">
        <v>8</v>
      </c>
      <c r="C23" s="69"/>
      <c r="D23" s="70" t="s">
        <v>175</v>
      </c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137" t="s">
        <v>76</v>
      </c>
      <c r="C24" s="138"/>
      <c r="D24" s="138"/>
      <c r="E24" s="138"/>
      <c r="F24" s="138"/>
      <c r="G24" s="139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2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3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4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5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6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7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8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9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10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137" t="s">
        <v>29</v>
      </c>
      <c r="C35" s="138"/>
      <c r="D35" s="138"/>
      <c r="E35" s="138"/>
      <c r="F35" s="138"/>
      <c r="G35" s="139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</sheetData>
  <sheetProtection password="C2E9" sheet="1" objects="1" scenarios="1" formatColumns="0" formatRows="0" sort="0" autoFilter="0"/>
  <mergeCells count="9">
    <mergeCell ref="B7:G7"/>
    <mergeCell ref="B24:G24"/>
    <mergeCell ref="B35:G3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24</xdr:row>
                    <xdr:rowOff>30480</xdr:rowOff>
                  </from>
                  <to>
                    <xdr:col>1</xdr:col>
                    <xdr:colOff>762000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24</xdr:row>
                    <xdr:rowOff>30480</xdr:rowOff>
                  </from>
                  <to>
                    <xdr:col>1</xdr:col>
                    <xdr:colOff>1531620</xdr:colOff>
                    <xdr:row>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35</xdr:row>
                    <xdr:rowOff>30480</xdr:rowOff>
                  </from>
                  <to>
                    <xdr:col>1</xdr:col>
                    <xdr:colOff>769620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35</xdr:row>
                    <xdr:rowOff>30480</xdr:rowOff>
                  </from>
                  <to>
                    <xdr:col>1</xdr:col>
                    <xdr:colOff>1546860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9" sqref="E19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data_general'!$C$27</f>
        <v>Level II and III</v>
      </c>
      <c r="G1" s="112" t="str">
        <f>'1.1 Case data_general'!$C$28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2018-06-04T10:21:11Z</dcterms:modified>
</cp:coreProperties>
</file>