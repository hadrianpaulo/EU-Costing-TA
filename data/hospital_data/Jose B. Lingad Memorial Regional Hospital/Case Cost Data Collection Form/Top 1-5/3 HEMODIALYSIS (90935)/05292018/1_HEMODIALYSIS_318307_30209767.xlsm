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8" i="9" l="1"/>
  <c r="G17" i="9" l="1"/>
  <c r="G16" i="9"/>
  <c r="D64" i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4" i="1"/>
  <c r="E6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<sst xmlns="http://schemas.openxmlformats.org/spreadsheetml/2006/main" count="468" uniqueCount="184">
  <si>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</si>
  <si>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</si>
  <si>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</si>
  <si>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</si>
  <si>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</si>
  <si>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</si>
  <si>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</si>
  <si>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</si>
  <si>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</si>
  <si>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</si>
  <si>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</si>
  <si>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</si>
  <si>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</si>
  <si>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</si>
  <si>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</si>
  <si>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</si>
  <si>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</si>
  <si>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</si>
  <si>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</si>
  <si>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</si>
  <si>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</si>
  <si>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</si>
  <si>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</si>
  <si>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</si>
  <si>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</si>
  <si>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</si>
  <si>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</si>
  <si>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</si>
  <si>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</si>
  <si>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</si>
  <si>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</si>
  <si>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</si>
  <si>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</si>
  <si>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</si>
  <si>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</si>
  <si>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</si>
  <si>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</si>
  <si>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</si>
  <si>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</si>
  <si>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</si>
  <si>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</si>
  <si>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</si>
  <si>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</si>
  <si>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</si>
  <si>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</si>
  <si>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</si>
  <si>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</si>
  <si>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</si>
  <si>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</si>
  <si>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</si>
  <si>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</si>
  <si>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</si>
  <si>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</si>
  <si>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</si>
  <si>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</si>
  <si>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</si>
  <si>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</si>
  <si>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</si>
  <si>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</si>
  <si>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</si>
  <si>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</si>
  <si>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</si>
  <si>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</si>
  <si>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</si>
  <si>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</si>
  <si>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</si>
  <si>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</si>
  <si>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</si>
  <si>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</si>
  <si>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</si>
  <si>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</si>
  <si>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</si>
  <si>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</si>
  <si>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</si>
  <si>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</si>
  <si>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</si>
  <si>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</si>
  <si>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</si>
  <si>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</si>
  <si>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</si>
  <si>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</si>
  <si>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</si>
  <si>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</si>
  <si>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</si>
  <si>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</si>
  <si>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</si>
  <si>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</si>
  <si>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</si>
  <si>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</si>
  <si>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</si>
  <si>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</si>
  <si>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</si>
  <si>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</si>
  <si>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</si>
  <si>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</si>
  <si>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</si>
  <si>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</si>
  <si>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</si>
  <si>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</si>
  <si>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</si>
  <si>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</si>
  <si>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</si>
  <si>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</si>
  <si>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</si>
  <si>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</si>
  <si>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</si>
  <si>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</si>
  <si>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</si>
  <si>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</si>
  <si>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</si>
  <si>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</si>
  <si>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</si>
  <si>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</si>
  <si>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</si>
  <si>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</si>
  <si>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</si>
  <si>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</si>
  <si>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</si>
  <si>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</si>
  <si>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</si>
  <si>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</si>
  <si>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</si>
  <si>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</si>
  <si>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</si>
  <si>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</si>
  <si>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</si>
  <si>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</si>
  <si>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</si>
  <si>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</si>
  <si>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</si>
  <si>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</si>
  <si>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</si>
  <si>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</si>
  <si>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</si>
  <si>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</si>
  <si>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</si>
  <si>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</si>
  <si>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</si>
  <si>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</si>
  <si>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</si>
  <si>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</si>
  <si>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</si>
  <si>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</si>
  <si>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</si>
  <si>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</si>
  <si>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</si>
  <si>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</si>
  <si>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</si>
  <si>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</si>
  <si>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</si>
  <si>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</si>
  <si>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</si>
  <si>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</si>
  <si>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</si>
  <si>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</si>
  <si>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</si>
  <si>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</si>
  <si>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</si>
  <si>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</si>
  <si>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</si>
  <si>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</si>
  <si>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</si>
  <si>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</si>
  <si>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</si>
  <si>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</si>
  <si>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</si>
  <si>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MEDICINES</t>
  </si>
  <si>
    <t>SUPPLIES</t>
  </si>
  <si>
    <t>PROFESSIONAL FEE</t>
  </si>
  <si>
    <t>N18.5</t>
  </si>
  <si>
    <t>HEMODIALYSIS</t>
  </si>
  <si>
    <t>MINOR</t>
  </si>
  <si>
    <t>OTHERS (DIALYSIS FEE)</t>
  </si>
  <si>
    <t>HEPARIN SODIUM</t>
  </si>
  <si>
    <t>vial</t>
  </si>
  <si>
    <t>5,000UI/5 ml</t>
  </si>
  <si>
    <t>INDIVIDUAL DRESSING KIT</t>
  </si>
  <si>
    <t xml:space="preserve">Nursing Attendtant         </t>
  </si>
  <si>
    <t>DIALYSIS FEE</t>
  </si>
  <si>
    <t>service</t>
  </si>
  <si>
    <t>NO BALANCE BILLING</t>
  </si>
  <si>
    <t>DISPOSABLE SYRINGE, 10ml G21 w/needle</t>
  </si>
  <si>
    <t>I12.0</t>
  </si>
  <si>
    <t>318307/0221153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</si>
</sst>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1"/>
  <sheetViews>
    <sheetView topLeftCell="A54" zoomScaleNormal="100" workbookViewId="0">
      <selection activeCell="C20" sqref="C2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182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53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170</v>
      </c>
      <c r="D22" s="29" t="s">
        <v>171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44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160</v>
      </c>
      <c r="C24" s="113" t="s">
        <v>164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161</v>
      </c>
      <c r="C25" s="114" t="s">
        <v>125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162</v>
      </c>
      <c r="C26" s="114" t="s">
        <v>136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45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54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219.11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88.49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172</v>
      </c>
      <c r="D60" s="55">
        <v>2250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168</v>
      </c>
      <c r="D61" s="55">
        <v>350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180</v>
      </c>
      <c r="D62" s="55"/>
      <c r="E62" s="55">
        <v>307.60000000000002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4.9000000000000004" customHeight="1" thickBot="1" x14ac:dyDescent="0.35">
      <c r="A63" s="1"/>
      <c r="B63" s="1"/>
      <c r="C63" s="1"/>
      <c r="D63" s="58"/>
      <c r="E63" s="58"/>
      <c r="F63" s="58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Top="1" x14ac:dyDescent="0.3">
      <c r="A64" s="1"/>
      <c r="B64" s="11"/>
      <c r="C64" s="4" t="s">
        <v>22</v>
      </c>
      <c r="D64" s="59">
        <f>SUM(D58:D63)</f>
        <v>2907.6</v>
      </c>
      <c r="E64" s="59">
        <f>SUM(E58:E63)</f>
        <v>307.60000000000002</v>
      </c>
      <c r="F64" s="59">
        <f>SUM(F58:F63)</f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</sheetData>
  <sheetProtection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E58:F62 D58:D6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5" workbookViewId="0">
      <selection activeCell="J11" sqref="J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174</v>
      </c>
      <c r="E11" s="27" t="s">
        <v>175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D21" sqref="D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30</v>
      </c>
      <c r="E16" s="55">
        <v>1</v>
      </c>
      <c r="F16" s="55">
        <v>85.72</v>
      </c>
      <c r="G16" s="55">
        <f>F16</f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181</v>
      </c>
      <c r="D17" s="70" t="s">
        <v>29</v>
      </c>
      <c r="E17" s="55">
        <v>1</v>
      </c>
      <c r="F17" s="55">
        <v>2.77</v>
      </c>
      <c r="G17" s="55">
        <f>F17</f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179</v>
      </c>
      <c r="E18" s="55">
        <v>1</v>
      </c>
      <c r="F18" s="55">
        <v>2250</v>
      </c>
      <c r="G18" s="55">
        <f>F18</f>
        <v>2250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14"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177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2018-05-31T06:13:16Z</dcterms:modified>
</cp:coreProperties>
</file>