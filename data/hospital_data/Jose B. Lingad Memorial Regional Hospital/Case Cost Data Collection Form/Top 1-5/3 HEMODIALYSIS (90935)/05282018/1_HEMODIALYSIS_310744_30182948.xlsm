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2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data_general'!$B$1:$F$64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17" i="9" l="1"/>
  <c r="G18" i="9"/>
  <c r="G16" i="9" l="1"/>
  <c r="D64" i="1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4" i="1"/>
  <c r="E6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<sst xmlns="http://schemas.openxmlformats.org/spreadsheetml/2006/main" count="468" uniqueCount="184">
  <si>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</si>
  <si>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</si>
  <si>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</si>
  <si>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</si>
  <si>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</si>
  <si>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</si>
  <si>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</si>
  <si>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</si>
  <si>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</si>
  <si>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</si>
  <si>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</si>
  <si>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</si>
  <si>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</si>
  <si>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</si>
  <si>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</si>
  <si>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</si>
  <si>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</si>
  <si>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</si>
  <si>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</si>
  <si>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</si>
  <si>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</si>
  <si>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</si>
  <si>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</si>
  <si>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</si>
  <si>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</si>
  <si>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</si>
  <si>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</si>
  <si>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</si>
  <si>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</si>
  <si>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kit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</si>
  <si>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</si>
  <si>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</si>
  <si>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</si>
  <si>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</si>
  <si>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</si>
  <si>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</si>
  <si>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</si>
  <si>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</si>
  <si>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</si>
  <si>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</si>
  <si>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Physical Therapist     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</si>
  <si>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</si>
  <si>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</si>
  <si>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</si>
  <si>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</si>
  <si>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</si>
  <si>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</si>
  <si>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</si>
  <si>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</si>
  <si>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</si>
  <si>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</si>
  <si>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</si>
  <si>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</si>
  <si>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</si>
  <si>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</si>
  <si>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</si>
  <si>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</si>
  <si>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</si>
  <si>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</si>
  <si>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</si>
  <si>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</si>
  <si>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</si>
  <si>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</si>
  <si>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</si>
  <si>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</si>
  <si>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</si>
  <si>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</si>
  <si>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</si>
  <si>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</si>
  <si>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</si>
  <si>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</si>
  <si>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</si>
  <si>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</si>
  <si>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</si>
  <si>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</si>
  <si>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</si>
  <si>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</si>
  <si>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</si>
  <si>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</si>
  <si>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</si>
  <si>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</si>
  <si>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</si>
  <si>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</si>
  <si>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</si>
  <si>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</si>
  <si>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</si>
  <si>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</si>
  <si>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</si>
  <si>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</si>
  <si>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</si>
  <si>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</si>
  <si>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</si>
  <si>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</si>
  <si>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</si>
  <si>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</si>
  <si>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</si>
  <si>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</si>
  <si>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</si>
  <si>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</si>
  <si>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</si>
  <si>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</si>
  <si>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</si>
  <si>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</si>
  <si>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</si>
  <si>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</si>
  <si>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</si>
  <si>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</si>
  <si>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</si>
  <si>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</si>
  <si>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</si>
  <si>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</si>
  <si>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</si>
  <si>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</si>
  <si>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</si>
  <si>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</si>
  <si>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</si>
  <si>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</si>
  <si>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</si>
  <si>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</si>
  <si>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</si>
  <si>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</si>
  <si>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</si>
  <si>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</si>
  <si>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</si>
  <si>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</si>
  <si>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</si>
  <si>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</si>
  <si>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</si>
  <si>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</si>
  <si>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</si>
  <si>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</si>
  <si>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</si>
  <si>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</si>
  <si>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</si>
  <si>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</si>
  <si>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</si>
  <si>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</si>
  <si>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</si>
  <si>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</si>
  <si>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</si>
  <si>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</si>
  <si>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</si>
  <si>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</si>
  <si>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</si>
  <si>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</si>
  <si>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</si>
  <si>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</si>
  <si>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</si>
  <si>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</si>
  <si>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</si>
  <si>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</si>
  <si>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</si>
  <si>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</si>
  <si>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</si>
  <si>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</si>
  <si>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</si>
  <si>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</si>
  <si>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</si>
  <si>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</si>
  <si>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</si>
  <si>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</si>
  <si>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</si>
  <si>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</si>
  <si>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</si>
  <si>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</si>
  <si>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MEDICINES</t>
  </si>
  <si>
    <t>SUPPLIES</t>
  </si>
  <si>
    <t>PROFESSIONAL FEE</t>
  </si>
  <si>
    <t>N18.5</t>
  </si>
  <si>
    <t>N03.9</t>
  </si>
  <si>
    <t>HEMODIALYSIS</t>
  </si>
  <si>
    <t>MINOR</t>
  </si>
  <si>
    <t>OTHERS (DIALYSIS FEE)</t>
  </si>
  <si>
    <t>HEPARIN SODIUM</t>
  </si>
  <si>
    <t>vial</t>
  </si>
  <si>
    <t>5,000UI/5 ml</t>
  </si>
  <si>
    <t>INDIVIDUAL DRESSING KIT</t>
  </si>
  <si>
    <t xml:space="preserve">Nursing Attendtant         </t>
  </si>
  <si>
    <t>310744/220384</t>
  </si>
  <si>
    <t>10 ml G21</t>
  </si>
  <si>
    <t>DIALYSIS FEE</t>
  </si>
  <si>
    <t>servce</t>
  </si>
  <si>
    <t>NO BALANCE BILLING</t>
  </si>
  <si>
    <t>DISPOSABLE SYRINGE, 10ml G21 w/needle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</si>
</sst>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28</xdr:row>
          <xdr:rowOff>19050</xdr:rowOff>
        </xdr:from>
        <xdr:to>
          <xdr:col>1</xdr:col>
          <xdr:colOff>733425</xdr:colOff>
          <xdr:row>28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28</xdr:row>
          <xdr:rowOff>19050</xdr:rowOff>
        </xdr:from>
        <xdr:to>
          <xdr:col>1</xdr:col>
          <xdr:colOff>1504950</xdr:colOff>
          <xdr:row>28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1"/>
  <sheetViews>
    <sheetView topLeftCell="A51" zoomScaleNormal="100" workbookViewId="0">
      <selection activeCell="C62" sqref="C6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164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1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5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60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61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178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168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169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6" t="s">
        <v>52</v>
      </c>
      <c r="C21" s="117"/>
      <c r="D21" s="117"/>
      <c r="E21" s="117"/>
      <c r="F21" s="118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 t="s">
        <v>170</v>
      </c>
      <c r="D22" s="29" t="s">
        <v>171</v>
      </c>
      <c r="E22" s="55">
        <v>1</v>
      </c>
      <c r="F22" s="55">
        <v>4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thickBot="1" x14ac:dyDescent="0.35">
      <c r="A23" s="1"/>
      <c r="B23" s="119" t="s">
        <v>43</v>
      </c>
      <c r="C23" s="120"/>
      <c r="D23" s="120"/>
      <c r="E23" s="120"/>
      <c r="F23" s="130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110" t="s">
        <v>159</v>
      </c>
      <c r="C24" s="113" t="s">
        <v>163</v>
      </c>
      <c r="D24" s="13"/>
      <c r="E24" s="13"/>
      <c r="F24" s="13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110" t="s">
        <v>160</v>
      </c>
      <c r="C25" s="114" t="s">
        <v>124</v>
      </c>
      <c r="D25" s="13"/>
      <c r="E25" s="13"/>
      <c r="F25" s="13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14" t="s">
        <v>161</v>
      </c>
      <c r="C26" s="114" t="s">
        <v>135</v>
      </c>
      <c r="D26" s="13"/>
      <c r="E26" s="13"/>
      <c r="F26" s="13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15" t="s">
        <v>17</v>
      </c>
      <c r="C27" s="7"/>
      <c r="D27" s="7"/>
      <c r="E27" s="56">
        <v>1</v>
      </c>
      <c r="F27" s="7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6" t="s">
        <v>18</v>
      </c>
      <c r="C28" s="117"/>
      <c r="D28" s="117"/>
      <c r="E28" s="117"/>
      <c r="F28" s="118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30">
        <v>1</v>
      </c>
      <c r="C29" s="31"/>
      <c r="D29" s="23"/>
      <c r="E29" s="57"/>
      <c r="F29" s="24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26">
        <v>2</v>
      </c>
      <c r="C30" s="27"/>
      <c r="D30" s="23"/>
      <c r="E30" s="55"/>
      <c r="F30" s="24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26">
        <v>3</v>
      </c>
      <c r="C31" s="27"/>
      <c r="D31" s="23"/>
      <c r="E31" s="55"/>
      <c r="F31" s="24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26">
        <v>4</v>
      </c>
      <c r="C32" s="27"/>
      <c r="D32" s="23"/>
      <c r="E32" s="55"/>
      <c r="F32" s="24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26">
        <v>5</v>
      </c>
      <c r="C33" s="27"/>
      <c r="D33" s="23"/>
      <c r="E33" s="55"/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6</v>
      </c>
      <c r="C34" s="27"/>
      <c r="D34" s="23"/>
      <c r="E34" s="55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7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9" t="s">
        <v>19</v>
      </c>
      <c r="C36" s="120"/>
      <c r="D36" s="117"/>
      <c r="E36" s="120"/>
      <c r="F36" s="118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3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4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44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14" t="s">
        <v>45</v>
      </c>
      <c r="C42" s="13"/>
      <c r="D42" s="13"/>
      <c r="E42" s="16"/>
      <c r="F42" s="1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6" t="s">
        <v>53</v>
      </c>
      <c r="C43" s="117"/>
      <c r="D43" s="117"/>
      <c r="E43" s="117"/>
      <c r="F43" s="118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1</v>
      </c>
      <c r="C44" s="31"/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2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3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4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20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5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6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/>
      <c r="C55" s="25"/>
      <c r="D55" s="25"/>
      <c r="E55" s="25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57.75" customHeight="1" thickBot="1" x14ac:dyDescent="0.35">
      <c r="A57" s="1"/>
      <c r="B57" s="17" t="s">
        <v>55</v>
      </c>
      <c r="C57" s="17" t="s">
        <v>51</v>
      </c>
      <c r="D57" s="17" t="s">
        <v>56</v>
      </c>
      <c r="E57" s="18" t="s">
        <v>57</v>
      </c>
      <c r="F57" s="19" t="s">
        <v>21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2">
        <v>1</v>
      </c>
      <c r="C58" s="27" t="s">
        <v>165</v>
      </c>
      <c r="D58" s="55">
        <v>219.11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2</v>
      </c>
      <c r="C59" s="27" t="s">
        <v>166</v>
      </c>
      <c r="D59" s="55">
        <v>88.49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3</v>
      </c>
      <c r="C60" s="27" t="s">
        <v>172</v>
      </c>
      <c r="D60" s="55">
        <v>2250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4</v>
      </c>
      <c r="C61" s="27" t="s">
        <v>167</v>
      </c>
      <c r="D61" s="55">
        <v>350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5</v>
      </c>
      <c r="C62" s="27" t="s">
        <v>182</v>
      </c>
      <c r="D62" s="55"/>
      <c r="E62" s="55">
        <v>307.60000000000002</v>
      </c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4.9000000000000004" customHeight="1" thickBot="1" x14ac:dyDescent="0.35">
      <c r="A63" s="1"/>
      <c r="B63" s="1"/>
      <c r="C63" s="1"/>
      <c r="D63" s="58"/>
      <c r="E63" s="58"/>
      <c r="F63" s="58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thickTop="1" x14ac:dyDescent="0.3">
      <c r="A64" s="1"/>
      <c r="B64" s="11"/>
      <c r="C64" s="4" t="s">
        <v>22</v>
      </c>
      <c r="D64" s="59">
        <f>SUM(D58:D63)</f>
        <v>2907.6</v>
      </c>
      <c r="E64" s="59">
        <f>SUM(E58:E63)</f>
        <v>307.60000000000002</v>
      </c>
      <c r="F64" s="59">
        <f>SUM(F58:F63)</f>
        <v>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</sheetData>
  <sheetProtection formatColumns="0" formatRows="0" sort="0" autoFilter="0"/>
  <mergeCells count="12">
    <mergeCell ref="B48:F48"/>
    <mergeCell ref="B41:F41"/>
    <mergeCell ref="B12:F12"/>
    <mergeCell ref="B13:F13"/>
    <mergeCell ref="B14:F14"/>
    <mergeCell ref="B15:F15"/>
    <mergeCell ref="B18:F18"/>
    <mergeCell ref="B21:F21"/>
    <mergeCell ref="B28:F28"/>
    <mergeCell ref="B23:F23"/>
    <mergeCell ref="B36:F36"/>
    <mergeCell ref="B43:F43"/>
  </mergeCells>
  <dataValidations count="1">
    <dataValidation type="decimal" operator="greaterThanOrEqual" allowBlank="1" showInputMessage="1" showErrorMessage="1" sqref="E27 E37:E40 E42 E22:F22 E44:F47 E49:F54 E29:E35 E58:F62 D58:D6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28</xdr:row>
                    <xdr:rowOff>19050</xdr:rowOff>
                  </from>
                  <to>
                    <xdr:col>1</xdr:col>
                    <xdr:colOff>733425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28</xdr:row>
                    <xdr:rowOff>19050</xdr:rowOff>
                  </from>
                  <to>
                    <xdr:col>1</xdr:col>
                    <xdr:colOff>1504950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C26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C25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B5" workbookViewId="0">
      <selection activeCell="J11" sqref="J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64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173</v>
      </c>
      <c r="D11" s="27" t="s">
        <v>174</v>
      </c>
      <c r="E11" s="27" t="s">
        <v>175</v>
      </c>
      <c r="F11" s="55">
        <v>1</v>
      </c>
      <c r="G11" s="55">
        <v>1</v>
      </c>
      <c r="H11" s="55">
        <v>1</v>
      </c>
      <c r="I11" s="55">
        <v>219.11</v>
      </c>
      <c r="J11" s="55">
        <f>H11*I11</f>
        <v>219.11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>
        <f t="shared" ref="J12:J26" si="0">H12*I12</f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abSelected="1" topLeftCell="A7" workbookViewId="0">
      <selection activeCell="C17" sqref="C17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69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72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176</v>
      </c>
      <c r="D16" s="70" t="s">
        <v>29</v>
      </c>
      <c r="E16" s="55">
        <v>1</v>
      </c>
      <c r="F16" s="55">
        <v>85.72</v>
      </c>
      <c r="G16" s="55">
        <f>F16</f>
        <v>85.72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183</v>
      </c>
      <c r="D17" s="70" t="s">
        <v>179</v>
      </c>
      <c r="E17" s="55">
        <v>1</v>
      </c>
      <c r="F17" s="55">
        <v>2.77</v>
      </c>
      <c r="G17" s="55">
        <f t="shared" ref="G17:G18" si="0">F17</f>
        <v>2.77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180</v>
      </c>
      <c r="D18" s="70" t="s">
        <v>181</v>
      </c>
      <c r="E18" s="55">
        <v>1</v>
      </c>
      <c r="F18" s="55">
        <v>2250</v>
      </c>
      <c r="G18" s="55">
        <f t="shared" si="0"/>
        <v>2250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76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30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23" workbookViewId="0">
      <selection activeCell="G13" sqref="G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33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177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80</v>
      </c>
      <c r="E13" s="55"/>
      <c r="F13" s="55"/>
      <c r="G13" s="55">
        <v>160</v>
      </c>
      <c r="H13" s="55"/>
      <c r="I13" s="55"/>
      <c r="J13" s="55"/>
      <c r="K13" s="55"/>
      <c r="L13" s="55"/>
      <c r="M13" s="55"/>
      <c r="N13" s="55"/>
      <c r="P13" s="88">
        <f>SUM(D13:N13)</f>
        <v>240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80</v>
      </c>
      <c r="E30" s="88">
        <f t="shared" si="1"/>
        <v>0</v>
      </c>
      <c r="F30" s="88">
        <f t="shared" si="1"/>
        <v>0</v>
      </c>
      <c r="G30" s="88">
        <f t="shared" si="1"/>
        <v>160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data_general'!$C$24</f>
        <v>Level II and III</v>
      </c>
      <c r="G1" s="112" t="str">
        <f>'1.1 Case data_general'!$C$25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COMPUTER68</cp:lastModifiedBy>
  <dcterms:created xsi:type="dcterms:W3CDTF">2018-05-11T08:46:15Z</dcterms:created>
  <dcterms:modified xsi:type="dcterms:W3CDTF">2018-05-30T02:06:55Z</dcterms:modified>
</cp:coreProperties>
</file>