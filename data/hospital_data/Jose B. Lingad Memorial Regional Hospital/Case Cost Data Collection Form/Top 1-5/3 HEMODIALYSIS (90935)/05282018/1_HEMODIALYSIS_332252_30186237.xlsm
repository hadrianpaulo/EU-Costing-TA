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data_general'!$B$1:$F$65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9" i="9"/>
  <c r="G17" i="9" l="1"/>
  <c r="G16" i="9"/>
  <c r="D65" i="1"/>
  <c r="J13" i="2" l="1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5" i="1"/>
  <c r="E65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<sst xmlns="http://schemas.openxmlformats.org/spreadsheetml/2006/main" count="471" uniqueCount="186">
  <si>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</si>
  <si>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</si>
  <si>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</si>
  <si>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</si>
  <si>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</si>
  <si>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</si>
  <si>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</si>
  <si>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</si>
  <si>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</si>
  <si>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</si>
  <si>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</si>
  <si>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</si>
  <si>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</si>
  <si>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</si>
  <si>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</si>
  <si>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</si>
  <si>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</si>
  <si>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</si>
  <si>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</si>
  <si>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</si>
  <si>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</si>
  <si>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</si>
  <si>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</si>
  <si>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</si>
  <si>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</si>
  <si>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</si>
  <si>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</si>
  <si>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</si>
  <si>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</si>
  <si>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</si>
  <si>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</si>
  <si>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</si>
  <si>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</si>
  <si>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</si>
  <si>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</si>
  <si>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</si>
  <si>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</si>
  <si>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</si>
  <si>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</si>
  <si>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</si>
  <si>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</si>
  <si>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</si>
  <si>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</si>
  <si>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</si>
  <si>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</si>
  <si>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</si>
  <si>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</si>
  <si>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</si>
  <si>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</si>
  <si>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</si>
  <si>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</si>
  <si>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</si>
  <si>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</si>
  <si>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</si>
  <si>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</si>
  <si>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</si>
  <si>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</si>
  <si>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</si>
  <si>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</si>
  <si>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</si>
  <si>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</si>
  <si>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</si>
  <si>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</si>
  <si>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</si>
  <si>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</si>
  <si>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</si>
  <si>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</si>
  <si>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</si>
  <si>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</si>
  <si>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</si>
  <si>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</si>
  <si>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</si>
  <si>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</si>
  <si>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</si>
  <si>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</si>
  <si>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</si>
  <si>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</si>
  <si>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</si>
  <si>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</si>
  <si>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</si>
  <si>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</si>
  <si>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</si>
  <si>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</si>
  <si>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</si>
  <si>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</si>
  <si>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</si>
  <si>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</si>
  <si>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</si>
  <si>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</si>
  <si>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</si>
  <si>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</si>
  <si>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</si>
  <si>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</si>
  <si>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</si>
  <si>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</si>
  <si>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</si>
  <si>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</si>
  <si>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</si>
  <si>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</si>
  <si>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</si>
  <si>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</si>
  <si>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</si>
  <si>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</si>
  <si>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</si>
  <si>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</si>
  <si>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</si>
  <si>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</si>
  <si>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</si>
  <si>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</si>
  <si>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</si>
  <si>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</si>
  <si>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</si>
  <si>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</si>
  <si>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</si>
  <si>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</si>
  <si>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</si>
  <si>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</si>
  <si>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</si>
  <si>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</si>
  <si>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</si>
  <si>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</si>
  <si>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</si>
  <si>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</si>
  <si>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</si>
  <si>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</si>
  <si>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</si>
  <si>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</si>
  <si>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</si>
  <si>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</si>
  <si>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</si>
  <si>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</si>
  <si>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</si>
  <si>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</si>
  <si>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</si>
  <si>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</si>
  <si>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</si>
  <si>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</si>
  <si>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</si>
  <si>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</si>
  <si>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</si>
  <si>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</si>
  <si>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</si>
  <si>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</si>
  <si>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</si>
  <si>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</si>
  <si>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</si>
  <si>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</si>
  <si>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</si>
  <si>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</si>
  <si>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</si>
  <si>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</si>
  <si>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</si>
  <si>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</si>
  <si>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</si>
  <si>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</si>
  <si>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</si>
  <si>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</si>
  <si>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</si>
  <si>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</si>
  <si>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</si>
  <si>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</si>
  <si>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</si>
  <si>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</si>
  <si>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</si>
  <si>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</si>
  <si>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</si>
  <si>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</si>
  <si>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</si>
  <si>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</si>
  <si>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</si>
  <si>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</si>
  <si>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</si>
  <si>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</si>
  <si>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</si>
  <si>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</si>
  <si>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</si>
  <si>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</si>
  <si>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</si>
  <si>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</si>
  <si>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</si>
  <si>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DIALYZER LOPS 18</t>
  </si>
  <si>
    <t>332252/0220452</t>
  </si>
  <si>
    <t>N14.1</t>
  </si>
  <si>
    <t>Y45.3</t>
  </si>
  <si>
    <t>NO BALANCE BILLING</t>
  </si>
  <si>
    <t>DISPOSABLE SYRINGE, 10ml G21 w/needle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</si>
</sst>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29</xdr:row>
          <xdr:rowOff>19050</xdr:rowOff>
        </xdr:from>
        <xdr:to>
          <xdr:col>1</xdr:col>
          <xdr:colOff>733425</xdr:colOff>
          <xdr:row>29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29</xdr:row>
          <xdr:rowOff>19050</xdr:rowOff>
        </xdr:from>
        <xdr:to>
          <xdr:col>1</xdr:col>
          <xdr:colOff>1504950</xdr:colOff>
          <xdr:row>29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2"/>
  <sheetViews>
    <sheetView topLeftCell="A51" zoomScaleNormal="100" workbookViewId="0">
      <selection activeCell="C63" sqref="C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183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170</v>
      </c>
      <c r="D23" s="29" t="s">
        <v>171</v>
      </c>
      <c r="E23" s="55">
        <v>1</v>
      </c>
      <c r="F23" s="55">
        <v>4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thickBot="1" x14ac:dyDescent="0.35">
      <c r="A24" s="1"/>
      <c r="B24" s="119" t="s">
        <v>44</v>
      </c>
      <c r="C24" s="120"/>
      <c r="D24" s="120"/>
      <c r="E24" s="120"/>
      <c r="F24" s="130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160</v>
      </c>
      <c r="C25" s="113" t="s">
        <v>164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10" t="s">
        <v>161</v>
      </c>
      <c r="C26" s="114" t="s">
        <v>125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4" t="s">
        <v>162</v>
      </c>
      <c r="C27" s="114" t="s">
        <v>136</v>
      </c>
      <c r="D27" s="13"/>
      <c r="E27" s="13"/>
      <c r="F27" s="1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5" t="s">
        <v>17</v>
      </c>
      <c r="C28" s="7"/>
      <c r="D28" s="7"/>
      <c r="E28" s="56">
        <v>1</v>
      </c>
      <c r="F28" s="7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thickBot="1" x14ac:dyDescent="0.35">
      <c r="A29" s="1"/>
      <c r="B29" s="116" t="s">
        <v>18</v>
      </c>
      <c r="C29" s="117"/>
      <c r="D29" s="117"/>
      <c r="E29" s="117"/>
      <c r="F29" s="118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30">
        <v>1</v>
      </c>
      <c r="C30" s="31"/>
      <c r="D30" s="23"/>
      <c r="E30" s="57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2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3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4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5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6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7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9" t="s">
        <v>19</v>
      </c>
      <c r="C37" s="120"/>
      <c r="D37" s="117"/>
      <c r="E37" s="120"/>
      <c r="F37" s="118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9" t="s">
        <v>45</v>
      </c>
      <c r="C42" s="120"/>
      <c r="D42" s="117"/>
      <c r="E42" s="120"/>
      <c r="F42" s="118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46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6" t="s">
        <v>54</v>
      </c>
      <c r="C44" s="117"/>
      <c r="D44" s="117"/>
      <c r="E44" s="117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6" t="s">
        <v>20</v>
      </c>
      <c r="C49" s="117"/>
      <c r="D49" s="117"/>
      <c r="E49" s="117"/>
      <c r="F49" s="118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56</v>
      </c>
      <c r="C58" s="17" t="s">
        <v>52</v>
      </c>
      <c r="D58" s="17" t="s">
        <v>57</v>
      </c>
      <c r="E58" s="18" t="s">
        <v>58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166</v>
      </c>
      <c r="D59" s="55">
        <v>219.11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167</v>
      </c>
      <c r="D60" s="55">
        <v>1685.82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172</v>
      </c>
      <c r="D61" s="55">
        <v>2250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 t="s">
        <v>184</v>
      </c>
      <c r="D63" s="55"/>
      <c r="E63" s="55">
        <v>1904.93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4.9000000000000004" customHeight="1" thickBot="1" x14ac:dyDescent="0.35">
      <c r="A64" s="1"/>
      <c r="B64" s="1"/>
      <c r="C64" s="1"/>
      <c r="D64" s="58"/>
      <c r="E64" s="58"/>
      <c r="F64" s="58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thickTop="1" x14ac:dyDescent="0.3">
      <c r="A65" s="1"/>
      <c r="B65" s="11"/>
      <c r="C65" s="4" t="s">
        <v>22</v>
      </c>
      <c r="D65" s="59">
        <f>SUM(D59:D64)</f>
        <v>4504.93</v>
      </c>
      <c r="E65" s="59">
        <f>SUM(E59:E64)</f>
        <v>1904.93</v>
      </c>
      <c r="F65" s="59">
        <f>SUM(F59:F64)</f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29:F29"/>
    <mergeCell ref="B24:F24"/>
    <mergeCell ref="B37:F37"/>
    <mergeCell ref="B44:F44"/>
  </mergeCells>
  <dataValidations count="1">
    <dataValidation type="decimal" operator="greaterThanOrEqual" allowBlank="1" showInputMessage="1" showErrorMessage="1" sqref="E28 E38:E41 E43 E23:F23 E45:F48 E50:F55 E30:E36 E59:F63 D59:D6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29</xdr:row>
                    <xdr:rowOff>19050</xdr:rowOff>
                  </from>
                  <to>
                    <xdr:col>1</xdr:col>
                    <xdr:colOff>733425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29</xdr:row>
                    <xdr:rowOff>19050</xdr:rowOff>
                  </from>
                  <to>
                    <xdr:col>1</xdr:col>
                    <xdr:colOff>1504950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C27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1" workbookViewId="0">
      <selection activeCell="C12" sqref="C12:J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4.28515625" style="35" customWidth="1"/>
    <col min="3" max="3" width="37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ref="J13:J26" si="0">H13*I13</f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185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180</v>
      </c>
      <c r="D18" s="70" t="s">
        <v>29</v>
      </c>
      <c r="E18" s="55">
        <v>1</v>
      </c>
      <c r="F18" s="55">
        <v>1597.33</v>
      </c>
      <c r="G18" s="55">
        <f>F18</f>
        <v>1597.33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178</v>
      </c>
      <c r="D19" s="70" t="s">
        <v>179</v>
      </c>
      <c r="E19" s="55">
        <v>1</v>
      </c>
      <c r="F19" s="55">
        <v>2250</v>
      </c>
      <c r="G19" s="55">
        <f>F19</f>
        <v>2250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data_general'!$C$25</f>
        <v>Level II and III</v>
      </c>
      <c r="G1" s="112" t="str">
        <f>'1.1 Case data_general'!$C$26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2018-05-30T02:08:44Z</dcterms:modified>
</cp:coreProperties>
</file>