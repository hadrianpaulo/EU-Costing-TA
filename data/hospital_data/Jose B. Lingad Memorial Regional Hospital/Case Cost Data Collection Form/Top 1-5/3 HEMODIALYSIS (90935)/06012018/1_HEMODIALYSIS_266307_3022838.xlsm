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data_general'!$B$1:$F$74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E74" i="1"/>
  <c r="D74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<sst xmlns="http://schemas.openxmlformats.org/spreadsheetml/2006/main" count="453" uniqueCount="169">
  <si>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</si>
  <si>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</si>
  <si>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</si>
  <si>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</si>
  <si>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</si>
  <si>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</si>
  <si>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</si>
  <si>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</si>
  <si>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</si>
  <si>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</si>
  <si>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</si>
  <si>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</si>
  <si>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</si>
  <si>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</si>
  <si>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</si>
  <si>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</si>
  <si>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</si>
  <si>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</si>
  <si>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</si>
  <si>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</si>
  <si>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</si>
  <si>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</si>
  <si>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</si>
  <si>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</si>
  <si>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</si>
  <si>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</si>
  <si>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</si>
  <si>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</si>
  <si>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</si>
  <si>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</si>
  <si>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</si>
  <si>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</si>
  <si>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</si>
  <si>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</si>
  <si>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</si>
  <si>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</si>
  <si>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</si>
  <si>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</si>
  <si>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</si>
  <si>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</si>
  <si>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</si>
  <si>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</si>
  <si>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</si>
  <si>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</si>
  <si>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</si>
  <si>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</si>
  <si>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</si>
  <si>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</si>
  <si>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</si>
  <si>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</si>
  <si>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</si>
  <si>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</si>
  <si>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</si>
  <si>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</si>
  <si>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</si>
  <si>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</si>
  <si>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</si>
  <si>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</si>
  <si>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</si>
  <si>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</si>
  <si>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</si>
  <si>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</si>
  <si>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</si>
  <si>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</si>
  <si>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</si>
  <si>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</si>
  <si>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</si>
  <si>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</si>
  <si>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</si>
  <si>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</si>
  <si>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</si>
  <si>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</si>
  <si>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</si>
  <si>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</si>
  <si>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</si>
  <si>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</si>
  <si>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</si>
  <si>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</si>
  <si>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</si>
  <si>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</si>
  <si>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</si>
  <si>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</si>
  <si>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</si>
  <si>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</si>
  <si>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</si>
  <si>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</si>
  <si>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</si>
  <si>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</si>
  <si>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</si>
  <si>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</si>
  <si>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</si>
  <si>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</si>
  <si>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</si>
  <si>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</si>
  <si>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</si>
  <si>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</si>
  <si>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</si>
  <si>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</si>
  <si>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</si>
  <si>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</si>
  <si>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</si>
  <si>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</si>
  <si>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</si>
  <si>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</si>
  <si>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</si>
  <si>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</si>
  <si>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</si>
  <si>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</si>
  <si>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</si>
  <si>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</si>
  <si>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</si>
  <si>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</si>
  <si>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</si>
  <si>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</si>
  <si>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</si>
  <si>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</si>
  <si>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</si>
  <si>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</si>
  <si>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</si>
  <si>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</si>
  <si>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</si>
  <si>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</si>
  <si>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</si>
  <si>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</si>
  <si>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</si>
  <si>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</si>
  <si>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</si>
  <si>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</si>
  <si>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</si>
  <si>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</si>
  <si>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</si>
  <si>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</si>
  <si>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</si>
  <si>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</si>
  <si>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</si>
  <si>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</si>
  <si>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</si>
  <si>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</si>
  <si>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</si>
  <si>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</si>
  <si>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</si>
  <si>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</si>
  <si>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</si>
  <si>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</si>
  <si>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</si>
  <si>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</si>
  <si>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</si>
  <si>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</si>
  <si>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</si>
  <si>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</si>
  <si>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</si>
  <si>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</si>
  <si>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</si>
  <si>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</si>
  <si>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</si>
  <si>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</si>
  <si>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</si>
  <si>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</si>
  <si>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</si>
  <si>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</si>
  <si>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</si>
  <si>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</si>
  <si>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</si>
  <si>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</si>
  <si>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PROFESSIONAL FEE</t>
  </si>
  <si>
    <t>N18.5</t>
  </si>
  <si>
    <t>DIALYSIS FEE</t>
  </si>
  <si>
    <t>N03.9</t>
  </si>
  <si>
    <t>266307/222613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</si>
</sst>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1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41</xdr:row>
          <xdr:rowOff>19050</xdr:rowOff>
        </xdr:from>
        <xdr:to>
          <xdr:col>1</xdr:col>
          <xdr:colOff>733425</xdr:colOff>
          <xdr:row>41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41</xdr:row>
          <xdr:rowOff>19050</xdr:rowOff>
        </xdr:from>
        <xdr:to>
          <xdr:col>1</xdr:col>
          <xdr:colOff>1504950</xdr:colOff>
          <xdr:row>41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53</xdr:row>
          <xdr:rowOff>19050</xdr:rowOff>
        </xdr:from>
        <xdr:to>
          <xdr:col>1</xdr:col>
          <xdr:colOff>733425</xdr:colOff>
          <xdr:row>53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53</xdr:row>
          <xdr:rowOff>19050</xdr:rowOff>
        </xdr:from>
        <xdr:to>
          <xdr:col>1</xdr:col>
          <xdr:colOff>1504950</xdr:colOff>
          <xdr:row>53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62</xdr:row>
          <xdr:rowOff>19050</xdr:rowOff>
        </xdr:from>
        <xdr:to>
          <xdr:col>1</xdr:col>
          <xdr:colOff>733425</xdr:colOff>
          <xdr:row>62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62</xdr:row>
          <xdr:rowOff>19050</xdr:rowOff>
        </xdr:from>
        <xdr:to>
          <xdr:col>1</xdr:col>
          <xdr:colOff>1504950</xdr:colOff>
          <xdr:row>62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1"/>
  <sheetViews>
    <sheetView topLeftCell="A57" zoomScaleNormal="100" workbookViewId="0">
      <selection activeCell="C20" sqref="C20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7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1" t="s">
        <v>60</v>
      </c>
      <c r="C12" s="122"/>
      <c r="D12" s="122"/>
      <c r="E12" s="122"/>
      <c r="F12" s="123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4" t="s">
        <v>2</v>
      </c>
      <c r="C13" s="125"/>
      <c r="D13" s="125"/>
      <c r="E13" s="125"/>
      <c r="F13" s="12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4" t="s">
        <v>4</v>
      </c>
      <c r="C14" s="125"/>
      <c r="D14" s="125"/>
      <c r="E14" s="125"/>
      <c r="F14" s="126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7" t="s">
        <v>61</v>
      </c>
      <c r="C15" s="128"/>
      <c r="D15" s="128"/>
      <c r="E15" s="128"/>
      <c r="F15" s="129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168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6" t="s">
        <v>15</v>
      </c>
      <c r="C18" s="117"/>
      <c r="D18" s="117"/>
      <c r="E18" s="117"/>
      <c r="F18" s="118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165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167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6" t="s">
        <v>53</v>
      </c>
      <c r="C22" s="117"/>
      <c r="D22" s="117"/>
      <c r="E22" s="117"/>
      <c r="F22" s="118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9" t="s">
        <v>44</v>
      </c>
      <c r="C28" s="120"/>
      <c r="D28" s="120"/>
      <c r="E28" s="120"/>
      <c r="F28" s="130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3" t="s">
        <v>163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160</v>
      </c>
      <c r="C30" s="114" t="s">
        <v>124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161</v>
      </c>
      <c r="C31" s="114" t="s">
        <v>135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1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6" t="s">
        <v>18</v>
      </c>
      <c r="C33" s="117"/>
      <c r="D33" s="117"/>
      <c r="E33" s="117"/>
      <c r="F33" s="118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/>
      <c r="D34" s="23"/>
      <c r="E34" s="57"/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19" t="s">
        <v>19</v>
      </c>
      <c r="C41" s="120"/>
      <c r="D41" s="117"/>
      <c r="E41" s="120"/>
      <c r="F41" s="118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1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2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3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4</v>
      </c>
      <c r="C45" s="27"/>
      <c r="D45" s="23"/>
      <c r="E45" s="55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thickBot="1" x14ac:dyDescent="0.35">
      <c r="A46" s="1"/>
      <c r="B46" s="119" t="s">
        <v>45</v>
      </c>
      <c r="C46" s="120"/>
      <c r="D46" s="117"/>
      <c r="E46" s="120"/>
      <c r="F46" s="118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14" t="s">
        <v>46</v>
      </c>
      <c r="C47" s="13"/>
      <c r="D47" s="13"/>
      <c r="E47" s="16"/>
      <c r="F47" s="13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6" t="s">
        <v>54</v>
      </c>
      <c r="C48" s="117"/>
      <c r="D48" s="117"/>
      <c r="E48" s="117"/>
      <c r="F48" s="118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30">
        <v>1</v>
      </c>
      <c r="C49" s="31"/>
      <c r="D49" s="32"/>
      <c r="E49" s="57"/>
      <c r="F49" s="5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30">
        <v>2</v>
      </c>
      <c r="C50" s="31"/>
      <c r="D50" s="32"/>
      <c r="E50" s="57"/>
      <c r="F50" s="5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20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thickBot="1" x14ac:dyDescent="0.35">
      <c r="A53" s="1"/>
      <c r="B53" s="116" t="s">
        <v>20</v>
      </c>
      <c r="C53" s="117"/>
      <c r="D53" s="117"/>
      <c r="E53" s="117"/>
      <c r="F53" s="118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1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2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3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4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5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6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5"/>
      <c r="C60" s="25"/>
      <c r="D60" s="25"/>
      <c r="E60" s="25"/>
      <c r="F60" s="2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57.75" customHeight="1" thickBot="1" x14ac:dyDescent="0.35">
      <c r="A62" s="1"/>
      <c r="B62" s="17"/>
      <c r="C62" s="17" t="s">
        <v>52</v>
      </c>
      <c r="D62" s="17" t="s">
        <v>56</v>
      </c>
      <c r="E62" s="18" t="s">
        <v>57</v>
      </c>
      <c r="F62" s="19" t="s">
        <v>21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2">
        <v>1</v>
      </c>
      <c r="C63" s="27" t="s">
        <v>166</v>
      </c>
      <c r="D63" s="55">
        <v>2250</v>
      </c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2</v>
      </c>
      <c r="C64" s="27" t="s">
        <v>164</v>
      </c>
      <c r="D64" s="55">
        <v>350</v>
      </c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3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4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5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6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7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8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9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10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4.9000000000000004" customHeight="1" thickBot="1" x14ac:dyDescent="0.35">
      <c r="A73" s="1"/>
      <c r="B73" s="1"/>
      <c r="C73" s="1"/>
      <c r="D73" s="58"/>
      <c r="E73" s="58"/>
      <c r="F73" s="58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thickTop="1" x14ac:dyDescent="0.3">
      <c r="A74" s="1"/>
      <c r="B74" s="11"/>
      <c r="C74" s="4" t="s">
        <v>22</v>
      </c>
      <c r="D74" s="59">
        <f>SUM(D63:D73)</f>
        <v>2600</v>
      </c>
      <c r="E74" s="59">
        <f>SUM(E63:E73)</f>
        <v>0</v>
      </c>
      <c r="F74" s="59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</sheetData>
  <sheetProtection formatColumns="0" formatRows="0" sort="0" autoFilter="0"/>
  <mergeCells count="12">
    <mergeCell ref="B53:F53"/>
    <mergeCell ref="B46:F46"/>
    <mergeCell ref="B12:F12"/>
    <mergeCell ref="B13:F13"/>
    <mergeCell ref="B14:F14"/>
    <mergeCell ref="B15:F15"/>
    <mergeCell ref="B18:F18"/>
    <mergeCell ref="B22:F22"/>
    <mergeCell ref="B33:F33"/>
    <mergeCell ref="B28:F28"/>
    <mergeCell ref="B41:F41"/>
    <mergeCell ref="B48:F48"/>
  </mergeCells>
  <dataValidations count="1">
    <dataValidation type="decimal" operator="greaterThanOrEqual" allowBlank="1" showInputMessage="1" showErrorMessage="1" sqref="E32 E42:E45 E47 E23:F27 E49:F52 E54:F59 D63:F72 E34:E36 E37:E40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1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41</xdr:row>
                    <xdr:rowOff>19050</xdr:rowOff>
                  </from>
                  <to>
                    <xdr:col>1</xdr:col>
                    <xdr:colOff>733425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41</xdr:row>
                    <xdr:rowOff>19050</xdr:rowOff>
                  </from>
                  <to>
                    <xdr:col>1</xdr:col>
                    <xdr:colOff>1504950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53</xdr:row>
                    <xdr:rowOff>19050</xdr:rowOff>
                  </from>
                  <to>
                    <xdr:col>1</xdr:col>
                    <xdr:colOff>733425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53</xdr:row>
                    <xdr:rowOff>19050</xdr:rowOff>
                  </from>
                  <to>
                    <xdr:col>1</xdr:col>
                    <xdr:colOff>1504950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62</xdr:row>
                    <xdr:rowOff>19050</xdr:rowOff>
                  </from>
                  <to>
                    <xdr:col>1</xdr:col>
                    <xdr:colOff>733425</xdr:colOff>
                    <xdr:row>62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62</xdr:row>
                    <xdr:rowOff>19050</xdr:rowOff>
                  </from>
                  <to>
                    <xdr:col>1</xdr:col>
                    <xdr:colOff>1504950</xdr:colOff>
                    <xdr:row>62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D28" sqref="D28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>
        <f>'1.1 Case data_general'!D2</f>
        <v>0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1" t="s">
        <v>64</v>
      </c>
      <c r="C8" s="132"/>
      <c r="D8" s="132"/>
      <c r="E8" s="132"/>
      <c r="F8" s="132"/>
      <c r="G8" s="132"/>
      <c r="H8" s="132"/>
      <c r="I8" s="132"/>
      <c r="J8" s="133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/>
      <c r="D11" s="27"/>
      <c r="E11" s="27"/>
      <c r="F11" s="55"/>
      <c r="G11" s="55"/>
      <c r="H11" s="55"/>
      <c r="I11" s="55"/>
      <c r="J11" s="55"/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/>
      <c r="D12" s="27"/>
      <c r="E12" s="27"/>
      <c r="F12" s="55"/>
      <c r="G12" s="55"/>
      <c r="H12" s="55"/>
      <c r="I12" s="55"/>
      <c r="J12" s="55"/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/>
      <c r="D13" s="27"/>
      <c r="E13" s="27"/>
      <c r="F13" s="55"/>
      <c r="G13" s="55"/>
      <c r="H13" s="55"/>
      <c r="I13" s="55"/>
      <c r="J13" s="55"/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/>
      <c r="D14" s="27"/>
      <c r="E14" s="27"/>
      <c r="F14" s="55"/>
      <c r="G14" s="55"/>
      <c r="H14" s="55"/>
      <c r="I14" s="55"/>
      <c r="J14" s="55"/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/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/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/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/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31" workbookViewId="0">
      <selection activeCell="G25" sqref="G25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>
        <f>'1.1 Case data_general'!D2</f>
        <v>0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4" t="s">
        <v>23</v>
      </c>
      <c r="C7" s="135"/>
      <c r="D7" s="135"/>
      <c r="E7" s="135"/>
      <c r="F7" s="135"/>
      <c r="G7" s="136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0" t="s">
        <v>24</v>
      </c>
      <c r="C8" s="141"/>
      <c r="D8" s="141"/>
      <c r="E8" s="141"/>
      <c r="F8" s="141"/>
      <c r="G8" s="142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0" t="s">
        <v>69</v>
      </c>
      <c r="C9" s="141"/>
      <c r="D9" s="141"/>
      <c r="E9" s="141"/>
      <c r="F9" s="141"/>
      <c r="G9" s="142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0" t="s">
        <v>25</v>
      </c>
      <c r="C10" s="141"/>
      <c r="D10" s="141"/>
      <c r="E10" s="141"/>
      <c r="F10" s="141"/>
      <c r="G10" s="142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0" t="s">
        <v>26</v>
      </c>
      <c r="C11" s="141"/>
      <c r="D11" s="141"/>
      <c r="E11" s="141"/>
      <c r="F11" s="141"/>
      <c r="G11" s="142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3" t="s">
        <v>27</v>
      </c>
      <c r="C12" s="144"/>
      <c r="D12" s="144"/>
      <c r="E12" s="144"/>
      <c r="F12" s="144"/>
      <c r="G12" s="145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7" t="s">
        <v>72</v>
      </c>
      <c r="C15" s="138"/>
      <c r="D15" s="138"/>
      <c r="E15" s="138"/>
      <c r="F15" s="138"/>
      <c r="G15" s="139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/>
      <c r="D16" s="70"/>
      <c r="E16" s="55"/>
      <c r="F16" s="55"/>
      <c r="G16" s="55"/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/>
      <c r="D17" s="70"/>
      <c r="E17" s="55"/>
      <c r="F17" s="55"/>
      <c r="G17" s="55"/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/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7" t="s">
        <v>76</v>
      </c>
      <c r="C27" s="138"/>
      <c r="D27" s="138"/>
      <c r="E27" s="138"/>
      <c r="F27" s="138"/>
      <c r="G27" s="139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7" t="s">
        <v>29</v>
      </c>
      <c r="C38" s="138"/>
      <c r="D38" s="138"/>
      <c r="E38" s="138"/>
      <c r="F38" s="138"/>
      <c r="G38" s="139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C20" workbookViewId="0">
      <selection activeCell="P32" sqref="P32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>
        <f>'1.1 Case data_general'!D2</f>
        <v>0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6" t="s">
        <v>32</v>
      </c>
      <c r="E11" s="147"/>
      <c r="F11" s="147"/>
      <c r="G11" s="147"/>
      <c r="H11" s="147"/>
      <c r="I11" s="147"/>
      <c r="J11" s="147"/>
      <c r="K11" s="147"/>
      <c r="L11" s="147"/>
      <c r="M11" s="147"/>
      <c r="N11" s="148"/>
      <c r="P11" s="149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85</v>
      </c>
      <c r="N12" s="90" t="s">
        <v>86</v>
      </c>
      <c r="P12" s="150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>
        <v>80</v>
      </c>
      <c r="E13" s="55"/>
      <c r="F13" s="55"/>
      <c r="G13" s="55"/>
      <c r="H13" s="55"/>
      <c r="I13" s="55"/>
      <c r="J13" s="55"/>
      <c r="K13" s="55"/>
      <c r="L13" s="55"/>
      <c r="M13" s="55"/>
      <c r="N13" s="55"/>
      <c r="P13" s="88">
        <f>SUM(D13:N13)</f>
        <v>80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42</v>
      </c>
      <c r="D14" s="55"/>
      <c r="E14" s="55"/>
      <c r="F14" s="55"/>
      <c r="G14" s="55">
        <v>160</v>
      </c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160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80</v>
      </c>
      <c r="E30" s="88">
        <f t="shared" si="1"/>
        <v>0</v>
      </c>
      <c r="F30" s="88">
        <f t="shared" si="1"/>
        <v>0</v>
      </c>
      <c r="G30" s="88">
        <f t="shared" si="1"/>
        <v>160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240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II and III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COMPUTER78</cp:lastModifiedBy>
  <dcterms:created xsi:type="dcterms:W3CDTF">2018-05-11T08:46:15Z</dcterms:created>
  <dcterms:modified xsi:type="dcterms:W3CDTF">2018-06-01T07:16:42Z</dcterms:modified>
</cp:coreProperties>
</file>