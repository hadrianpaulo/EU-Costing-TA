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H\Desktop\Case Cost Data Collection Form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17" i="9" l="1"/>
  <c r="G28" i="9" l="1"/>
  <c r="G16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<sst xmlns="http://schemas.openxmlformats.org/spreadsheetml/2006/main" count="472" uniqueCount="188">
  <si>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</si>
  <si>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</si>
  <si>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</si>
  <si>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</si>
  <si>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</si>
  <si>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</si>
  <si>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</si>
  <si>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</si>
  <si>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</si>
  <si>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</si>
  <si>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</si>
  <si>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</si>
  <si>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</si>
  <si>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</si>
  <si>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</si>
  <si>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</si>
  <si>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</si>
  <si>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</si>
  <si>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</si>
  <si>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</si>
  <si>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</si>
  <si>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</si>
  <si>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</si>
  <si>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</si>
  <si>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</si>
  <si>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</si>
  <si>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</si>
  <si>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</si>
  <si>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</si>
  <si>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roll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</si>
  <si>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</si>
  <si>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</si>
  <si>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</si>
  <si>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</si>
  <si>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</si>
  <si>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</si>
  <si>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</si>
  <si>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</si>
  <si>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</si>
  <si>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</si>
  <si>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</si>
  <si>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</si>
  <si>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</si>
  <si>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</si>
  <si>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</si>
  <si>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</si>
  <si>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</si>
  <si>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</si>
  <si>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</si>
  <si>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</si>
  <si>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</si>
  <si>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</si>
  <si>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</si>
  <si>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</si>
  <si>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</si>
  <si>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</si>
  <si>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</si>
  <si>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</si>
  <si>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</si>
  <si>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</si>
  <si>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</si>
  <si>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</si>
  <si>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</si>
  <si>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</si>
  <si>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</si>
  <si>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</si>
  <si>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</si>
  <si>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</si>
  <si>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</si>
  <si>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</si>
  <si>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</si>
  <si>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</si>
  <si>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</si>
  <si>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</si>
  <si>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</si>
  <si>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</si>
  <si>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</si>
  <si>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</si>
  <si>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</si>
  <si>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</si>
  <si>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</si>
  <si>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</si>
  <si>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</si>
  <si>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</si>
  <si>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</si>
  <si>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</si>
  <si>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</si>
  <si>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</si>
  <si>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</si>
  <si>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</si>
  <si>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</si>
  <si>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</si>
  <si>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</si>
  <si>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</si>
  <si>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</si>
  <si>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</si>
  <si>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</si>
  <si>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</si>
  <si>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</si>
  <si>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</si>
  <si>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</si>
  <si>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</si>
  <si>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</si>
  <si>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</si>
  <si>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</si>
  <si>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</si>
  <si>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</si>
  <si>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</si>
  <si>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</si>
  <si>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</si>
  <si>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</si>
  <si>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</si>
  <si>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</si>
  <si>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</si>
  <si>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</si>
  <si>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</si>
  <si>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</si>
  <si>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</si>
  <si>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</si>
  <si>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</si>
  <si>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</si>
  <si>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</si>
  <si>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</si>
  <si>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</si>
  <si>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</si>
  <si>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</si>
  <si>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</si>
  <si>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</si>
  <si>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</si>
  <si>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</si>
  <si>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</si>
  <si>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</si>
  <si>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</si>
  <si>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</si>
  <si>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</si>
  <si>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</si>
  <si>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</si>
  <si>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</si>
  <si>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</si>
  <si>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</si>
  <si>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</si>
  <si>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</si>
  <si>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</si>
  <si>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</si>
  <si>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</si>
  <si>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</si>
  <si>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</si>
  <si>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</si>
  <si>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</si>
  <si>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</si>
  <si>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</si>
  <si>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</si>
  <si>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</si>
  <si>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</si>
  <si>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</si>
  <si>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</si>
  <si>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</si>
  <si>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</si>
  <si>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</si>
  <si>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</si>
  <si>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</si>
  <si>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</si>
  <si>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</si>
  <si>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</si>
  <si>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</si>
  <si>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</si>
  <si>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</si>
  <si>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XRAY</t>
  </si>
  <si>
    <t>LABORATORY</t>
  </si>
  <si>
    <t>OTHERS (EEG)</t>
  </si>
  <si>
    <t>ROOM AND ACCOMMODATION</t>
  </si>
  <si>
    <t>PROFESSIONAL FEE</t>
  </si>
  <si>
    <t>CHEMOTHERAPY</t>
  </si>
  <si>
    <t>C91.0</t>
  </si>
  <si>
    <t>Z51.1</t>
  </si>
  <si>
    <t>CSF ANALYSIS</t>
  </si>
  <si>
    <t>OPERATION ROOM</t>
  </si>
  <si>
    <t>MERCAPTOPURINE 50MG TABLET</t>
  </si>
  <si>
    <t>METHOTREXATE NA 50MG/2ML IM IVITRATHECAL INJECTION</t>
  </si>
  <si>
    <t>TABLET</t>
  </si>
  <si>
    <t>AMPULE</t>
  </si>
  <si>
    <t>500 MG</t>
  </si>
  <si>
    <t>50MG/2ML IM</t>
  </si>
  <si>
    <t>MINOR OR</t>
  </si>
  <si>
    <t>296005/220300</t>
  </si>
  <si>
    <t>MINOR</t>
  </si>
  <si>
    <t>GAUZE SPONGE 4"X4", 8 PLY, 5.00 1.51 7.55 0.00 28X24 MESH, UNSTERILE, W/O BLUE DETECTOR, PACK OF 100S (OS 4X4) (CPR NEEDED)</t>
  </si>
  <si>
    <t>SPINAL NEEDLE, G23 X 3 1/2" 2.00 66.67 133.34 0.00 DISPOSABLE STERILE, SINGLE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</si>
</sst>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0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C25" sqref="C2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184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174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53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96408</v>
      </c>
      <c r="D23" s="29" t="s">
        <v>185</v>
      </c>
      <c r="E23" s="55">
        <v>1</v>
      </c>
      <c r="F23" s="55">
        <v>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44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175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45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46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54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56</v>
      </c>
      <c r="C62" s="17" t="s">
        <v>52</v>
      </c>
      <c r="D62" s="17" t="s">
        <v>57</v>
      </c>
      <c r="E62" s="18" t="s">
        <v>58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165</v>
      </c>
      <c r="D63" s="55">
        <v>1783.33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166</v>
      </c>
      <c r="D64" s="55">
        <v>140.88999999999999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167</v>
      </c>
      <c r="D65" s="55">
        <v>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168</v>
      </c>
      <c r="D66" s="55">
        <v>480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 t="s">
        <v>176</v>
      </c>
      <c r="D67" s="55">
        <v>1000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 t="s">
        <v>169</v>
      </c>
      <c r="D68" s="55">
        <v>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 t="s">
        <v>170</v>
      </c>
      <c r="D69" s="55">
        <v>1680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 t="s">
        <v>171</v>
      </c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5084.2199999999993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D16" sqref="D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CHEMOTHERAPY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177</v>
      </c>
      <c r="D11" s="27" t="s">
        <v>179</v>
      </c>
      <c r="E11" s="27" t="s">
        <v>181</v>
      </c>
      <c r="F11" s="55">
        <v>1</v>
      </c>
      <c r="G11" s="55">
        <v>1</v>
      </c>
      <c r="H11" s="55">
        <v>50</v>
      </c>
      <c r="I11" s="55">
        <v>29</v>
      </c>
      <c r="J11" s="55">
        <f>H11*I11</f>
        <v>1450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178</v>
      </c>
      <c r="D12" s="27" t="s">
        <v>180</v>
      </c>
      <c r="E12" s="27" t="s">
        <v>182</v>
      </c>
      <c r="F12" s="55">
        <v>1</v>
      </c>
      <c r="G12" s="55">
        <v>1</v>
      </c>
      <c r="H12" s="55">
        <v>1</v>
      </c>
      <c r="I12" s="55">
        <v>333.33</v>
      </c>
      <c r="J12" s="55">
        <f t="shared" ref="J12:J26" si="0">H12*I12</f>
        <v>333.33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A20" sqref="A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186</v>
      </c>
      <c r="D16" s="70" t="s">
        <v>29</v>
      </c>
      <c r="E16" s="55">
        <v>5</v>
      </c>
      <c r="F16" s="55">
        <v>1.51</v>
      </c>
      <c r="G16" s="55">
        <f>E16*F16</f>
        <v>7.55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187</v>
      </c>
      <c r="D17" s="70" t="s">
        <v>30</v>
      </c>
      <c r="E17" s="55">
        <v>2</v>
      </c>
      <c r="F17" s="55">
        <v>66.67</v>
      </c>
      <c r="G17" s="55">
        <f>E17*F17</f>
        <v>133.34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183</v>
      </c>
      <c r="D28" s="70"/>
      <c r="E28" s="55">
        <v>1</v>
      </c>
      <c r="F28" s="55">
        <v>1000</v>
      </c>
      <c r="G28" s="55">
        <f>E28*F28</f>
        <v>1000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2" workbookViewId="0">
      <selection activeCell="C19" sqref="C1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85</v>
      </c>
      <c r="J12" s="86" t="s">
        <v>83</v>
      </c>
      <c r="K12" s="85" t="s">
        <v>42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dcterms:created xsi:type="dcterms:W3CDTF">2018-05-11T08:46:15Z</dcterms:created>
  <dcterms:modified xsi:type="dcterms:W3CDTF">2018-05-29T03:39:37Z</dcterms:modified>
</cp:coreProperties>
</file>