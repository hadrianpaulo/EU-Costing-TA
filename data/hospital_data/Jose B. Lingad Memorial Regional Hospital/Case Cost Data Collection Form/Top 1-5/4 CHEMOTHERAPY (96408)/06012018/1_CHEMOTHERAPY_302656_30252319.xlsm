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H\Desktop\Case Cost Data Collection Form\06-01-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1" i="9" l="1"/>
  <c r="G20" i="9"/>
  <c r="G19" i="9"/>
  <c r="G18" i="9" l="1"/>
  <c r="G17" i="9" l="1"/>
  <c r="G16" i="9" l="1"/>
  <c r="G28" i="9" l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<sst xmlns="http://schemas.openxmlformats.org/spreadsheetml/2006/main" count="500" uniqueCount="204">
  <si>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</si>
  <si>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</si>
  <si>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</si>
  <si>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</si>
  <si>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</si>
  <si>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</si>
  <si>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</si>
  <si>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</si>
  <si>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</si>
  <si>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</si>
  <si>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</si>
  <si>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</si>
  <si>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</si>
  <si>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</si>
  <si>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</si>
  <si>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</si>
  <si>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</si>
  <si>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</si>
  <si>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</si>
  <si>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</si>
  <si>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</si>
  <si>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</si>
  <si>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</si>
  <si>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</si>
  <si>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</si>
  <si>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</si>
  <si>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</si>
  <si>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</si>
  <si>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</si>
  <si>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</si>
  <si>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</si>
  <si>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</si>
  <si>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</si>
  <si>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</si>
  <si>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</si>
  <si>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</si>
  <si>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</si>
  <si>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</si>
  <si>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</si>
  <si>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</si>
  <si>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</si>
  <si>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</si>
  <si>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</si>
  <si>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</si>
  <si>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</si>
  <si>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</si>
  <si>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</si>
  <si>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</si>
  <si>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</si>
  <si>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</si>
  <si>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</si>
  <si>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</si>
  <si>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</si>
  <si>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</si>
  <si>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</si>
  <si>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</si>
  <si>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</si>
  <si>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</si>
  <si>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</si>
  <si>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</si>
  <si>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</si>
  <si>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</si>
  <si>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</si>
  <si>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</si>
  <si>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</si>
  <si>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</si>
  <si>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</si>
  <si>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</si>
  <si>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</si>
  <si>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</si>
  <si>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</si>
  <si>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</si>
  <si>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</si>
  <si>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</si>
  <si>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</si>
  <si>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</si>
  <si>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</si>
  <si>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</si>
  <si>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</si>
  <si>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</si>
  <si>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</si>
  <si>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</si>
  <si>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</si>
  <si>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</si>
  <si>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</si>
  <si>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</si>
  <si>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</si>
  <si>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</si>
  <si>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</si>
  <si>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</si>
  <si>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</si>
  <si>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</si>
  <si>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</si>
  <si>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</si>
  <si>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</si>
  <si>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</si>
  <si>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</si>
  <si>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</si>
  <si>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</si>
  <si>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</si>
  <si>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</si>
  <si>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</si>
  <si>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</si>
  <si>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</si>
  <si>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</si>
  <si>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</si>
  <si>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</si>
  <si>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</si>
  <si>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</si>
  <si>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</si>
  <si>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</si>
  <si>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</si>
  <si>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</si>
  <si>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</si>
  <si>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</si>
  <si>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</si>
  <si>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</si>
  <si>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</si>
  <si>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</si>
  <si>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</si>
  <si>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</si>
  <si>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</si>
  <si>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</si>
  <si>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</si>
  <si>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</si>
  <si>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</si>
  <si>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</si>
  <si>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</si>
  <si>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</si>
  <si>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</si>
  <si>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</si>
  <si>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</si>
  <si>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</si>
  <si>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</si>
  <si>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</si>
  <si>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</si>
  <si>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</si>
  <si>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</si>
  <si>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</si>
  <si>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</si>
  <si>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</si>
  <si>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</si>
  <si>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</si>
  <si>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</si>
  <si>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</si>
  <si>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</si>
  <si>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</si>
  <si>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</si>
  <si>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</si>
  <si>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</si>
  <si>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</si>
  <si>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</si>
  <si>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</si>
  <si>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</si>
  <si>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</si>
  <si>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</si>
  <si>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</si>
  <si>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</si>
  <si>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</si>
  <si>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</si>
  <si>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</si>
  <si>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</si>
  <si>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</si>
  <si>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</si>
  <si>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</si>
  <si>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</si>
  <si>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</si>
  <si>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</si>
  <si>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</si>
  <si>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</si>
  <si>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CHEMOTHERAPY</t>
  </si>
  <si>
    <t>Z51.1</t>
  </si>
  <si>
    <t>OPERATION ROOM</t>
  </si>
  <si>
    <t>MINOR OR</t>
  </si>
  <si>
    <t>PC</t>
  </si>
  <si>
    <t>MINOR</t>
  </si>
  <si>
    <t>50MG</t>
  </si>
  <si>
    <t>0.9% SODIUM CHLORIDE (PNSS 500ML)</t>
  </si>
  <si>
    <t>DEXAMETHASONE SODIUM PHOSPHATE 4MG/ML-2ML</t>
  </si>
  <si>
    <t>DOXORUBICIN 50MG-POWDER</t>
  </si>
  <si>
    <t>METOCLOPRAMIDE HCL 5MG/ML-2ML</t>
  </si>
  <si>
    <t>ONDANSETRON HCL DIHYDRATE 8MG BLISTER/FOIL PACK</t>
  </si>
  <si>
    <t>500ML</t>
  </si>
  <si>
    <t>4MG/ML-2ML</t>
  </si>
  <si>
    <t>8MG</t>
  </si>
  <si>
    <t>vial</t>
  </si>
  <si>
    <t>DISPOSABLE SYRINGE 10ML G 21, W/ NEEDLE X 100S (CPR NEEDED)</t>
  </si>
  <si>
    <t>GAUZE SPONGE 4"X4", 8 PLY, 28X24 MESH, UNSTERILE,  W/O BLUE DETECTOR, PACK OF 100S (OS 4X4) (CPR NEEDED)</t>
  </si>
  <si>
    <t>302656-222557</t>
  </si>
  <si>
    <t>C81.9</t>
  </si>
  <si>
    <t>(D5W 500ML) 5% DEXTROSE IN WATER  500ML (D5 W 500ML) X 24S</t>
  </si>
  <si>
    <t>DACARBAZINE 200MG VLS.</t>
  </si>
  <si>
    <t>VINBLASTINE 10MG</t>
  </si>
  <si>
    <t>BLEOMYCIN (AS SULFATE) 15MG POWDER (IM, IV, SC)</t>
  </si>
  <si>
    <t>500M</t>
  </si>
  <si>
    <t xml:space="preserve">15MG </t>
  </si>
  <si>
    <t>5MG/ML-2ML</t>
  </si>
  <si>
    <t>200MG</t>
  </si>
  <si>
    <t>10MG</t>
  </si>
  <si>
    <t>ampule</t>
  </si>
  <si>
    <t>STERILE WATER FOR INJECTION, 10ML (SWFI)</t>
  </si>
  <si>
    <t>IV CATHETER GAUGE 20</t>
  </si>
  <si>
    <t>IV SET W/ AIRWAY FOR IV PUSH, VACOSET/MACRODRIP, ADULT</t>
  </si>
  <si>
    <t>IV CATHETER GAUGE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</si>
</sst>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0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D24" sqref="D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96408</v>
      </c>
      <c r="D23" s="29" t="s">
        <v>175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>
        <v>13179.83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164</v>
      </c>
      <c r="D64" s="55">
        <v>215.71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165</v>
      </c>
      <c r="D65" s="55">
        <v>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166</v>
      </c>
      <c r="D66" s="55">
        <v>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172</v>
      </c>
      <c r="D67" s="55">
        <v>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167</v>
      </c>
      <c r="D68" s="55">
        <v>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 t="s">
        <v>168</v>
      </c>
      <c r="D69" s="55">
        <v>1680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 t="s">
        <v>169</v>
      </c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15075.539999999999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D3" workbookViewId="0">
      <selection activeCell="G23" sqref="G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CHEMOTHERAPY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185</v>
      </c>
      <c r="E11" s="27" t="s">
        <v>196</v>
      </c>
      <c r="F11" s="55">
        <v>1</v>
      </c>
      <c r="G11" s="55">
        <v>1</v>
      </c>
      <c r="H11" s="55">
        <v>1</v>
      </c>
      <c r="I11" s="55">
        <v>3.24</v>
      </c>
      <c r="J11" s="55">
        <f>H11*I11</f>
        <v>3.24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190</v>
      </c>
      <c r="D12" s="27" t="s">
        <v>185</v>
      </c>
      <c r="E12" s="27" t="s">
        <v>182</v>
      </c>
      <c r="F12" s="55">
        <v>1</v>
      </c>
      <c r="G12" s="55">
        <v>1</v>
      </c>
      <c r="H12" s="55">
        <v>1</v>
      </c>
      <c r="I12" s="55">
        <v>49.33</v>
      </c>
      <c r="J12" s="55">
        <f t="shared" ref="J12:J26" si="0">H12*I12</f>
        <v>49.33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191</v>
      </c>
      <c r="D13" s="27" t="s">
        <v>185</v>
      </c>
      <c r="E13" s="27" t="s">
        <v>197</v>
      </c>
      <c r="F13" s="55">
        <v>1</v>
      </c>
      <c r="G13" s="55">
        <v>1</v>
      </c>
      <c r="H13" s="55">
        <v>4</v>
      </c>
      <c r="I13" s="55">
        <v>1000</v>
      </c>
      <c r="J13" s="55">
        <f t="shared" si="0"/>
        <v>4000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177</v>
      </c>
      <c r="D14" s="27" t="s">
        <v>185</v>
      </c>
      <c r="E14" s="27" t="s">
        <v>194</v>
      </c>
      <c r="F14" s="55">
        <v>1</v>
      </c>
      <c r="G14" s="55">
        <v>1</v>
      </c>
      <c r="H14" s="55">
        <v>1</v>
      </c>
      <c r="I14" s="55">
        <v>55.85</v>
      </c>
      <c r="J14" s="55">
        <f t="shared" si="0"/>
        <v>55.85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178</v>
      </c>
      <c r="D15" s="27" t="s">
        <v>185</v>
      </c>
      <c r="E15" s="27" t="s">
        <v>183</v>
      </c>
      <c r="F15" s="55">
        <v>1</v>
      </c>
      <c r="G15" s="55">
        <v>1</v>
      </c>
      <c r="H15" s="55">
        <v>1</v>
      </c>
      <c r="I15" s="55">
        <v>14.96</v>
      </c>
      <c r="J15" s="55">
        <f t="shared" si="0"/>
        <v>14.96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179</v>
      </c>
      <c r="D16" s="27" t="s">
        <v>199</v>
      </c>
      <c r="E16" s="27" t="s">
        <v>176</v>
      </c>
      <c r="F16" s="55">
        <v>1</v>
      </c>
      <c r="G16" s="55">
        <v>1</v>
      </c>
      <c r="H16" s="55">
        <v>1</v>
      </c>
      <c r="I16" s="55">
        <v>1186.67</v>
      </c>
      <c r="J16" s="55">
        <f t="shared" si="0"/>
        <v>1186.67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181</v>
      </c>
      <c r="D17" s="27" t="s">
        <v>199</v>
      </c>
      <c r="E17" s="27" t="s">
        <v>184</v>
      </c>
      <c r="F17" s="55">
        <v>1</v>
      </c>
      <c r="G17" s="55">
        <v>1</v>
      </c>
      <c r="H17" s="55">
        <v>1</v>
      </c>
      <c r="I17" s="55">
        <v>82.67</v>
      </c>
      <c r="J17" s="55">
        <f t="shared" si="0"/>
        <v>82.67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192</v>
      </c>
      <c r="D18" s="27" t="s">
        <v>199</v>
      </c>
      <c r="E18" s="27" t="s">
        <v>198</v>
      </c>
      <c r="F18" s="55">
        <v>1</v>
      </c>
      <c r="G18" s="55">
        <v>1</v>
      </c>
      <c r="H18" s="55">
        <v>1</v>
      </c>
      <c r="I18" s="55">
        <v>1201.33</v>
      </c>
      <c r="J18" s="55">
        <f t="shared" si="0"/>
        <v>1201.33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193</v>
      </c>
      <c r="D19" s="27" t="s">
        <v>199</v>
      </c>
      <c r="E19" s="27" t="s">
        <v>195</v>
      </c>
      <c r="F19" s="55">
        <v>1</v>
      </c>
      <c r="G19" s="55">
        <v>1</v>
      </c>
      <c r="H19" s="55">
        <v>2</v>
      </c>
      <c r="I19" s="55">
        <v>2792.89</v>
      </c>
      <c r="J19" s="55">
        <f t="shared" si="0"/>
        <v>5585.78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23" sqref="C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186</v>
      </c>
      <c r="D16" s="70" t="s">
        <v>174</v>
      </c>
      <c r="E16" s="55">
        <v>10</v>
      </c>
      <c r="F16" s="55">
        <v>2.77</v>
      </c>
      <c r="G16" s="55">
        <f>F16*E16</f>
        <v>27.7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200</v>
      </c>
      <c r="D17" s="70" t="s">
        <v>174</v>
      </c>
      <c r="E17" s="55">
        <v>5</v>
      </c>
      <c r="F17" s="55">
        <v>25</v>
      </c>
      <c r="G17" s="55">
        <f>F17*E17</f>
        <v>125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187</v>
      </c>
      <c r="D18" s="70" t="s">
        <v>174</v>
      </c>
      <c r="E18" s="55">
        <v>5</v>
      </c>
      <c r="F18" s="55">
        <v>1.51</v>
      </c>
      <c r="G18" s="55">
        <f>F18*E18</f>
        <v>7.55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201</v>
      </c>
      <c r="D19" s="70" t="s">
        <v>174</v>
      </c>
      <c r="E19" s="55">
        <v>1</v>
      </c>
      <c r="F19" s="55">
        <v>13.13</v>
      </c>
      <c r="G19" s="55">
        <f t="shared" ref="G19:G21" si="0">F19*E19</f>
        <v>13.13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202</v>
      </c>
      <c r="D20" s="70" t="s">
        <v>174</v>
      </c>
      <c r="E20" s="55">
        <v>2</v>
      </c>
      <c r="F20" s="55">
        <v>14</v>
      </c>
      <c r="G20" s="55">
        <f t="shared" si="0"/>
        <v>28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203</v>
      </c>
      <c r="D21" s="70" t="s">
        <v>174</v>
      </c>
      <c r="E21" s="55">
        <v>1</v>
      </c>
      <c r="F21" s="55">
        <v>14.33</v>
      </c>
      <c r="G21" s="55">
        <f t="shared" si="0"/>
        <v>14.33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173</v>
      </c>
      <c r="D28" s="70"/>
      <c r="E28" s="55"/>
      <c r="F28" s="55"/>
      <c r="G28" s="55">
        <f>E28*F28</f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" workbookViewId="0">
      <selection activeCell="C19" sqref="C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dcterms:created xsi:type="dcterms:W3CDTF">2018-05-11T08:46:15Z</dcterms:created>
  <dcterms:modified xsi:type="dcterms:W3CDTF">2018-06-04T08:43:52Z</dcterms:modified>
</cp:coreProperties>
</file>