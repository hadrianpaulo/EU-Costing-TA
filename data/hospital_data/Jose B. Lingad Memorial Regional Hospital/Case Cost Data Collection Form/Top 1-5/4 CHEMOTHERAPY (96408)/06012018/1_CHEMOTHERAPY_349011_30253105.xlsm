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<sst xmlns="http://schemas.openxmlformats.org/spreadsheetml/2006/main" count="496" uniqueCount="201">
  <si>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</si>
  <si>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</si>
  <si>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</si>
  <si>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</si>
  <si>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</si>
  <si>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</si>
  <si>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</si>
  <si>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</si>
  <si>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</si>
  <si>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</si>
  <si>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</si>
  <si>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</si>
  <si>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</si>
  <si>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</si>
  <si>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</si>
  <si>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</si>
  <si>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</si>
  <si>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</si>
  <si>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</si>
  <si>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</si>
  <si>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</si>
  <si>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</si>
  <si>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</si>
  <si>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</si>
  <si>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</si>
  <si>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</si>
  <si>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</si>
  <si>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</si>
  <si>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</si>
  <si>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</si>
  <si>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</si>
  <si>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</si>
  <si>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</si>
  <si>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</si>
  <si>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</si>
  <si>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</si>
  <si>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</si>
  <si>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</si>
  <si>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</si>
  <si>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</si>
  <si>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</si>
  <si>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</si>
  <si>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</si>
  <si>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</si>
  <si>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</si>
  <si>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</si>
  <si>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</si>
  <si>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</si>
  <si>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</si>
  <si>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</si>
  <si>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</si>
  <si>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</si>
  <si>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</si>
  <si>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</si>
  <si>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</si>
  <si>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</si>
  <si>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</si>
  <si>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</si>
  <si>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</si>
  <si>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</si>
  <si>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</si>
  <si>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</si>
  <si>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</si>
  <si>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</si>
  <si>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</si>
  <si>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</si>
  <si>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</si>
  <si>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</si>
  <si>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</si>
  <si>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</si>
  <si>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</si>
  <si>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</si>
  <si>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</si>
  <si>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</si>
  <si>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</si>
  <si>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</si>
  <si>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</si>
  <si>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</si>
  <si>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</si>
  <si>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</si>
  <si>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</si>
  <si>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</si>
  <si>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</si>
  <si>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</si>
  <si>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</si>
  <si>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</si>
  <si>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</si>
  <si>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</si>
  <si>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</si>
  <si>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</si>
  <si>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</si>
  <si>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</si>
  <si>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</si>
  <si>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</si>
  <si>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</si>
  <si>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</si>
  <si>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</si>
  <si>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</si>
  <si>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</si>
  <si>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</si>
  <si>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</si>
  <si>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</si>
  <si>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</si>
  <si>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</si>
  <si>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</si>
  <si>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</si>
  <si>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</si>
  <si>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</si>
  <si>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</si>
  <si>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</si>
  <si>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</si>
  <si>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</si>
  <si>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</si>
  <si>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</si>
  <si>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</si>
  <si>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</si>
  <si>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</si>
  <si>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</si>
  <si>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</si>
  <si>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</si>
  <si>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</si>
  <si>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</si>
  <si>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</si>
  <si>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</si>
  <si>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</si>
  <si>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</si>
  <si>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</si>
  <si>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</si>
  <si>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</si>
  <si>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</si>
  <si>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</si>
  <si>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</si>
  <si>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</si>
  <si>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</si>
  <si>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</si>
  <si>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</si>
  <si>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</si>
  <si>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</si>
  <si>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</si>
  <si>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</si>
  <si>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</si>
  <si>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</si>
  <si>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</si>
  <si>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</si>
  <si>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</si>
  <si>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</si>
  <si>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</si>
  <si>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</si>
  <si>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</si>
  <si>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</si>
  <si>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</si>
  <si>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</si>
  <si>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</si>
  <si>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</si>
  <si>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</si>
  <si>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</si>
  <si>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</si>
  <si>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</si>
  <si>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</si>
  <si>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</si>
  <si>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</si>
  <si>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</si>
  <si>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</si>
  <si>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</si>
  <si>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</si>
  <si>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</si>
  <si>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</si>
  <si>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</si>
  <si>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</si>
  <si>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METOCLOPRAMIDE HCL</t>
  </si>
  <si>
    <t>4MG/ML-2ML</t>
  </si>
  <si>
    <t>5MG/ML-2ML</t>
  </si>
  <si>
    <t>8MG</t>
  </si>
  <si>
    <t>check up</t>
  </si>
  <si>
    <t>DISPOSABLE SYRINGE 10ML G</t>
  </si>
  <si>
    <t>GAUZE SPONGE 4"X4", 8 PLY,</t>
  </si>
  <si>
    <t>CASE RATE</t>
  </si>
  <si>
    <t>PF CASE RATE</t>
  </si>
  <si>
    <t>IV SET W/ AIRWAY FOR IV PUSH</t>
  </si>
  <si>
    <t>ONDANSETRON HCL</t>
  </si>
  <si>
    <t>bottle</t>
  </si>
  <si>
    <t>vial</t>
  </si>
  <si>
    <t>capsule</t>
  </si>
  <si>
    <t>IV CATHETER GAUGE 26</t>
  </si>
  <si>
    <t>STERILE WATER</t>
  </si>
  <si>
    <t>349011/222638</t>
  </si>
  <si>
    <t>C81.9</t>
  </si>
  <si>
    <t>PAID BY PATIENT</t>
  </si>
  <si>
    <t>DACARBAZINE</t>
  </si>
  <si>
    <t>D5 WATER</t>
  </si>
  <si>
    <t>0.9% SODIUM CHLORIDE (PNSS</t>
  </si>
  <si>
    <t>DOXORUBICIN</t>
  </si>
  <si>
    <t>VINBLASTINE</t>
  </si>
  <si>
    <t>BLEOMYCIN (AS SULFATE)</t>
  </si>
  <si>
    <t>200MG</t>
  </si>
  <si>
    <t>500ML</t>
  </si>
  <si>
    <t>50MG</t>
  </si>
  <si>
    <t>10MG</t>
  </si>
  <si>
    <t>15MG</t>
  </si>
  <si>
    <t>ampule</t>
  </si>
  <si>
    <t>IV CATHETER GAUGE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</si>
</sst>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48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176</v>
      </c>
      <c r="D63" s="55">
        <v>2352.4299999999998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177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187</v>
      </c>
      <c r="D65" s="55"/>
      <c r="E65" s="55"/>
      <c r="F65" s="55">
        <v>4009.17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4032.43</v>
      </c>
      <c r="E74" s="59">
        <f>SUM(E63:E73)</f>
        <v>0</v>
      </c>
      <c r="F74" s="59">
        <f>SUM(F63:F73)</f>
        <v>4009.17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8" sqref="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199</v>
      </c>
      <c r="E11" s="27" t="s">
        <v>194</v>
      </c>
      <c r="F11" s="55">
        <v>3</v>
      </c>
      <c r="G11" s="55">
        <v>1</v>
      </c>
      <c r="H11" s="55">
        <v>3</v>
      </c>
      <c r="I11" s="55">
        <v>1000</v>
      </c>
      <c r="J11" s="55">
        <f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180</v>
      </c>
      <c r="E12" s="27" t="s">
        <v>195</v>
      </c>
      <c r="F12" s="55">
        <v>1</v>
      </c>
      <c r="G12" s="55">
        <v>1</v>
      </c>
      <c r="H12" s="55">
        <v>1</v>
      </c>
      <c r="I12" s="55">
        <v>55.85</v>
      </c>
      <c r="J12" s="55">
        <f t="shared" ref="J12:J26" si="0">H12*I12</f>
        <v>55.85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199</v>
      </c>
      <c r="E13" s="27" t="s">
        <v>195</v>
      </c>
      <c r="F13" s="55">
        <v>1</v>
      </c>
      <c r="G13" s="55">
        <v>1</v>
      </c>
      <c r="H13" s="55">
        <v>1</v>
      </c>
      <c r="I13" s="55">
        <v>55.85</v>
      </c>
      <c r="J13" s="55">
        <f t="shared" si="0"/>
        <v>55.85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199</v>
      </c>
      <c r="E14" s="27" t="s">
        <v>170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181</v>
      </c>
      <c r="E15" s="27" t="s">
        <v>196</v>
      </c>
      <c r="F15" s="55">
        <v>1</v>
      </c>
      <c r="G15" s="55">
        <v>1</v>
      </c>
      <c r="H15" s="55">
        <v>1</v>
      </c>
      <c r="I15" s="55">
        <v>1186.67</v>
      </c>
      <c r="J15" s="55">
        <f t="shared" si="0"/>
        <v>1186.67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169</v>
      </c>
      <c r="D16" s="27" t="s">
        <v>181</v>
      </c>
      <c r="E16" s="27" t="s">
        <v>171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182</v>
      </c>
      <c r="E17" s="27" t="s">
        <v>172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181</v>
      </c>
      <c r="E18" s="27" t="s">
        <v>197</v>
      </c>
      <c r="F18" s="55">
        <v>1</v>
      </c>
      <c r="G18" s="55">
        <v>1</v>
      </c>
      <c r="H18" s="55">
        <v>1</v>
      </c>
      <c r="I18" s="55">
        <v>1201.33</v>
      </c>
      <c r="J18" s="55">
        <f t="shared" si="0"/>
        <v>1201.33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181</v>
      </c>
      <c r="E19" s="27" t="s">
        <v>198</v>
      </c>
      <c r="F19" s="55">
        <v>1</v>
      </c>
      <c r="G19" s="55">
        <v>1</v>
      </c>
      <c r="H19" s="55">
        <v>1</v>
      </c>
      <c r="I19" s="55">
        <v>2792.89</v>
      </c>
      <c r="J19" s="55">
        <f t="shared" si="0"/>
        <v>2792.89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3" workbookViewId="0">
      <selection activeCell="B38" sqref="B38:G3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29</v>
      </c>
      <c r="E16" s="70">
        <v>1</v>
      </c>
      <c r="F16" s="55">
        <v>13.13</v>
      </c>
      <c r="G16" s="55">
        <f>F16*E16</f>
        <v>13.13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29</v>
      </c>
      <c r="E17" s="70">
        <v>2</v>
      </c>
      <c r="F17" s="55">
        <v>14</v>
      </c>
      <c r="G17" s="55">
        <f t="shared" ref="G17:G21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70">
        <v>1</v>
      </c>
      <c r="F18" s="55">
        <v>14.33</v>
      </c>
      <c r="G18" s="55">
        <f t="shared" si="0"/>
        <v>14.33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180</v>
      </c>
      <c r="E20" s="70">
        <v>5</v>
      </c>
      <c r="F20" s="55">
        <v>25</v>
      </c>
      <c r="G20" s="55">
        <f t="shared" si="0"/>
        <v>125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175</v>
      </c>
      <c r="D21" s="70" t="s">
        <v>29</v>
      </c>
      <c r="E21" s="70">
        <v>5</v>
      </c>
      <c r="F21" s="55">
        <v>1.51</v>
      </c>
      <c r="G21" s="55">
        <f t="shared" si="0"/>
        <v>7.55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20" sqref="D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2018-06-04T08:16:17Z</dcterms:modified>
</cp:coreProperties>
</file>