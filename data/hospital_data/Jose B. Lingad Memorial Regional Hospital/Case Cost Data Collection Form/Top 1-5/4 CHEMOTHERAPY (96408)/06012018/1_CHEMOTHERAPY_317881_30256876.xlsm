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1" i="9" l="1"/>
  <c r="G20" i="9" l="1"/>
  <c r="G17" i="9"/>
  <c r="G18" i="9"/>
  <c r="G19" i="9"/>
  <c r="G16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<sst xmlns="http://schemas.openxmlformats.org/spreadsheetml/2006/main" count="495" uniqueCount="200">
  <si>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</si>
  <si>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</si>
  <si>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</si>
  <si>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</si>
  <si>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</si>
  <si>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</si>
  <si>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</si>
  <si>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</si>
  <si>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</si>
  <si>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</si>
  <si>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</si>
  <si>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</si>
  <si>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</si>
  <si>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</si>
  <si>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</si>
  <si>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</si>
  <si>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</si>
  <si>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</si>
  <si>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</si>
  <si>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</si>
  <si>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</si>
  <si>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</si>
  <si>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</si>
  <si>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</si>
  <si>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</si>
  <si>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</si>
  <si>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</si>
  <si>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</si>
  <si>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</si>
  <si>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</si>
  <si>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</si>
  <si>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</si>
  <si>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</si>
  <si>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</si>
  <si>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</si>
  <si>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</si>
  <si>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</si>
  <si>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</si>
  <si>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</si>
  <si>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</si>
  <si>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</si>
  <si>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</si>
  <si>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</si>
  <si>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</si>
  <si>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</si>
  <si>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</si>
  <si>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</si>
  <si>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</si>
  <si>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</si>
  <si>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</si>
  <si>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</si>
  <si>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</si>
  <si>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</si>
  <si>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</si>
  <si>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</si>
  <si>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</si>
  <si>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</si>
  <si>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</si>
  <si>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</si>
  <si>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</si>
  <si>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</si>
  <si>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</si>
  <si>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</si>
  <si>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</si>
  <si>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</si>
  <si>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</si>
  <si>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</si>
  <si>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</si>
  <si>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</si>
  <si>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</si>
  <si>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</si>
  <si>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</si>
  <si>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</si>
  <si>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</si>
  <si>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</si>
  <si>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</si>
  <si>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</si>
  <si>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</si>
  <si>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</si>
  <si>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</si>
  <si>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</si>
  <si>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</si>
  <si>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</si>
  <si>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</si>
  <si>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</si>
  <si>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</si>
  <si>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</si>
  <si>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</si>
  <si>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</si>
  <si>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</si>
  <si>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</si>
  <si>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</si>
  <si>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</si>
  <si>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</si>
  <si>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</si>
  <si>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</si>
  <si>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</si>
  <si>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</si>
  <si>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</si>
  <si>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</si>
  <si>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</si>
  <si>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</si>
  <si>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</si>
  <si>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</si>
  <si>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</si>
  <si>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</si>
  <si>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</si>
  <si>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</si>
  <si>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</si>
  <si>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</si>
  <si>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</si>
  <si>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</si>
  <si>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</si>
  <si>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</si>
  <si>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</si>
  <si>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</si>
  <si>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</si>
  <si>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</si>
  <si>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</si>
  <si>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</si>
  <si>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</si>
  <si>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</si>
  <si>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</si>
  <si>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</si>
  <si>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</si>
  <si>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</si>
  <si>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</si>
  <si>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</si>
  <si>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</si>
  <si>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</si>
  <si>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</si>
  <si>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</si>
  <si>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</si>
  <si>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</si>
  <si>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</si>
  <si>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</si>
  <si>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</si>
  <si>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</si>
  <si>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</si>
  <si>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</si>
  <si>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</si>
  <si>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</si>
  <si>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</si>
  <si>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</si>
  <si>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</si>
  <si>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</si>
  <si>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</si>
  <si>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</si>
  <si>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</si>
  <si>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</si>
  <si>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</si>
  <si>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</si>
  <si>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</si>
  <si>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</si>
  <si>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</si>
  <si>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</si>
  <si>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</si>
  <si>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</si>
  <si>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</si>
  <si>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</si>
  <si>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</si>
  <si>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</si>
  <si>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</si>
  <si>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</si>
  <si>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</si>
  <si>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CHEMOTHERAPY</t>
  </si>
  <si>
    <t>Z51.1</t>
  </si>
  <si>
    <t>MINOR</t>
  </si>
  <si>
    <t>DEXAMETHASONE SODIUM</t>
  </si>
  <si>
    <t>DOXORUBICIN 50MG-POWDER</t>
  </si>
  <si>
    <t>METOCLOPRAMIDE HCL</t>
  </si>
  <si>
    <t>4MG/ML-2ML</t>
  </si>
  <si>
    <t>5MG/ML-2ML</t>
  </si>
  <si>
    <t>8MG</t>
  </si>
  <si>
    <t>check up</t>
  </si>
  <si>
    <t>C50.91</t>
  </si>
  <si>
    <t>50MG</t>
  </si>
  <si>
    <t>IV CATHETER GAUGE 24</t>
  </si>
  <si>
    <t>DISPOSABLE SYRINGE 10ML G</t>
  </si>
  <si>
    <t>GAUZE SPONGE 4"X4", 8 PLY,</t>
  </si>
  <si>
    <t>CASE RATE</t>
  </si>
  <si>
    <t>PF CASE RATE</t>
  </si>
  <si>
    <t>IV SET W/ AIRWAY FOR IV PUSH</t>
  </si>
  <si>
    <t>ONDANSETRON HCL</t>
  </si>
  <si>
    <t>bottle</t>
  </si>
  <si>
    <t>vial</t>
  </si>
  <si>
    <t>capsule</t>
  </si>
  <si>
    <t>IV CATHETER GAUGE 26</t>
  </si>
  <si>
    <t>STERILE WATER</t>
  </si>
  <si>
    <t>317881/222693</t>
  </si>
  <si>
    <t>FLUOROURACIL</t>
  </si>
  <si>
    <t>(PNSS 50ML) 0.9% SODIUM</t>
  </si>
  <si>
    <t>CYCLOPHOSPHAMIDE 500MG</t>
  </si>
  <si>
    <t>DIPHENHYDRAMINE HCL</t>
  </si>
  <si>
    <t>HYDROCORTISONE SODIUM</t>
  </si>
  <si>
    <t>50MG/ML-10ML</t>
  </si>
  <si>
    <t>50ML</t>
  </si>
  <si>
    <t>500MG</t>
  </si>
  <si>
    <t>50MG 1ML (IM,IV)</t>
  </si>
  <si>
    <t>250MG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</si>
</sst>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48" zoomScaleNormal="100" workbookViewId="0">
      <selection activeCell="D64" sqref="D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53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96408</v>
      </c>
      <c r="D23" s="29" t="s">
        <v>167</v>
      </c>
      <c r="E23" s="55">
        <v>1</v>
      </c>
      <c r="F23" s="55">
        <v>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44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45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46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54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56</v>
      </c>
      <c r="C62" s="17" t="s">
        <v>52</v>
      </c>
      <c r="D62" s="17" t="s">
        <v>57</v>
      </c>
      <c r="E62" s="18" t="s">
        <v>58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180</v>
      </c>
      <c r="D63" s="55">
        <v>4638.68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181</v>
      </c>
      <c r="D64" s="55">
        <v>1680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6318.68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F23" sqref="F2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CHEMOTHERAPY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190</v>
      </c>
      <c r="D11" s="27" t="s">
        <v>185</v>
      </c>
      <c r="E11" s="27" t="s">
        <v>195</v>
      </c>
      <c r="F11" s="55">
        <v>2</v>
      </c>
      <c r="G11" s="55">
        <v>1</v>
      </c>
      <c r="H11" s="55">
        <v>2</v>
      </c>
      <c r="I11" s="55">
        <v>133.33000000000001</v>
      </c>
      <c r="J11" s="55">
        <f>H11*I11</f>
        <v>266.66000000000003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168</v>
      </c>
      <c r="D12" s="27" t="s">
        <v>185</v>
      </c>
      <c r="E12" s="27" t="s">
        <v>171</v>
      </c>
      <c r="F12" s="55">
        <v>1</v>
      </c>
      <c r="G12" s="55">
        <v>1</v>
      </c>
      <c r="H12" s="55">
        <v>1</v>
      </c>
      <c r="I12" s="55">
        <v>14.96</v>
      </c>
      <c r="J12" s="55">
        <f t="shared" ref="J12:J26" si="0">H12*I12</f>
        <v>14.96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169</v>
      </c>
      <c r="D13" s="27" t="s">
        <v>185</v>
      </c>
      <c r="E13" s="27" t="s">
        <v>176</v>
      </c>
      <c r="F13" s="55">
        <v>2</v>
      </c>
      <c r="G13" s="55">
        <v>1</v>
      </c>
      <c r="H13" s="55">
        <v>2</v>
      </c>
      <c r="I13" s="55">
        <v>1186.67</v>
      </c>
      <c r="J13" s="55">
        <f t="shared" si="0"/>
        <v>2373.34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170</v>
      </c>
      <c r="D14" s="27" t="s">
        <v>185</v>
      </c>
      <c r="E14" s="27" t="s">
        <v>172</v>
      </c>
      <c r="F14" s="55">
        <v>1</v>
      </c>
      <c r="G14" s="55">
        <v>1</v>
      </c>
      <c r="H14" s="55">
        <v>1</v>
      </c>
      <c r="I14" s="55">
        <v>3.24</v>
      </c>
      <c r="J14" s="55">
        <f t="shared" si="0"/>
        <v>3.24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183</v>
      </c>
      <c r="D15" s="27" t="s">
        <v>186</v>
      </c>
      <c r="E15" s="27" t="s">
        <v>173</v>
      </c>
      <c r="F15" s="55">
        <v>1</v>
      </c>
      <c r="G15" s="55">
        <v>1</v>
      </c>
      <c r="H15" s="55">
        <v>1</v>
      </c>
      <c r="I15" s="55">
        <v>82.67</v>
      </c>
      <c r="J15" s="55">
        <f t="shared" si="0"/>
        <v>82.67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191</v>
      </c>
      <c r="D16" s="27" t="s">
        <v>185</v>
      </c>
      <c r="E16" s="27" t="s">
        <v>196</v>
      </c>
      <c r="F16" s="55">
        <v>1</v>
      </c>
      <c r="G16" s="55">
        <v>1</v>
      </c>
      <c r="H16" s="55">
        <v>1</v>
      </c>
      <c r="I16" s="55">
        <v>53.33</v>
      </c>
      <c r="J16" s="55">
        <f t="shared" si="0"/>
        <v>53.33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192</v>
      </c>
      <c r="D17" s="27" t="s">
        <v>185</v>
      </c>
      <c r="E17" s="27" t="s">
        <v>197</v>
      </c>
      <c r="F17" s="55">
        <v>2</v>
      </c>
      <c r="G17" s="55">
        <v>1</v>
      </c>
      <c r="H17" s="55">
        <v>2</v>
      </c>
      <c r="I17" s="55">
        <v>266.67</v>
      </c>
      <c r="J17" s="55">
        <f t="shared" si="0"/>
        <v>533.34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193</v>
      </c>
      <c r="D18" s="27" t="s">
        <v>185</v>
      </c>
      <c r="E18" s="27" t="s">
        <v>198</v>
      </c>
      <c r="F18" s="55">
        <v>1</v>
      </c>
      <c r="G18" s="55">
        <v>1</v>
      </c>
      <c r="H18" s="55">
        <v>1</v>
      </c>
      <c r="I18" s="55">
        <v>24.31</v>
      </c>
      <c r="J18" s="55">
        <f t="shared" si="0"/>
        <v>24.31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194</v>
      </c>
      <c r="D19" s="27" t="s">
        <v>185</v>
      </c>
      <c r="E19" s="27" t="s">
        <v>199</v>
      </c>
      <c r="F19" s="55">
        <v>1</v>
      </c>
      <c r="G19" s="55">
        <v>1</v>
      </c>
      <c r="H19" s="55">
        <v>1</v>
      </c>
      <c r="I19" s="55">
        <v>71.12</v>
      </c>
      <c r="J19" s="55">
        <f t="shared" si="0"/>
        <v>71.12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22" workbookViewId="0">
      <selection activeCell="E29" sqref="E2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29</v>
      </c>
      <c r="E16" s="70">
        <v>1</v>
      </c>
      <c r="F16" s="55">
        <v>13.13</v>
      </c>
      <c r="G16" s="55">
        <f>F16*E16</f>
        <v>13.13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29</v>
      </c>
      <c r="E17" s="70">
        <v>2</v>
      </c>
      <c r="F17" s="55">
        <v>14</v>
      </c>
      <c r="G17" s="55">
        <f t="shared" ref="G17:G21" si="0">F17*E17</f>
        <v>28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187</v>
      </c>
      <c r="D18" s="70" t="s">
        <v>29</v>
      </c>
      <c r="E18" s="70">
        <v>1</v>
      </c>
      <c r="F18" s="55">
        <v>14.33</v>
      </c>
      <c r="G18" s="55">
        <f t="shared" si="0"/>
        <v>14.33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178</v>
      </c>
      <c r="D19" s="70" t="s">
        <v>29</v>
      </c>
      <c r="E19" s="70">
        <v>10</v>
      </c>
      <c r="F19" s="55">
        <v>2.77</v>
      </c>
      <c r="G19" s="55">
        <f t="shared" si="0"/>
        <v>27.7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188</v>
      </c>
      <c r="D20" s="70" t="s">
        <v>184</v>
      </c>
      <c r="E20" s="70">
        <v>5</v>
      </c>
      <c r="F20" s="55">
        <v>25</v>
      </c>
      <c r="G20" s="55">
        <f t="shared" si="0"/>
        <v>125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179</v>
      </c>
      <c r="D21" s="70" t="s">
        <v>29</v>
      </c>
      <c r="E21" s="70">
        <v>5</v>
      </c>
      <c r="F21" s="55">
        <v>1.51</v>
      </c>
      <c r="G21" s="55">
        <f t="shared" si="0"/>
        <v>7.55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30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H25" sqref="H2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174</v>
      </c>
      <c r="D13" s="55"/>
      <c r="E13" s="55">
        <v>15</v>
      </c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15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120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120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2</cp:lastModifiedBy>
  <dcterms:created xsi:type="dcterms:W3CDTF">2018-05-11T08:46:15Z</dcterms:created>
  <dcterms:modified xsi:type="dcterms:W3CDTF">2018-06-04T08:03:15Z</dcterms:modified>
</cp:coreProperties>
</file>