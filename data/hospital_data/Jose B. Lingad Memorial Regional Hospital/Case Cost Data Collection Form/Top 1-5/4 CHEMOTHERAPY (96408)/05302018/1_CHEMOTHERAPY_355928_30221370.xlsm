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<sst xmlns="http://schemas.openxmlformats.org/spreadsheetml/2006/main" count="498" uniqueCount="202">
  <si>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</si>
  <si>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</si>
  <si>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</si>
  <si>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</si>
  <si>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</si>
  <si>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</si>
  <si>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</si>
  <si>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</si>
  <si>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</si>
  <si>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</si>
  <si>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</si>
  <si>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</si>
  <si>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</si>
  <si>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</si>
  <si>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</si>
  <si>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</si>
  <si>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</si>
  <si>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</si>
  <si>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</si>
  <si>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</si>
  <si>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</si>
  <si>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</si>
  <si>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</si>
  <si>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</si>
  <si>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</si>
  <si>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</si>
  <si>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</si>
  <si>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</si>
  <si>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</si>
  <si>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</si>
  <si>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</si>
  <si>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</si>
  <si>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</si>
  <si>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</si>
  <si>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</si>
  <si>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</si>
  <si>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</si>
  <si>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</si>
  <si>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</si>
  <si>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</si>
  <si>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</si>
  <si>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</si>
  <si>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</si>
  <si>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</si>
  <si>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</si>
  <si>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</si>
  <si>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</si>
  <si>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</si>
  <si>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</si>
  <si>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</si>
  <si>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</si>
  <si>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</si>
  <si>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</si>
  <si>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</si>
  <si>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</si>
  <si>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</si>
  <si>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</si>
  <si>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</si>
  <si>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</si>
  <si>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</si>
  <si>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</si>
  <si>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</si>
  <si>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</si>
  <si>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</si>
  <si>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</si>
  <si>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</si>
  <si>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</si>
  <si>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</si>
  <si>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</si>
  <si>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</si>
  <si>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</si>
  <si>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</si>
  <si>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</si>
  <si>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</si>
  <si>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</si>
  <si>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</si>
  <si>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</si>
  <si>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</si>
  <si>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</si>
  <si>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</si>
  <si>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</si>
  <si>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</si>
  <si>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</si>
  <si>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</si>
  <si>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</si>
  <si>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</si>
  <si>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</si>
  <si>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</si>
  <si>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</si>
  <si>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</si>
  <si>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</si>
  <si>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</si>
  <si>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</si>
  <si>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</si>
  <si>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</si>
  <si>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</si>
  <si>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</si>
  <si>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</si>
  <si>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</si>
  <si>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</si>
  <si>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</si>
  <si>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</si>
  <si>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</si>
  <si>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</si>
  <si>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</si>
  <si>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</si>
  <si>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</si>
  <si>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</si>
  <si>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</si>
  <si>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</si>
  <si>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</si>
  <si>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</si>
  <si>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</si>
  <si>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</si>
  <si>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</si>
  <si>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</si>
  <si>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</si>
  <si>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</si>
  <si>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</si>
  <si>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</si>
  <si>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</si>
  <si>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</si>
  <si>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</si>
  <si>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</si>
  <si>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</si>
  <si>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</si>
  <si>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</si>
  <si>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</si>
  <si>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</si>
  <si>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</si>
  <si>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</si>
  <si>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</si>
  <si>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</si>
  <si>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</si>
  <si>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</si>
  <si>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</si>
  <si>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</si>
  <si>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</si>
  <si>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</si>
  <si>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</si>
  <si>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</si>
  <si>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</si>
  <si>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</si>
  <si>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</si>
  <si>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</si>
  <si>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</si>
  <si>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</si>
  <si>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</si>
  <si>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</si>
  <si>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</si>
  <si>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</si>
  <si>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</si>
  <si>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</si>
  <si>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</si>
  <si>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</si>
  <si>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</si>
  <si>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</si>
  <si>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</si>
  <si>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</si>
  <si>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</si>
  <si>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</si>
  <si>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</si>
  <si>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</si>
  <si>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</si>
  <si>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</si>
  <si>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</si>
  <si>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</si>
  <si>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</si>
  <si>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</si>
  <si>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DOXORUBICIN 50MG-POWDER</t>
  </si>
  <si>
    <t>METOCLOPRAMIDE HCL</t>
  </si>
  <si>
    <t>0.9% SODIUM CHLORIDE</t>
  </si>
  <si>
    <t>4MG/ML-2ML</t>
  </si>
  <si>
    <t>5MG/ML-2ML</t>
  </si>
  <si>
    <t>500ML</t>
  </si>
  <si>
    <t>8MG</t>
  </si>
  <si>
    <t>check up</t>
  </si>
  <si>
    <t>50MG</t>
  </si>
  <si>
    <t>CASE RATE</t>
  </si>
  <si>
    <t>PF CASE RATE</t>
  </si>
  <si>
    <t>PAID BY PATIENT</t>
  </si>
  <si>
    <t>355928/221669</t>
  </si>
  <si>
    <t>C81.9</t>
  </si>
  <si>
    <t>DACARBAZINE 200MG VLS</t>
  </si>
  <si>
    <t>D5 WATER</t>
  </si>
  <si>
    <t>DIPHENHYDRAMINE HCL</t>
  </si>
  <si>
    <t>ONDANSETRON HCL</t>
  </si>
  <si>
    <t>PARACETAMOL</t>
  </si>
  <si>
    <t>VINBLASTINE</t>
  </si>
  <si>
    <t>BLEOMYCIN (AS SULFATE)</t>
  </si>
  <si>
    <t>200MG</t>
  </si>
  <si>
    <t>50MG/ 1.00 24.31 24.31 0.00</t>
  </si>
  <si>
    <t>1ML (IM,IV)</t>
  </si>
  <si>
    <t>300MG-2ML</t>
  </si>
  <si>
    <t>10MG</t>
  </si>
  <si>
    <t>15MG</t>
  </si>
  <si>
    <t>vial</t>
  </si>
  <si>
    <t>bottle</t>
  </si>
  <si>
    <t>DISPOSABLE SYRINGE</t>
  </si>
  <si>
    <t>DISPOSABLE GOWN</t>
  </si>
  <si>
    <t>STERILE WATER</t>
  </si>
  <si>
    <t>GAUZE SPONGE 4"X4", 8 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</si>
</sst>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1" zoomScaleNormal="100" workbookViewId="0">
      <selection activeCell="F66" sqref="F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178</v>
      </c>
      <c r="D63" s="55">
        <v>5600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179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180</v>
      </c>
      <c r="D65" s="55"/>
      <c r="E65" s="55"/>
      <c r="F65" s="55">
        <v>4182.59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7280</v>
      </c>
      <c r="E74" s="59">
        <f>SUM(E63:E73)</f>
        <v>0</v>
      </c>
      <c r="F74" s="59">
        <f>SUM(F63:F73)</f>
        <v>4182.59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E24" sqref="E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196</v>
      </c>
      <c r="E11" s="27" t="s">
        <v>190</v>
      </c>
      <c r="F11" s="55">
        <v>3</v>
      </c>
      <c r="G11" s="55">
        <v>1</v>
      </c>
      <c r="H11" s="55">
        <v>3</v>
      </c>
      <c r="I11" s="55">
        <v>1000</v>
      </c>
      <c r="J11" s="55">
        <f>H11*I11</f>
        <v>3000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197</v>
      </c>
      <c r="E12" s="27" t="s">
        <v>174</v>
      </c>
      <c r="F12" s="55">
        <v>1</v>
      </c>
      <c r="G12" s="55">
        <v>1</v>
      </c>
      <c r="H12" s="55">
        <v>1</v>
      </c>
      <c r="I12" s="55">
        <v>55.85</v>
      </c>
      <c r="J12" s="55">
        <f t="shared" ref="J12:J26" si="0">H12*I12</f>
        <v>55.85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196</v>
      </c>
      <c r="E13" s="27" t="s">
        <v>172</v>
      </c>
      <c r="F13" s="55">
        <v>1</v>
      </c>
      <c r="G13" s="55">
        <v>1</v>
      </c>
      <c r="H13" s="55">
        <v>1</v>
      </c>
      <c r="I13" s="55">
        <v>55.85</v>
      </c>
      <c r="J13" s="55">
        <f t="shared" si="0"/>
        <v>55.85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168</v>
      </c>
      <c r="D14" s="27" t="s">
        <v>196</v>
      </c>
      <c r="E14" s="27" t="s">
        <v>191</v>
      </c>
      <c r="F14" s="55">
        <v>1</v>
      </c>
      <c r="G14" s="55">
        <v>1</v>
      </c>
      <c r="H14" s="55">
        <v>1</v>
      </c>
      <c r="I14" s="55">
        <v>14.96</v>
      </c>
      <c r="J14" s="55">
        <f t="shared" si="0"/>
        <v>14.96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196</v>
      </c>
      <c r="E15" s="27" t="s">
        <v>192</v>
      </c>
      <c r="F15" s="55">
        <v>1</v>
      </c>
      <c r="G15" s="55">
        <v>1</v>
      </c>
      <c r="H15" s="55">
        <v>1</v>
      </c>
      <c r="I15" s="55">
        <v>24.31</v>
      </c>
      <c r="J15" s="55">
        <f t="shared" si="0"/>
        <v>24.31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169</v>
      </c>
      <c r="D16" s="27" t="s">
        <v>196</v>
      </c>
      <c r="E16" s="27" t="s">
        <v>177</v>
      </c>
      <c r="F16" s="55">
        <v>1</v>
      </c>
      <c r="G16" s="55">
        <v>1</v>
      </c>
      <c r="H16" s="55">
        <v>1</v>
      </c>
      <c r="I16" s="55">
        <v>1186.67</v>
      </c>
      <c r="J16" s="55">
        <f t="shared" si="0"/>
        <v>1186.67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170</v>
      </c>
      <c r="D17" s="27" t="s">
        <v>196</v>
      </c>
      <c r="E17" s="27" t="s">
        <v>173</v>
      </c>
      <c r="F17" s="55">
        <v>1</v>
      </c>
      <c r="G17" s="55">
        <v>1</v>
      </c>
      <c r="H17" s="55">
        <v>1</v>
      </c>
      <c r="I17" s="55">
        <v>3.24</v>
      </c>
      <c r="J17" s="55">
        <f t="shared" si="0"/>
        <v>3.24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196</v>
      </c>
      <c r="E18" s="27" t="s">
        <v>175</v>
      </c>
      <c r="F18" s="55">
        <v>1</v>
      </c>
      <c r="G18" s="55">
        <v>1</v>
      </c>
      <c r="H18" s="55">
        <v>1</v>
      </c>
      <c r="I18" s="55">
        <v>82.67</v>
      </c>
      <c r="J18" s="55">
        <f t="shared" si="0"/>
        <v>82.67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187</v>
      </c>
      <c r="D19" s="27" t="s">
        <v>196</v>
      </c>
      <c r="E19" s="27" t="s">
        <v>193</v>
      </c>
      <c r="F19" s="55">
        <v>1</v>
      </c>
      <c r="G19" s="55">
        <v>1</v>
      </c>
      <c r="H19" s="55">
        <v>1</v>
      </c>
      <c r="I19" s="55">
        <v>4.57</v>
      </c>
      <c r="J19" s="55">
        <f t="shared" si="0"/>
        <v>4.57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188</v>
      </c>
      <c r="D20" s="27" t="s">
        <v>196</v>
      </c>
      <c r="E20" s="27" t="s">
        <v>194</v>
      </c>
      <c r="F20" s="55">
        <v>1</v>
      </c>
      <c r="G20" s="55">
        <v>1</v>
      </c>
      <c r="H20" s="55">
        <v>1</v>
      </c>
      <c r="I20" s="55">
        <v>1201.33</v>
      </c>
      <c r="J20" s="55">
        <f t="shared" si="0"/>
        <v>1201.33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189</v>
      </c>
      <c r="D21" s="27" t="s">
        <v>196</v>
      </c>
      <c r="E21" s="27" t="s">
        <v>195</v>
      </c>
      <c r="F21" s="55">
        <v>1</v>
      </c>
      <c r="G21" s="55">
        <v>1</v>
      </c>
      <c r="H21" s="55">
        <v>1</v>
      </c>
      <c r="I21" s="55">
        <v>2792.89</v>
      </c>
      <c r="J21" s="55">
        <f t="shared" si="0"/>
        <v>2792.89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36" sqref="C3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198</v>
      </c>
      <c r="D16" s="70" t="s">
        <v>29</v>
      </c>
      <c r="E16" s="70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199</v>
      </c>
      <c r="D17" s="70" t="s">
        <v>29</v>
      </c>
      <c r="E17" s="70">
        <v>2</v>
      </c>
      <c r="F17" s="55">
        <v>100</v>
      </c>
      <c r="G17" s="55">
        <f t="shared" ref="G17:G20" si="0">F17*E17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200</v>
      </c>
      <c r="D18" s="70" t="s">
        <v>197</v>
      </c>
      <c r="E18" s="70">
        <v>5</v>
      </c>
      <c r="F18" s="55">
        <v>25</v>
      </c>
      <c r="G18" s="55">
        <f t="shared" si="0"/>
        <v>125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201</v>
      </c>
      <c r="D19" s="70" t="s">
        <v>29</v>
      </c>
      <c r="E19" s="70">
        <v>5</v>
      </c>
      <c r="F19" s="55">
        <v>1.51</v>
      </c>
      <c r="G19" s="55">
        <f t="shared" si="0"/>
        <v>7.55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70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I20" sqref="I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176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2018-05-31T11:11:29Z</dcterms:modified>
</cp:coreProperties>
</file>