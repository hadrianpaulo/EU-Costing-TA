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<sst xmlns="http://schemas.openxmlformats.org/spreadsheetml/2006/main" count="481" uniqueCount="193">
  <si>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</si>
  <si>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</si>
  <si>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</si>
  <si>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</si>
  <si>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</si>
  <si>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</si>
  <si>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</si>
  <si>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</si>
  <si>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</si>
  <si>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</si>
  <si>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</si>
  <si>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</si>
  <si>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</si>
  <si>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</si>
  <si>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</si>
  <si>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</si>
  <si>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</si>
  <si>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</si>
  <si>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</si>
  <si>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</si>
  <si>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</si>
  <si>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</si>
  <si>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</si>
  <si>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</si>
  <si>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</si>
  <si>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</si>
  <si>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</si>
  <si>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</si>
  <si>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</si>
  <si>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</si>
  <si>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</si>
  <si>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</si>
  <si>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</si>
  <si>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</si>
  <si>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</si>
  <si>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</si>
  <si>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</si>
  <si>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</si>
  <si>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</si>
  <si>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</si>
  <si>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</si>
  <si>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</si>
  <si>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</si>
  <si>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</si>
  <si>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</si>
  <si>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</si>
  <si>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</si>
  <si>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</si>
  <si>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</si>
  <si>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</si>
  <si>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</si>
  <si>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</si>
  <si>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</si>
  <si>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</si>
  <si>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</si>
  <si>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</si>
  <si>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</si>
  <si>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</si>
  <si>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</si>
  <si>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</si>
  <si>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</si>
  <si>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</si>
  <si>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</si>
  <si>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</si>
  <si>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</si>
  <si>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</si>
  <si>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</si>
  <si>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</si>
  <si>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</si>
  <si>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</si>
  <si>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</si>
  <si>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</si>
  <si>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</si>
  <si>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</si>
  <si>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</si>
  <si>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</si>
  <si>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</si>
  <si>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</si>
  <si>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</si>
  <si>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</si>
  <si>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</si>
  <si>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</si>
  <si>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</si>
  <si>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</si>
  <si>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</si>
  <si>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</si>
  <si>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</si>
  <si>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</si>
  <si>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</si>
  <si>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</si>
  <si>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</si>
  <si>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</si>
  <si>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</si>
  <si>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</si>
  <si>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</si>
  <si>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</si>
  <si>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</si>
  <si>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</si>
  <si>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</si>
  <si>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</si>
  <si>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</si>
  <si>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</si>
  <si>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</si>
  <si>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</si>
  <si>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</si>
  <si>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</si>
  <si>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</si>
  <si>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</si>
  <si>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</si>
  <si>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</si>
  <si>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</si>
  <si>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</si>
  <si>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</si>
  <si>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</si>
  <si>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</si>
  <si>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</si>
  <si>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</si>
  <si>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</si>
  <si>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</si>
  <si>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</si>
  <si>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</si>
  <si>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</si>
  <si>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</si>
  <si>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</si>
  <si>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</si>
  <si>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</si>
  <si>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</si>
  <si>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</si>
  <si>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</si>
  <si>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</si>
  <si>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</si>
  <si>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</si>
  <si>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</si>
  <si>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</si>
  <si>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</si>
  <si>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</si>
  <si>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</si>
  <si>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</si>
  <si>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</si>
  <si>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</si>
  <si>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</si>
  <si>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</si>
  <si>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</si>
  <si>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</si>
  <si>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</si>
  <si>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</si>
  <si>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</si>
  <si>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</si>
  <si>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</si>
  <si>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</si>
  <si>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</si>
  <si>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</si>
  <si>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</si>
  <si>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</si>
  <si>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</si>
  <si>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</si>
  <si>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</si>
  <si>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</si>
  <si>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</si>
  <si>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</si>
  <si>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</si>
  <si>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</si>
  <si>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</si>
  <si>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</si>
  <si>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</si>
  <si>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</si>
  <si>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</si>
  <si>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</si>
  <si>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</si>
  <si>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DOXORUBICIN 50MG-POWDER</t>
  </si>
  <si>
    <t>METOCLOPRAMIDE HCL</t>
  </si>
  <si>
    <t>0.9% SODIUM CHLORIDE</t>
  </si>
  <si>
    <t>4MG/ML-2ML</t>
  </si>
  <si>
    <t>5MG/ML-2ML</t>
  </si>
  <si>
    <t>500ML</t>
  </si>
  <si>
    <t>8MG</t>
  </si>
  <si>
    <t>IV CATHETER GAUGE 22</t>
  </si>
  <si>
    <t>check up</t>
  </si>
  <si>
    <t>321886/221391</t>
  </si>
  <si>
    <t>C50.91</t>
  </si>
  <si>
    <t>DOCETAXEL 80MG IV INFUSION</t>
  </si>
  <si>
    <t>80MG</t>
  </si>
  <si>
    <t>50MG</t>
  </si>
  <si>
    <t>IV CATHETER GAUGE 24</t>
  </si>
  <si>
    <t>DISPOSABLE SYRINGE 10ML G</t>
  </si>
  <si>
    <t>GAUZE SPONGE 4"X4", 8 PLY,</t>
  </si>
  <si>
    <t>CASE RATE</t>
  </si>
  <si>
    <t>PF CASE RATE</t>
  </si>
  <si>
    <t>PAID BY PATIENT</t>
  </si>
  <si>
    <t>DIHYDRATE</t>
  </si>
  <si>
    <t>DOCETAXEL (AS TRIHYDRATE)</t>
  </si>
  <si>
    <t>20MG/ML</t>
  </si>
  <si>
    <t>IV SET W/ AIRWAY FOR IV PUSH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</si>
</sst>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186</v>
      </c>
      <c r="D63" s="55">
        <v>5600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187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188</v>
      </c>
      <c r="D65" s="55"/>
      <c r="E65" s="55"/>
      <c r="F65" s="55">
        <v>2527.1799999999998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7280</v>
      </c>
      <c r="E74" s="59">
        <f>SUM(E63:E73)</f>
        <v>0</v>
      </c>
      <c r="F74" s="59">
        <f>SUM(F63:F73)</f>
        <v>2527.1799999999998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21" sqref="G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/>
      <c r="E11" s="27" t="s">
        <v>174</v>
      </c>
      <c r="F11" s="55">
        <v>1</v>
      </c>
      <c r="G11" s="55">
        <v>1</v>
      </c>
      <c r="H11" s="55">
        <v>1</v>
      </c>
      <c r="I11" s="55">
        <v>55.85</v>
      </c>
      <c r="J11" s="55">
        <f>H11*I11</f>
        <v>55.85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/>
      <c r="E12" s="27" t="s">
        <v>172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/>
      <c r="E13" s="27" t="s">
        <v>191</v>
      </c>
      <c r="F13" s="55">
        <v>1</v>
      </c>
      <c r="G13" s="55">
        <v>1</v>
      </c>
      <c r="H13" s="55">
        <v>1</v>
      </c>
      <c r="I13" s="55">
        <v>2807</v>
      </c>
      <c r="J13" s="55">
        <f t="shared" si="0"/>
        <v>2807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/>
      <c r="E14" s="27" t="s">
        <v>181</v>
      </c>
      <c r="F14" s="55">
        <v>1</v>
      </c>
      <c r="G14" s="55">
        <v>1</v>
      </c>
      <c r="H14" s="55">
        <v>1</v>
      </c>
      <c r="I14" s="55">
        <v>1699.41</v>
      </c>
      <c r="J14" s="55">
        <f t="shared" si="0"/>
        <v>1699.41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169</v>
      </c>
      <c r="D15" s="27"/>
      <c r="E15" s="27" t="s">
        <v>182</v>
      </c>
      <c r="F15" s="55">
        <v>2</v>
      </c>
      <c r="G15" s="55">
        <v>2</v>
      </c>
      <c r="H15" s="55">
        <v>2</v>
      </c>
      <c r="I15" s="55">
        <v>1186.67</v>
      </c>
      <c r="J15" s="55">
        <f t="shared" si="0"/>
        <v>2373.34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/>
      <c r="E16" s="27" t="s">
        <v>173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/>
      <c r="E17" s="27" t="s">
        <v>175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31" workbookViewId="0">
      <selection activeCell="G23" sqref="G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29</v>
      </c>
      <c r="E16" s="70">
        <v>1</v>
      </c>
      <c r="F16" s="55">
        <v>14.33</v>
      </c>
      <c r="G16" s="55">
        <f>F16*E16</f>
        <v>14.33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29</v>
      </c>
      <c r="E17" s="70">
        <v>2</v>
      </c>
      <c r="F17" s="55">
        <v>14</v>
      </c>
      <c r="G17" s="55">
        <f t="shared" ref="G17:G20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29</v>
      </c>
      <c r="E18" s="70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29</v>
      </c>
      <c r="E20" s="70">
        <v>5</v>
      </c>
      <c r="F20" s="55">
        <v>1.51</v>
      </c>
      <c r="G20" s="55">
        <f t="shared" si="0"/>
        <v>7.55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I20" sqref="I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177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2018-05-31T10:44:16Z</dcterms:modified>
</cp:coreProperties>
</file>