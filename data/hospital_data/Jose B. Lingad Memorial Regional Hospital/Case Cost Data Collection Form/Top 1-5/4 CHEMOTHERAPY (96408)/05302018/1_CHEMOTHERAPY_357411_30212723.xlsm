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<sst xmlns="http://schemas.openxmlformats.org/spreadsheetml/2006/main" count="483" uniqueCount="193">
  <si>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</si>
  <si>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</si>
  <si>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</si>
  <si>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</si>
  <si>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</si>
  <si>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</si>
  <si>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</si>
  <si>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</si>
  <si>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</si>
  <si>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</si>
  <si>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</si>
  <si>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</si>
  <si>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</si>
  <si>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</si>
  <si>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</si>
  <si>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</si>
  <si>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</si>
  <si>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</si>
  <si>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</si>
  <si>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</si>
  <si>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</si>
  <si>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</si>
  <si>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</si>
  <si>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</si>
  <si>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</si>
  <si>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</si>
  <si>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</si>
  <si>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</si>
  <si>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</si>
  <si>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</si>
  <si>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</si>
  <si>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</si>
  <si>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</si>
  <si>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</si>
  <si>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</si>
  <si>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</si>
  <si>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</si>
  <si>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</si>
  <si>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</si>
  <si>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</si>
  <si>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</si>
  <si>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</si>
  <si>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</si>
  <si>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</si>
  <si>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</si>
  <si>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</si>
  <si>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</si>
  <si>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</si>
  <si>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</si>
  <si>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</si>
  <si>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</si>
  <si>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</si>
  <si>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</si>
  <si>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</si>
  <si>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</si>
  <si>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</si>
  <si>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</si>
  <si>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</si>
  <si>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</si>
  <si>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</si>
  <si>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</si>
  <si>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</si>
  <si>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</si>
  <si>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</si>
  <si>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</si>
  <si>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</si>
  <si>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</si>
  <si>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</si>
  <si>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</si>
  <si>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</si>
  <si>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</si>
  <si>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</si>
  <si>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</si>
  <si>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</si>
  <si>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</si>
  <si>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</si>
  <si>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</si>
  <si>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</si>
  <si>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</si>
  <si>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</si>
  <si>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</si>
  <si>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</si>
  <si>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</si>
  <si>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</si>
  <si>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</si>
  <si>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</si>
  <si>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</si>
  <si>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</si>
  <si>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</si>
  <si>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</si>
  <si>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</si>
  <si>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</si>
  <si>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</si>
  <si>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</si>
  <si>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</si>
  <si>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</si>
  <si>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</si>
  <si>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</si>
  <si>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</si>
  <si>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</si>
  <si>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</si>
  <si>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</si>
  <si>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</si>
  <si>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</si>
  <si>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</si>
  <si>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</si>
  <si>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</si>
  <si>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</si>
  <si>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</si>
  <si>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</si>
  <si>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</si>
  <si>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</si>
  <si>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</si>
  <si>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</si>
  <si>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</si>
  <si>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</si>
  <si>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</si>
  <si>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</si>
  <si>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</si>
  <si>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</si>
  <si>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</si>
  <si>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</si>
  <si>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</si>
  <si>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</si>
  <si>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</si>
  <si>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</si>
  <si>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</si>
  <si>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</si>
  <si>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</si>
  <si>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</si>
  <si>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</si>
  <si>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</si>
  <si>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</si>
  <si>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</si>
  <si>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</si>
  <si>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</si>
  <si>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</si>
  <si>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</si>
  <si>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</si>
  <si>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</si>
  <si>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</si>
  <si>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</si>
  <si>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</si>
  <si>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</si>
  <si>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</si>
  <si>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</si>
  <si>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</si>
  <si>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</si>
  <si>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</si>
  <si>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</si>
  <si>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</si>
  <si>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</si>
  <si>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</si>
  <si>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</si>
  <si>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</si>
  <si>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</si>
  <si>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</si>
  <si>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</si>
  <si>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</si>
  <si>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</si>
  <si>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</si>
  <si>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</si>
  <si>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</si>
  <si>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</si>
  <si>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</si>
  <si>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</si>
  <si>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</si>
  <si>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</si>
  <si>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</si>
  <si>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METOCLOPRAMIDE HCL</t>
  </si>
  <si>
    <t>0.9% SODIUM CHLORIDE</t>
  </si>
  <si>
    <t>4MG/ML-2ML</t>
  </si>
  <si>
    <t>5MG/ML-2ML</t>
  </si>
  <si>
    <t>500ML</t>
  </si>
  <si>
    <t>capsule</t>
  </si>
  <si>
    <t>8MG</t>
  </si>
  <si>
    <t>bottle</t>
  </si>
  <si>
    <t>IV CATHETER GAUGE 22</t>
  </si>
  <si>
    <t>check up</t>
  </si>
  <si>
    <t>CASE RATE</t>
  </si>
  <si>
    <t>PF CASE RATE</t>
  </si>
  <si>
    <t>PAID BY PATIENT</t>
  </si>
  <si>
    <t>C11.9</t>
  </si>
  <si>
    <t>322710/221370</t>
  </si>
  <si>
    <t>CARBOPLATIN</t>
  </si>
  <si>
    <t>FLUOROURACIL</t>
  </si>
  <si>
    <t>450MG/45ML</t>
  </si>
  <si>
    <t>50MG/ML-10ML</t>
  </si>
  <si>
    <t>vial</t>
  </si>
  <si>
    <t>DIHYDRATE 8MG BLISTER</t>
  </si>
  <si>
    <t>IV SET W/ AIRWAY FOR IV PUS</t>
  </si>
  <si>
    <t>DISPOSABLE SYRINGE</t>
  </si>
  <si>
    <t>GAUZE SPONGE 4"X4", 8 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</si>
</sst>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51" zoomScaleNormal="100" workbookViewId="0">
      <selection activeCell="I62" sqref="I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179</v>
      </c>
      <c r="D63" s="55">
        <v>4517.47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180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181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6197.47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188</v>
      </c>
      <c r="E11" s="27" t="s">
        <v>171</v>
      </c>
      <c r="F11" s="55">
        <v>1</v>
      </c>
      <c r="G11" s="55">
        <v>1</v>
      </c>
      <c r="H11" s="55">
        <v>1</v>
      </c>
      <c r="I11" s="55">
        <v>14.96</v>
      </c>
      <c r="J11" s="55">
        <f>H11*I11</f>
        <v>14.96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169</v>
      </c>
      <c r="D12" s="27" t="s">
        <v>188</v>
      </c>
      <c r="E12" s="27" t="s">
        <v>172</v>
      </c>
      <c r="F12" s="55">
        <v>1</v>
      </c>
      <c r="G12" s="55">
        <v>1</v>
      </c>
      <c r="H12" s="55">
        <v>1</v>
      </c>
      <c r="I12" s="55">
        <v>3.24</v>
      </c>
      <c r="J12" s="55">
        <f t="shared" ref="J12:J26" si="0">H12*I12</f>
        <v>3.24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174</v>
      </c>
      <c r="E13" s="27" t="s">
        <v>175</v>
      </c>
      <c r="F13" s="55">
        <v>1</v>
      </c>
      <c r="G13" s="55">
        <v>1</v>
      </c>
      <c r="H13" s="55">
        <v>1</v>
      </c>
      <c r="I13" s="55">
        <v>82.67</v>
      </c>
      <c r="J13" s="55">
        <f t="shared" si="0"/>
        <v>82.67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188</v>
      </c>
      <c r="E14" s="27" t="s">
        <v>186</v>
      </c>
      <c r="F14" s="55">
        <v>1</v>
      </c>
      <c r="G14" s="55">
        <v>1</v>
      </c>
      <c r="H14" s="55">
        <v>1</v>
      </c>
      <c r="I14" s="55">
        <v>3200</v>
      </c>
      <c r="J14" s="55">
        <f t="shared" si="0"/>
        <v>3200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188</v>
      </c>
      <c r="E15" s="27" t="s">
        <v>187</v>
      </c>
      <c r="F15" s="55">
        <v>1</v>
      </c>
      <c r="G15" s="55">
        <v>1</v>
      </c>
      <c r="H15" s="55">
        <v>1</v>
      </c>
      <c r="I15" s="55">
        <v>97.17</v>
      </c>
      <c r="J15" s="55">
        <f t="shared" si="0"/>
        <v>97.17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176</v>
      </c>
      <c r="E16" s="27" t="s">
        <v>173</v>
      </c>
      <c r="F16" s="55">
        <v>1</v>
      </c>
      <c r="G16" s="55">
        <v>1</v>
      </c>
      <c r="H16" s="55">
        <v>1</v>
      </c>
      <c r="I16" s="55">
        <v>57.05</v>
      </c>
      <c r="J16" s="55">
        <f t="shared" si="0"/>
        <v>57.05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29</v>
      </c>
      <c r="E16" s="70">
        <v>1</v>
      </c>
      <c r="F16" s="55">
        <v>14</v>
      </c>
      <c r="G16" s="55">
        <f>F16*E16</f>
        <v>14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29</v>
      </c>
      <c r="E17" s="70">
        <v>1</v>
      </c>
      <c r="F17" s="55">
        <v>13.13</v>
      </c>
      <c r="G17" s="55">
        <f t="shared" ref="G17:G20" si="0">F17*E17</f>
        <v>13.13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29</v>
      </c>
      <c r="E18" s="70">
        <v>10</v>
      </c>
      <c r="F18" s="55">
        <v>2.77</v>
      </c>
      <c r="G18" s="55">
        <f t="shared" si="0"/>
        <v>27.7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29</v>
      </c>
      <c r="E19" s="70">
        <v>5</v>
      </c>
      <c r="F19" s="55">
        <v>1.51</v>
      </c>
      <c r="G19" s="55">
        <f t="shared" si="0"/>
        <v>7.55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70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F26" sqref="F2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178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2018-05-31T11:26:06Z</dcterms:modified>
</cp:coreProperties>
</file>