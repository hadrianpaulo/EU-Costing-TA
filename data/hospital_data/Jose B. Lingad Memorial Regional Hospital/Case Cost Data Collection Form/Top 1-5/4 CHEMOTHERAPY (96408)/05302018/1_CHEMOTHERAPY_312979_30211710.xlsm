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<sst xmlns="http://schemas.openxmlformats.org/spreadsheetml/2006/main" count="485" uniqueCount="195">
  <si>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</si>
  <si>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</si>
  <si>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</si>
  <si>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</si>
  <si>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</si>
  <si>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</si>
  <si>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</si>
  <si>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</si>
  <si>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</si>
  <si>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</si>
  <si>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</si>
  <si>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</si>
  <si>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</si>
  <si>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</si>
  <si>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</si>
  <si>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</si>
  <si>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</si>
  <si>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</si>
  <si>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</si>
  <si>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</si>
  <si>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</si>
  <si>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</si>
  <si>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</si>
  <si>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</si>
  <si>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</si>
  <si>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</si>
  <si>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</si>
  <si>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</si>
  <si>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</si>
  <si>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</si>
  <si>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</si>
  <si>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</si>
  <si>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</si>
  <si>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</si>
  <si>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</si>
  <si>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</si>
  <si>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</si>
  <si>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</si>
  <si>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</si>
  <si>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</si>
  <si>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</si>
  <si>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</si>
  <si>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</si>
  <si>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</si>
  <si>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</si>
  <si>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</si>
  <si>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</si>
  <si>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</si>
  <si>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</si>
  <si>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</si>
  <si>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</si>
  <si>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</si>
  <si>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</si>
  <si>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</si>
  <si>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</si>
  <si>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</si>
  <si>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</si>
  <si>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</si>
  <si>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</si>
  <si>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</si>
  <si>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</si>
  <si>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</si>
  <si>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</si>
  <si>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</si>
  <si>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</si>
  <si>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</si>
  <si>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</si>
  <si>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</si>
  <si>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</si>
  <si>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</si>
  <si>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</si>
  <si>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</si>
  <si>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</si>
  <si>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</si>
  <si>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</si>
  <si>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</si>
  <si>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</si>
  <si>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</si>
  <si>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</si>
  <si>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</si>
  <si>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</si>
  <si>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</si>
  <si>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</si>
  <si>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</si>
  <si>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</si>
  <si>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</si>
  <si>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</si>
  <si>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</si>
  <si>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</si>
  <si>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</si>
  <si>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</si>
  <si>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</si>
  <si>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</si>
  <si>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</si>
  <si>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</si>
  <si>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</si>
  <si>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</si>
  <si>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</si>
  <si>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</si>
  <si>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</si>
  <si>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</si>
  <si>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</si>
  <si>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</si>
  <si>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</si>
  <si>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</si>
  <si>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</si>
  <si>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</si>
  <si>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</si>
  <si>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</si>
  <si>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</si>
  <si>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</si>
  <si>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</si>
  <si>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</si>
  <si>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</si>
  <si>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</si>
  <si>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</si>
  <si>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</si>
  <si>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</si>
  <si>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</si>
  <si>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</si>
  <si>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</si>
  <si>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</si>
  <si>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</si>
  <si>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</si>
  <si>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</si>
  <si>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</si>
  <si>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</si>
  <si>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</si>
  <si>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</si>
  <si>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</si>
  <si>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</si>
  <si>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</si>
  <si>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</si>
  <si>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</si>
  <si>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</si>
  <si>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</si>
  <si>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</si>
  <si>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</si>
  <si>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</si>
  <si>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</si>
  <si>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</si>
  <si>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</si>
  <si>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</si>
  <si>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</si>
  <si>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</si>
  <si>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</si>
  <si>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</si>
  <si>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</si>
  <si>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</si>
  <si>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</si>
  <si>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</si>
  <si>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</si>
  <si>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</si>
  <si>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</si>
  <si>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</si>
  <si>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</si>
  <si>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</si>
  <si>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</si>
  <si>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</si>
  <si>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</si>
  <si>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</si>
  <si>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</si>
  <si>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</si>
  <si>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</si>
  <si>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</si>
  <si>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ampule</t>
  </si>
  <si>
    <t>CHEMOTHERAPY</t>
  </si>
  <si>
    <t>312979/221385</t>
  </si>
  <si>
    <t>C50.90</t>
  </si>
  <si>
    <t>Z51.1</t>
  </si>
  <si>
    <t>MINOR</t>
  </si>
  <si>
    <t>FLUOROURACIL</t>
  </si>
  <si>
    <t>CYCLOPHOSPHAMIDE</t>
  </si>
  <si>
    <t>DEXAMETHASONE SODIUM</t>
  </si>
  <si>
    <t>DOXORUBICIN 50MG-POWDER</t>
  </si>
  <si>
    <t>METOCLOPRAMIDE HCL</t>
  </si>
  <si>
    <t>ONDANSETRON HCL</t>
  </si>
  <si>
    <t>0.9% SODIUM CHLORIDE</t>
  </si>
  <si>
    <t>50MG/ML-10ML</t>
  </si>
  <si>
    <t>500MG</t>
  </si>
  <si>
    <t>4MG/ML-2ML</t>
  </si>
  <si>
    <t>5MG/ML-2ML</t>
  </si>
  <si>
    <t>MG BLISTER/FOIL</t>
  </si>
  <si>
    <t>500ML</t>
  </si>
  <si>
    <t>capsule</t>
  </si>
  <si>
    <t>8MG</t>
  </si>
  <si>
    <t>bottle</t>
  </si>
  <si>
    <t>IV SET W/ AIRWAY FOR IV PUSH</t>
  </si>
  <si>
    <t>IV CATHETER GAUGE 22</t>
  </si>
  <si>
    <t>DISPOSABLE SYRINGE</t>
  </si>
  <si>
    <t>GAUZE SPONGE 4"X4</t>
  </si>
  <si>
    <t>pack</t>
  </si>
  <si>
    <t>check up</t>
  </si>
  <si>
    <t>CASE RATE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</si>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</sst>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51" zoomScaleNormal="100" workbookViewId="0">
      <selection activeCell="G64" sqref="G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170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193</v>
      </c>
      <c r="D63" s="55">
        <v>4393.6400000000003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194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6073.64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31" sqref="D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165</v>
      </c>
      <c r="E11" s="27" t="s">
        <v>178</v>
      </c>
      <c r="F11" s="55">
        <v>2</v>
      </c>
      <c r="G11" s="55">
        <v>1</v>
      </c>
      <c r="H11" s="55">
        <v>2</v>
      </c>
      <c r="I11" s="55">
        <v>133.33000000000001</v>
      </c>
      <c r="J11" s="55">
        <f>H11*I11</f>
        <v>266.66000000000003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184</v>
      </c>
      <c r="E12" s="27" t="s">
        <v>179</v>
      </c>
      <c r="F12" s="55">
        <v>2</v>
      </c>
      <c r="G12" s="55">
        <v>1</v>
      </c>
      <c r="H12" s="55">
        <v>2</v>
      </c>
      <c r="I12" s="55">
        <v>266.67</v>
      </c>
      <c r="J12" s="55">
        <f t="shared" ref="J12:J26" si="0">H12*I12</f>
        <v>533.34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165</v>
      </c>
      <c r="E13" s="27" t="s">
        <v>180</v>
      </c>
      <c r="F13" s="55">
        <v>1</v>
      </c>
      <c r="G13" s="55">
        <v>1</v>
      </c>
      <c r="H13" s="55">
        <v>1</v>
      </c>
      <c r="I13" s="55">
        <v>14.96</v>
      </c>
      <c r="J13" s="55">
        <f t="shared" si="0"/>
        <v>14.96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165</v>
      </c>
      <c r="E14" s="27" t="s">
        <v>181</v>
      </c>
      <c r="F14" s="55">
        <v>2</v>
      </c>
      <c r="G14" s="55">
        <v>1</v>
      </c>
      <c r="H14" s="55">
        <v>2</v>
      </c>
      <c r="I14" s="55">
        <v>1186.67</v>
      </c>
      <c r="J14" s="55">
        <f t="shared" si="0"/>
        <v>2373.34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175</v>
      </c>
      <c r="D15" s="27" t="s">
        <v>184</v>
      </c>
      <c r="E15" s="27" t="s">
        <v>182</v>
      </c>
      <c r="F15" s="55">
        <v>1</v>
      </c>
      <c r="G15" s="55">
        <v>1</v>
      </c>
      <c r="H15" s="55">
        <v>1</v>
      </c>
      <c r="I15" s="55">
        <v>3.24</v>
      </c>
      <c r="J15" s="55">
        <f t="shared" si="0"/>
        <v>3.24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176</v>
      </c>
      <c r="D16" s="27" t="s">
        <v>184</v>
      </c>
      <c r="E16" s="27" t="s">
        <v>185</v>
      </c>
      <c r="F16" s="55">
        <v>1</v>
      </c>
      <c r="G16" s="55">
        <v>1</v>
      </c>
      <c r="H16" s="55">
        <v>1</v>
      </c>
      <c r="I16" s="55">
        <v>82.67</v>
      </c>
      <c r="J16" s="55">
        <f t="shared" si="0"/>
        <v>82.67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177</v>
      </c>
      <c r="D17" s="27" t="s">
        <v>186</v>
      </c>
      <c r="E17" s="27" t="s">
        <v>183</v>
      </c>
      <c r="F17" s="55">
        <v>1</v>
      </c>
      <c r="G17" s="55">
        <v>1</v>
      </c>
      <c r="H17" s="55">
        <v>1</v>
      </c>
      <c r="I17" s="55">
        <v>57.05</v>
      </c>
      <c r="J17" s="55">
        <f t="shared" si="0"/>
        <v>57.05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3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29</v>
      </c>
      <c r="E16" s="70">
        <v>1</v>
      </c>
      <c r="F16" s="55">
        <v>14</v>
      </c>
      <c r="G16" s="55">
        <f>F16*E16</f>
        <v>14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29</v>
      </c>
      <c r="E17" s="70">
        <v>1</v>
      </c>
      <c r="F17" s="55">
        <v>13.13</v>
      </c>
      <c r="G17" s="55">
        <f t="shared" ref="G17:G19" si="0">F17*E17</f>
        <v>13.13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191</v>
      </c>
      <c r="E18" s="70">
        <v>10</v>
      </c>
      <c r="F18" s="55">
        <v>2.77</v>
      </c>
      <c r="G18" s="55">
        <f t="shared" si="0"/>
        <v>27.7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29</v>
      </c>
      <c r="E19" s="70">
        <v>5</v>
      </c>
      <c r="F19" s="55">
        <v>1.51</v>
      </c>
      <c r="G19" s="55">
        <f t="shared" si="0"/>
        <v>7.55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F18" sqref="F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192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2018-05-31T11:24:24Z</dcterms:modified>
</cp:coreProperties>
</file>