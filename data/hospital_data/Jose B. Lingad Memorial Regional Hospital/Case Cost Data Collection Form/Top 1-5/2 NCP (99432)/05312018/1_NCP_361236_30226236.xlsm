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data_general'!$B$1:$F$73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J12" i="2" l="1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3" i="1"/>
  <c r="E73" i="1"/>
  <c r="D73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<sst xmlns="http://schemas.openxmlformats.org/spreadsheetml/2006/main" count="459" uniqueCount="174">
  <si>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</si>
  <si>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</si>
  <si>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</si>
  <si>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</si>
  <si>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</si>
  <si>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</si>
  <si>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</si>
  <si>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</si>
  <si>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</si>
  <si>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</si>
  <si>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</si>
  <si>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</si>
  <si>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</si>
  <si>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</si>
  <si>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</si>
  <si>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</si>
  <si>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</si>
  <si>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</si>
  <si>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</si>
  <si>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</si>
  <si>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</si>
  <si>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</si>
  <si>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</si>
  <si>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</si>
  <si>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</si>
  <si>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</si>
  <si>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</si>
  <si>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</si>
  <si>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</si>
  <si>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</si>
  <si>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</si>
  <si>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</si>
  <si>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</si>
  <si>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</si>
  <si>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</si>
  <si>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</si>
  <si>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</si>
  <si>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</si>
  <si>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</si>
  <si>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</si>
  <si>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</si>
  <si>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</si>
  <si>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</si>
  <si>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</si>
  <si>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</si>
  <si>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</si>
  <si>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</si>
  <si>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</si>
  <si>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</si>
  <si>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</si>
  <si>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</si>
  <si>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</si>
  <si>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</si>
  <si>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</si>
  <si>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</si>
  <si>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</si>
  <si>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</si>
  <si>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</si>
  <si>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</si>
  <si>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</si>
  <si>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</si>
  <si>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</si>
  <si>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</si>
  <si>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</si>
  <si>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</si>
  <si>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</si>
  <si>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</si>
  <si>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</si>
  <si>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</si>
  <si>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</si>
  <si>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</si>
  <si>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</si>
  <si>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</si>
  <si>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</si>
  <si>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</si>
  <si>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</si>
  <si>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</si>
  <si>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</si>
  <si>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</si>
  <si>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</si>
  <si>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</si>
  <si>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</si>
  <si>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</si>
  <si>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</si>
  <si>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</si>
  <si>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</si>
  <si>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</si>
  <si>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</si>
  <si>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</si>
  <si>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</si>
  <si>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</si>
  <si>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</si>
  <si>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</si>
  <si>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</si>
  <si>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</si>
  <si>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</si>
  <si>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</si>
  <si>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</si>
  <si>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</si>
  <si>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</si>
  <si>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</si>
  <si>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</si>
  <si>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</si>
  <si>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</si>
  <si>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</si>
  <si>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</si>
  <si>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</si>
  <si>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</si>
  <si>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</si>
  <si>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</si>
  <si>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</si>
  <si>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</si>
  <si>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</si>
  <si>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</si>
  <si>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</si>
  <si>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</si>
  <si>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</si>
  <si>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</si>
  <si>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</si>
  <si>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</si>
  <si>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</si>
  <si>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</si>
  <si>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</si>
  <si>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</si>
  <si>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</si>
  <si>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</si>
  <si>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</si>
  <si>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</si>
  <si>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</si>
  <si>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</si>
  <si>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</si>
  <si>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</si>
  <si>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</si>
  <si>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</si>
  <si>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</si>
  <si>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</si>
  <si>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</si>
  <si>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</si>
  <si>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</si>
  <si>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</si>
  <si>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</si>
  <si>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</si>
  <si>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</si>
  <si>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</si>
  <si>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</si>
  <si>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</si>
  <si>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</si>
  <si>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</si>
  <si>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</si>
  <si>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</si>
  <si>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</si>
  <si>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</si>
  <si>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</si>
  <si>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</si>
  <si>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</si>
  <si>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</si>
  <si>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</si>
  <si>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</si>
  <si>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</si>
  <si>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</si>
  <si>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</si>
  <si>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</si>
  <si>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</si>
  <si>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SUPPLIES</t>
  </si>
  <si>
    <t>PROFESSIONAL FEE</t>
  </si>
  <si>
    <t>NCP</t>
  </si>
  <si>
    <t>Z38.0</t>
  </si>
  <si>
    <t>Z00.1</t>
  </si>
  <si>
    <t>MINOR</t>
  </si>
  <si>
    <t>OTHERS</t>
  </si>
  <si>
    <t>PC</t>
  </si>
  <si>
    <t>DISPOSABLE INSULIN SYRINGE 1CC G 30 0.3 X 8MM BOX OF 100'S ( SHORT NEEDLE ULTRAFINE ) (CPR NEEDED)</t>
  </si>
  <si>
    <t>DISPOSABLE SYRINGE 1ML G 25, W/ NEEDLE X 100S (CPR NEEDED)</t>
  </si>
  <si>
    <t>361236/74443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</si>
</sst>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  <xf numFmtId="164" fontId="13" fillId="0" borderId="3" applyFont="0" applyFill="0" applyBorder="0" applyAlignment="0" applyProtection="0"/>
  </cellStyleXfs>
  <cellXfs count="154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164" fontId="10" fillId="5" borderId="21" xfId="4" applyFont="1" applyFill="1" applyBorder="1" applyProtection="1">
      <protection locked="0"/>
    </xf>
    <xf numFmtId="0" fontId="10" fillId="0" borderId="1" xfId="2" applyFont="1" applyBorder="1" applyAlignment="1" applyProtection="1">
      <alignment wrapText="1"/>
      <protection locked="0"/>
    </xf>
    <xf numFmtId="0" fontId="10" fillId="0" borderId="1" xfId="2" applyFont="1" applyBorder="1" applyAlignment="1" applyProtection="1">
      <alignment horizontal="center" wrapText="1"/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5">
    <cellStyle name="Comma" xfId="1" builtinId="3"/>
    <cellStyle name="Comma 2" xfId="4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21</xdr:row>
          <xdr:rowOff>19050</xdr:rowOff>
        </xdr:from>
        <xdr:to>
          <xdr:col>1</xdr:col>
          <xdr:colOff>733425</xdr:colOff>
          <xdr:row>21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21</xdr:row>
          <xdr:rowOff>19050</xdr:rowOff>
        </xdr:from>
        <xdr:to>
          <xdr:col>1</xdr:col>
          <xdr:colOff>1504950</xdr:colOff>
          <xdr:row>21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32</xdr:row>
          <xdr:rowOff>19050</xdr:rowOff>
        </xdr:from>
        <xdr:to>
          <xdr:col>1</xdr:col>
          <xdr:colOff>733425</xdr:colOff>
          <xdr:row>32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32</xdr:row>
          <xdr:rowOff>19050</xdr:rowOff>
        </xdr:from>
        <xdr:to>
          <xdr:col>1</xdr:col>
          <xdr:colOff>1504950</xdr:colOff>
          <xdr:row>32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40</xdr:row>
          <xdr:rowOff>19050</xdr:rowOff>
        </xdr:from>
        <xdr:to>
          <xdr:col>1</xdr:col>
          <xdr:colOff>733425</xdr:colOff>
          <xdr:row>40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40</xdr:row>
          <xdr:rowOff>19050</xdr:rowOff>
        </xdr:from>
        <xdr:to>
          <xdr:col>1</xdr:col>
          <xdr:colOff>1504950</xdr:colOff>
          <xdr:row>40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47</xdr:row>
          <xdr:rowOff>19050</xdr:rowOff>
        </xdr:from>
        <xdr:to>
          <xdr:col>1</xdr:col>
          <xdr:colOff>733425</xdr:colOff>
          <xdr:row>47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47</xdr:row>
          <xdr:rowOff>19050</xdr:rowOff>
        </xdr:from>
        <xdr:to>
          <xdr:col>1</xdr:col>
          <xdr:colOff>1504950</xdr:colOff>
          <xdr:row>47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52</xdr:row>
          <xdr:rowOff>19050</xdr:rowOff>
        </xdr:from>
        <xdr:to>
          <xdr:col>1</xdr:col>
          <xdr:colOff>733425</xdr:colOff>
          <xdr:row>52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52</xdr:row>
          <xdr:rowOff>19050</xdr:rowOff>
        </xdr:from>
        <xdr:to>
          <xdr:col>1</xdr:col>
          <xdr:colOff>1504950</xdr:colOff>
          <xdr:row>52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61</xdr:row>
          <xdr:rowOff>19050</xdr:rowOff>
        </xdr:from>
        <xdr:to>
          <xdr:col>1</xdr:col>
          <xdr:colOff>733425</xdr:colOff>
          <xdr:row>61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61</xdr:row>
          <xdr:rowOff>19050</xdr:rowOff>
        </xdr:from>
        <xdr:to>
          <xdr:col>1</xdr:col>
          <xdr:colOff>1504950</xdr:colOff>
          <xdr:row>61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0"/>
  <sheetViews>
    <sheetView tabSelected="1" zoomScaleNormal="100" workbookViewId="0">
      <selection activeCell="D63" sqref="D63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4" t="s">
        <v>59</v>
      </c>
      <c r="C12" s="125"/>
      <c r="D12" s="125"/>
      <c r="E12" s="125"/>
      <c r="F12" s="126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7" t="s">
        <v>2</v>
      </c>
      <c r="C13" s="128"/>
      <c r="D13" s="128"/>
      <c r="E13" s="128"/>
      <c r="F13" s="129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7" t="s">
        <v>4</v>
      </c>
      <c r="C14" s="128"/>
      <c r="D14" s="128"/>
      <c r="E14" s="128"/>
      <c r="F14" s="129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30" t="s">
        <v>60</v>
      </c>
      <c r="C15" s="131"/>
      <c r="D15" s="131"/>
      <c r="E15" s="131"/>
      <c r="F15" s="132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173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9" t="s">
        <v>15</v>
      </c>
      <c r="C18" s="120"/>
      <c r="D18" s="120"/>
      <c r="E18" s="120"/>
      <c r="F18" s="12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166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167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thickBot="1" x14ac:dyDescent="0.35">
      <c r="A21" s="1"/>
      <c r="B21" s="119" t="s">
        <v>51</v>
      </c>
      <c r="C21" s="120"/>
      <c r="D21" s="120"/>
      <c r="E21" s="120"/>
      <c r="F21" s="12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x14ac:dyDescent="0.3">
      <c r="A22" s="1"/>
      <c r="B22" s="26">
        <v>1</v>
      </c>
      <c r="C22" s="27">
        <v>99432</v>
      </c>
      <c r="D22" s="29" t="s">
        <v>168</v>
      </c>
      <c r="E22" s="55">
        <v>1</v>
      </c>
      <c r="F22" s="55">
        <v>0.4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2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3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4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5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thickBot="1" x14ac:dyDescent="0.35">
      <c r="A27" s="1"/>
      <c r="B27" s="122" t="s">
        <v>42</v>
      </c>
      <c r="C27" s="123"/>
      <c r="D27" s="123"/>
      <c r="E27" s="123"/>
      <c r="F27" s="133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x14ac:dyDescent="0.3">
      <c r="A28" s="1"/>
      <c r="B28" s="110" t="s">
        <v>158</v>
      </c>
      <c r="C28" s="113" t="s">
        <v>162</v>
      </c>
      <c r="D28" s="13"/>
      <c r="E28" s="13"/>
      <c r="F28" s="13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4" t="s">
        <v>123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4" t="s">
        <v>160</v>
      </c>
      <c r="C30" s="114" t="s">
        <v>140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5" t="s">
        <v>17</v>
      </c>
      <c r="C31" s="7"/>
      <c r="D31" s="7"/>
      <c r="E31" s="56">
        <v>2</v>
      </c>
      <c r="F31" s="7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thickBot="1" x14ac:dyDescent="0.35">
      <c r="A32" s="1"/>
      <c r="B32" s="119" t="s">
        <v>18</v>
      </c>
      <c r="C32" s="120"/>
      <c r="D32" s="120"/>
      <c r="E32" s="120"/>
      <c r="F32" s="12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30">
        <v>1</v>
      </c>
      <c r="C33" s="31"/>
      <c r="D33" s="23"/>
      <c r="E33" s="57"/>
      <c r="F33" s="24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26">
        <v>2</v>
      </c>
      <c r="C34" s="27"/>
      <c r="D34" s="23"/>
      <c r="E34" s="55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3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4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5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6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7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thickBot="1" x14ac:dyDescent="0.35">
      <c r="A40" s="1"/>
      <c r="B40" s="122" t="s">
        <v>19</v>
      </c>
      <c r="C40" s="123"/>
      <c r="D40" s="120"/>
      <c r="E40" s="123"/>
      <c r="F40" s="12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1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2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3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4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22" t="s">
        <v>43</v>
      </c>
      <c r="C45" s="123"/>
      <c r="D45" s="120"/>
      <c r="E45" s="123"/>
      <c r="F45" s="12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14" t="s">
        <v>44</v>
      </c>
      <c r="C46" s="13"/>
      <c r="D46" s="13"/>
      <c r="E46" s="16">
        <v>0</v>
      </c>
      <c r="F46" s="13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thickBot="1" x14ac:dyDescent="0.35">
      <c r="A47" s="1"/>
      <c r="B47" s="119" t="s">
        <v>52</v>
      </c>
      <c r="C47" s="120"/>
      <c r="D47" s="120"/>
      <c r="E47" s="120"/>
      <c r="F47" s="12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30">
        <v>1</v>
      </c>
      <c r="C48" s="31"/>
      <c r="D48" s="32"/>
      <c r="E48" s="57"/>
      <c r="F48" s="5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2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26">
        <v>3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4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thickBot="1" x14ac:dyDescent="0.35">
      <c r="A52" s="1"/>
      <c r="B52" s="119" t="s">
        <v>20</v>
      </c>
      <c r="C52" s="120"/>
      <c r="D52" s="120"/>
      <c r="E52" s="120"/>
      <c r="F52" s="12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1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2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3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4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5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6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5"/>
      <c r="C59" s="25"/>
      <c r="D59" s="25"/>
      <c r="E59" s="25"/>
      <c r="F59" s="2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57.75" customHeight="1" thickBot="1" x14ac:dyDescent="0.35">
      <c r="A61" s="1"/>
      <c r="B61" s="17" t="s">
        <v>54</v>
      </c>
      <c r="C61" s="17" t="s">
        <v>50</v>
      </c>
      <c r="D61" s="17" t="s">
        <v>55</v>
      </c>
      <c r="E61" s="18" t="s">
        <v>56</v>
      </c>
      <c r="F61" s="19" t="s">
        <v>21</v>
      </c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2">
        <v>1</v>
      </c>
      <c r="C62" s="27" t="s">
        <v>163</v>
      </c>
      <c r="D62" s="55"/>
      <c r="E62" s="55">
        <v>25.06</v>
      </c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2</v>
      </c>
      <c r="C63" s="27" t="s">
        <v>169</v>
      </c>
      <c r="D63" s="55">
        <v>1250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3</v>
      </c>
      <c r="C64" s="27" t="s">
        <v>164</v>
      </c>
      <c r="D64" s="55">
        <v>500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4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5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6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7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8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9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10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4.9000000000000004" customHeight="1" thickBot="1" x14ac:dyDescent="0.35">
      <c r="A72" s="1"/>
      <c r="B72" s="1"/>
      <c r="C72" s="1"/>
      <c r="D72" s="58"/>
      <c r="E72" s="58"/>
      <c r="F72" s="58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thickTop="1" x14ac:dyDescent="0.3">
      <c r="A73" s="1"/>
      <c r="B73" s="11"/>
      <c r="C73" s="4" t="s">
        <v>22</v>
      </c>
      <c r="D73" s="59">
        <f>SUM(D62:D72)</f>
        <v>1750</v>
      </c>
      <c r="E73" s="59">
        <f>SUM(E62:E72)</f>
        <v>25.06</v>
      </c>
      <c r="F73" s="59">
        <f>SUM(F62:F72)</f>
        <v>0</v>
      </c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</sheetData>
  <sheetProtection password="C2E9" sheet="1" objects="1" scenarios="1" formatColumns="0" formatRows="0" sort="0" autoFilter="0"/>
  <mergeCells count="12">
    <mergeCell ref="B52:F52"/>
    <mergeCell ref="B45:F45"/>
    <mergeCell ref="B12:F12"/>
    <mergeCell ref="B13:F13"/>
    <mergeCell ref="B14:F14"/>
    <mergeCell ref="B15:F15"/>
    <mergeCell ref="B18:F18"/>
    <mergeCell ref="B21:F21"/>
    <mergeCell ref="B32:F32"/>
    <mergeCell ref="B27:F27"/>
    <mergeCell ref="B40:F40"/>
    <mergeCell ref="B47:F47"/>
  </mergeCells>
  <dataValidations count="1">
    <dataValidation type="decimal" operator="greaterThanOrEqual" allowBlank="1" showInputMessage="1" showErrorMessage="1" sqref="E31 E41:E44 E46 E22:F26 E48:F51 E53:F58 E33:E39 D62:F71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0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21</xdr:row>
                    <xdr:rowOff>19050</xdr:rowOff>
                  </from>
                  <to>
                    <xdr:col>1</xdr:col>
                    <xdr:colOff>733425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21</xdr:row>
                    <xdr:rowOff>19050</xdr:rowOff>
                  </from>
                  <to>
                    <xdr:col>1</xdr:col>
                    <xdr:colOff>1504950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32</xdr:row>
                    <xdr:rowOff>19050</xdr:rowOff>
                  </from>
                  <to>
                    <xdr:col>1</xdr:col>
                    <xdr:colOff>733425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32</xdr:row>
                    <xdr:rowOff>19050</xdr:rowOff>
                  </from>
                  <to>
                    <xdr:col>1</xdr:col>
                    <xdr:colOff>1504950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40</xdr:row>
                    <xdr:rowOff>19050</xdr:rowOff>
                  </from>
                  <to>
                    <xdr:col>1</xdr:col>
                    <xdr:colOff>733425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40</xdr:row>
                    <xdr:rowOff>19050</xdr:rowOff>
                  </from>
                  <to>
                    <xdr:col>1</xdr:col>
                    <xdr:colOff>1504950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47</xdr:row>
                    <xdr:rowOff>19050</xdr:rowOff>
                  </from>
                  <to>
                    <xdr:col>1</xdr:col>
                    <xdr:colOff>733425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47</xdr:row>
                    <xdr:rowOff>19050</xdr:rowOff>
                  </from>
                  <to>
                    <xdr:col>1</xdr:col>
                    <xdr:colOff>1504950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52</xdr:row>
                    <xdr:rowOff>19050</xdr:rowOff>
                  </from>
                  <to>
                    <xdr:col>1</xdr:col>
                    <xdr:colOff>733425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52</xdr:row>
                    <xdr:rowOff>19050</xdr:rowOff>
                  </from>
                  <to>
                    <xdr:col>1</xdr:col>
                    <xdr:colOff>1504950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61</xdr:row>
                    <xdr:rowOff>19050</xdr:rowOff>
                  </from>
                  <to>
                    <xdr:col>1</xdr:col>
                    <xdr:colOff>733425</xdr:colOff>
                    <xdr:row>61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61</xdr:row>
                    <xdr:rowOff>19050</xdr:rowOff>
                  </from>
                  <to>
                    <xdr:col>1</xdr:col>
                    <xdr:colOff>1504950</xdr:colOff>
                    <xdr:row>61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C29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A11" sqref="A11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NCP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4" t="s">
        <v>63</v>
      </c>
      <c r="C8" s="135"/>
      <c r="D8" s="135"/>
      <c r="E8" s="135"/>
      <c r="F8" s="135"/>
      <c r="G8" s="135"/>
      <c r="H8" s="135"/>
      <c r="I8" s="135"/>
      <c r="J8" s="136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/>
      <c r="D11" s="27"/>
      <c r="E11" s="27"/>
      <c r="F11" s="55"/>
      <c r="G11" s="55"/>
      <c r="H11" s="55"/>
      <c r="I11" s="55"/>
      <c r="J11" s="55">
        <f>H11*I11</f>
        <v>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/>
      <c r="D12" s="27"/>
      <c r="E12" s="27"/>
      <c r="F12" s="55"/>
      <c r="G12" s="55"/>
      <c r="H12" s="55"/>
      <c r="I12" s="55"/>
      <c r="J12" s="55">
        <f t="shared" ref="J12:J26" si="0">H12*I12</f>
        <v>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>
        <f t="shared" si="0"/>
        <v>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workbookViewId="0">
      <selection activeCell="F33" sqref="F33"/>
    </sheetView>
  </sheetViews>
  <sheetFormatPr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9.1406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NCP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7" t="s">
        <v>23</v>
      </c>
      <c r="C7" s="138"/>
      <c r="D7" s="138"/>
      <c r="E7" s="138"/>
      <c r="F7" s="138"/>
      <c r="G7" s="139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3" t="s">
        <v>24</v>
      </c>
      <c r="C8" s="144"/>
      <c r="D8" s="144"/>
      <c r="E8" s="144"/>
      <c r="F8" s="144"/>
      <c r="G8" s="145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3" t="s">
        <v>68</v>
      </c>
      <c r="C9" s="144"/>
      <c r="D9" s="144"/>
      <c r="E9" s="144"/>
      <c r="F9" s="144"/>
      <c r="G9" s="145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3" t="s">
        <v>25</v>
      </c>
      <c r="C10" s="144"/>
      <c r="D10" s="144"/>
      <c r="E10" s="144"/>
      <c r="F10" s="144"/>
      <c r="G10" s="145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3" t="s">
        <v>26</v>
      </c>
      <c r="C11" s="144"/>
      <c r="D11" s="144"/>
      <c r="E11" s="144"/>
      <c r="F11" s="144"/>
      <c r="G11" s="145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6" t="s">
        <v>27</v>
      </c>
      <c r="C12" s="147"/>
      <c r="D12" s="147"/>
      <c r="E12" s="147"/>
      <c r="F12" s="147"/>
      <c r="G12" s="148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40" t="s">
        <v>71</v>
      </c>
      <c r="C15" s="141"/>
      <c r="D15" s="141"/>
      <c r="E15" s="141"/>
      <c r="F15" s="141"/>
      <c r="G15" s="142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40" t="s">
        <v>75</v>
      </c>
      <c r="C27" s="141"/>
      <c r="D27" s="141"/>
      <c r="E27" s="141"/>
      <c r="F27" s="141"/>
      <c r="G27" s="142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117" t="s">
        <v>171</v>
      </c>
      <c r="D28" s="118" t="s">
        <v>170</v>
      </c>
      <c r="E28" s="116">
        <v>2</v>
      </c>
      <c r="F28" s="116">
        <v>11.73</v>
      </c>
      <c r="G28" s="116">
        <v>23.46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117" t="s">
        <v>172</v>
      </c>
      <c r="D29" s="118" t="s">
        <v>170</v>
      </c>
      <c r="E29" s="116">
        <v>1</v>
      </c>
      <c r="F29" s="116">
        <v>1.6</v>
      </c>
      <c r="G29" s="116">
        <v>1.6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40" t="s">
        <v>29</v>
      </c>
      <c r="C38" s="141"/>
      <c r="D38" s="141"/>
      <c r="E38" s="141"/>
      <c r="F38" s="141"/>
      <c r="G38" s="142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5" workbookViewId="0">
      <selection activeCell="A18" sqref="A18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NCP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9" t="s">
        <v>32</v>
      </c>
      <c r="E11" s="150"/>
      <c r="F11" s="150"/>
      <c r="G11" s="150"/>
      <c r="H11" s="150"/>
      <c r="I11" s="150"/>
      <c r="J11" s="150"/>
      <c r="K11" s="150"/>
      <c r="L11" s="150"/>
      <c r="M11" s="150"/>
      <c r="N11" s="151"/>
      <c r="P11" s="152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53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data_general'!$C$28</f>
        <v>Level II and III</v>
      </c>
      <c r="G1" s="112" t="str">
        <f>'1.1 Case data_general'!$C$29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PHIC-5</cp:lastModifiedBy>
  <dcterms:created xsi:type="dcterms:W3CDTF">2018-05-11T08:46:15Z</dcterms:created>
  <dcterms:modified xsi:type="dcterms:W3CDTF">2018-06-04T00:36:21Z</dcterms:modified>
</cp:coreProperties>
</file>