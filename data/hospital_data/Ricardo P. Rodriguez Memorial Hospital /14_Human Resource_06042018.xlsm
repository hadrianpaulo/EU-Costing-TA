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5525" windowHeight="7050" activeTab="1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_xlnm._FilterDatabase" localSheetId="1" hidden="1">'6.2 Staff Allocation'!$B$10:$DR$140</definedName>
    <definedName name="Drugs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0" i="2" l="1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DT139" i="2"/>
  <c r="DT138" i="2"/>
  <c r="DT137" i="2"/>
  <c r="DT136" i="2"/>
  <c r="DT135" i="2"/>
  <c r="DT134" i="2"/>
  <c r="DT133" i="2"/>
  <c r="DT132" i="2"/>
  <c r="DT131" i="2"/>
  <c r="DT130" i="2"/>
  <c r="DT129" i="2"/>
  <c r="DT128" i="2"/>
  <c r="DT127" i="2"/>
  <c r="DT126" i="2"/>
  <c r="DT125" i="2"/>
  <c r="DT124" i="2"/>
  <c r="DT123" i="2"/>
  <c r="DT122" i="2"/>
  <c r="DT121" i="2"/>
  <c r="DT120" i="2"/>
  <c r="DT119" i="2"/>
  <c r="DT118" i="2"/>
  <c r="DT117" i="2"/>
  <c r="DT115" i="2"/>
  <c r="DT114" i="2"/>
  <c r="DT113" i="2"/>
  <c r="DT112" i="2"/>
  <c r="DT111" i="2"/>
  <c r="DT110" i="2"/>
  <c r="DT109" i="2"/>
  <c r="DT108" i="2"/>
  <c r="DT107" i="2"/>
  <c r="DT106" i="2"/>
  <c r="DT105" i="2"/>
  <c r="DT104" i="2"/>
  <c r="DT103" i="2"/>
  <c r="DT102" i="2"/>
  <c r="DT101" i="2"/>
  <c r="DT100" i="2"/>
  <c r="DT99" i="2"/>
  <c r="DT98" i="2"/>
  <c r="DT97" i="2"/>
  <c r="DT96" i="2"/>
  <c r="DT95" i="2"/>
  <c r="DT94" i="2"/>
  <c r="DT93" i="2"/>
  <c r="DT92" i="2"/>
  <c r="DT91" i="2"/>
  <c r="DT90" i="2"/>
  <c r="DT89" i="2"/>
  <c r="DT88" i="2"/>
  <c r="DT87" i="2"/>
  <c r="DT86" i="2"/>
  <c r="DT85" i="2"/>
  <c r="DT84" i="2"/>
  <c r="DT83" i="2"/>
  <c r="DT82" i="2"/>
  <c r="DT81" i="2"/>
  <c r="DT80" i="2"/>
  <c r="DT79" i="2"/>
  <c r="DT78" i="2"/>
  <c r="DT77" i="2"/>
  <c r="DT76" i="2"/>
  <c r="DT75" i="2"/>
  <c r="DT74" i="2"/>
  <c r="DT73" i="2"/>
  <c r="DT72" i="2"/>
  <c r="DT71" i="2"/>
  <c r="DT70" i="2"/>
  <c r="DT69" i="2"/>
  <c r="DT68" i="2"/>
  <c r="DT67" i="2"/>
  <c r="DT66" i="2"/>
  <c r="DT65" i="2"/>
  <c r="DT64" i="2"/>
  <c r="DT63" i="2"/>
  <c r="DT62" i="2"/>
  <c r="DT61" i="2"/>
  <c r="DT60" i="2"/>
  <c r="DT59" i="2"/>
  <c r="DT58" i="2"/>
  <c r="DT57" i="2"/>
  <c r="DT56" i="2"/>
  <c r="DT55" i="2"/>
  <c r="DT54" i="2"/>
  <c r="DT53" i="2"/>
  <c r="DT52" i="2"/>
  <c r="DT51" i="2"/>
  <c r="DT50" i="2"/>
  <c r="DT49" i="2"/>
  <c r="DT48" i="2"/>
  <c r="DT47" i="2"/>
  <c r="DT46" i="2"/>
  <c r="DT45" i="2"/>
  <c r="DT44" i="2"/>
  <c r="DT43" i="2"/>
  <c r="DT42" i="2"/>
  <c r="DT140" i="2" l="1"/>
  <c r="DT41" i="2"/>
  <c r="DT40" i="2"/>
  <c r="DT39" i="2"/>
  <c r="DT38" i="2"/>
  <c r="DT37" i="2"/>
  <c r="DT36" i="2"/>
  <c r="DT35" i="2"/>
  <c r="DT34" i="2"/>
  <c r="DT33" i="2"/>
  <c r="DT32" i="2"/>
  <c r="DT31" i="2"/>
  <c r="DT30" i="2"/>
  <c r="DT29" i="2"/>
  <c r="DT28" i="2"/>
  <c r="DT27" i="2"/>
  <c r="DT26" i="2"/>
  <c r="DT25" i="2"/>
  <c r="DT24" i="2"/>
  <c r="DT23" i="2"/>
  <c r="DT22" i="2" l="1"/>
  <c r="E22" i="2"/>
  <c r="D22" i="2"/>
  <c r="C22" i="2"/>
  <c r="B22" i="2"/>
  <c r="DT21" i="2"/>
  <c r="E21" i="2"/>
  <c r="D21" i="2"/>
  <c r="C21" i="2"/>
  <c r="B21" i="2"/>
  <c r="DT20" i="2"/>
  <c r="E20" i="2"/>
  <c r="D20" i="2"/>
  <c r="C20" i="2"/>
  <c r="B20" i="2"/>
  <c r="DT19" i="2"/>
  <c r="E19" i="2"/>
  <c r="D19" i="2"/>
  <c r="C19" i="2"/>
  <c r="B19" i="2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2" i="5"/>
  <c r="A3" i="5"/>
  <c r="A4" i="5"/>
  <c r="A5" i="5"/>
  <c r="A6" i="5"/>
  <c r="A7" i="5"/>
  <c r="A8" i="5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DT18" i="2" l="1"/>
  <c r="DT17" i="2"/>
  <c r="DT16" i="2"/>
  <c r="DT15" i="2"/>
  <c r="DT14" i="2"/>
  <c r="E18" i="2"/>
  <c r="D18" i="2"/>
  <c r="C18" i="2"/>
  <c r="E17" i="2"/>
  <c r="D17" i="2"/>
  <c r="C17" i="2"/>
  <c r="E16" i="2"/>
  <c r="D16" i="2"/>
  <c r="C16" i="2"/>
  <c r="E15" i="2"/>
  <c r="D15" i="2"/>
  <c r="C15" i="2"/>
  <c r="E14" i="2"/>
  <c r="D14" i="2"/>
  <c r="C14" i="2"/>
  <c r="B18" i="2"/>
  <c r="B17" i="2"/>
  <c r="B16" i="2"/>
  <c r="B15" i="2"/>
  <c r="B14" i="2"/>
  <c r="B13" i="2"/>
  <c r="E13" i="2"/>
  <c r="D13" i="2"/>
  <c r="C13" i="2"/>
  <c r="DT13" i="2"/>
</calcChain>
</file>

<file path=xl/sharedStrings.xml><?xml version="1.0" encoding="utf-8"?>
<sst xmlns="http://schemas.openxmlformats.org/spreadsheetml/2006/main" count="1268" uniqueCount="290">
  <si>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</si>
  <si>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</si>
  <si>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</si>
  <si>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</si>
  <si>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</si>
  <si>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</si>
  <si>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</si>
  <si>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</si>
  <si>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</si>
  <si>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</si>
  <si>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</si>
  <si>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</si>
  <si>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</si>
  <si>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</si>
  <si>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</si>
  <si>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FT</t>
  </si>
  <si>
    <t>JO</t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</si>
  <si>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</si>
  <si>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</si>
  <si>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</si>
  <si>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</si>
  <si>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</si>
  <si>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</si>
  <si>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</si>
  <si>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</si>
  <si>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</si>
  <si>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</si>
  <si>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</si>
  <si>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</si>
  <si>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</si>
  <si>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</si>
  <si>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</si>
  <si>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</si>
  <si>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</si>
  <si>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</si>
  <si>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</si>
  <si>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</si>
  <si>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</si>
  <si>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</si>
  <si>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</si>
  <si>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</si>
  <si>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</si>
  <si>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</si>
  <si>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</si>
  <si>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</si>
  <si>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</si>
  <si>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</si>
  <si>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</si>
  <si>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</si>
  <si>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</si>
  <si>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</si>
  <si>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</si>
  <si>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</si>
  <si>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</si>
  <si>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</si>
  <si>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</si>
  <si>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</si>
  <si>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</si>
  <si>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</si>
  <si>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</si>
  <si>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</si>
  <si>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</si>
  <si>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</si>
  <si>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</si>
  <si>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</si>
  <si>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</si>
  <si>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</si>
  <si>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</si>
  <si>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</si>
  <si>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</si>
  <si>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</si>
  <si>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</si>
  <si>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</si>
  <si>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</si>
  <si>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</si>
  <si>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</si>
  <si>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</si>
  <si>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</si>
  <si>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</si>
  <si>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</si>
  <si>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</si>
  <si>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</si>
  <si>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</si>
  <si>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</si>
  <si>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</si>
  <si>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</si>
  <si>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</si>
  <si>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</si>
  <si>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</si>
  <si>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</si>
  <si>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</si>
  <si>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</si>
  <si>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</si>
  <si>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</si>
  <si>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</si>
  <si>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</si>
  <si>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</si>
  <si>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</si>
  <si>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</si>
  <si>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</si>
  <si>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Ancillary services/Support services -&gt; Delivery Room</t>
  </si>
  <si>
    <t>Time period covered:</t>
  </si>
  <si>
    <t>BALAORO, TERESITA R.</t>
  </si>
  <si>
    <t>CALAQUIAN, JOANA G.</t>
  </si>
  <si>
    <t>CALUB, ARLAN D.</t>
  </si>
  <si>
    <t>CANDA, MANNIE</t>
  </si>
  <si>
    <t>DAVID, ANABEL B.</t>
  </si>
  <si>
    <t>DAVID, JR. FRANCISCO Q.</t>
  </si>
  <si>
    <t>DELFIN, IVY I</t>
  </si>
  <si>
    <t>ESCOTO, ALDRIN L.</t>
  </si>
  <si>
    <t>FERRER, PAUL JASON B.</t>
  </si>
  <si>
    <t>ADMIN AIDE I</t>
  </si>
  <si>
    <t>ADMIN AIDE III</t>
  </si>
  <si>
    <t>Ancillary services/Support services -&gt; Laundry</t>
  </si>
  <si>
    <t>Administrative/Overhead services -&gt; Housekeeping</t>
  </si>
  <si>
    <t>Administrative/Overhead services -&gt; Others</t>
  </si>
  <si>
    <t>Ancillary services/Support services -&gt; Operating Room / Aneasthesiology / PACU / Recovery Room</t>
  </si>
  <si>
    <t>Administrative/Overhead services -&gt; Health Info Mgt (Admitting)</t>
  </si>
  <si>
    <t>QUIAMBAO, ARRA MIA I</t>
  </si>
  <si>
    <t>VIRAY, MARIA CORAZON L.</t>
  </si>
  <si>
    <t>BALAORO, NOEL DJ</t>
  </si>
  <si>
    <t>BONDOC, JR. PEPITO S.</t>
  </si>
  <si>
    <t>DAVID, JOEL C.</t>
  </si>
  <si>
    <t>AQUINO, RAPHAEL P.</t>
  </si>
  <si>
    <t>BATONGBAKAL, MA. ANGELA A.</t>
  </si>
  <si>
    <t>BILLONES, JOMAR T.</t>
  </si>
  <si>
    <t>BUSTOS, THOMAS KENNETH S.</t>
  </si>
  <si>
    <t>CARLOS, NIKKO M.</t>
  </si>
  <si>
    <t>CRUZ, MARY ROSE M.</t>
  </si>
  <si>
    <t>DADAP, RENEE B.</t>
  </si>
  <si>
    <t>DAVID, HAZEL</t>
  </si>
  <si>
    <t>DAVID, CHARMAINE Q.</t>
  </si>
  <si>
    <t>DINEROS, KEVIN HIL R.</t>
  </si>
  <si>
    <t>FERRER, ARNIE M.</t>
  </si>
  <si>
    <t>GUINTU, LALAINE</t>
  </si>
  <si>
    <t>LAGMAN, JANE B.</t>
  </si>
  <si>
    <t>LANSANG, ROCEL E.</t>
  </si>
  <si>
    <t>MENDOZA, MARK B.</t>
  </si>
  <si>
    <t>ORSAJES, SARAH C.</t>
  </si>
  <si>
    <t>PAMINTUAN, ANTONINA M.</t>
  </si>
  <si>
    <t>PANGILINAN, CHEENYMAE G.</t>
  </si>
  <si>
    <t>PINEDA, JANE PAULA B.</t>
  </si>
  <si>
    <t>QUIAMBAO, FLORENCE B.</t>
  </si>
  <si>
    <t>REYES, GRETCHEN JOYCE B.</t>
  </si>
  <si>
    <t>SALENGA, MARIONE DONADEI</t>
  </si>
  <si>
    <t>SANCHEZ, ISABEL C.</t>
  </si>
  <si>
    <t>SARMIENTO, AARON PAUL</t>
  </si>
  <si>
    <t>SICAT, MA. APREEL DJANNELLE P.</t>
  </si>
  <si>
    <t>TAMAYO,JASMIN R.</t>
  </si>
  <si>
    <t>VILLAMIN, AILEEN L.</t>
  </si>
  <si>
    <t>BLANCO, LUCKY M.</t>
  </si>
  <si>
    <t>BONDOC, EDMARC C.</t>
  </si>
  <si>
    <t>DE LEON, IRISH MAE M.</t>
  </si>
  <si>
    <t>DE VERA, LOVELY G.</t>
  </si>
  <si>
    <t>LIM, JAMES RONALD S.</t>
  </si>
  <si>
    <t>MALIG,MELANI H.</t>
  </si>
  <si>
    <t>MANGUNE, JOMARC D.</t>
  </si>
  <si>
    <t>PEDONG, CRISTINA B.</t>
  </si>
  <si>
    <t>SICAT, ROCEL D.</t>
  </si>
  <si>
    <t>BALASON, JR. JOHN EUFEMIO C.</t>
  </si>
  <si>
    <t>CRUZ, KREYCHEL HABON M.</t>
  </si>
  <si>
    <t>DEL ROSARIO, LILIBETH MARIE N.</t>
  </si>
  <si>
    <t>FELICIANO, GLENDA</t>
  </si>
  <si>
    <t>GALANG, MARC IAN LLOYD</t>
  </si>
  <si>
    <t>JUMAWAN, GLENN IVAN M.</t>
  </si>
  <si>
    <t>LAXAMANA,KRISSELDA R.</t>
  </si>
  <si>
    <t>LEONES, ELAINE JANE</t>
  </si>
  <si>
    <t>SANTOS, JEAN LED C.</t>
  </si>
  <si>
    <t>SILDURA, MARIE JENNIFER</t>
  </si>
  <si>
    <t>CANLAS,MARIA CATHERINE ATHLEA M.</t>
  </si>
  <si>
    <t>DAVID, JAMAICA ANN MEI</t>
  </si>
  <si>
    <t>DAYRIT, AIZA A.</t>
  </si>
  <si>
    <t>GARCIA, RAMIL B.</t>
  </si>
  <si>
    <t>GOZUN, MADHEL G.</t>
  </si>
  <si>
    <t>LIWANAG, KATHLEEN  G.</t>
  </si>
  <si>
    <t>MALLARI, JOSEPHINE G.</t>
  </si>
  <si>
    <t>CARREON, RESHIRL H.</t>
  </si>
  <si>
    <t>ABAY, KAITH C.</t>
  </si>
  <si>
    <t>JOVEN, JANELLE AINOS</t>
  </si>
  <si>
    <t xml:space="preserve">LIWANAG, KATHLEEN JOYCE </t>
  </si>
  <si>
    <t>LAXAMANA, ERITO JR. D.</t>
  </si>
  <si>
    <t>SANCHEZ, JERALD RAPH S.</t>
  </si>
  <si>
    <t>SIBAL, ARIANE C,</t>
  </si>
  <si>
    <t>TORRES, ARVEAN C.</t>
  </si>
  <si>
    <t>BALTAZAR, ARNULE P.</t>
  </si>
  <si>
    <t>BATAC, DANILO D.</t>
  </si>
  <si>
    <t>BIAG, LAURO C.</t>
  </si>
  <si>
    <t>BITUIN, LILIA L.</t>
  </si>
  <si>
    <t>BONDOC ANTONIO JR. S.</t>
  </si>
  <si>
    <t>CALILUNG, ROGELIO R.</t>
  </si>
  <si>
    <t>CRUZ, ISID JASON L.</t>
  </si>
  <si>
    <t>DATU, LOURDES GAIL</t>
  </si>
  <si>
    <t>DAVID, ADRIAN Q.</t>
  </si>
  <si>
    <t>DAVID, LUCITO C</t>
  </si>
  <si>
    <t>DE LEON, MA. REMEDIOS P.</t>
  </si>
  <si>
    <t>DIZON, RADITO M.</t>
  </si>
  <si>
    <t>DUNGCA, LUIGIE L.</t>
  </si>
  <si>
    <t>ESTEBAN, MANUELA L.</t>
  </si>
  <si>
    <t>GALANG, JIM ALFRED B.</t>
  </si>
  <si>
    <t>GALURA, JINKY D.</t>
  </si>
  <si>
    <t>GARCIA, NOEMI G.</t>
  </si>
  <si>
    <t>GOZUN, JOSEFINA C.</t>
  </si>
  <si>
    <t>GUEVARRA, MARK ANTHONY G.</t>
  </si>
  <si>
    <t>HALILI, ROSEMARIE M.</t>
  </si>
  <si>
    <t>LACSON, AIDA O.</t>
  </si>
  <si>
    <t>LAXAMANA, PRECY D.</t>
  </si>
  <si>
    <t>LUGUE, PATRICIA D.</t>
  </si>
  <si>
    <t>LUMBA, GLENDA T.</t>
  </si>
  <si>
    <t>MAHIA, JENNY S.</t>
  </si>
  <si>
    <t>MALIG, PHILIP NERI JR. D.</t>
  </si>
  <si>
    <t>MALLARI, EVELYN B.</t>
  </si>
  <si>
    <t>MALONZO, OFELIA L.</t>
  </si>
  <si>
    <t>MANALO, ERSON L.</t>
  </si>
  <si>
    <t>MANGUNE, NANETTE B.</t>
  </si>
  <si>
    <t>MATIC RINA S.</t>
  </si>
  <si>
    <t>MENDOZA, CARMELITA B.</t>
  </si>
  <si>
    <t>MENDOZA, JULIE ANN S.</t>
  </si>
  <si>
    <t>MERCADO, JOHN JOSEPH M.</t>
  </si>
  <si>
    <t>MIRANO, JOCELYN B.</t>
  </si>
  <si>
    <t>NAGUIT, ROGER B.</t>
  </si>
  <si>
    <t>ONG ANTONIO B.</t>
  </si>
  <si>
    <t>ORDONIO, DEXTER L.</t>
  </si>
  <si>
    <t>PASION, GLORIA P.</t>
  </si>
  <si>
    <t>PINEDA, ALMA B.</t>
  </si>
  <si>
    <t>PINLAC, THELMA B.</t>
  </si>
  <si>
    <t>RAMOS, MICHELLE L.</t>
  </si>
  <si>
    <t>ROQUE, EDNA C.</t>
  </si>
  <si>
    <t>SAMIA, JOHANNA G.</t>
  </si>
  <si>
    <t>SAN PEDRO, MARIA GRACIA L.</t>
  </si>
  <si>
    <t>SANCHEZ, MILLETTE Q.</t>
  </si>
  <si>
    <t>SANTOS, CHRISTOPHER L.</t>
  </si>
  <si>
    <t>SANTOS, GLORIA C.</t>
  </si>
  <si>
    <t>SARMIENTO, REMEDIOS D.</t>
  </si>
  <si>
    <t>SORIANO, REMEDIOS M.</t>
  </si>
  <si>
    <t>SUNGLAO, THRICIA S.</t>
  </si>
  <si>
    <t>TAMAYO, REBECCA S.</t>
  </si>
  <si>
    <t>RAD TECH I</t>
  </si>
  <si>
    <t>NURSE I</t>
  </si>
  <si>
    <t>MED. OFFICER III</t>
  </si>
  <si>
    <t>MED. TECH I</t>
  </si>
  <si>
    <t>MED. SPECIALIST</t>
  </si>
  <si>
    <t>PHARMACIST I</t>
  </si>
  <si>
    <t>DENTAL AIDE I</t>
  </si>
  <si>
    <t>SECURITY GUARD I</t>
  </si>
  <si>
    <t>NURSING ATT. I</t>
  </si>
  <si>
    <t>ADMIN. AIDE IV</t>
  </si>
  <si>
    <t>LAB. AIDE II</t>
  </si>
  <si>
    <t>ADMIN AIDE VI</t>
  </si>
  <si>
    <t>MED. OFFICER IV</t>
  </si>
  <si>
    <t>MED TECH I</t>
  </si>
  <si>
    <t>NURSE II</t>
  </si>
  <si>
    <t>ADMIN ASST. II</t>
  </si>
  <si>
    <t>ADMIN OFFICER IV</t>
  </si>
  <si>
    <t>NUTR. DIET II</t>
  </si>
  <si>
    <t>MIDWIFE II</t>
  </si>
  <si>
    <t>ADMIN AIDE IV</t>
  </si>
  <si>
    <t>NURSE IV</t>
  </si>
  <si>
    <t>SAN. INSP. I</t>
  </si>
  <si>
    <t>CONT. MAINT. MAN</t>
  </si>
  <si>
    <t>MED TECH II</t>
  </si>
  <si>
    <t>PHARMACIST III</t>
  </si>
  <si>
    <t>CHIEF OF HOSP. I</t>
  </si>
  <si>
    <t>COOK I</t>
  </si>
  <si>
    <t>RAD TECH II</t>
  </si>
  <si>
    <t>LAUNDRY WORKER I</t>
  </si>
  <si>
    <t>MED SOC. WKR. II</t>
  </si>
  <si>
    <t>DENTIST II</t>
  </si>
  <si>
    <t>NACPIL, ROMAN Q.</t>
  </si>
  <si>
    <t>Ancillary services/Support services -&gt; Radiology / Diagnostic Imaging (CT Scan, MRI, ECG, Mammography, Endoscopy)</t>
  </si>
  <si>
    <t>Clinical/Medical services -&gt; Internal Medicine Ward</t>
  </si>
  <si>
    <t>Clinical/Medical services -&gt; Outpatient Department (general)</t>
  </si>
  <si>
    <t>Ancillary services/Support services -&gt; Laboratory</t>
  </si>
  <si>
    <t>Clinical/Medical services -&gt; Ob/Gyne Ward</t>
  </si>
  <si>
    <t>Ancillary services/Support services -&gt; Pharmacy</t>
  </si>
  <si>
    <t>Clinical/Medical services -&gt; Emergency Medicine Department</t>
  </si>
  <si>
    <t>Administrative/Overhead services -&gt; Billing and Claims</t>
  </si>
  <si>
    <t>Administrative/Overhead services -&gt; Medical Social Work</t>
  </si>
  <si>
    <t>Administrative/Overhead services -&gt; Central Supply Office</t>
  </si>
  <si>
    <t>Clinical/Medical services -&gt; Dental</t>
  </si>
  <si>
    <t>Ancillary services/Support services -&gt; Nutrition and Dietetics</t>
  </si>
  <si>
    <t>Administrative/Overhead services -&gt; Cash Operations</t>
  </si>
  <si>
    <t>Administrative/Overhead services -&gt; Office of the Administrative Officer</t>
  </si>
  <si>
    <t>Administrative/Overhead services -&gt; Security</t>
  </si>
  <si>
    <t>Administrative/Overhead services -&gt; Engineering and Facilities Management</t>
  </si>
  <si>
    <t>Administrative/Overhead services -&gt; Office of the Chief Nurse</t>
  </si>
  <si>
    <t>Administrative/Overhead services -&gt; Office of the Medical Center Chief</t>
  </si>
  <si>
    <t>Administrative/Overhead services -&gt; Materials Management</t>
  </si>
  <si>
    <t>CONTRACTUAL</t>
  </si>
  <si>
    <t>PERMANENT</t>
  </si>
  <si>
    <t>Level II and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</si>
</sst>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3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b/>
      <sz val="11"/>
      <name val="Arial Narrow"/>
      <family val="2"/>
    </font>
    <font>
      <sz val="11"/>
      <color indexed="39"/>
      <name val="Calibri"/>
      <family val="2"/>
    </font>
    <font>
      <sz val="11"/>
      <color indexed="6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</cellStyleXfs>
  <cellXfs count="119">
    <xf numFmtId="0" fontId="0" fillId="0" borderId="0" xfId="0"/>
    <xf numFmtId="0" fontId="2" fillId="0" borderId="0" xfId="0" applyFont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1" fillId="3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3" borderId="0" xfId="0" applyFont="1" applyFill="1" applyBorder="1"/>
    <xf numFmtId="0" fontId="2" fillId="3" borderId="11" xfId="0" applyFont="1" applyFill="1" applyBorder="1"/>
    <xf numFmtId="0" fontId="2" fillId="3" borderId="12" xfId="0" applyFont="1" applyFill="1" applyBorder="1"/>
    <xf numFmtId="0" fontId="2" fillId="3" borderId="6" xfId="0" applyFont="1" applyFill="1" applyBorder="1"/>
    <xf numFmtId="0" fontId="2" fillId="3" borderId="13" xfId="0" applyFont="1" applyFill="1" applyBorder="1"/>
    <xf numFmtId="9" fontId="24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7" fillId="0" borderId="0" xfId="5" applyFont="1" applyAlignment="1"/>
    <xf numFmtId="0" fontId="8" fillId="0" borderId="0" xfId="5" applyFont="1"/>
    <xf numFmtId="0" fontId="26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7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5" fillId="0" borderId="0" xfId="7" applyFont="1"/>
    <xf numFmtId="0" fontId="3" fillId="3" borderId="10" xfId="0" applyFont="1" applyFill="1" applyBorder="1"/>
    <xf numFmtId="0" fontId="28" fillId="4" borderId="1" xfId="0" applyFont="1" applyFill="1" applyBorder="1" applyAlignment="1">
      <alignment horizontal="center"/>
    </xf>
    <xf numFmtId="0" fontId="29" fillId="0" borderId="0" xfId="1" applyFont="1" applyFill="1" applyBorder="1" applyAlignment="1">
      <alignment horizontal="left"/>
    </xf>
    <xf numFmtId="0" fontId="2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18" fillId="0" borderId="1" xfId="0" applyFont="1" applyFill="1" applyBorder="1" applyProtection="1">
      <protection locked="0"/>
    </xf>
    <xf numFmtId="0" fontId="23" fillId="0" borderId="27" xfId="0" applyFont="1" applyFill="1" applyBorder="1" applyProtection="1">
      <protection locked="0"/>
    </xf>
    <xf numFmtId="0" fontId="9" fillId="0" borderId="1" xfId="0" applyFont="1" applyFill="1" applyBorder="1" applyProtection="1">
      <protection locked="0"/>
    </xf>
    <xf numFmtId="0" fontId="9" fillId="0" borderId="1" xfId="0" applyFont="1" applyFill="1" applyBorder="1"/>
    <xf numFmtId="0" fontId="9" fillId="0" borderId="0" xfId="0" applyFont="1" applyFill="1"/>
    <xf numFmtId="9" fontId="9" fillId="0" borderId="5" xfId="6" applyFont="1" applyFill="1" applyBorder="1" applyProtection="1">
      <protection locked="0"/>
    </xf>
    <xf numFmtId="9" fontId="28" fillId="0" borderId="5" xfId="6" applyFont="1" applyFill="1" applyBorder="1" applyProtection="1">
      <protection locked="0"/>
    </xf>
    <xf numFmtId="9" fontId="9" fillId="0" borderId="0" xfId="6" applyFont="1" applyFill="1"/>
    <xf numFmtId="0" fontId="8" fillId="0" borderId="0" xfId="0" applyFont="1" applyFill="1"/>
    <xf numFmtId="0" fontId="14" fillId="0" borderId="0" xfId="0" applyFont="1" applyFill="1"/>
    <xf numFmtId="0" fontId="15" fillId="0" borderId="0" xfId="0" applyFont="1" applyFill="1" applyAlignment="1" applyProtection="1">
      <alignment horizontal="center"/>
      <protection locked="0"/>
    </xf>
    <xf numFmtId="0" fontId="0" fillId="0" borderId="0" xfId="0" applyFont="1" applyFill="1" applyAlignment="1"/>
    <xf numFmtId="0" fontId="2" fillId="0" borderId="0" xfId="0" applyFont="1" applyFill="1"/>
    <xf numFmtId="0" fontId="2" fillId="0" borderId="10" xfId="0" applyFont="1" applyFill="1" applyBorder="1"/>
    <xf numFmtId="0" fontId="2" fillId="0" borderId="0" xfId="0" applyFont="1" applyFill="1" applyBorder="1"/>
    <xf numFmtId="0" fontId="2" fillId="0" borderId="11" xfId="0" applyFont="1" applyFill="1" applyBorder="1"/>
    <xf numFmtId="0" fontId="3" fillId="0" borderId="10" xfId="0" applyFont="1" applyFill="1" applyBorder="1"/>
    <xf numFmtId="0" fontId="28" fillId="0" borderId="1" xfId="0" applyFont="1" applyFill="1" applyBorder="1" applyAlignment="1">
      <alignment horizontal="center"/>
    </xf>
    <xf numFmtId="0" fontId="2" fillId="0" borderId="0" xfId="0" applyFont="1" applyFill="1" applyAlignment="1">
      <alignment vertical="center"/>
    </xf>
    <xf numFmtId="0" fontId="2" fillId="0" borderId="1" xfId="0" applyFont="1" applyFill="1" applyBorder="1" applyAlignment="1">
      <alignment vertical="center"/>
    </xf>
    <xf numFmtId="0" fontId="12" fillId="0" borderId="1" xfId="1" applyFont="1" applyFill="1" applyBorder="1" applyAlignment="1">
      <alignment vertical="center"/>
    </xf>
    <xf numFmtId="0" fontId="9" fillId="0" borderId="1" xfId="1" applyFont="1" applyFill="1" applyBorder="1" applyAlignment="1">
      <alignment vertical="center"/>
    </xf>
    <xf numFmtId="0" fontId="16" fillId="0" borderId="0" xfId="0" applyFont="1" applyFill="1" applyAlignment="1" applyProtection="1">
      <alignment horizontal="center" wrapText="1"/>
    </xf>
    <xf numFmtId="0" fontId="2" fillId="0" borderId="0" xfId="0" applyFont="1" applyFill="1" applyAlignment="1">
      <alignment vertical="top" wrapText="1"/>
    </xf>
    <xf numFmtId="0" fontId="30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horizontal="left" vertical="center" wrapText="1"/>
    </xf>
    <xf numFmtId="0" fontId="8" fillId="0" borderId="1" xfId="5" applyFont="1" applyFill="1" applyBorder="1" applyAlignment="1">
      <alignment horizontal="left" vertical="center" wrapText="1"/>
    </xf>
    <xf numFmtId="0" fontId="9" fillId="0" borderId="1" xfId="5" applyFont="1" applyFill="1" applyBorder="1" applyAlignment="1">
      <alignment horizontal="left" vertical="center" wrapText="1"/>
    </xf>
    <xf numFmtId="0" fontId="10" fillId="0" borderId="1" xfId="5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vertical="top" wrapText="1"/>
    </xf>
    <xf numFmtId="9" fontId="23" fillId="0" borderId="0" xfId="6" applyFont="1" applyFill="1" applyAlignment="1" applyProtection="1">
      <alignment horizontal="center" wrapText="1"/>
    </xf>
    <xf numFmtId="9" fontId="18" fillId="0" borderId="5" xfId="6" applyFont="1" applyFill="1" applyBorder="1" applyProtection="1">
      <protection locked="0"/>
    </xf>
    <xf numFmtId="9" fontId="18" fillId="0" borderId="0" xfId="6" applyFont="1" applyFill="1"/>
    <xf numFmtId="0" fontId="11" fillId="0" borderId="1" xfId="5" applyFont="1" applyFill="1" applyBorder="1" applyAlignment="1">
      <alignment horizontal="center" vertical="center" wrapText="1"/>
    </xf>
    <xf numFmtId="0" fontId="17" fillId="0" borderId="1" xfId="5" applyFont="1" applyFill="1" applyBorder="1" applyAlignment="1">
      <alignment wrapText="1"/>
    </xf>
    <xf numFmtId="0" fontId="2" fillId="0" borderId="7" xfId="0" applyFont="1" applyFill="1" applyBorder="1" applyAlignment="1">
      <alignment horizontal="left" wrapText="1"/>
    </xf>
    <xf numFmtId="0" fontId="2" fillId="0" borderId="8" xfId="0" applyFont="1" applyFill="1" applyBorder="1" applyAlignment="1">
      <alignment horizontal="left" wrapText="1"/>
    </xf>
    <xf numFmtId="0" fontId="2" fillId="0" borderId="9" xfId="0" applyFont="1" applyFill="1" applyBorder="1" applyAlignment="1">
      <alignment horizontal="left" wrapText="1"/>
    </xf>
    <xf numFmtId="0" fontId="2" fillId="0" borderId="12" xfId="0" applyFont="1" applyFill="1" applyBorder="1" applyAlignment="1">
      <alignment horizontal="left" wrapText="1"/>
    </xf>
    <xf numFmtId="0" fontId="2" fillId="0" borderId="6" xfId="0" applyFont="1" applyFill="1" applyBorder="1" applyAlignment="1">
      <alignment horizontal="left" wrapText="1"/>
    </xf>
    <xf numFmtId="0" fontId="2" fillId="0" borderId="13" xfId="0" applyFont="1" applyFill="1" applyBorder="1" applyAlignment="1">
      <alignment horizontal="left" wrapText="1"/>
    </xf>
    <xf numFmtId="0" fontId="8" fillId="0" borderId="2" xfId="5" applyFont="1" applyFill="1" applyBorder="1" applyAlignment="1">
      <alignment wrapText="1"/>
    </xf>
    <xf numFmtId="0" fontId="8" fillId="0" borderId="3" xfId="5" applyFont="1" applyFill="1" applyBorder="1" applyAlignment="1">
      <alignment wrapText="1"/>
    </xf>
    <xf numFmtId="0" fontId="8" fillId="0" borderId="4" xfId="5" applyFont="1" applyFill="1" applyBorder="1" applyAlignment="1">
      <alignment wrapText="1"/>
    </xf>
    <xf numFmtId="0" fontId="8" fillId="0" borderId="1" xfId="5" applyFont="1" applyFill="1" applyBorder="1" applyAlignment="1">
      <alignment wrapText="1"/>
    </xf>
    <xf numFmtId="0" fontId="10" fillId="0" borderId="1" xfId="5" applyFont="1" applyFill="1" applyBorder="1" applyAlignment="1">
      <alignment wrapText="1"/>
    </xf>
    <xf numFmtId="0" fontId="8" fillId="0" borderId="1" xfId="5" applyFont="1" applyFill="1" applyBorder="1" applyAlignment="1">
      <alignment horizontal="center" vertical="center" wrapText="1"/>
    </xf>
  </cellXfs>
  <cellStyles count="8">
    <cellStyle name="Comma 2" xfId="4"/>
    <cellStyle name="Normal" xfId="0" builtinId="0"/>
    <cellStyle name="Normal 2" xfId="1"/>
    <cellStyle name="Normal 2 2" xfId="5"/>
    <cellStyle name="Normal 2 3" xfId="7"/>
    <cellStyle name="Percent" xfId="6" builtinId="5"/>
    <cellStyle name="Percent 2" xfId="2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4</xdr:col>
          <xdr:colOff>714375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781050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13</xdr:row>
          <xdr:rowOff>9525</xdr:rowOff>
        </xdr:from>
        <xdr:to>
          <xdr:col>1</xdr:col>
          <xdr:colOff>1552575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Y141"/>
  <sheetViews>
    <sheetView showGridLines="0" topLeftCell="A7" zoomScale="85" zoomScaleNormal="85" workbookViewId="0">
      <selection activeCell="D21" sqref="D21"/>
    </sheetView>
  </sheetViews>
  <sheetFormatPr defaultColWidth="8.7109375" defaultRowHeight="16.5" outlineLevelRow="1" x14ac:dyDescent="0.3"/>
  <cols>
    <col min="1" max="1" width="3.85546875" style="10" customWidth="1"/>
    <col min="2" max="2" width="25" style="1" customWidth="1"/>
    <col min="3" max="3" width="30" style="1" customWidth="1"/>
    <col min="4" max="4" width="22.140625" style="1" customWidth="1"/>
    <col min="5" max="5" width="12.42578125" style="1" customWidth="1"/>
    <col min="6" max="6" width="51.140625" style="1" bestFit="1" customWidth="1"/>
    <col min="7" max="7" width="24.5703125" style="1" customWidth="1"/>
    <col min="8" max="8" width="6.7109375" style="1" customWidth="1"/>
    <col min="9" max="16384" width="8.7109375" style="1"/>
  </cols>
  <sheetData>
    <row r="2" spans="1:25" s="15" customFormat="1" ht="13.5" customHeight="1" x14ac:dyDescent="0.3">
      <c r="A2" s="11"/>
      <c r="B2" s="12" t="s">
        <v>2</v>
      </c>
      <c r="C2" s="13"/>
      <c r="D2" s="14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</row>
    <row r="4" spans="1:25" hidden="1" outlineLevel="1" x14ac:dyDescent="0.3">
      <c r="B4" s="1" t="s">
        <v>91</v>
      </c>
      <c r="C4" s="1">
        <v>128</v>
      </c>
      <c r="D4" s="1" t="s">
        <v>289</v>
      </c>
    </row>
    <row r="5" spans="1:25" collapsed="1" x14ac:dyDescent="0.3">
      <c r="B5" s="21" t="s">
        <v>8</v>
      </c>
      <c r="C5" s="22"/>
      <c r="D5" s="22"/>
      <c r="E5" s="22"/>
      <c r="F5" s="22"/>
      <c r="G5" s="23"/>
    </row>
    <row r="6" spans="1:25" x14ac:dyDescent="0.3">
      <c r="B6" s="24" t="s">
        <v>9</v>
      </c>
      <c r="C6" s="25"/>
      <c r="D6" s="25"/>
      <c r="E6" s="25"/>
      <c r="F6" s="25"/>
      <c r="G6" s="26"/>
    </row>
    <row r="7" spans="1:25" x14ac:dyDescent="0.3">
      <c r="B7" s="24" t="s">
        <v>10</v>
      </c>
      <c r="C7" s="66">
        <v>2017</v>
      </c>
      <c r="D7" s="25"/>
      <c r="E7" s="25"/>
      <c r="F7" s="25"/>
      <c r="G7" s="26"/>
    </row>
    <row r="8" spans="1:25" s="10" customFormat="1" x14ac:dyDescent="0.3">
      <c r="B8" s="65" t="s">
        <v>101</v>
      </c>
      <c r="C8" s="25"/>
      <c r="D8" s="25"/>
      <c r="E8" s="25"/>
      <c r="F8" s="25"/>
      <c r="G8" s="26"/>
    </row>
    <row r="9" spans="1:25" x14ac:dyDescent="0.3">
      <c r="B9" s="27" t="s">
        <v>11</v>
      </c>
      <c r="C9" s="28"/>
      <c r="D9" s="28"/>
      <c r="E9" s="28"/>
      <c r="F9" s="28"/>
      <c r="G9" s="29"/>
    </row>
    <row r="10" spans="1:25" s="17" customFormat="1" ht="12.75" x14ac:dyDescent="0.2"/>
    <row r="11" spans="1:25" s="16" customFormat="1" x14ac:dyDescent="0.2">
      <c r="B11" s="18" t="s">
        <v>92</v>
      </c>
      <c r="C11" s="18"/>
    </row>
    <row r="12" spans="1:25" s="16" customFormat="1" x14ac:dyDescent="0.3">
      <c r="B12" s="19"/>
      <c r="C12" s="19"/>
      <c r="D12" s="20"/>
    </row>
    <row r="13" spans="1:25" ht="48.95" customHeight="1" x14ac:dyDescent="0.3">
      <c r="B13" s="68" t="s">
        <v>12</v>
      </c>
      <c r="C13" s="69" t="s">
        <v>0</v>
      </c>
      <c r="D13" s="69" t="s">
        <v>7</v>
      </c>
      <c r="E13" s="69" t="s">
        <v>19</v>
      </c>
      <c r="F13" s="69" t="s">
        <v>1</v>
      </c>
      <c r="G13" s="69" t="s">
        <v>18</v>
      </c>
      <c r="H13" s="69" t="s">
        <v>17</v>
      </c>
    </row>
    <row r="14" spans="1:25" x14ac:dyDescent="0.3">
      <c r="B14" s="70">
        <v>1</v>
      </c>
      <c r="C14" s="71" t="s">
        <v>102</v>
      </c>
      <c r="D14" s="71" t="s">
        <v>111</v>
      </c>
      <c r="E14" s="71">
        <v>1</v>
      </c>
      <c r="F14" s="71" t="s">
        <v>113</v>
      </c>
      <c r="G14" s="72" t="s">
        <v>16</v>
      </c>
      <c r="H14" s="71" t="s">
        <v>15</v>
      </c>
    </row>
    <row r="15" spans="1:25" x14ac:dyDescent="0.3">
      <c r="B15" s="70">
        <v>2</v>
      </c>
      <c r="C15" s="71" t="s">
        <v>103</v>
      </c>
      <c r="D15" s="71" t="s">
        <v>111</v>
      </c>
      <c r="E15" s="71">
        <v>1</v>
      </c>
      <c r="F15" s="71" t="s">
        <v>114</v>
      </c>
      <c r="G15" s="72" t="s">
        <v>16</v>
      </c>
      <c r="H15" s="71" t="s">
        <v>15</v>
      </c>
    </row>
    <row r="16" spans="1:25" x14ac:dyDescent="0.3">
      <c r="B16" s="70">
        <v>3</v>
      </c>
      <c r="C16" s="71" t="s">
        <v>104</v>
      </c>
      <c r="D16" s="71" t="s">
        <v>111</v>
      </c>
      <c r="E16" s="71">
        <v>1</v>
      </c>
      <c r="F16" s="71" t="s">
        <v>115</v>
      </c>
      <c r="G16" s="72" t="s">
        <v>16</v>
      </c>
      <c r="H16" s="71" t="s">
        <v>15</v>
      </c>
    </row>
    <row r="17" spans="2:8" x14ac:dyDescent="0.3">
      <c r="B17" s="70">
        <v>4</v>
      </c>
      <c r="C17" s="71" t="s">
        <v>105</v>
      </c>
      <c r="D17" s="71" t="s">
        <v>111</v>
      </c>
      <c r="E17" s="71">
        <v>1</v>
      </c>
      <c r="F17" s="71" t="s">
        <v>114</v>
      </c>
      <c r="G17" s="72" t="s">
        <v>16</v>
      </c>
      <c r="H17" s="71" t="s">
        <v>15</v>
      </c>
    </row>
    <row r="18" spans="2:8" x14ac:dyDescent="0.3">
      <c r="B18" s="70">
        <v>5</v>
      </c>
      <c r="C18" s="71" t="s">
        <v>106</v>
      </c>
      <c r="D18" s="71" t="s">
        <v>111</v>
      </c>
      <c r="E18" s="71">
        <v>1</v>
      </c>
      <c r="F18" s="71" t="s">
        <v>114</v>
      </c>
      <c r="G18" s="72" t="s">
        <v>16</v>
      </c>
      <c r="H18" s="71" t="s">
        <v>15</v>
      </c>
    </row>
    <row r="19" spans="2:8" x14ac:dyDescent="0.3">
      <c r="B19" s="70">
        <v>6</v>
      </c>
      <c r="C19" s="71" t="s">
        <v>107</v>
      </c>
      <c r="D19" s="71" t="s">
        <v>111</v>
      </c>
      <c r="E19" s="71">
        <v>1</v>
      </c>
      <c r="F19" s="71" t="s">
        <v>115</v>
      </c>
      <c r="G19" s="72" t="s">
        <v>16</v>
      </c>
      <c r="H19" s="71" t="s">
        <v>15</v>
      </c>
    </row>
    <row r="20" spans="2:8" s="10" customFormat="1" x14ac:dyDescent="0.3">
      <c r="B20" s="70">
        <v>7</v>
      </c>
      <c r="C20" s="71" t="s">
        <v>108</v>
      </c>
      <c r="D20" s="71" t="s">
        <v>111</v>
      </c>
      <c r="E20" s="71">
        <v>1</v>
      </c>
      <c r="F20" s="71" t="s">
        <v>114</v>
      </c>
      <c r="G20" s="72" t="s">
        <v>16</v>
      </c>
      <c r="H20" s="71" t="s">
        <v>15</v>
      </c>
    </row>
    <row r="21" spans="2:8" s="10" customFormat="1" x14ac:dyDescent="0.3">
      <c r="B21" s="70">
        <v>8</v>
      </c>
      <c r="C21" s="71" t="s">
        <v>109</v>
      </c>
      <c r="D21" s="71" t="s">
        <v>111</v>
      </c>
      <c r="E21" s="71">
        <v>1</v>
      </c>
      <c r="F21" s="71" t="s">
        <v>116</v>
      </c>
      <c r="G21" s="72" t="s">
        <v>16</v>
      </c>
      <c r="H21" s="71" t="s">
        <v>15</v>
      </c>
    </row>
    <row r="22" spans="2:8" s="10" customFormat="1" x14ac:dyDescent="0.3">
      <c r="B22" s="70">
        <v>9</v>
      </c>
      <c r="C22" s="71" t="s">
        <v>110</v>
      </c>
      <c r="D22" s="71" t="s">
        <v>111</v>
      </c>
      <c r="E22" s="71">
        <v>1</v>
      </c>
      <c r="F22" s="71" t="s">
        <v>117</v>
      </c>
      <c r="G22" s="72" t="s">
        <v>16</v>
      </c>
      <c r="H22" s="71" t="s">
        <v>15</v>
      </c>
    </row>
    <row r="23" spans="2:8" s="10" customFormat="1" x14ac:dyDescent="0.3">
      <c r="B23" s="70">
        <v>10</v>
      </c>
      <c r="C23" s="71" t="s">
        <v>267</v>
      </c>
      <c r="D23" s="71" t="s">
        <v>111</v>
      </c>
      <c r="E23" s="71">
        <v>1</v>
      </c>
      <c r="F23" s="71" t="s">
        <v>277</v>
      </c>
      <c r="G23" s="71" t="s">
        <v>16</v>
      </c>
      <c r="H23" s="71" t="s">
        <v>15</v>
      </c>
    </row>
    <row r="24" spans="2:8" s="10" customFormat="1" x14ac:dyDescent="0.3">
      <c r="B24" s="70">
        <v>11</v>
      </c>
      <c r="C24" s="71" t="s">
        <v>118</v>
      </c>
      <c r="D24" s="71" t="s">
        <v>111</v>
      </c>
      <c r="E24" s="71">
        <v>1</v>
      </c>
      <c r="F24" s="71" t="s">
        <v>114</v>
      </c>
      <c r="G24" s="72" t="s">
        <v>16</v>
      </c>
      <c r="H24" s="71" t="s">
        <v>15</v>
      </c>
    </row>
    <row r="25" spans="2:8" s="10" customFormat="1" x14ac:dyDescent="0.3">
      <c r="B25" s="70">
        <v>12</v>
      </c>
      <c r="C25" s="71" t="s">
        <v>119</v>
      </c>
      <c r="D25" s="71" t="s">
        <v>111</v>
      </c>
      <c r="E25" s="71">
        <v>1</v>
      </c>
      <c r="F25" s="71" t="s">
        <v>114</v>
      </c>
      <c r="G25" s="72" t="s">
        <v>16</v>
      </c>
      <c r="H25" s="71" t="s">
        <v>15</v>
      </c>
    </row>
    <row r="26" spans="2:8" s="10" customFormat="1" x14ac:dyDescent="0.3">
      <c r="B26" s="70">
        <v>13</v>
      </c>
      <c r="C26" s="71" t="s">
        <v>120</v>
      </c>
      <c r="D26" s="71" t="s">
        <v>112</v>
      </c>
      <c r="E26" s="71">
        <v>3</v>
      </c>
      <c r="F26" s="71" t="s">
        <v>114</v>
      </c>
      <c r="G26" s="72" t="s">
        <v>16</v>
      </c>
      <c r="H26" s="71" t="s">
        <v>15</v>
      </c>
    </row>
    <row r="27" spans="2:8" s="10" customFormat="1" x14ac:dyDescent="0.3">
      <c r="B27" s="70">
        <v>14</v>
      </c>
      <c r="C27" s="71" t="s">
        <v>121</v>
      </c>
      <c r="D27" s="71" t="s">
        <v>112</v>
      </c>
      <c r="E27" s="71">
        <v>3</v>
      </c>
      <c r="F27" s="71" t="s">
        <v>114</v>
      </c>
      <c r="G27" s="72" t="s">
        <v>16</v>
      </c>
      <c r="H27" s="71" t="s">
        <v>15</v>
      </c>
    </row>
    <row r="28" spans="2:8" s="10" customFormat="1" x14ac:dyDescent="0.3">
      <c r="B28" s="70">
        <v>15</v>
      </c>
      <c r="C28" s="71" t="s">
        <v>122</v>
      </c>
      <c r="D28" s="71" t="s">
        <v>112</v>
      </c>
      <c r="E28" s="71">
        <v>3</v>
      </c>
      <c r="F28" s="71" t="s">
        <v>114</v>
      </c>
      <c r="G28" s="72" t="s">
        <v>16</v>
      </c>
      <c r="H28" s="71" t="s">
        <v>15</v>
      </c>
    </row>
    <row r="29" spans="2:8" s="10" customFormat="1" x14ac:dyDescent="0.3">
      <c r="B29" s="70">
        <v>16</v>
      </c>
      <c r="C29" s="71" t="s">
        <v>123</v>
      </c>
      <c r="D29" s="71" t="s">
        <v>236</v>
      </c>
      <c r="E29" s="71">
        <v>11</v>
      </c>
      <c r="F29" s="71" t="s">
        <v>268</v>
      </c>
      <c r="G29" s="72" t="s">
        <v>16</v>
      </c>
      <c r="H29" s="71" t="s">
        <v>15</v>
      </c>
    </row>
    <row r="30" spans="2:8" s="10" customFormat="1" x14ac:dyDescent="0.3">
      <c r="B30" s="70">
        <v>17</v>
      </c>
      <c r="C30" s="71" t="s">
        <v>124</v>
      </c>
      <c r="D30" s="71" t="s">
        <v>237</v>
      </c>
      <c r="E30" s="71">
        <v>11</v>
      </c>
      <c r="F30" s="71" t="s">
        <v>269</v>
      </c>
      <c r="G30" s="72" t="s">
        <v>16</v>
      </c>
      <c r="H30" s="71" t="s">
        <v>15</v>
      </c>
    </row>
    <row r="31" spans="2:8" s="83" customFormat="1" x14ac:dyDescent="0.3">
      <c r="B31" s="70">
        <v>18</v>
      </c>
      <c r="C31" s="71" t="s">
        <v>125</v>
      </c>
      <c r="D31" s="71" t="s">
        <v>238</v>
      </c>
      <c r="E31" s="71">
        <v>21</v>
      </c>
      <c r="F31" s="71" t="s">
        <v>270</v>
      </c>
      <c r="G31" s="72" t="s">
        <v>16</v>
      </c>
      <c r="H31" s="71" t="s">
        <v>15</v>
      </c>
    </row>
    <row r="32" spans="2:8" s="83" customFormat="1" x14ac:dyDescent="0.3">
      <c r="B32" s="70">
        <v>19</v>
      </c>
      <c r="C32" s="71" t="s">
        <v>126</v>
      </c>
      <c r="D32" s="71" t="s">
        <v>237</v>
      </c>
      <c r="E32" s="71">
        <v>11</v>
      </c>
      <c r="F32" s="71" t="s">
        <v>116</v>
      </c>
      <c r="G32" s="72" t="s">
        <v>16</v>
      </c>
      <c r="H32" s="71" t="s">
        <v>15</v>
      </c>
    </row>
    <row r="33" spans="2:8" s="83" customFormat="1" x14ac:dyDescent="0.3">
      <c r="B33" s="70">
        <v>20</v>
      </c>
      <c r="C33" s="71" t="s">
        <v>127</v>
      </c>
      <c r="D33" s="71" t="s">
        <v>239</v>
      </c>
      <c r="E33" s="71">
        <v>11</v>
      </c>
      <c r="F33" s="71" t="s">
        <v>271</v>
      </c>
      <c r="G33" s="72" t="s">
        <v>16</v>
      </c>
      <c r="H33" s="71" t="s">
        <v>15</v>
      </c>
    </row>
    <row r="34" spans="2:8" s="83" customFormat="1" x14ac:dyDescent="0.3">
      <c r="B34" s="70">
        <v>21</v>
      </c>
      <c r="C34" s="71" t="s">
        <v>128</v>
      </c>
      <c r="D34" s="71" t="s">
        <v>240</v>
      </c>
      <c r="E34" s="71">
        <v>21</v>
      </c>
      <c r="F34" s="71" t="s">
        <v>272</v>
      </c>
      <c r="G34" s="72" t="s">
        <v>16</v>
      </c>
      <c r="H34" s="71" t="s">
        <v>15</v>
      </c>
    </row>
    <row r="35" spans="2:8" s="83" customFormat="1" x14ac:dyDescent="0.3">
      <c r="B35" s="70">
        <v>22</v>
      </c>
      <c r="C35" s="71" t="s">
        <v>129</v>
      </c>
      <c r="D35" s="71" t="s">
        <v>236</v>
      </c>
      <c r="E35" s="71">
        <v>11</v>
      </c>
      <c r="F35" s="71" t="s">
        <v>268</v>
      </c>
      <c r="G35" s="72" t="s">
        <v>16</v>
      </c>
      <c r="H35" s="71" t="s">
        <v>15</v>
      </c>
    </row>
    <row r="36" spans="2:8" s="83" customFormat="1" x14ac:dyDescent="0.3">
      <c r="B36" s="70">
        <v>23</v>
      </c>
      <c r="C36" s="71" t="s">
        <v>130</v>
      </c>
      <c r="D36" s="71" t="s">
        <v>237</v>
      </c>
      <c r="E36" s="71">
        <v>11</v>
      </c>
      <c r="F36" s="71" t="s">
        <v>269</v>
      </c>
      <c r="G36" s="72" t="s">
        <v>16</v>
      </c>
      <c r="H36" s="71" t="s">
        <v>15</v>
      </c>
    </row>
    <row r="37" spans="2:8" s="83" customFormat="1" x14ac:dyDescent="0.3">
      <c r="B37" s="70">
        <v>24</v>
      </c>
      <c r="C37" s="71" t="s">
        <v>131</v>
      </c>
      <c r="D37" s="71" t="s">
        <v>237</v>
      </c>
      <c r="E37" s="71">
        <v>11</v>
      </c>
      <c r="F37" s="71" t="s">
        <v>269</v>
      </c>
      <c r="G37" s="72" t="s">
        <v>16</v>
      </c>
      <c r="H37" s="71" t="s">
        <v>15</v>
      </c>
    </row>
    <row r="38" spans="2:8" s="83" customFormat="1" x14ac:dyDescent="0.3">
      <c r="B38" s="70">
        <v>25</v>
      </c>
      <c r="C38" s="71" t="s">
        <v>132</v>
      </c>
      <c r="D38" s="71" t="s">
        <v>238</v>
      </c>
      <c r="E38" s="71">
        <v>21</v>
      </c>
      <c r="F38" s="71" t="s">
        <v>270</v>
      </c>
      <c r="G38" s="72" t="s">
        <v>16</v>
      </c>
      <c r="H38" s="71" t="s">
        <v>15</v>
      </c>
    </row>
    <row r="39" spans="2:8" s="83" customFormat="1" x14ac:dyDescent="0.3">
      <c r="B39" s="70">
        <v>26</v>
      </c>
      <c r="C39" s="71" t="s">
        <v>133</v>
      </c>
      <c r="D39" s="71" t="s">
        <v>237</v>
      </c>
      <c r="E39" s="71">
        <v>11</v>
      </c>
      <c r="F39" s="71" t="s">
        <v>269</v>
      </c>
      <c r="G39" s="72" t="s">
        <v>16</v>
      </c>
      <c r="H39" s="71" t="s">
        <v>15</v>
      </c>
    </row>
    <row r="40" spans="2:8" s="83" customFormat="1" x14ac:dyDescent="0.3">
      <c r="B40" s="70">
        <v>27</v>
      </c>
      <c r="C40" s="71" t="s">
        <v>134</v>
      </c>
      <c r="D40" s="71" t="s">
        <v>237</v>
      </c>
      <c r="E40" s="71">
        <v>11</v>
      </c>
      <c r="F40" s="71" t="s">
        <v>269</v>
      </c>
      <c r="G40" s="72" t="s">
        <v>16</v>
      </c>
      <c r="H40" s="71" t="s">
        <v>15</v>
      </c>
    </row>
    <row r="41" spans="2:8" s="83" customFormat="1" x14ac:dyDescent="0.3">
      <c r="B41" s="70">
        <v>28</v>
      </c>
      <c r="C41" s="71" t="s">
        <v>135</v>
      </c>
      <c r="D41" s="71" t="s">
        <v>241</v>
      </c>
      <c r="E41" s="71">
        <v>11</v>
      </c>
      <c r="F41" s="71" t="s">
        <v>273</v>
      </c>
      <c r="G41" s="72" t="s">
        <v>16</v>
      </c>
      <c r="H41" s="71" t="s">
        <v>15</v>
      </c>
    </row>
    <row r="42" spans="2:8" s="83" customFormat="1" x14ac:dyDescent="0.3">
      <c r="B42" s="70">
        <v>29</v>
      </c>
      <c r="C42" s="71" t="s">
        <v>136</v>
      </c>
      <c r="D42" s="71" t="s">
        <v>237</v>
      </c>
      <c r="E42" s="71">
        <v>11</v>
      </c>
      <c r="F42" s="71" t="s">
        <v>269</v>
      </c>
      <c r="G42" s="72" t="s">
        <v>16</v>
      </c>
      <c r="H42" s="71" t="s">
        <v>15</v>
      </c>
    </row>
    <row r="43" spans="2:8" s="83" customFormat="1" x14ac:dyDescent="0.3">
      <c r="B43" s="70">
        <v>30</v>
      </c>
      <c r="C43" s="71" t="s">
        <v>137</v>
      </c>
      <c r="D43" s="71" t="s">
        <v>238</v>
      </c>
      <c r="E43" s="71">
        <v>21</v>
      </c>
      <c r="F43" s="71" t="s">
        <v>270</v>
      </c>
      <c r="G43" s="72" t="s">
        <v>16</v>
      </c>
      <c r="H43" s="71" t="s">
        <v>15</v>
      </c>
    </row>
    <row r="44" spans="2:8" s="10" customFormat="1" x14ac:dyDescent="0.3">
      <c r="B44" s="70">
        <v>31</v>
      </c>
      <c r="C44" s="71" t="s">
        <v>138</v>
      </c>
      <c r="D44" s="71" t="s">
        <v>237</v>
      </c>
      <c r="E44" s="71">
        <v>11</v>
      </c>
      <c r="F44" s="71" t="s">
        <v>116</v>
      </c>
      <c r="G44" s="72" t="s">
        <v>16</v>
      </c>
      <c r="H44" s="71" t="s">
        <v>15</v>
      </c>
    </row>
    <row r="45" spans="2:8" s="10" customFormat="1" x14ac:dyDescent="0.3">
      <c r="B45" s="70">
        <v>32</v>
      </c>
      <c r="C45" s="71" t="s">
        <v>139</v>
      </c>
      <c r="D45" s="71" t="s">
        <v>237</v>
      </c>
      <c r="E45" s="71">
        <v>11</v>
      </c>
      <c r="F45" s="71" t="s">
        <v>269</v>
      </c>
      <c r="G45" s="72" t="s">
        <v>16</v>
      </c>
      <c r="H45" s="71" t="s">
        <v>15</v>
      </c>
    </row>
    <row r="46" spans="2:8" s="10" customFormat="1" x14ac:dyDescent="0.3">
      <c r="B46" s="70">
        <v>33</v>
      </c>
      <c r="C46" s="71" t="s">
        <v>140</v>
      </c>
      <c r="D46" s="71" t="s">
        <v>237</v>
      </c>
      <c r="E46" s="71">
        <v>11</v>
      </c>
      <c r="F46" s="71" t="s">
        <v>269</v>
      </c>
      <c r="G46" s="72" t="s">
        <v>16</v>
      </c>
      <c r="H46" s="71" t="s">
        <v>15</v>
      </c>
    </row>
    <row r="47" spans="2:8" s="10" customFormat="1" x14ac:dyDescent="0.3">
      <c r="B47" s="70">
        <v>34</v>
      </c>
      <c r="C47" s="71" t="s">
        <v>141</v>
      </c>
      <c r="D47" s="71" t="s">
        <v>237</v>
      </c>
      <c r="E47" s="71">
        <v>11</v>
      </c>
      <c r="F47" s="71" t="s">
        <v>274</v>
      </c>
      <c r="G47" s="72" t="s">
        <v>16</v>
      </c>
      <c r="H47" s="71" t="s">
        <v>15</v>
      </c>
    </row>
    <row r="48" spans="2:8" s="10" customFormat="1" x14ac:dyDescent="0.3">
      <c r="B48" s="70">
        <v>35</v>
      </c>
      <c r="C48" s="71" t="s">
        <v>142</v>
      </c>
      <c r="D48" s="71" t="s">
        <v>241</v>
      </c>
      <c r="E48" s="71">
        <v>11</v>
      </c>
      <c r="F48" s="71" t="s">
        <v>273</v>
      </c>
      <c r="G48" s="72" t="s">
        <v>16</v>
      </c>
      <c r="H48" s="71" t="s">
        <v>15</v>
      </c>
    </row>
    <row r="49" spans="2:8" s="10" customFormat="1" x14ac:dyDescent="0.3">
      <c r="B49" s="70">
        <v>36</v>
      </c>
      <c r="C49" s="71" t="s">
        <v>143</v>
      </c>
      <c r="D49" s="71" t="s">
        <v>237</v>
      </c>
      <c r="E49" s="71">
        <v>11</v>
      </c>
      <c r="F49" s="71" t="s">
        <v>269</v>
      </c>
      <c r="G49" s="72" t="s">
        <v>16</v>
      </c>
      <c r="H49" s="71" t="s">
        <v>15</v>
      </c>
    </row>
    <row r="50" spans="2:8" s="10" customFormat="1" x14ac:dyDescent="0.3">
      <c r="B50" s="70">
        <v>37</v>
      </c>
      <c r="C50" s="71" t="s">
        <v>144</v>
      </c>
      <c r="D50" s="71" t="s">
        <v>239</v>
      </c>
      <c r="E50" s="71">
        <v>11</v>
      </c>
      <c r="F50" s="71" t="s">
        <v>271</v>
      </c>
      <c r="G50" s="72" t="s">
        <v>16</v>
      </c>
      <c r="H50" s="71" t="s">
        <v>15</v>
      </c>
    </row>
    <row r="51" spans="2:8" s="10" customFormat="1" x14ac:dyDescent="0.3">
      <c r="B51" s="70">
        <v>38</v>
      </c>
      <c r="C51" s="71" t="s">
        <v>145</v>
      </c>
      <c r="D51" s="71" t="s">
        <v>236</v>
      </c>
      <c r="E51" s="71">
        <v>11</v>
      </c>
      <c r="F51" s="71" t="s">
        <v>268</v>
      </c>
      <c r="G51" s="72" t="s">
        <v>16</v>
      </c>
      <c r="H51" s="71" t="s">
        <v>15</v>
      </c>
    </row>
    <row r="52" spans="2:8" s="10" customFormat="1" x14ac:dyDescent="0.3">
      <c r="B52" s="70">
        <v>39</v>
      </c>
      <c r="C52" s="71" t="s">
        <v>146</v>
      </c>
      <c r="D52" s="71" t="s">
        <v>237</v>
      </c>
      <c r="E52" s="71">
        <v>11</v>
      </c>
      <c r="F52" s="71" t="s">
        <v>269</v>
      </c>
      <c r="G52" s="72" t="s">
        <v>16</v>
      </c>
      <c r="H52" s="71" t="s">
        <v>15</v>
      </c>
    </row>
    <row r="53" spans="2:8" s="10" customFormat="1" x14ac:dyDescent="0.3">
      <c r="B53" s="70">
        <v>40</v>
      </c>
      <c r="C53" s="71" t="s">
        <v>147</v>
      </c>
      <c r="D53" s="71" t="s">
        <v>241</v>
      </c>
      <c r="E53" s="71">
        <v>11</v>
      </c>
      <c r="F53" s="71" t="s">
        <v>273</v>
      </c>
      <c r="G53" s="72" t="s">
        <v>16</v>
      </c>
      <c r="H53" s="71" t="s">
        <v>15</v>
      </c>
    </row>
    <row r="54" spans="2:8" s="10" customFormat="1" x14ac:dyDescent="0.3">
      <c r="B54" s="70">
        <v>41</v>
      </c>
      <c r="C54" s="71" t="s">
        <v>148</v>
      </c>
      <c r="D54" s="71" t="s">
        <v>237</v>
      </c>
      <c r="E54" s="71">
        <v>11</v>
      </c>
      <c r="F54" s="71" t="s">
        <v>269</v>
      </c>
      <c r="G54" s="72" t="s">
        <v>16</v>
      </c>
      <c r="H54" s="71" t="s">
        <v>15</v>
      </c>
    </row>
    <row r="55" spans="2:8" s="10" customFormat="1" x14ac:dyDescent="0.3">
      <c r="B55" s="70">
        <v>42</v>
      </c>
      <c r="C55" s="71" t="s">
        <v>149</v>
      </c>
      <c r="D55" s="71" t="s">
        <v>237</v>
      </c>
      <c r="E55" s="71">
        <v>11</v>
      </c>
      <c r="F55" s="71" t="s">
        <v>269</v>
      </c>
      <c r="G55" s="72" t="s">
        <v>16</v>
      </c>
      <c r="H55" s="71" t="s">
        <v>15</v>
      </c>
    </row>
    <row r="56" spans="2:8" s="10" customFormat="1" x14ac:dyDescent="0.3">
      <c r="B56" s="70">
        <v>43</v>
      </c>
      <c r="C56" s="71" t="s">
        <v>150</v>
      </c>
      <c r="D56" s="71" t="s">
        <v>111</v>
      </c>
      <c r="E56" s="71">
        <v>1</v>
      </c>
      <c r="F56" s="71" t="s">
        <v>117</v>
      </c>
      <c r="G56" s="72" t="s">
        <v>16</v>
      </c>
      <c r="H56" s="71" t="s">
        <v>15</v>
      </c>
    </row>
    <row r="57" spans="2:8" s="10" customFormat="1" x14ac:dyDescent="0.3">
      <c r="B57" s="70">
        <v>44</v>
      </c>
      <c r="C57" s="71" t="s">
        <v>151</v>
      </c>
      <c r="D57" s="71" t="s">
        <v>111</v>
      </c>
      <c r="E57" s="71">
        <v>1</v>
      </c>
      <c r="F57" s="71" t="s">
        <v>275</v>
      </c>
      <c r="G57" s="72" t="s">
        <v>16</v>
      </c>
      <c r="H57" s="71" t="s">
        <v>15</v>
      </c>
    </row>
    <row r="58" spans="2:8" s="10" customFormat="1" x14ac:dyDescent="0.3">
      <c r="B58" s="70">
        <v>45</v>
      </c>
      <c r="C58" s="71" t="s">
        <v>152</v>
      </c>
      <c r="D58" s="71" t="s">
        <v>112</v>
      </c>
      <c r="E58" s="71">
        <v>3</v>
      </c>
      <c r="F58" s="71" t="s">
        <v>276</v>
      </c>
      <c r="G58" s="72" t="s">
        <v>16</v>
      </c>
      <c r="H58" s="71" t="s">
        <v>15</v>
      </c>
    </row>
    <row r="59" spans="2:8" s="10" customFormat="1" x14ac:dyDescent="0.3">
      <c r="B59" s="70">
        <v>46</v>
      </c>
      <c r="C59" s="71" t="s">
        <v>153</v>
      </c>
      <c r="D59" s="71" t="s">
        <v>112</v>
      </c>
      <c r="E59" s="71">
        <v>3</v>
      </c>
      <c r="F59" s="71" t="s">
        <v>273</v>
      </c>
      <c r="G59" s="72" t="s">
        <v>16</v>
      </c>
      <c r="H59" s="71" t="s">
        <v>15</v>
      </c>
    </row>
    <row r="60" spans="2:8" s="10" customFormat="1" x14ac:dyDescent="0.3">
      <c r="B60" s="70">
        <v>47</v>
      </c>
      <c r="C60" s="71" t="s">
        <v>154</v>
      </c>
      <c r="D60" s="71" t="s">
        <v>112</v>
      </c>
      <c r="E60" s="71">
        <v>3</v>
      </c>
      <c r="F60" s="71" t="s">
        <v>117</v>
      </c>
      <c r="G60" s="72" t="s">
        <v>16</v>
      </c>
      <c r="H60" s="71" t="s">
        <v>15</v>
      </c>
    </row>
    <row r="61" spans="2:8" s="10" customFormat="1" x14ac:dyDescent="0.3">
      <c r="B61" s="70">
        <v>48</v>
      </c>
      <c r="C61" s="71" t="s">
        <v>155</v>
      </c>
      <c r="D61" s="71" t="s">
        <v>111</v>
      </c>
      <c r="E61" s="71">
        <v>1</v>
      </c>
      <c r="F61" s="71" t="s">
        <v>117</v>
      </c>
      <c r="G61" s="72" t="s">
        <v>16</v>
      </c>
      <c r="H61" s="71" t="s">
        <v>15</v>
      </c>
    </row>
    <row r="62" spans="2:8" s="10" customFormat="1" x14ac:dyDescent="0.3">
      <c r="B62" s="70">
        <v>49</v>
      </c>
      <c r="C62" s="71" t="s">
        <v>156</v>
      </c>
      <c r="D62" s="71" t="s">
        <v>111</v>
      </c>
      <c r="E62" s="71">
        <v>1</v>
      </c>
      <c r="F62" s="71" t="s">
        <v>270</v>
      </c>
      <c r="G62" s="72" t="s">
        <v>16</v>
      </c>
      <c r="H62" s="71" t="s">
        <v>15</v>
      </c>
    </row>
    <row r="63" spans="2:8" s="10" customFormat="1" x14ac:dyDescent="0.3">
      <c r="B63" s="70">
        <v>50</v>
      </c>
      <c r="C63" s="71" t="s">
        <v>157</v>
      </c>
      <c r="D63" s="71" t="s">
        <v>111</v>
      </c>
      <c r="E63" s="71">
        <v>1</v>
      </c>
      <c r="F63" s="71" t="s">
        <v>100</v>
      </c>
      <c r="G63" s="72" t="s">
        <v>16</v>
      </c>
      <c r="H63" s="71" t="s">
        <v>15</v>
      </c>
    </row>
    <row r="64" spans="2:8" s="10" customFormat="1" x14ac:dyDescent="0.3">
      <c r="B64" s="70">
        <v>51</v>
      </c>
      <c r="C64" s="71" t="s">
        <v>158</v>
      </c>
      <c r="D64" s="71" t="s">
        <v>111</v>
      </c>
      <c r="E64" s="71">
        <v>1</v>
      </c>
      <c r="F64" s="71" t="s">
        <v>275</v>
      </c>
      <c r="G64" s="72" t="s">
        <v>16</v>
      </c>
      <c r="H64" s="71" t="s">
        <v>15</v>
      </c>
    </row>
    <row r="65" spans="2:8" s="10" customFormat="1" x14ac:dyDescent="0.3">
      <c r="B65" s="70">
        <v>52</v>
      </c>
      <c r="C65" s="71" t="s">
        <v>159</v>
      </c>
      <c r="D65" s="71" t="s">
        <v>237</v>
      </c>
      <c r="E65" s="71">
        <v>11</v>
      </c>
      <c r="F65" s="71" t="s">
        <v>274</v>
      </c>
      <c r="G65" s="72" t="s">
        <v>16</v>
      </c>
      <c r="H65" s="71" t="s">
        <v>15</v>
      </c>
    </row>
    <row r="66" spans="2:8" s="10" customFormat="1" x14ac:dyDescent="0.3">
      <c r="B66" s="70">
        <v>53</v>
      </c>
      <c r="C66" s="71" t="s">
        <v>160</v>
      </c>
      <c r="D66" s="71" t="s">
        <v>237</v>
      </c>
      <c r="E66" s="71">
        <v>11</v>
      </c>
      <c r="F66" s="71" t="s">
        <v>274</v>
      </c>
      <c r="G66" s="72" t="s">
        <v>16</v>
      </c>
      <c r="H66" s="71" t="s">
        <v>15</v>
      </c>
    </row>
    <row r="67" spans="2:8" s="10" customFormat="1" x14ac:dyDescent="0.3">
      <c r="B67" s="70">
        <v>54</v>
      </c>
      <c r="C67" s="71" t="s">
        <v>161</v>
      </c>
      <c r="D67" s="71" t="s">
        <v>237</v>
      </c>
      <c r="E67" s="71">
        <v>11</v>
      </c>
      <c r="F67" s="71" t="s">
        <v>275</v>
      </c>
      <c r="G67" s="72" t="s">
        <v>16</v>
      </c>
      <c r="H67" s="71" t="s">
        <v>15</v>
      </c>
    </row>
    <row r="68" spans="2:8" s="10" customFormat="1" x14ac:dyDescent="0.3">
      <c r="B68" s="70">
        <v>55</v>
      </c>
      <c r="C68" s="71" t="s">
        <v>162</v>
      </c>
      <c r="D68" s="71" t="s">
        <v>237</v>
      </c>
      <c r="E68" s="71">
        <v>11</v>
      </c>
      <c r="F68" s="71" t="s">
        <v>269</v>
      </c>
      <c r="G68" s="72" t="s">
        <v>16</v>
      </c>
      <c r="H68" s="71" t="s">
        <v>15</v>
      </c>
    </row>
    <row r="69" spans="2:8" s="10" customFormat="1" x14ac:dyDescent="0.3">
      <c r="B69" s="70">
        <v>56</v>
      </c>
      <c r="C69" s="71" t="s">
        <v>163</v>
      </c>
      <c r="D69" s="71" t="s">
        <v>237</v>
      </c>
      <c r="E69" s="71">
        <v>11</v>
      </c>
      <c r="F69" s="71" t="s">
        <v>274</v>
      </c>
      <c r="G69" s="72" t="s">
        <v>16</v>
      </c>
      <c r="H69" s="71" t="s">
        <v>15</v>
      </c>
    </row>
    <row r="70" spans="2:8" s="10" customFormat="1" x14ac:dyDescent="0.3">
      <c r="B70" s="70">
        <v>57</v>
      </c>
      <c r="C70" s="71" t="s">
        <v>164</v>
      </c>
      <c r="D70" s="71" t="s">
        <v>237</v>
      </c>
      <c r="E70" s="71">
        <v>11</v>
      </c>
      <c r="F70" s="71" t="s">
        <v>274</v>
      </c>
      <c r="G70" s="72" t="s">
        <v>16</v>
      </c>
      <c r="H70" s="71" t="s">
        <v>15</v>
      </c>
    </row>
    <row r="71" spans="2:8" s="10" customFormat="1" x14ac:dyDescent="0.3">
      <c r="B71" s="70">
        <v>58</v>
      </c>
      <c r="C71" s="71" t="s">
        <v>165</v>
      </c>
      <c r="D71" s="71" t="s">
        <v>237</v>
      </c>
      <c r="E71" s="71">
        <v>11</v>
      </c>
      <c r="F71" s="71" t="s">
        <v>275</v>
      </c>
      <c r="G71" s="72" t="s">
        <v>16</v>
      </c>
      <c r="H71" s="71" t="s">
        <v>15</v>
      </c>
    </row>
    <row r="72" spans="2:8" s="10" customFormat="1" x14ac:dyDescent="0.3">
      <c r="B72" s="70">
        <v>59</v>
      </c>
      <c r="C72" s="71" t="s">
        <v>166</v>
      </c>
      <c r="D72" s="71" t="s">
        <v>237</v>
      </c>
      <c r="E72" s="71">
        <v>11</v>
      </c>
      <c r="F72" s="71" t="s">
        <v>274</v>
      </c>
      <c r="G72" s="72" t="s">
        <v>16</v>
      </c>
      <c r="H72" s="71" t="s">
        <v>15</v>
      </c>
    </row>
    <row r="73" spans="2:8" s="10" customFormat="1" x14ac:dyDescent="0.3">
      <c r="B73" s="70">
        <v>60</v>
      </c>
      <c r="C73" s="71" t="s">
        <v>167</v>
      </c>
      <c r="D73" s="71" t="s">
        <v>237</v>
      </c>
      <c r="E73" s="71">
        <v>11</v>
      </c>
      <c r="F73" s="71" t="s">
        <v>269</v>
      </c>
      <c r="G73" s="72" t="s">
        <v>16</v>
      </c>
      <c r="H73" s="71" t="s">
        <v>15</v>
      </c>
    </row>
    <row r="74" spans="2:8" s="10" customFormat="1" x14ac:dyDescent="0.3">
      <c r="B74" s="70">
        <v>61</v>
      </c>
      <c r="C74" s="71" t="s">
        <v>168</v>
      </c>
      <c r="D74" s="71" t="s">
        <v>237</v>
      </c>
      <c r="E74" s="71">
        <v>11</v>
      </c>
      <c r="F74" s="71" t="s">
        <v>100</v>
      </c>
      <c r="G74" s="72" t="s">
        <v>16</v>
      </c>
      <c r="H74" s="71" t="s">
        <v>15</v>
      </c>
    </row>
    <row r="75" spans="2:8" s="10" customFormat="1" x14ac:dyDescent="0.3">
      <c r="B75" s="70">
        <v>62</v>
      </c>
      <c r="C75" s="71" t="s">
        <v>169</v>
      </c>
      <c r="D75" s="71" t="s">
        <v>111</v>
      </c>
      <c r="E75" s="71">
        <v>1</v>
      </c>
      <c r="F75" s="71" t="s">
        <v>277</v>
      </c>
      <c r="G75" s="72" t="s">
        <v>16</v>
      </c>
      <c r="H75" s="71" t="s">
        <v>15</v>
      </c>
    </row>
    <row r="76" spans="2:8" s="10" customFormat="1" x14ac:dyDescent="0.3">
      <c r="B76" s="70">
        <v>63</v>
      </c>
      <c r="C76" s="71" t="s">
        <v>170</v>
      </c>
      <c r="D76" s="71" t="s">
        <v>112</v>
      </c>
      <c r="E76" s="71">
        <v>3</v>
      </c>
      <c r="F76" s="71" t="s">
        <v>276</v>
      </c>
      <c r="G76" s="72" t="s">
        <v>16</v>
      </c>
      <c r="H76" s="71" t="s">
        <v>15</v>
      </c>
    </row>
    <row r="77" spans="2:8" s="10" customFormat="1" x14ac:dyDescent="0.3">
      <c r="B77" s="70">
        <v>64</v>
      </c>
      <c r="C77" s="71" t="s">
        <v>171</v>
      </c>
      <c r="D77" s="71" t="s">
        <v>112</v>
      </c>
      <c r="E77" s="71">
        <v>3</v>
      </c>
      <c r="F77" s="71" t="s">
        <v>276</v>
      </c>
      <c r="G77" s="72" t="s">
        <v>16</v>
      </c>
      <c r="H77" s="71" t="s">
        <v>15</v>
      </c>
    </row>
    <row r="78" spans="2:8" s="83" customFormat="1" x14ac:dyDescent="0.3">
      <c r="B78" s="70">
        <v>65</v>
      </c>
      <c r="C78" s="71" t="s">
        <v>172</v>
      </c>
      <c r="D78" s="71" t="s">
        <v>242</v>
      </c>
      <c r="E78" s="71">
        <v>4</v>
      </c>
      <c r="F78" s="71" t="s">
        <v>278</v>
      </c>
      <c r="G78" s="72" t="s">
        <v>16</v>
      </c>
      <c r="H78" s="71" t="s">
        <v>15</v>
      </c>
    </row>
    <row r="79" spans="2:8" s="10" customFormat="1" x14ac:dyDescent="0.3">
      <c r="B79" s="70">
        <v>66</v>
      </c>
      <c r="C79" s="71" t="s">
        <v>173</v>
      </c>
      <c r="D79" s="71" t="s">
        <v>111</v>
      </c>
      <c r="E79" s="71">
        <v>1</v>
      </c>
      <c r="F79" s="71" t="s">
        <v>279</v>
      </c>
      <c r="G79" s="72" t="s">
        <v>16</v>
      </c>
      <c r="H79" s="71" t="s">
        <v>15</v>
      </c>
    </row>
    <row r="80" spans="2:8" s="10" customFormat="1" x14ac:dyDescent="0.3">
      <c r="B80" s="70">
        <v>67</v>
      </c>
      <c r="C80" s="71" t="s">
        <v>174</v>
      </c>
      <c r="D80" s="71" t="s">
        <v>111</v>
      </c>
      <c r="E80" s="71">
        <v>1</v>
      </c>
      <c r="F80" s="71" t="s">
        <v>100</v>
      </c>
      <c r="G80" s="72" t="s">
        <v>16</v>
      </c>
      <c r="H80" s="71" t="s">
        <v>15</v>
      </c>
    </row>
    <row r="81" spans="2:8" s="10" customFormat="1" x14ac:dyDescent="0.3">
      <c r="B81" s="70">
        <v>68</v>
      </c>
      <c r="C81" s="71" t="s">
        <v>175</v>
      </c>
      <c r="D81" s="71" t="s">
        <v>111</v>
      </c>
      <c r="E81" s="71">
        <v>1</v>
      </c>
      <c r="F81" s="71" t="s">
        <v>115</v>
      </c>
      <c r="G81" s="72" t="s">
        <v>16</v>
      </c>
      <c r="H81" s="71" t="s">
        <v>15</v>
      </c>
    </row>
    <row r="82" spans="2:8" s="10" customFormat="1" x14ac:dyDescent="0.3">
      <c r="B82" s="70">
        <v>69</v>
      </c>
      <c r="C82" s="71" t="s">
        <v>176</v>
      </c>
      <c r="D82" s="71" t="s">
        <v>111</v>
      </c>
      <c r="E82" s="71">
        <v>1</v>
      </c>
      <c r="F82" s="71" t="s">
        <v>270</v>
      </c>
      <c r="G82" s="72" t="s">
        <v>16</v>
      </c>
      <c r="H82" s="71" t="s">
        <v>15</v>
      </c>
    </row>
    <row r="83" spans="2:8" s="10" customFormat="1" x14ac:dyDescent="0.3">
      <c r="B83" s="70">
        <v>70</v>
      </c>
      <c r="C83" s="71" t="s">
        <v>177</v>
      </c>
      <c r="D83" s="71" t="s">
        <v>237</v>
      </c>
      <c r="E83" s="71">
        <v>11</v>
      </c>
      <c r="F83" s="71" t="s">
        <v>275</v>
      </c>
      <c r="G83" s="71" t="s">
        <v>287</v>
      </c>
      <c r="H83" s="71" t="s">
        <v>15</v>
      </c>
    </row>
    <row r="84" spans="2:8" s="10" customFormat="1" x14ac:dyDescent="0.3">
      <c r="B84" s="70">
        <v>71</v>
      </c>
      <c r="C84" s="71" t="s">
        <v>178</v>
      </c>
      <c r="D84" s="71" t="s">
        <v>237</v>
      </c>
      <c r="E84" s="71">
        <v>11</v>
      </c>
      <c r="F84" s="71" t="s">
        <v>116</v>
      </c>
      <c r="G84" s="71" t="s">
        <v>287</v>
      </c>
      <c r="H84" s="71" t="s">
        <v>15</v>
      </c>
    </row>
    <row r="85" spans="2:8" s="10" customFormat="1" x14ac:dyDescent="0.3">
      <c r="B85" s="70">
        <v>72</v>
      </c>
      <c r="C85" s="71" t="s">
        <v>179</v>
      </c>
      <c r="D85" s="71" t="s">
        <v>237</v>
      </c>
      <c r="E85" s="71">
        <v>11</v>
      </c>
      <c r="F85" s="71" t="s">
        <v>274</v>
      </c>
      <c r="G85" s="71" t="s">
        <v>287</v>
      </c>
      <c r="H85" s="71" t="s">
        <v>15</v>
      </c>
    </row>
    <row r="86" spans="2:8" s="10" customFormat="1" x14ac:dyDescent="0.3">
      <c r="B86" s="70">
        <v>73</v>
      </c>
      <c r="C86" s="71" t="s">
        <v>180</v>
      </c>
      <c r="D86" s="71" t="s">
        <v>112</v>
      </c>
      <c r="E86" s="71">
        <v>3</v>
      </c>
      <c r="F86" s="71" t="s">
        <v>280</v>
      </c>
      <c r="G86" s="71" t="s">
        <v>287</v>
      </c>
      <c r="H86" s="71" t="s">
        <v>15</v>
      </c>
    </row>
    <row r="87" spans="2:8" s="10" customFormat="1" x14ac:dyDescent="0.3">
      <c r="B87" s="70">
        <v>74</v>
      </c>
      <c r="C87" s="71" t="s">
        <v>181</v>
      </c>
      <c r="D87" s="71" t="s">
        <v>112</v>
      </c>
      <c r="E87" s="71">
        <v>3</v>
      </c>
      <c r="F87" s="71" t="s">
        <v>281</v>
      </c>
      <c r="G87" s="71" t="s">
        <v>287</v>
      </c>
      <c r="H87" s="71" t="s">
        <v>15</v>
      </c>
    </row>
    <row r="88" spans="2:8" s="10" customFormat="1" x14ac:dyDescent="0.3">
      <c r="B88" s="70">
        <v>75</v>
      </c>
      <c r="C88" s="71" t="s">
        <v>182</v>
      </c>
      <c r="D88" s="71" t="s">
        <v>111</v>
      </c>
      <c r="E88" s="71">
        <v>11</v>
      </c>
      <c r="F88" s="71" t="s">
        <v>271</v>
      </c>
      <c r="G88" s="71" t="s">
        <v>287</v>
      </c>
      <c r="H88" s="71" t="s">
        <v>15</v>
      </c>
    </row>
    <row r="89" spans="2:8" s="10" customFormat="1" x14ac:dyDescent="0.3">
      <c r="B89" s="70">
        <v>76</v>
      </c>
      <c r="C89" s="71" t="s">
        <v>183</v>
      </c>
      <c r="D89" s="71" t="s">
        <v>111</v>
      </c>
      <c r="E89" s="71">
        <v>3</v>
      </c>
      <c r="F89" s="71" t="s">
        <v>280</v>
      </c>
      <c r="G89" s="71" t="s">
        <v>287</v>
      </c>
      <c r="H89" s="71" t="s">
        <v>15</v>
      </c>
    </row>
    <row r="90" spans="2:8" s="10" customFormat="1" x14ac:dyDescent="0.3">
      <c r="B90" s="70">
        <v>77</v>
      </c>
      <c r="C90" s="71" t="s">
        <v>184</v>
      </c>
      <c r="D90" s="71" t="s">
        <v>243</v>
      </c>
      <c r="E90" s="71">
        <v>3</v>
      </c>
      <c r="F90" s="71" t="s">
        <v>282</v>
      </c>
      <c r="G90" s="71" t="s">
        <v>288</v>
      </c>
      <c r="H90" s="71" t="s">
        <v>15</v>
      </c>
    </row>
    <row r="91" spans="2:8" s="10" customFormat="1" x14ac:dyDescent="0.3">
      <c r="B91" s="70">
        <v>78</v>
      </c>
      <c r="C91" s="71" t="s">
        <v>185</v>
      </c>
      <c r="D91" s="71" t="s">
        <v>111</v>
      </c>
      <c r="E91" s="71">
        <v>1</v>
      </c>
      <c r="F91" s="71" t="s">
        <v>114</v>
      </c>
      <c r="G91" s="71" t="s">
        <v>288</v>
      </c>
      <c r="H91" s="71" t="s">
        <v>15</v>
      </c>
    </row>
    <row r="92" spans="2:8" s="10" customFormat="1" x14ac:dyDescent="0.3">
      <c r="B92" s="70">
        <v>79</v>
      </c>
      <c r="C92" s="71" t="s">
        <v>186</v>
      </c>
      <c r="D92" s="71" t="s">
        <v>238</v>
      </c>
      <c r="E92" s="71">
        <v>21</v>
      </c>
      <c r="F92" s="71" t="s">
        <v>270</v>
      </c>
      <c r="G92" s="71" t="s">
        <v>288</v>
      </c>
      <c r="H92" s="71" t="s">
        <v>15</v>
      </c>
    </row>
    <row r="93" spans="2:8" s="10" customFormat="1" x14ac:dyDescent="0.3">
      <c r="B93" s="70">
        <v>80</v>
      </c>
      <c r="C93" s="71" t="s">
        <v>187</v>
      </c>
      <c r="D93" s="71" t="s">
        <v>244</v>
      </c>
      <c r="E93" s="71">
        <v>6</v>
      </c>
      <c r="F93" s="71" t="s">
        <v>100</v>
      </c>
      <c r="G93" s="71" t="s">
        <v>288</v>
      </c>
      <c r="H93" s="71" t="s">
        <v>15</v>
      </c>
    </row>
    <row r="94" spans="2:8" s="10" customFormat="1" x14ac:dyDescent="0.3">
      <c r="B94" s="70">
        <v>81</v>
      </c>
      <c r="C94" s="71" t="s">
        <v>188</v>
      </c>
      <c r="D94" s="71" t="s">
        <v>245</v>
      </c>
      <c r="E94" s="71">
        <v>4</v>
      </c>
      <c r="F94" s="71" t="s">
        <v>281</v>
      </c>
      <c r="G94" s="71" t="s">
        <v>288</v>
      </c>
      <c r="H94" s="71" t="s">
        <v>15</v>
      </c>
    </row>
    <row r="95" spans="2:8" s="10" customFormat="1" x14ac:dyDescent="0.3">
      <c r="B95" s="70">
        <v>82</v>
      </c>
      <c r="C95" s="71" t="s">
        <v>189</v>
      </c>
      <c r="D95" s="71" t="s">
        <v>112</v>
      </c>
      <c r="E95" s="71">
        <v>3</v>
      </c>
      <c r="F95" s="71" t="s">
        <v>283</v>
      </c>
      <c r="G95" s="71" t="s">
        <v>288</v>
      </c>
      <c r="H95" s="71" t="s">
        <v>15</v>
      </c>
    </row>
    <row r="96" spans="2:8" s="10" customFormat="1" x14ac:dyDescent="0.3">
      <c r="B96" s="70">
        <v>83</v>
      </c>
      <c r="C96" s="71" t="s">
        <v>190</v>
      </c>
      <c r="D96" s="71" t="s">
        <v>238</v>
      </c>
      <c r="E96" s="71">
        <v>21</v>
      </c>
      <c r="F96" s="71" t="s">
        <v>270</v>
      </c>
      <c r="G96" s="71" t="s">
        <v>288</v>
      </c>
      <c r="H96" s="71" t="s">
        <v>15</v>
      </c>
    </row>
    <row r="97" spans="2:8" s="10" customFormat="1" x14ac:dyDescent="0.3">
      <c r="B97" s="70">
        <v>84</v>
      </c>
      <c r="C97" s="71" t="s">
        <v>191</v>
      </c>
      <c r="D97" s="71" t="s">
        <v>246</v>
      </c>
      <c r="E97" s="71">
        <v>4</v>
      </c>
      <c r="F97" s="71" t="s">
        <v>271</v>
      </c>
      <c r="G97" s="71" t="s">
        <v>288</v>
      </c>
      <c r="H97" s="71" t="s">
        <v>15</v>
      </c>
    </row>
    <row r="98" spans="2:8" s="10" customFormat="1" x14ac:dyDescent="0.3">
      <c r="B98" s="70">
        <v>85</v>
      </c>
      <c r="C98" s="71" t="s">
        <v>192</v>
      </c>
      <c r="D98" s="71" t="s">
        <v>112</v>
      </c>
      <c r="E98" s="71">
        <v>3</v>
      </c>
      <c r="F98" s="71" t="s">
        <v>115</v>
      </c>
      <c r="G98" s="71" t="s">
        <v>288</v>
      </c>
      <c r="H98" s="71" t="s">
        <v>15</v>
      </c>
    </row>
    <row r="99" spans="2:8" s="10" customFormat="1" x14ac:dyDescent="0.3">
      <c r="B99" s="70">
        <v>86</v>
      </c>
      <c r="C99" s="71" t="s">
        <v>193</v>
      </c>
      <c r="D99" s="71" t="s">
        <v>111</v>
      </c>
      <c r="E99" s="71">
        <v>1</v>
      </c>
      <c r="F99" s="71" t="s">
        <v>114</v>
      </c>
      <c r="G99" s="71" t="s">
        <v>288</v>
      </c>
      <c r="H99" s="71" t="s">
        <v>15</v>
      </c>
    </row>
    <row r="100" spans="2:8" s="10" customFormat="1" x14ac:dyDescent="0.3">
      <c r="B100" s="70">
        <v>87</v>
      </c>
      <c r="C100" s="71" t="s">
        <v>194</v>
      </c>
      <c r="D100" s="71" t="s">
        <v>247</v>
      </c>
      <c r="E100" s="71">
        <v>6</v>
      </c>
      <c r="F100" s="71" t="s">
        <v>117</v>
      </c>
      <c r="G100" s="71" t="s">
        <v>288</v>
      </c>
      <c r="H100" s="71" t="s">
        <v>15</v>
      </c>
    </row>
    <row r="101" spans="2:8" s="10" customFormat="1" x14ac:dyDescent="0.3">
      <c r="B101" s="70">
        <v>88</v>
      </c>
      <c r="C101" s="71" t="s">
        <v>195</v>
      </c>
      <c r="D101" s="71" t="s">
        <v>248</v>
      </c>
      <c r="E101" s="71">
        <v>21</v>
      </c>
      <c r="F101" s="71" t="s">
        <v>270</v>
      </c>
      <c r="G101" s="71" t="s">
        <v>288</v>
      </c>
      <c r="H101" s="71" t="s">
        <v>15</v>
      </c>
    </row>
    <row r="102" spans="2:8" s="10" customFormat="1" x14ac:dyDescent="0.3">
      <c r="B102" s="70">
        <v>89</v>
      </c>
      <c r="C102" s="71" t="s">
        <v>196</v>
      </c>
      <c r="D102" s="71" t="s">
        <v>249</v>
      </c>
      <c r="E102" s="71">
        <v>11</v>
      </c>
      <c r="F102" s="71" t="s">
        <v>271</v>
      </c>
      <c r="G102" s="71" t="s">
        <v>288</v>
      </c>
      <c r="H102" s="71" t="s">
        <v>15</v>
      </c>
    </row>
    <row r="103" spans="2:8" s="10" customFormat="1" x14ac:dyDescent="0.3">
      <c r="B103" s="70">
        <v>90</v>
      </c>
      <c r="C103" s="71" t="s">
        <v>197</v>
      </c>
      <c r="D103" s="71" t="s">
        <v>244</v>
      </c>
      <c r="E103" s="71">
        <v>6</v>
      </c>
      <c r="F103" s="71" t="s">
        <v>100</v>
      </c>
      <c r="G103" s="71" t="s">
        <v>288</v>
      </c>
      <c r="H103" s="71" t="s">
        <v>15</v>
      </c>
    </row>
    <row r="104" spans="2:8" s="10" customFormat="1" x14ac:dyDescent="0.3">
      <c r="B104" s="70">
        <v>91</v>
      </c>
      <c r="C104" s="71" t="s">
        <v>198</v>
      </c>
      <c r="D104" s="71" t="s">
        <v>237</v>
      </c>
      <c r="E104" s="71">
        <v>11</v>
      </c>
      <c r="F104" s="71" t="s">
        <v>116</v>
      </c>
      <c r="G104" s="71" t="s">
        <v>288</v>
      </c>
      <c r="H104" s="71" t="s">
        <v>15</v>
      </c>
    </row>
    <row r="105" spans="2:8" s="10" customFormat="1" x14ac:dyDescent="0.3">
      <c r="B105" s="70">
        <v>92</v>
      </c>
      <c r="C105" s="71" t="s">
        <v>199</v>
      </c>
      <c r="D105" s="71" t="s">
        <v>237</v>
      </c>
      <c r="E105" s="71">
        <v>11</v>
      </c>
      <c r="F105" s="71" t="s">
        <v>115</v>
      </c>
      <c r="G105" s="71" t="s">
        <v>288</v>
      </c>
      <c r="H105" s="71" t="s">
        <v>15</v>
      </c>
    </row>
    <row r="106" spans="2:8" s="10" customFormat="1" x14ac:dyDescent="0.3">
      <c r="B106" s="70">
        <v>93</v>
      </c>
      <c r="C106" s="71" t="s">
        <v>200</v>
      </c>
      <c r="D106" s="71" t="s">
        <v>112</v>
      </c>
      <c r="E106" s="71">
        <v>3</v>
      </c>
      <c r="F106" s="71" t="s">
        <v>280</v>
      </c>
      <c r="G106" s="71" t="s">
        <v>288</v>
      </c>
      <c r="H106" s="71" t="s">
        <v>15</v>
      </c>
    </row>
    <row r="107" spans="2:8" s="10" customFormat="1" x14ac:dyDescent="0.3">
      <c r="B107" s="70">
        <v>94</v>
      </c>
      <c r="C107" s="71" t="s">
        <v>201</v>
      </c>
      <c r="D107" s="71" t="s">
        <v>250</v>
      </c>
      <c r="E107" s="71">
        <v>15</v>
      </c>
      <c r="F107" s="71" t="s">
        <v>269</v>
      </c>
      <c r="G107" s="71" t="s">
        <v>288</v>
      </c>
      <c r="H107" s="71" t="s">
        <v>15</v>
      </c>
    </row>
    <row r="108" spans="2:8" s="10" customFormat="1" x14ac:dyDescent="0.3">
      <c r="B108" s="70">
        <v>95</v>
      </c>
      <c r="C108" s="71" t="s">
        <v>202</v>
      </c>
      <c r="D108" s="71" t="s">
        <v>111</v>
      </c>
      <c r="E108" s="71">
        <v>1</v>
      </c>
      <c r="F108" s="71" t="s">
        <v>114</v>
      </c>
      <c r="G108" s="71" t="s">
        <v>288</v>
      </c>
      <c r="H108" s="71" t="s">
        <v>15</v>
      </c>
    </row>
    <row r="109" spans="2:8" s="10" customFormat="1" x14ac:dyDescent="0.3">
      <c r="B109" s="70">
        <v>96</v>
      </c>
      <c r="C109" s="71" t="s">
        <v>203</v>
      </c>
      <c r="D109" s="71" t="s">
        <v>244</v>
      </c>
      <c r="E109" s="71">
        <v>4</v>
      </c>
      <c r="F109" s="71" t="s">
        <v>100</v>
      </c>
      <c r="G109" s="71" t="s">
        <v>288</v>
      </c>
      <c r="H109" s="71" t="s">
        <v>15</v>
      </c>
    </row>
    <row r="110" spans="2:8" s="10" customFormat="1" x14ac:dyDescent="0.3">
      <c r="B110" s="70">
        <v>97</v>
      </c>
      <c r="C110" s="71" t="s">
        <v>204</v>
      </c>
      <c r="D110" s="71" t="s">
        <v>251</v>
      </c>
      <c r="E110" s="71">
        <v>8</v>
      </c>
      <c r="F110" s="71" t="s">
        <v>281</v>
      </c>
      <c r="G110" s="71" t="s">
        <v>288</v>
      </c>
      <c r="H110" s="71" t="s">
        <v>15</v>
      </c>
    </row>
    <row r="111" spans="2:8" s="10" customFormat="1" x14ac:dyDescent="0.3">
      <c r="B111" s="70">
        <v>98</v>
      </c>
      <c r="C111" s="71" t="s">
        <v>205</v>
      </c>
      <c r="D111" s="71" t="s">
        <v>252</v>
      </c>
      <c r="E111" s="71">
        <v>15</v>
      </c>
      <c r="F111" s="71" t="s">
        <v>281</v>
      </c>
      <c r="G111" s="71" t="s">
        <v>288</v>
      </c>
      <c r="H111" s="71" t="s">
        <v>15</v>
      </c>
    </row>
    <row r="112" spans="2:8" s="10" customFormat="1" x14ac:dyDescent="0.3">
      <c r="B112" s="70">
        <v>99</v>
      </c>
      <c r="C112" s="71" t="s">
        <v>206</v>
      </c>
      <c r="D112" s="71" t="s">
        <v>253</v>
      </c>
      <c r="E112" s="71">
        <v>15</v>
      </c>
      <c r="F112" s="71" t="s">
        <v>279</v>
      </c>
      <c r="G112" s="71" t="s">
        <v>288</v>
      </c>
      <c r="H112" s="71" t="s">
        <v>15</v>
      </c>
    </row>
    <row r="113" spans="2:8" s="10" customFormat="1" x14ac:dyDescent="0.3">
      <c r="B113" s="70">
        <v>100</v>
      </c>
      <c r="C113" s="71" t="s">
        <v>207</v>
      </c>
      <c r="D113" s="71" t="s">
        <v>254</v>
      </c>
      <c r="E113" s="71">
        <v>11</v>
      </c>
      <c r="F113" s="71" t="s">
        <v>100</v>
      </c>
      <c r="G113" s="71" t="s">
        <v>288</v>
      </c>
      <c r="H113" s="71" t="s">
        <v>15</v>
      </c>
    </row>
    <row r="114" spans="2:8" s="10" customFormat="1" x14ac:dyDescent="0.3">
      <c r="B114" s="70">
        <v>101</v>
      </c>
      <c r="C114" s="71" t="s">
        <v>208</v>
      </c>
      <c r="D114" s="71" t="s">
        <v>237</v>
      </c>
      <c r="E114" s="71">
        <v>11</v>
      </c>
      <c r="F114" s="71" t="s">
        <v>274</v>
      </c>
      <c r="G114" s="71" t="s">
        <v>288</v>
      </c>
      <c r="H114" s="71" t="s">
        <v>15</v>
      </c>
    </row>
    <row r="115" spans="2:8" s="10" customFormat="1" x14ac:dyDescent="0.3">
      <c r="B115" s="70">
        <v>102</v>
      </c>
      <c r="C115" s="71" t="s">
        <v>209</v>
      </c>
      <c r="D115" s="71" t="s">
        <v>255</v>
      </c>
      <c r="E115" s="71">
        <v>4</v>
      </c>
      <c r="F115" s="71" t="s">
        <v>117</v>
      </c>
      <c r="G115" s="71" t="s">
        <v>288</v>
      </c>
      <c r="H115" s="71" t="s">
        <v>15</v>
      </c>
    </row>
    <row r="116" spans="2:8" s="10" customFormat="1" x14ac:dyDescent="0.3">
      <c r="B116" s="70">
        <v>103</v>
      </c>
      <c r="C116" s="71" t="s">
        <v>210</v>
      </c>
      <c r="D116" s="71" t="s">
        <v>256</v>
      </c>
      <c r="E116" s="71">
        <v>19</v>
      </c>
      <c r="F116" s="71" t="s">
        <v>284</v>
      </c>
      <c r="G116" s="71" t="s">
        <v>288</v>
      </c>
      <c r="H116" s="71" t="s">
        <v>15</v>
      </c>
    </row>
    <row r="117" spans="2:8" s="10" customFormat="1" x14ac:dyDescent="0.3">
      <c r="B117" s="70">
        <v>104</v>
      </c>
      <c r="C117" s="71" t="s">
        <v>211</v>
      </c>
      <c r="D117" s="71" t="s">
        <v>257</v>
      </c>
      <c r="E117" s="71">
        <v>6</v>
      </c>
      <c r="F117" s="71" t="s">
        <v>114</v>
      </c>
      <c r="G117" s="71" t="s">
        <v>288</v>
      </c>
      <c r="H117" s="71" t="s">
        <v>15</v>
      </c>
    </row>
    <row r="118" spans="2:8" s="10" customFormat="1" x14ac:dyDescent="0.3">
      <c r="B118" s="70">
        <v>105</v>
      </c>
      <c r="C118" s="71" t="s">
        <v>212</v>
      </c>
      <c r="D118" s="71" t="s">
        <v>258</v>
      </c>
      <c r="E118" s="71">
        <v>2</v>
      </c>
      <c r="F118" s="71" t="s">
        <v>283</v>
      </c>
      <c r="G118" s="71" t="s">
        <v>288</v>
      </c>
      <c r="H118" s="71" t="s">
        <v>15</v>
      </c>
    </row>
    <row r="119" spans="2:8" s="10" customFormat="1" x14ac:dyDescent="0.3">
      <c r="B119" s="70">
        <v>106</v>
      </c>
      <c r="C119" s="71" t="s">
        <v>213</v>
      </c>
      <c r="D119" s="71" t="s">
        <v>250</v>
      </c>
      <c r="E119" s="71">
        <v>15</v>
      </c>
      <c r="F119" s="71" t="s">
        <v>274</v>
      </c>
      <c r="G119" s="71" t="s">
        <v>288</v>
      </c>
      <c r="H119" s="71" t="s">
        <v>15</v>
      </c>
    </row>
    <row r="120" spans="2:8" s="10" customFormat="1" x14ac:dyDescent="0.3">
      <c r="B120" s="70">
        <v>107</v>
      </c>
      <c r="C120" s="71" t="s">
        <v>214</v>
      </c>
      <c r="D120" s="71" t="s">
        <v>259</v>
      </c>
      <c r="E120" s="71">
        <v>15</v>
      </c>
      <c r="F120" s="71" t="s">
        <v>271</v>
      </c>
      <c r="G120" s="71" t="s">
        <v>288</v>
      </c>
      <c r="H120" s="71" t="s">
        <v>15</v>
      </c>
    </row>
    <row r="121" spans="2:8" s="10" customFormat="1" x14ac:dyDescent="0.3">
      <c r="B121" s="70">
        <v>108</v>
      </c>
      <c r="C121" s="71" t="s">
        <v>215</v>
      </c>
      <c r="D121" s="71" t="s">
        <v>260</v>
      </c>
      <c r="E121" s="71">
        <v>15</v>
      </c>
      <c r="F121" s="71" t="s">
        <v>273</v>
      </c>
      <c r="G121" s="71" t="s">
        <v>288</v>
      </c>
      <c r="H121" s="71" t="s">
        <v>15</v>
      </c>
    </row>
    <row r="122" spans="2:8" s="10" customFormat="1" x14ac:dyDescent="0.3">
      <c r="B122" s="70">
        <v>109</v>
      </c>
      <c r="C122" s="71" t="s">
        <v>216</v>
      </c>
      <c r="D122" s="71" t="s">
        <v>252</v>
      </c>
      <c r="E122" s="71">
        <v>10</v>
      </c>
      <c r="F122" s="71" t="s">
        <v>280</v>
      </c>
      <c r="G122" s="71" t="s">
        <v>288</v>
      </c>
      <c r="H122" s="71" t="s">
        <v>15</v>
      </c>
    </row>
    <row r="123" spans="2:8" s="10" customFormat="1" x14ac:dyDescent="0.3">
      <c r="B123" s="70">
        <v>110</v>
      </c>
      <c r="C123" s="71" t="s">
        <v>217</v>
      </c>
      <c r="D123" s="71" t="s">
        <v>237</v>
      </c>
      <c r="E123" s="71">
        <v>11</v>
      </c>
      <c r="F123" s="71" t="s">
        <v>269</v>
      </c>
      <c r="G123" s="71" t="s">
        <v>288</v>
      </c>
      <c r="H123" s="71" t="s">
        <v>15</v>
      </c>
    </row>
    <row r="124" spans="2:8" s="10" customFormat="1" x14ac:dyDescent="0.3">
      <c r="B124" s="70">
        <v>111</v>
      </c>
      <c r="C124" s="71" t="s">
        <v>218</v>
      </c>
      <c r="D124" s="71" t="s">
        <v>237</v>
      </c>
      <c r="E124" s="71">
        <v>11</v>
      </c>
      <c r="F124" s="71" t="s">
        <v>270</v>
      </c>
      <c r="G124" s="71" t="s">
        <v>288</v>
      </c>
      <c r="H124" s="71" t="s">
        <v>15</v>
      </c>
    </row>
    <row r="125" spans="2:8" s="10" customFormat="1" x14ac:dyDescent="0.3">
      <c r="B125" s="70">
        <v>112</v>
      </c>
      <c r="C125" s="71" t="s">
        <v>219</v>
      </c>
      <c r="D125" s="71" t="s">
        <v>111</v>
      </c>
      <c r="E125" s="71">
        <v>1</v>
      </c>
      <c r="F125" s="71" t="s">
        <v>114</v>
      </c>
      <c r="G125" s="71" t="s">
        <v>288</v>
      </c>
      <c r="H125" s="71" t="s">
        <v>15</v>
      </c>
    </row>
    <row r="126" spans="2:8" s="10" customFormat="1" x14ac:dyDescent="0.3">
      <c r="B126" s="70">
        <v>113</v>
      </c>
      <c r="C126" s="71" t="s">
        <v>220</v>
      </c>
      <c r="D126" s="71" t="s">
        <v>261</v>
      </c>
      <c r="E126" s="71">
        <v>28</v>
      </c>
      <c r="F126" s="71" t="s">
        <v>285</v>
      </c>
      <c r="G126" s="71" t="s">
        <v>288</v>
      </c>
      <c r="H126" s="71" t="s">
        <v>15</v>
      </c>
    </row>
    <row r="127" spans="2:8" s="10" customFormat="1" x14ac:dyDescent="0.3">
      <c r="B127" s="70">
        <v>114</v>
      </c>
      <c r="C127" s="71" t="s">
        <v>221</v>
      </c>
      <c r="D127" s="71" t="s">
        <v>111</v>
      </c>
      <c r="E127" s="71">
        <v>1</v>
      </c>
      <c r="F127" s="71" t="s">
        <v>116</v>
      </c>
      <c r="G127" s="71" t="s">
        <v>288</v>
      </c>
      <c r="H127" s="71" t="s">
        <v>15</v>
      </c>
    </row>
    <row r="128" spans="2:8" s="10" customFormat="1" x14ac:dyDescent="0.3">
      <c r="B128" s="70">
        <v>115</v>
      </c>
      <c r="C128" s="71" t="s">
        <v>222</v>
      </c>
      <c r="D128" s="71" t="s">
        <v>262</v>
      </c>
      <c r="E128" s="71">
        <v>3</v>
      </c>
      <c r="F128" s="71" t="s">
        <v>279</v>
      </c>
      <c r="G128" s="71" t="s">
        <v>288</v>
      </c>
      <c r="H128" s="71" t="s">
        <v>15</v>
      </c>
    </row>
    <row r="129" spans="2:8" s="10" customFormat="1" x14ac:dyDescent="0.3">
      <c r="B129" s="70">
        <v>116</v>
      </c>
      <c r="C129" s="71" t="s">
        <v>223</v>
      </c>
      <c r="D129" s="71" t="s">
        <v>244</v>
      </c>
      <c r="E129" s="71">
        <v>4</v>
      </c>
      <c r="F129" s="71" t="s">
        <v>277</v>
      </c>
      <c r="G129" s="71" t="s">
        <v>288</v>
      </c>
      <c r="H129" s="71" t="s">
        <v>15</v>
      </c>
    </row>
    <row r="130" spans="2:8" s="10" customFormat="1" x14ac:dyDescent="0.3">
      <c r="B130" s="70">
        <v>117</v>
      </c>
      <c r="C130" s="71" t="s">
        <v>224</v>
      </c>
      <c r="D130" s="71" t="s">
        <v>263</v>
      </c>
      <c r="E130" s="71">
        <v>13</v>
      </c>
      <c r="F130" s="71" t="s">
        <v>268</v>
      </c>
      <c r="G130" s="71" t="s">
        <v>288</v>
      </c>
      <c r="H130" s="71" t="s">
        <v>15</v>
      </c>
    </row>
    <row r="131" spans="2:8" s="10" customFormat="1" x14ac:dyDescent="0.3">
      <c r="B131" s="70">
        <v>118</v>
      </c>
      <c r="C131" s="71" t="s">
        <v>225</v>
      </c>
      <c r="D131" s="71" t="s">
        <v>237</v>
      </c>
      <c r="E131" s="71">
        <v>11</v>
      </c>
      <c r="F131" s="71" t="s">
        <v>274</v>
      </c>
      <c r="G131" s="71" t="s">
        <v>288</v>
      </c>
      <c r="H131" s="71" t="s">
        <v>15</v>
      </c>
    </row>
    <row r="132" spans="2:8" s="10" customFormat="1" x14ac:dyDescent="0.3">
      <c r="B132" s="70">
        <v>119</v>
      </c>
      <c r="C132" s="71" t="s">
        <v>226</v>
      </c>
      <c r="D132" s="71" t="s">
        <v>112</v>
      </c>
      <c r="E132" s="71">
        <v>3</v>
      </c>
      <c r="F132" s="71" t="s">
        <v>275</v>
      </c>
      <c r="G132" s="71" t="s">
        <v>288</v>
      </c>
      <c r="H132" s="71" t="s">
        <v>15</v>
      </c>
    </row>
    <row r="133" spans="2:8" s="10" customFormat="1" x14ac:dyDescent="0.3">
      <c r="B133" s="70">
        <v>120</v>
      </c>
      <c r="C133" s="71" t="s">
        <v>227</v>
      </c>
      <c r="D133" s="71" t="s">
        <v>237</v>
      </c>
      <c r="E133" s="71">
        <v>11</v>
      </c>
      <c r="F133" s="71" t="s">
        <v>274</v>
      </c>
      <c r="G133" s="71" t="s">
        <v>288</v>
      </c>
      <c r="H133" s="71" t="s">
        <v>15</v>
      </c>
    </row>
    <row r="134" spans="2:8" s="10" customFormat="1" x14ac:dyDescent="0.3">
      <c r="B134" s="70">
        <v>121</v>
      </c>
      <c r="C134" s="71" t="s">
        <v>228</v>
      </c>
      <c r="D134" s="71" t="s">
        <v>264</v>
      </c>
      <c r="E134" s="71">
        <v>1</v>
      </c>
      <c r="F134" s="71" t="s">
        <v>279</v>
      </c>
      <c r="G134" s="71" t="s">
        <v>288</v>
      </c>
      <c r="H134" s="71" t="s">
        <v>15</v>
      </c>
    </row>
    <row r="135" spans="2:8" s="10" customFormat="1" x14ac:dyDescent="0.3">
      <c r="B135" s="70">
        <v>122</v>
      </c>
      <c r="C135" s="71" t="s">
        <v>229</v>
      </c>
      <c r="D135" s="71" t="s">
        <v>247</v>
      </c>
      <c r="E135" s="71">
        <v>6</v>
      </c>
      <c r="F135" s="71" t="s">
        <v>286</v>
      </c>
      <c r="G135" s="71" t="s">
        <v>288</v>
      </c>
      <c r="H135" s="71" t="s">
        <v>15</v>
      </c>
    </row>
    <row r="136" spans="2:8" s="10" customFormat="1" x14ac:dyDescent="0.3">
      <c r="B136" s="70">
        <v>123</v>
      </c>
      <c r="C136" s="71" t="s">
        <v>230</v>
      </c>
      <c r="D136" s="71" t="s">
        <v>265</v>
      </c>
      <c r="E136" s="71">
        <v>11</v>
      </c>
      <c r="F136" s="71" t="s">
        <v>276</v>
      </c>
      <c r="G136" s="71" t="s">
        <v>288</v>
      </c>
      <c r="H136" s="71" t="s">
        <v>15</v>
      </c>
    </row>
    <row r="137" spans="2:8" s="10" customFormat="1" x14ac:dyDescent="0.3">
      <c r="B137" s="70">
        <v>124</v>
      </c>
      <c r="C137" s="71" t="s">
        <v>231</v>
      </c>
      <c r="D137" s="71" t="s">
        <v>244</v>
      </c>
      <c r="E137" s="71">
        <v>4</v>
      </c>
      <c r="F137" s="71" t="s">
        <v>270</v>
      </c>
      <c r="G137" s="71" t="s">
        <v>288</v>
      </c>
      <c r="H137" s="71" t="s">
        <v>15</v>
      </c>
    </row>
    <row r="138" spans="2:8" s="10" customFormat="1" x14ac:dyDescent="0.3">
      <c r="B138" s="70">
        <v>125</v>
      </c>
      <c r="C138" s="71" t="s">
        <v>232</v>
      </c>
      <c r="D138" s="71" t="s">
        <v>254</v>
      </c>
      <c r="E138" s="71">
        <v>11</v>
      </c>
      <c r="F138" s="71" t="s">
        <v>270</v>
      </c>
      <c r="G138" s="71" t="s">
        <v>288</v>
      </c>
      <c r="H138" s="71" t="s">
        <v>15</v>
      </c>
    </row>
    <row r="139" spans="2:8" s="10" customFormat="1" x14ac:dyDescent="0.3">
      <c r="B139" s="70">
        <v>126</v>
      </c>
      <c r="C139" s="71" t="s">
        <v>233</v>
      </c>
      <c r="D139" s="71" t="s">
        <v>244</v>
      </c>
      <c r="E139" s="71">
        <v>4</v>
      </c>
      <c r="F139" s="71" t="s">
        <v>100</v>
      </c>
      <c r="G139" s="71" t="s">
        <v>288</v>
      </c>
      <c r="H139" s="71" t="s">
        <v>15</v>
      </c>
    </row>
    <row r="140" spans="2:8" s="10" customFormat="1" x14ac:dyDescent="0.3">
      <c r="B140" s="70">
        <v>127</v>
      </c>
      <c r="C140" s="71" t="s">
        <v>234</v>
      </c>
      <c r="D140" s="71" t="s">
        <v>266</v>
      </c>
      <c r="E140" s="71">
        <v>17</v>
      </c>
      <c r="F140" s="71" t="s">
        <v>278</v>
      </c>
      <c r="G140" s="71" t="s">
        <v>288</v>
      </c>
      <c r="H140" s="71" t="s">
        <v>15</v>
      </c>
    </row>
    <row r="141" spans="2:8" s="10" customFormat="1" x14ac:dyDescent="0.3">
      <c r="B141" s="70">
        <v>128</v>
      </c>
      <c r="C141" s="71" t="s">
        <v>235</v>
      </c>
      <c r="D141" s="71" t="s">
        <v>242</v>
      </c>
      <c r="E141" s="71">
        <v>4</v>
      </c>
      <c r="F141" s="71" t="s">
        <v>277</v>
      </c>
      <c r="G141" s="71" t="s">
        <v>288</v>
      </c>
      <c r="H141" s="71" t="s">
        <v>15</v>
      </c>
    </row>
  </sheetData>
  <sheetProtection password="C2E9" sheet="1" objects="1" scenarios="1" formatColumns="0" formatRows="0" sort="0" autoFilter="0"/>
  <dataValidations count="1">
    <dataValidation type="list" allowBlank="1" showInputMessage="1" showErrorMessage="1" sqref="H14:H141">
      <formula1>"FT, PT"</formula1>
    </dataValidation>
  </dataValidations>
  <pageMargins left="0.7" right="0.7" top="0.75" bottom="0.75" header="0.3" footer="0.3"/>
  <pageSetup paperSize="1000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4</xdr:col>
                    <xdr:colOff>714375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Personen" altText="Add Drug / Medication / Supply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781050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Personen" altText="Delete Drug / Medication / Supply">
                <anchor moveWithCells="1">
                  <from>
                    <xdr:col>1</xdr:col>
                    <xdr:colOff>828675</xdr:colOff>
                    <xdr:row>13</xdr:row>
                    <xdr:rowOff>9525</xdr:rowOff>
                  </from>
                  <to>
                    <xdr:col>1</xdr:col>
                    <xdr:colOff>1552575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SelectDept!$B$2:$B$67</xm:f>
          </x14:formula1>
          <xm:sqref>F14:F141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DT185"/>
  <sheetViews>
    <sheetView tabSelected="1" zoomScale="85" zoomScaleNormal="85" workbookViewId="0">
      <selection activeCell="BB106" sqref="BB106"/>
    </sheetView>
  </sheetViews>
  <sheetFormatPr defaultColWidth="8.7109375" defaultRowHeight="16.5" x14ac:dyDescent="0.3"/>
  <cols>
    <col min="1" max="1" width="8.7109375" style="83"/>
    <col min="2" max="2" width="8.7109375" style="83" customWidth="1"/>
    <col min="3" max="3" width="21.7109375" style="83" customWidth="1"/>
    <col min="4" max="4" width="23.28515625" style="83" customWidth="1"/>
    <col min="5" max="5" width="13.85546875" style="83" customWidth="1"/>
    <col min="6" max="6" width="1.42578125" style="83" customWidth="1"/>
    <col min="7" max="60" width="8.7109375" style="83" customWidth="1"/>
    <col min="61" max="61" width="15.28515625" style="83" customWidth="1"/>
    <col min="62" max="77" width="8.7109375" style="83" customWidth="1"/>
    <col min="78" max="78" width="15" style="83" customWidth="1"/>
    <col min="79" max="122" width="8.7109375" style="83" customWidth="1"/>
    <col min="123" max="123" width="1.42578125" style="83" customWidth="1"/>
    <col min="124" max="16384" width="8.7109375" style="83"/>
  </cols>
  <sheetData>
    <row r="2" spans="1:124" s="82" customFormat="1" ht="13.5" customHeight="1" x14ac:dyDescent="0.3">
      <c r="A2" s="79"/>
      <c r="B2" s="80" t="s">
        <v>3</v>
      </c>
      <c r="C2" s="79"/>
      <c r="D2" s="81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</row>
    <row r="4" spans="1:124" ht="26.25" customHeight="1" x14ac:dyDescent="0.3">
      <c r="B4" s="107" t="s">
        <v>13</v>
      </c>
      <c r="C4" s="108"/>
      <c r="D4" s="108"/>
      <c r="E4" s="109"/>
    </row>
    <row r="5" spans="1:124" x14ac:dyDescent="0.3">
      <c r="B5" s="84" t="s">
        <v>62</v>
      </c>
      <c r="C5" s="85"/>
      <c r="D5" s="85"/>
      <c r="E5" s="86"/>
    </row>
    <row r="6" spans="1:124" x14ac:dyDescent="0.3">
      <c r="B6" s="84" t="s">
        <v>14</v>
      </c>
      <c r="C6" s="85"/>
      <c r="D6" s="85"/>
      <c r="E6" s="86"/>
    </row>
    <row r="7" spans="1:124" x14ac:dyDescent="0.3">
      <c r="B7" s="87" t="s">
        <v>101</v>
      </c>
      <c r="C7" s="85"/>
      <c r="D7" s="88">
        <v>2017</v>
      </c>
      <c r="E7" s="86"/>
    </row>
    <row r="8" spans="1:124" ht="27.75" customHeight="1" x14ac:dyDescent="0.3">
      <c r="B8" s="110" t="s">
        <v>61</v>
      </c>
      <c r="C8" s="111"/>
      <c r="D8" s="111"/>
      <c r="E8" s="112"/>
    </row>
    <row r="10" spans="1:124" ht="20.25" x14ac:dyDescent="0.3">
      <c r="F10" s="67" t="s">
        <v>4</v>
      </c>
    </row>
    <row r="11" spans="1:124" s="89" customFormat="1" ht="21.6" customHeight="1" x14ac:dyDescent="0.3">
      <c r="B11" s="90"/>
      <c r="C11" s="91"/>
      <c r="D11" s="92"/>
      <c r="E11" s="92"/>
      <c r="F11" s="93"/>
      <c r="G11" s="113" t="s">
        <v>21</v>
      </c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5"/>
      <c r="Y11" s="116" t="s">
        <v>37</v>
      </c>
      <c r="Z11" s="117"/>
      <c r="AA11" s="117"/>
      <c r="AB11" s="117"/>
      <c r="AC11" s="117"/>
      <c r="AD11" s="117"/>
      <c r="AE11" s="117"/>
      <c r="AF11" s="117"/>
      <c r="AG11" s="117"/>
      <c r="AH11" s="117"/>
      <c r="AI11" s="117"/>
      <c r="AJ11" s="117"/>
      <c r="AK11" s="117"/>
      <c r="AL11" s="117"/>
      <c r="AM11" s="117"/>
      <c r="AN11" s="117"/>
      <c r="AO11" s="117"/>
      <c r="AP11" s="117"/>
      <c r="AQ11" s="118" t="s">
        <v>48</v>
      </c>
      <c r="AR11" s="117"/>
      <c r="AS11" s="117"/>
      <c r="AT11" s="117"/>
      <c r="AU11" s="117"/>
      <c r="AV11" s="117"/>
      <c r="AW11" s="117"/>
      <c r="AX11" s="117"/>
      <c r="AY11" s="117"/>
      <c r="AZ11" s="117"/>
      <c r="BA11" s="117"/>
      <c r="BB11" s="117"/>
      <c r="BC11" s="117"/>
      <c r="BD11" s="117"/>
      <c r="BE11" s="117"/>
      <c r="BF11" s="117"/>
      <c r="BG11" s="117"/>
      <c r="BH11" s="117"/>
      <c r="BI11" s="93"/>
      <c r="BJ11" s="105" t="s">
        <v>21</v>
      </c>
      <c r="BK11" s="106"/>
      <c r="BL11" s="106"/>
      <c r="BM11" s="106"/>
      <c r="BN11" s="106"/>
      <c r="BO11" s="106"/>
      <c r="BP11" s="106"/>
      <c r="BQ11" s="106"/>
      <c r="BR11" s="106"/>
      <c r="BS11" s="106"/>
      <c r="BT11" s="106"/>
      <c r="BU11" s="106"/>
      <c r="BV11" s="106"/>
      <c r="BW11" s="106"/>
      <c r="BX11" s="106"/>
      <c r="BY11" s="106"/>
      <c r="BZ11" s="106"/>
      <c r="CA11" s="106"/>
      <c r="CB11" s="105" t="s">
        <v>37</v>
      </c>
      <c r="CC11" s="106"/>
      <c r="CD11" s="106"/>
      <c r="CE11" s="106"/>
      <c r="CF11" s="106"/>
      <c r="CG11" s="106"/>
      <c r="CH11" s="106"/>
      <c r="CI11" s="106"/>
      <c r="CJ11" s="106"/>
      <c r="CK11" s="106"/>
      <c r="CL11" s="106"/>
      <c r="CM11" s="106"/>
      <c r="CN11" s="106"/>
      <c r="CO11" s="106"/>
      <c r="CP11" s="106"/>
      <c r="CQ11" s="106"/>
      <c r="CR11" s="106"/>
      <c r="CS11" s="106"/>
      <c r="CT11" s="106"/>
      <c r="CU11" s="105" t="s">
        <v>48</v>
      </c>
      <c r="CV11" s="105"/>
      <c r="CW11" s="105"/>
      <c r="CX11" s="105"/>
      <c r="CY11" s="105"/>
      <c r="CZ11" s="105"/>
      <c r="DA11" s="105"/>
      <c r="DB11" s="105"/>
      <c r="DC11" s="105"/>
      <c r="DD11" s="106"/>
      <c r="DE11" s="106"/>
      <c r="DF11" s="106"/>
      <c r="DG11" s="106"/>
      <c r="DH11" s="106"/>
      <c r="DI11" s="106"/>
      <c r="DJ11" s="106"/>
      <c r="DK11" s="106"/>
      <c r="DL11" s="106"/>
      <c r="DM11" s="106"/>
      <c r="DN11" s="106"/>
      <c r="DO11" s="106"/>
      <c r="DP11" s="106"/>
      <c r="DQ11" s="106"/>
      <c r="DR11" s="106"/>
      <c r="DT11" s="90"/>
    </row>
    <row r="12" spans="1:124" s="94" customFormat="1" ht="69" customHeight="1" x14ac:dyDescent="0.2">
      <c r="B12" s="95" t="s">
        <v>12</v>
      </c>
      <c r="C12" s="96" t="s">
        <v>0</v>
      </c>
      <c r="D12" s="97" t="s">
        <v>7</v>
      </c>
      <c r="E12" s="97" t="s">
        <v>20</v>
      </c>
      <c r="F12" s="93"/>
      <c r="G12" s="98" t="s">
        <v>22</v>
      </c>
      <c r="H12" s="98" t="s">
        <v>85</v>
      </c>
      <c r="I12" s="98" t="s">
        <v>23</v>
      </c>
      <c r="J12" s="98" t="s">
        <v>24</v>
      </c>
      <c r="K12" s="98" t="s">
        <v>25</v>
      </c>
      <c r="L12" s="98" t="s">
        <v>26</v>
      </c>
      <c r="M12" s="98" t="s">
        <v>27</v>
      </c>
      <c r="N12" s="98" t="s">
        <v>86</v>
      </c>
      <c r="O12" s="98" t="s">
        <v>28</v>
      </c>
      <c r="P12" s="98" t="s">
        <v>29</v>
      </c>
      <c r="Q12" s="98" t="s">
        <v>30</v>
      </c>
      <c r="R12" s="98" t="s">
        <v>31</v>
      </c>
      <c r="S12" s="98" t="s">
        <v>32</v>
      </c>
      <c r="T12" s="98" t="s">
        <v>33</v>
      </c>
      <c r="U12" s="98" t="s">
        <v>34</v>
      </c>
      <c r="V12" s="98" t="s">
        <v>35</v>
      </c>
      <c r="W12" s="98" t="s">
        <v>36</v>
      </c>
      <c r="X12" s="98" t="s">
        <v>66</v>
      </c>
      <c r="Y12" s="98" t="s">
        <v>38</v>
      </c>
      <c r="Z12" s="98" t="s">
        <v>41</v>
      </c>
      <c r="AA12" s="99" t="s">
        <v>67</v>
      </c>
      <c r="AB12" s="98" t="s">
        <v>40</v>
      </c>
      <c r="AC12" s="99" t="s">
        <v>39</v>
      </c>
      <c r="AD12" s="98" t="s">
        <v>68</v>
      </c>
      <c r="AE12" s="98" t="s">
        <v>69</v>
      </c>
      <c r="AF12" s="98" t="s">
        <v>71</v>
      </c>
      <c r="AG12" s="98" t="s">
        <v>5</v>
      </c>
      <c r="AH12" s="98" t="s">
        <v>42</v>
      </c>
      <c r="AI12" s="98" t="s">
        <v>72</v>
      </c>
      <c r="AJ12" s="98" t="s">
        <v>43</v>
      </c>
      <c r="AK12" s="98" t="s">
        <v>44</v>
      </c>
      <c r="AL12" s="98" t="s">
        <v>45</v>
      </c>
      <c r="AM12" s="98" t="s">
        <v>46</v>
      </c>
      <c r="AN12" s="99" t="s">
        <v>73</v>
      </c>
      <c r="AO12" s="99" t="s">
        <v>74</v>
      </c>
      <c r="AP12" s="98" t="s">
        <v>66</v>
      </c>
      <c r="AQ12" s="98" t="s">
        <v>87</v>
      </c>
      <c r="AR12" s="98" t="s">
        <v>75</v>
      </c>
      <c r="AS12" s="98" t="s">
        <v>76</v>
      </c>
      <c r="AT12" s="98" t="s">
        <v>77</v>
      </c>
      <c r="AU12" s="98" t="s">
        <v>78</v>
      </c>
      <c r="AV12" s="98" t="s">
        <v>79</v>
      </c>
      <c r="AW12" s="98" t="s">
        <v>80</v>
      </c>
      <c r="AX12" s="99" t="s">
        <v>88</v>
      </c>
      <c r="AY12" s="98" t="s">
        <v>89</v>
      </c>
      <c r="AZ12" s="98" t="s">
        <v>50</v>
      </c>
      <c r="BA12" s="98" t="s">
        <v>6</v>
      </c>
      <c r="BB12" s="98" t="s">
        <v>47</v>
      </c>
      <c r="BC12" s="98" t="s">
        <v>51</v>
      </c>
      <c r="BD12" s="98" t="s">
        <v>52</v>
      </c>
      <c r="BE12" s="98" t="s">
        <v>53</v>
      </c>
      <c r="BF12" s="98" t="s">
        <v>54</v>
      </c>
      <c r="BG12" s="98" t="s">
        <v>55</v>
      </c>
      <c r="BH12" s="98" t="s">
        <v>56</v>
      </c>
      <c r="BI12" s="93"/>
      <c r="BJ12" s="98" t="s">
        <v>22</v>
      </c>
      <c r="BK12" s="98" t="s">
        <v>63</v>
      </c>
      <c r="BL12" s="98" t="s">
        <v>23</v>
      </c>
      <c r="BM12" s="98" t="s">
        <v>24</v>
      </c>
      <c r="BN12" s="98" t="s">
        <v>25</v>
      </c>
      <c r="BO12" s="98" t="s">
        <v>26</v>
      </c>
      <c r="BP12" s="98" t="s">
        <v>27</v>
      </c>
      <c r="BQ12" s="98" t="s">
        <v>64</v>
      </c>
      <c r="BR12" s="98" t="s">
        <v>28</v>
      </c>
      <c r="BS12" s="98" t="s">
        <v>29</v>
      </c>
      <c r="BT12" s="98" t="s">
        <v>30</v>
      </c>
      <c r="BU12" s="98" t="s">
        <v>31</v>
      </c>
      <c r="BV12" s="98" t="s">
        <v>32</v>
      </c>
      <c r="BW12" s="98" t="s">
        <v>33</v>
      </c>
      <c r="BX12" s="98" t="s">
        <v>34</v>
      </c>
      <c r="BY12" s="98" t="s">
        <v>35</v>
      </c>
      <c r="BZ12" s="98" t="s">
        <v>65</v>
      </c>
      <c r="CA12" s="98" t="s">
        <v>66</v>
      </c>
      <c r="CB12" s="98" t="s">
        <v>38</v>
      </c>
      <c r="CC12" s="98" t="s">
        <v>41</v>
      </c>
      <c r="CD12" s="98" t="s">
        <v>67</v>
      </c>
      <c r="CE12" s="98" t="s">
        <v>40</v>
      </c>
      <c r="CF12" s="98" t="s">
        <v>39</v>
      </c>
      <c r="CG12" s="98" t="s">
        <v>68</v>
      </c>
      <c r="CH12" s="98" t="s">
        <v>69</v>
      </c>
      <c r="CI12" s="98" t="s">
        <v>70</v>
      </c>
      <c r="CJ12" s="98" t="s">
        <v>71</v>
      </c>
      <c r="CK12" s="98" t="s">
        <v>5</v>
      </c>
      <c r="CL12" s="98" t="s">
        <v>42</v>
      </c>
      <c r="CM12" s="98" t="s">
        <v>72</v>
      </c>
      <c r="CN12" s="98" t="s">
        <v>43</v>
      </c>
      <c r="CO12" s="98" t="s">
        <v>44</v>
      </c>
      <c r="CP12" s="98" t="s">
        <v>45</v>
      </c>
      <c r="CQ12" s="98" t="s">
        <v>46</v>
      </c>
      <c r="CR12" s="98" t="s">
        <v>73</v>
      </c>
      <c r="CS12" s="98" t="s">
        <v>74</v>
      </c>
      <c r="CT12" s="99" t="s">
        <v>66</v>
      </c>
      <c r="CU12" s="98" t="s">
        <v>49</v>
      </c>
      <c r="CV12" s="98" t="s">
        <v>75</v>
      </c>
      <c r="CW12" s="98" t="s">
        <v>76</v>
      </c>
      <c r="CX12" s="98" t="s">
        <v>77</v>
      </c>
      <c r="CY12" s="98" t="s">
        <v>78</v>
      </c>
      <c r="CZ12" s="98" t="s">
        <v>79</v>
      </c>
      <c r="DA12" s="98" t="s">
        <v>80</v>
      </c>
      <c r="DB12" s="100" t="s">
        <v>81</v>
      </c>
      <c r="DC12" s="98" t="s">
        <v>82</v>
      </c>
      <c r="DD12" s="98" t="s">
        <v>50</v>
      </c>
      <c r="DE12" s="98" t="s">
        <v>6</v>
      </c>
      <c r="DF12" s="98" t="s">
        <v>83</v>
      </c>
      <c r="DG12" s="98" t="s">
        <v>47</v>
      </c>
      <c r="DH12" s="98" t="s">
        <v>84</v>
      </c>
      <c r="DI12" s="98" t="s">
        <v>51</v>
      </c>
      <c r="DJ12" s="98" t="s">
        <v>52</v>
      </c>
      <c r="DK12" s="98" t="s">
        <v>53</v>
      </c>
      <c r="DL12" s="98" t="s">
        <v>54</v>
      </c>
      <c r="DM12" s="98" t="s">
        <v>55</v>
      </c>
      <c r="DN12" s="98" t="s">
        <v>56</v>
      </c>
      <c r="DO12" s="98" t="s">
        <v>57</v>
      </c>
      <c r="DP12" s="98" t="s">
        <v>58</v>
      </c>
      <c r="DQ12" s="98" t="s">
        <v>59</v>
      </c>
      <c r="DR12" s="98" t="s">
        <v>60</v>
      </c>
      <c r="DT12" s="101" t="s">
        <v>90</v>
      </c>
    </row>
    <row r="13" spans="1:124" x14ac:dyDescent="0.3">
      <c r="B13" s="74">
        <f>'6.1Personnel List'!B14</f>
        <v>1</v>
      </c>
      <c r="C13" s="31" t="str">
        <f>'6.1Personnel List'!C14</f>
        <v>BALAORO, TERESITA R.</v>
      </c>
      <c r="D13" s="31" t="str">
        <f>'6.1Personnel List'!D14</f>
        <v>ADMIN AIDE I</v>
      </c>
      <c r="E13" s="31" t="str">
        <f>'6.1Personnel List'!H14</f>
        <v>FT</v>
      </c>
      <c r="F13" s="102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K13" s="103"/>
      <c r="AL13" s="103"/>
      <c r="AM13" s="103"/>
      <c r="AN13" s="103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2"/>
      <c r="BJ13" s="103"/>
      <c r="BK13" s="103"/>
      <c r="BL13" s="103"/>
      <c r="BM13" s="103"/>
      <c r="BN13" s="103"/>
      <c r="BO13" s="103"/>
      <c r="BP13" s="103"/>
      <c r="BQ13" s="103"/>
      <c r="BR13" s="103"/>
      <c r="BS13" s="103"/>
      <c r="BT13" s="103"/>
      <c r="BU13" s="103"/>
      <c r="BV13" s="103"/>
      <c r="BW13" s="103"/>
      <c r="BX13" s="103"/>
      <c r="BY13" s="103"/>
      <c r="BZ13" s="103"/>
      <c r="CA13" s="103"/>
      <c r="CB13" s="103">
        <v>1</v>
      </c>
      <c r="CC13" s="103"/>
      <c r="CD13" s="103"/>
      <c r="CE13" s="103"/>
      <c r="CF13" s="103"/>
      <c r="CG13" s="103"/>
      <c r="CH13" s="103"/>
      <c r="CI13" s="103"/>
      <c r="CJ13" s="103"/>
      <c r="CK13" s="103"/>
      <c r="CL13" s="103"/>
      <c r="CM13" s="103"/>
      <c r="CN13" s="103"/>
      <c r="CO13" s="103"/>
      <c r="CP13" s="103"/>
      <c r="CQ13" s="103"/>
      <c r="CR13" s="103"/>
      <c r="CS13" s="103"/>
      <c r="CT13" s="103"/>
      <c r="CU13" s="103"/>
      <c r="CV13" s="103"/>
      <c r="CW13" s="103"/>
      <c r="CX13" s="103"/>
      <c r="CY13" s="103"/>
      <c r="CZ13" s="103"/>
      <c r="DA13" s="103"/>
      <c r="DB13" s="103"/>
      <c r="DC13" s="103"/>
      <c r="DD13" s="103"/>
      <c r="DE13" s="103"/>
      <c r="DF13" s="103"/>
      <c r="DG13" s="103"/>
      <c r="DH13" s="103"/>
      <c r="DI13" s="103"/>
      <c r="DJ13" s="103"/>
      <c r="DK13" s="103"/>
      <c r="DL13" s="103"/>
      <c r="DM13" s="103"/>
      <c r="DN13" s="103"/>
      <c r="DO13" s="103"/>
      <c r="DP13" s="103"/>
      <c r="DQ13" s="103"/>
      <c r="DR13" s="103"/>
      <c r="DS13" s="104"/>
      <c r="DT13" s="30">
        <f>SUM(F13:DR13)</f>
        <v>1</v>
      </c>
    </row>
    <row r="14" spans="1:124" x14ac:dyDescent="0.3">
      <c r="B14" s="74">
        <f>'6.1Personnel List'!B15</f>
        <v>2</v>
      </c>
      <c r="C14" s="31" t="str">
        <f>'6.1Personnel List'!C15</f>
        <v>CALAQUIAN, JOANA G.</v>
      </c>
      <c r="D14" s="31" t="str">
        <f>'6.1Personnel List'!D15</f>
        <v>ADMIN AIDE I</v>
      </c>
      <c r="E14" s="31" t="str">
        <f>'6.1Personnel List'!H15</f>
        <v>FT</v>
      </c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2"/>
      <c r="BJ14" s="103"/>
      <c r="BK14" s="103"/>
      <c r="BL14" s="103"/>
      <c r="BM14" s="103"/>
      <c r="BN14" s="103"/>
      <c r="BO14" s="103"/>
      <c r="BP14" s="103"/>
      <c r="BQ14" s="103">
        <v>1</v>
      </c>
      <c r="BR14" s="103"/>
      <c r="BS14" s="103"/>
      <c r="BT14" s="103"/>
      <c r="BU14" s="103"/>
      <c r="BV14" s="103"/>
      <c r="BW14" s="103"/>
      <c r="BX14" s="103"/>
      <c r="BY14" s="103"/>
      <c r="BZ14" s="103"/>
      <c r="CA14" s="103"/>
      <c r="CB14" s="103"/>
      <c r="CC14" s="103"/>
      <c r="CD14" s="103"/>
      <c r="CE14" s="103"/>
      <c r="CF14" s="103"/>
      <c r="CG14" s="103"/>
      <c r="CH14" s="103"/>
      <c r="CI14" s="103"/>
      <c r="CJ14" s="103"/>
      <c r="CK14" s="103"/>
      <c r="CL14" s="103"/>
      <c r="CM14" s="103"/>
      <c r="CN14" s="103"/>
      <c r="CO14" s="103"/>
      <c r="CP14" s="103"/>
      <c r="CQ14" s="103"/>
      <c r="CR14" s="103"/>
      <c r="CS14" s="103"/>
      <c r="CT14" s="103"/>
      <c r="CU14" s="103"/>
      <c r="CV14" s="103"/>
      <c r="CW14" s="103"/>
      <c r="CX14" s="103"/>
      <c r="CY14" s="103"/>
      <c r="CZ14" s="103"/>
      <c r="DA14" s="103"/>
      <c r="DB14" s="103"/>
      <c r="DC14" s="103"/>
      <c r="DD14" s="103"/>
      <c r="DE14" s="103"/>
      <c r="DF14" s="103"/>
      <c r="DG14" s="103"/>
      <c r="DH14" s="103"/>
      <c r="DI14" s="103"/>
      <c r="DJ14" s="103"/>
      <c r="DK14" s="103"/>
      <c r="DL14" s="103"/>
      <c r="DM14" s="103"/>
      <c r="DN14" s="103"/>
      <c r="DO14" s="103"/>
      <c r="DP14" s="103"/>
      <c r="DQ14" s="103"/>
      <c r="DR14" s="103"/>
      <c r="DS14" s="104"/>
      <c r="DT14" s="30">
        <f>SUM(F14:DR14)</f>
        <v>1</v>
      </c>
    </row>
    <row r="15" spans="1:124" x14ac:dyDescent="0.3">
      <c r="B15" s="74">
        <f>'6.1Personnel List'!B16</f>
        <v>3</v>
      </c>
      <c r="C15" s="31" t="str">
        <f>'6.1Personnel List'!C16</f>
        <v>CALUB, ARLAN D.</v>
      </c>
      <c r="D15" s="31" t="str">
        <f>'6.1Personnel List'!D16</f>
        <v>ADMIN AIDE I</v>
      </c>
      <c r="E15" s="31" t="str">
        <f>'6.1Personnel List'!H16</f>
        <v>FT</v>
      </c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3"/>
      <c r="AH15" s="103"/>
      <c r="AI15" s="103"/>
      <c r="AJ15" s="103"/>
      <c r="AK15" s="103"/>
      <c r="AL15" s="103"/>
      <c r="AM15" s="103"/>
      <c r="AN15" s="103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2"/>
      <c r="BJ15" s="103"/>
      <c r="BK15" s="103"/>
      <c r="BL15" s="103"/>
      <c r="BM15" s="103"/>
      <c r="BN15" s="103"/>
      <c r="BO15" s="103"/>
      <c r="BP15" s="103"/>
      <c r="BQ15" s="103"/>
      <c r="BR15" s="103"/>
      <c r="BS15" s="103"/>
      <c r="BT15" s="103"/>
      <c r="BU15" s="103"/>
      <c r="BV15" s="103"/>
      <c r="BW15" s="103"/>
      <c r="BX15" s="103"/>
      <c r="BY15" s="103"/>
      <c r="BZ15" s="103"/>
      <c r="CA15" s="103">
        <v>1</v>
      </c>
      <c r="CB15" s="103"/>
      <c r="CC15" s="103"/>
      <c r="CD15" s="103"/>
      <c r="CE15" s="103"/>
      <c r="CF15" s="103"/>
      <c r="CG15" s="103"/>
      <c r="CH15" s="103"/>
      <c r="CI15" s="103"/>
      <c r="CJ15" s="103"/>
      <c r="CK15" s="103"/>
      <c r="CL15" s="103"/>
      <c r="CM15" s="103"/>
      <c r="CN15" s="103"/>
      <c r="CO15" s="103"/>
      <c r="CP15" s="103"/>
      <c r="CQ15" s="103"/>
      <c r="CR15" s="103"/>
      <c r="CS15" s="103"/>
      <c r="CT15" s="103"/>
      <c r="CU15" s="103"/>
      <c r="CV15" s="103"/>
      <c r="CW15" s="103"/>
      <c r="CX15" s="103"/>
      <c r="CY15" s="103"/>
      <c r="CZ15" s="103"/>
      <c r="DA15" s="103"/>
      <c r="DB15" s="103"/>
      <c r="DC15" s="103"/>
      <c r="DD15" s="103"/>
      <c r="DE15" s="103"/>
      <c r="DF15" s="103"/>
      <c r="DG15" s="103"/>
      <c r="DH15" s="103"/>
      <c r="DI15" s="103"/>
      <c r="DJ15" s="103"/>
      <c r="DK15" s="103"/>
      <c r="DL15" s="103"/>
      <c r="DM15" s="103"/>
      <c r="DN15" s="103"/>
      <c r="DO15" s="103"/>
      <c r="DP15" s="103"/>
      <c r="DQ15" s="103"/>
      <c r="DR15" s="103"/>
      <c r="DS15" s="104"/>
      <c r="DT15" s="30">
        <f>SUM(F15:DR15)</f>
        <v>1</v>
      </c>
    </row>
    <row r="16" spans="1:124" x14ac:dyDescent="0.3">
      <c r="B16" s="74">
        <f>'6.1Personnel List'!B17</f>
        <v>4</v>
      </c>
      <c r="C16" s="31" t="str">
        <f>'6.1Personnel List'!C17</f>
        <v>CANDA, MANNIE</v>
      </c>
      <c r="D16" s="31" t="str">
        <f>'6.1Personnel List'!D17</f>
        <v>ADMIN AIDE I</v>
      </c>
      <c r="E16" s="31" t="str">
        <f>'6.1Personnel List'!H17</f>
        <v>FT</v>
      </c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03"/>
      <c r="AH16" s="103"/>
      <c r="AI16" s="103"/>
      <c r="AJ16" s="103"/>
      <c r="AK16" s="103"/>
      <c r="AL16" s="103"/>
      <c r="AM16" s="103"/>
      <c r="AN16" s="103"/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2"/>
      <c r="BJ16" s="103"/>
      <c r="BK16" s="103"/>
      <c r="BL16" s="103"/>
      <c r="BM16" s="103"/>
      <c r="BN16" s="103"/>
      <c r="BO16" s="103"/>
      <c r="BP16" s="103"/>
      <c r="BQ16" s="103">
        <v>1</v>
      </c>
      <c r="BR16" s="103"/>
      <c r="BS16" s="103"/>
      <c r="BT16" s="103"/>
      <c r="BU16" s="103"/>
      <c r="BV16" s="103"/>
      <c r="BW16" s="103"/>
      <c r="BX16" s="103"/>
      <c r="BY16" s="103"/>
      <c r="BZ16" s="103"/>
      <c r="CA16" s="103"/>
      <c r="CB16" s="103"/>
      <c r="CC16" s="103"/>
      <c r="CD16" s="103"/>
      <c r="CE16" s="103"/>
      <c r="CF16" s="103"/>
      <c r="CG16" s="103"/>
      <c r="CH16" s="103"/>
      <c r="CI16" s="103"/>
      <c r="CJ16" s="103"/>
      <c r="CK16" s="103"/>
      <c r="CL16" s="103"/>
      <c r="CM16" s="103"/>
      <c r="CN16" s="103"/>
      <c r="CO16" s="103"/>
      <c r="CP16" s="103"/>
      <c r="CQ16" s="103"/>
      <c r="CR16" s="103"/>
      <c r="CS16" s="103"/>
      <c r="CT16" s="103"/>
      <c r="CU16" s="103"/>
      <c r="CV16" s="103"/>
      <c r="CW16" s="103"/>
      <c r="CX16" s="103"/>
      <c r="CY16" s="103"/>
      <c r="CZ16" s="103"/>
      <c r="DA16" s="103"/>
      <c r="DB16" s="103"/>
      <c r="DC16" s="103"/>
      <c r="DD16" s="103"/>
      <c r="DE16" s="103"/>
      <c r="DF16" s="103"/>
      <c r="DG16" s="103"/>
      <c r="DH16" s="103"/>
      <c r="DI16" s="103"/>
      <c r="DJ16" s="103"/>
      <c r="DK16" s="103"/>
      <c r="DL16" s="103"/>
      <c r="DM16" s="103"/>
      <c r="DN16" s="103"/>
      <c r="DO16" s="103"/>
      <c r="DP16" s="103"/>
      <c r="DQ16" s="103"/>
      <c r="DR16" s="103"/>
      <c r="DS16" s="104"/>
      <c r="DT16" s="30">
        <f>SUM(F16:DR16)</f>
        <v>1</v>
      </c>
    </row>
    <row r="17" spans="2:124" x14ac:dyDescent="0.3">
      <c r="B17" s="74">
        <f>'6.1Personnel List'!B18</f>
        <v>5</v>
      </c>
      <c r="C17" s="31" t="str">
        <f>'6.1Personnel List'!C18</f>
        <v>DAVID, ANABEL B.</v>
      </c>
      <c r="D17" s="31" t="str">
        <f>'6.1Personnel List'!D18</f>
        <v>ADMIN AIDE I</v>
      </c>
      <c r="E17" s="31" t="str">
        <f>'6.1Personnel List'!H18</f>
        <v>FT</v>
      </c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3"/>
      <c r="AL17" s="103"/>
      <c r="AM17" s="103"/>
      <c r="AN17" s="103"/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2"/>
      <c r="BJ17" s="103"/>
      <c r="BK17" s="103"/>
      <c r="BL17" s="103"/>
      <c r="BM17" s="103"/>
      <c r="BN17" s="103"/>
      <c r="BO17" s="103"/>
      <c r="BP17" s="103"/>
      <c r="BQ17" s="103">
        <v>1</v>
      </c>
      <c r="BR17" s="103"/>
      <c r="BS17" s="103"/>
      <c r="BT17" s="103"/>
      <c r="BU17" s="103"/>
      <c r="BV17" s="103"/>
      <c r="BW17" s="103"/>
      <c r="BX17" s="103"/>
      <c r="BY17" s="103"/>
      <c r="BZ17" s="103"/>
      <c r="CA17" s="103"/>
      <c r="CB17" s="103"/>
      <c r="CC17" s="103"/>
      <c r="CD17" s="103"/>
      <c r="CE17" s="103"/>
      <c r="CF17" s="103"/>
      <c r="CG17" s="103"/>
      <c r="CH17" s="103"/>
      <c r="CI17" s="103"/>
      <c r="CJ17" s="103"/>
      <c r="CK17" s="103"/>
      <c r="CL17" s="103"/>
      <c r="CM17" s="103"/>
      <c r="CN17" s="103"/>
      <c r="CO17" s="103"/>
      <c r="CP17" s="103"/>
      <c r="CQ17" s="103"/>
      <c r="CR17" s="103"/>
      <c r="CS17" s="103"/>
      <c r="CT17" s="103"/>
      <c r="CU17" s="103"/>
      <c r="CV17" s="103"/>
      <c r="CW17" s="103"/>
      <c r="CX17" s="103"/>
      <c r="CY17" s="103"/>
      <c r="CZ17" s="103"/>
      <c r="DA17" s="103"/>
      <c r="DB17" s="103"/>
      <c r="DC17" s="103"/>
      <c r="DD17" s="103"/>
      <c r="DE17" s="103"/>
      <c r="DF17" s="103"/>
      <c r="DG17" s="103"/>
      <c r="DH17" s="103"/>
      <c r="DI17" s="103"/>
      <c r="DJ17" s="103"/>
      <c r="DK17" s="103"/>
      <c r="DL17" s="103"/>
      <c r="DM17" s="103"/>
      <c r="DN17" s="103"/>
      <c r="DO17" s="103"/>
      <c r="DP17" s="103"/>
      <c r="DQ17" s="103"/>
      <c r="DR17" s="103"/>
      <c r="DS17" s="104"/>
      <c r="DT17" s="30">
        <f>SUM(F17:DR17)</f>
        <v>1</v>
      </c>
    </row>
    <row r="18" spans="2:124" x14ac:dyDescent="0.3">
      <c r="B18" s="74">
        <f>'6.1Personnel List'!B19</f>
        <v>6</v>
      </c>
      <c r="C18" s="31" t="str">
        <f>'6.1Personnel List'!C19</f>
        <v>DAVID, JR. FRANCISCO Q.</v>
      </c>
      <c r="D18" s="31" t="str">
        <f>'6.1Personnel List'!D19</f>
        <v>ADMIN AIDE I</v>
      </c>
      <c r="E18" s="31" t="str">
        <f>'6.1Personnel List'!H19</f>
        <v>FT</v>
      </c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2"/>
      <c r="BJ18" s="103"/>
      <c r="BK18" s="103"/>
      <c r="BL18" s="103"/>
      <c r="BM18" s="103"/>
      <c r="BN18" s="103"/>
      <c r="BO18" s="103"/>
      <c r="BP18" s="103"/>
      <c r="BQ18" s="103"/>
      <c r="BR18" s="103"/>
      <c r="BS18" s="103"/>
      <c r="BT18" s="103"/>
      <c r="BU18" s="103"/>
      <c r="BV18" s="103"/>
      <c r="BW18" s="103"/>
      <c r="BX18" s="103"/>
      <c r="BY18" s="103"/>
      <c r="BZ18" s="103"/>
      <c r="CA18" s="103">
        <v>1</v>
      </c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103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103"/>
      <c r="DM18" s="103"/>
      <c r="DN18" s="103"/>
      <c r="DO18" s="103"/>
      <c r="DP18" s="103"/>
      <c r="DQ18" s="103"/>
      <c r="DR18" s="103"/>
      <c r="DS18" s="104"/>
      <c r="DT18" s="30">
        <f>SUM(F18:DR18)</f>
        <v>1</v>
      </c>
    </row>
    <row r="19" spans="2:124" x14ac:dyDescent="0.3">
      <c r="B19" s="74">
        <f>'6.1Personnel List'!B20</f>
        <v>7</v>
      </c>
      <c r="C19" s="31" t="str">
        <f>'6.1Personnel List'!C20</f>
        <v>DELFIN, IVY I</v>
      </c>
      <c r="D19" s="31" t="str">
        <f>'6.1Personnel List'!D20</f>
        <v>ADMIN AIDE I</v>
      </c>
      <c r="E19" s="31" t="str">
        <f>'6.1Personnel List'!H20</f>
        <v>FT</v>
      </c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2"/>
      <c r="BJ19" s="103"/>
      <c r="BK19" s="103"/>
      <c r="BL19" s="103"/>
      <c r="BM19" s="103"/>
      <c r="BN19" s="103"/>
      <c r="BO19" s="103"/>
      <c r="BP19" s="103"/>
      <c r="BQ19" s="103">
        <v>1</v>
      </c>
      <c r="BR19" s="103"/>
      <c r="BS19" s="103"/>
      <c r="BT19" s="103"/>
      <c r="BU19" s="103"/>
      <c r="BV19" s="103"/>
      <c r="BW19" s="103"/>
      <c r="BX19" s="103"/>
      <c r="BY19" s="103"/>
      <c r="BZ19" s="103"/>
      <c r="CA19" s="103"/>
      <c r="CB19" s="103"/>
      <c r="CC19" s="103"/>
      <c r="CD19" s="103"/>
      <c r="CE19" s="103"/>
      <c r="CF19" s="103"/>
      <c r="CG19" s="103"/>
      <c r="CH19" s="103"/>
      <c r="CI19" s="103"/>
      <c r="CJ19" s="103"/>
      <c r="CK19" s="103"/>
      <c r="CL19" s="103"/>
      <c r="CM19" s="103"/>
      <c r="CN19" s="103"/>
      <c r="CO19" s="103"/>
      <c r="CP19" s="103"/>
      <c r="CQ19" s="103"/>
      <c r="CR19" s="103"/>
      <c r="CS19" s="103"/>
      <c r="CT19" s="103"/>
      <c r="CU19" s="103"/>
      <c r="CV19" s="103"/>
      <c r="CW19" s="103"/>
      <c r="CX19" s="103"/>
      <c r="CY19" s="103"/>
      <c r="CZ19" s="103"/>
      <c r="DA19" s="103"/>
      <c r="DB19" s="103"/>
      <c r="DC19" s="103"/>
      <c r="DD19" s="103"/>
      <c r="DE19" s="103"/>
      <c r="DF19" s="103"/>
      <c r="DG19" s="103"/>
      <c r="DH19" s="103"/>
      <c r="DI19" s="103"/>
      <c r="DJ19" s="103"/>
      <c r="DK19" s="103"/>
      <c r="DL19" s="103"/>
      <c r="DM19" s="103"/>
      <c r="DN19" s="103"/>
      <c r="DO19" s="103"/>
      <c r="DP19" s="103"/>
      <c r="DQ19" s="103"/>
      <c r="DR19" s="103"/>
      <c r="DS19" s="104"/>
      <c r="DT19" s="30">
        <f>SUM(F19:DR19)</f>
        <v>1</v>
      </c>
    </row>
    <row r="20" spans="2:124" x14ac:dyDescent="0.3">
      <c r="B20" s="74">
        <f>'6.1Personnel List'!B21</f>
        <v>8</v>
      </c>
      <c r="C20" s="31" t="str">
        <f>'6.1Personnel List'!C21</f>
        <v>ESCOTO, ALDRIN L.</v>
      </c>
      <c r="D20" s="31" t="str">
        <f>'6.1Personnel List'!D21</f>
        <v>ADMIN AIDE I</v>
      </c>
      <c r="E20" s="31" t="str">
        <f>'6.1Personnel List'!H21</f>
        <v>FT</v>
      </c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3"/>
      <c r="AL20" s="103"/>
      <c r="AM20" s="103"/>
      <c r="AN20" s="103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2"/>
      <c r="BJ20" s="103"/>
      <c r="BK20" s="103"/>
      <c r="BL20" s="103"/>
      <c r="BM20" s="103"/>
      <c r="BN20" s="103"/>
      <c r="BO20" s="103"/>
      <c r="BP20" s="103"/>
      <c r="BQ20" s="103"/>
      <c r="BR20" s="103"/>
      <c r="BS20" s="103"/>
      <c r="BT20" s="103"/>
      <c r="BU20" s="103"/>
      <c r="BV20" s="103"/>
      <c r="BW20" s="103"/>
      <c r="BX20" s="103"/>
      <c r="BY20" s="103"/>
      <c r="BZ20" s="103"/>
      <c r="CA20" s="103"/>
      <c r="CB20" s="103"/>
      <c r="CC20" s="103"/>
      <c r="CD20" s="103"/>
      <c r="CE20" s="103"/>
      <c r="CF20" s="103"/>
      <c r="CG20" s="103"/>
      <c r="CH20" s="103"/>
      <c r="CI20" s="103"/>
      <c r="CJ20" s="103"/>
      <c r="CK20" s="103"/>
      <c r="CL20" s="103">
        <v>1</v>
      </c>
      <c r="CM20" s="103"/>
      <c r="CN20" s="103"/>
      <c r="CO20" s="103"/>
      <c r="CP20" s="103"/>
      <c r="CQ20" s="103"/>
      <c r="CR20" s="103"/>
      <c r="CS20" s="103"/>
      <c r="CT20" s="103"/>
      <c r="CU20" s="103"/>
      <c r="CV20" s="103"/>
      <c r="CW20" s="103"/>
      <c r="CX20" s="103"/>
      <c r="CY20" s="103"/>
      <c r="CZ20" s="103"/>
      <c r="DA20" s="103"/>
      <c r="DB20" s="103"/>
      <c r="DC20" s="103"/>
      <c r="DD20" s="103"/>
      <c r="DE20" s="103"/>
      <c r="DF20" s="103"/>
      <c r="DG20" s="103"/>
      <c r="DH20" s="103"/>
      <c r="DI20" s="103"/>
      <c r="DJ20" s="103"/>
      <c r="DK20" s="103"/>
      <c r="DL20" s="103"/>
      <c r="DM20" s="103"/>
      <c r="DN20" s="103"/>
      <c r="DO20" s="103"/>
      <c r="DP20" s="103"/>
      <c r="DQ20" s="103"/>
      <c r="DR20" s="103"/>
      <c r="DS20" s="104"/>
      <c r="DT20" s="30">
        <f>SUM(F20:DR20)</f>
        <v>1</v>
      </c>
    </row>
    <row r="21" spans="2:124" x14ac:dyDescent="0.3">
      <c r="B21" s="74">
        <f>'6.1Personnel List'!B22</f>
        <v>9</v>
      </c>
      <c r="C21" s="31" t="str">
        <f>'6.1Personnel List'!C22</f>
        <v>FERRER, PAUL JASON B.</v>
      </c>
      <c r="D21" s="31" t="str">
        <f>'6.1Personnel List'!D22</f>
        <v>ADMIN AIDE I</v>
      </c>
      <c r="E21" s="31" t="str">
        <f>'6.1Personnel List'!H22</f>
        <v>FT</v>
      </c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2"/>
      <c r="BJ21" s="103"/>
      <c r="BK21" s="103"/>
      <c r="BL21" s="103"/>
      <c r="BM21" s="103"/>
      <c r="BN21" s="103"/>
      <c r="BO21" s="103"/>
      <c r="BP21" s="103"/>
      <c r="BQ21" s="103"/>
      <c r="BR21" s="103"/>
      <c r="BS21" s="103"/>
      <c r="BT21" s="103"/>
      <c r="BU21" s="103">
        <v>1</v>
      </c>
      <c r="BV21" s="103"/>
      <c r="BW21" s="103"/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  <c r="CJ21" s="103"/>
      <c r="CK21" s="103"/>
      <c r="CL21" s="103"/>
      <c r="CM21" s="103"/>
      <c r="CN21" s="103"/>
      <c r="CO21" s="103"/>
      <c r="CP21" s="103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103"/>
      <c r="DM21" s="103"/>
      <c r="DN21" s="103"/>
      <c r="DO21" s="103"/>
      <c r="DP21" s="103"/>
      <c r="DQ21" s="103"/>
      <c r="DR21" s="103"/>
      <c r="DS21" s="104"/>
      <c r="DT21" s="30">
        <f>SUM(F21:DR21)</f>
        <v>1</v>
      </c>
    </row>
    <row r="22" spans="2:124" x14ac:dyDescent="0.3">
      <c r="B22" s="74">
        <f>'6.1Personnel List'!B23</f>
        <v>10</v>
      </c>
      <c r="C22" s="31" t="str">
        <f>'6.1Personnel List'!C23</f>
        <v>NACPIL, ROMAN Q.</v>
      </c>
      <c r="D22" s="31" t="str">
        <f>'6.1Personnel List'!D23</f>
        <v>ADMIN AIDE I</v>
      </c>
      <c r="E22" s="31" t="str">
        <f>'6.1Personnel List'!H23</f>
        <v>FT</v>
      </c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2"/>
      <c r="BJ22" s="103"/>
      <c r="BK22" s="103"/>
      <c r="BL22" s="103"/>
      <c r="BM22" s="103"/>
      <c r="BN22" s="103"/>
      <c r="BO22" s="103"/>
      <c r="BP22" s="103"/>
      <c r="BQ22" s="103"/>
      <c r="BR22" s="103"/>
      <c r="BS22" s="103"/>
      <c r="BT22" s="103"/>
      <c r="BU22" s="103"/>
      <c r="BV22" s="103">
        <v>1</v>
      </c>
      <c r="BW22" s="103"/>
      <c r="BX22" s="103"/>
      <c r="BY22" s="103"/>
      <c r="BZ22" s="103"/>
      <c r="CA22" s="103"/>
      <c r="CB22" s="103"/>
      <c r="CC22" s="103"/>
      <c r="CD22" s="103"/>
      <c r="CE22" s="103"/>
      <c r="CF22" s="103"/>
      <c r="CG22" s="103"/>
      <c r="CH22" s="103"/>
      <c r="CI22" s="103"/>
      <c r="CJ22" s="103"/>
      <c r="CK22" s="103"/>
      <c r="CL22" s="103"/>
      <c r="CM22" s="103"/>
      <c r="CN22" s="103"/>
      <c r="CO22" s="103"/>
      <c r="CP22" s="103"/>
      <c r="CQ22" s="103"/>
      <c r="CR22" s="103"/>
      <c r="CS22" s="103"/>
      <c r="CT22" s="103"/>
      <c r="CU22" s="103"/>
      <c r="CV22" s="103"/>
      <c r="CW22" s="103"/>
      <c r="CX22" s="103"/>
      <c r="CY22" s="103"/>
      <c r="CZ22" s="103"/>
      <c r="DA22" s="103"/>
      <c r="DB22" s="103"/>
      <c r="DC22" s="103"/>
      <c r="DD22" s="103"/>
      <c r="DE22" s="103"/>
      <c r="DF22" s="103"/>
      <c r="DG22" s="103"/>
      <c r="DH22" s="103"/>
      <c r="DI22" s="103"/>
      <c r="DJ22" s="103"/>
      <c r="DK22" s="103"/>
      <c r="DL22" s="103"/>
      <c r="DM22" s="103"/>
      <c r="DN22" s="103"/>
      <c r="DO22" s="103"/>
      <c r="DP22" s="103"/>
      <c r="DQ22" s="103"/>
      <c r="DR22" s="103"/>
      <c r="DS22" s="104"/>
      <c r="DT22" s="30">
        <f>SUM(F22:DR22)</f>
        <v>1</v>
      </c>
    </row>
    <row r="23" spans="2:124" x14ac:dyDescent="0.3">
      <c r="B23" s="74">
        <f>'6.1Personnel List'!B24</f>
        <v>11</v>
      </c>
      <c r="C23" s="73" t="s">
        <v>118</v>
      </c>
      <c r="D23" s="73" t="s">
        <v>111</v>
      </c>
      <c r="E23" s="31" t="str">
        <f>'6.1Personnel List'!H24</f>
        <v>FT</v>
      </c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2"/>
      <c r="BJ23" s="103"/>
      <c r="BK23" s="103"/>
      <c r="BL23" s="103"/>
      <c r="BM23" s="103"/>
      <c r="BN23" s="103"/>
      <c r="BO23" s="103"/>
      <c r="BP23" s="103"/>
      <c r="BQ23" s="103">
        <v>1</v>
      </c>
      <c r="BR23" s="103"/>
      <c r="BS23" s="103"/>
      <c r="BT23" s="103"/>
      <c r="BU23" s="103"/>
      <c r="BV23" s="103"/>
      <c r="BW23" s="103"/>
      <c r="BX23" s="103"/>
      <c r="BY23" s="103"/>
      <c r="BZ23" s="103"/>
      <c r="CA23" s="103"/>
      <c r="CB23" s="103"/>
      <c r="CC23" s="103"/>
      <c r="CD23" s="103"/>
      <c r="CE23" s="103"/>
      <c r="CF23" s="103"/>
      <c r="CG23" s="103"/>
      <c r="CH23" s="103"/>
      <c r="CI23" s="103"/>
      <c r="CJ23" s="103"/>
      <c r="CK23" s="103"/>
      <c r="CL23" s="103"/>
      <c r="CM23" s="103"/>
      <c r="CN23" s="103"/>
      <c r="CO23" s="103"/>
      <c r="CP23" s="103"/>
      <c r="CQ23" s="103"/>
      <c r="CR23" s="103"/>
      <c r="CS23" s="103"/>
      <c r="CT23" s="103"/>
      <c r="CU23" s="103"/>
      <c r="CV23" s="103"/>
      <c r="CW23" s="103"/>
      <c r="CX23" s="103"/>
      <c r="CY23" s="103"/>
      <c r="CZ23" s="103"/>
      <c r="DA23" s="103"/>
      <c r="DB23" s="103"/>
      <c r="DC23" s="103"/>
      <c r="DD23" s="103"/>
      <c r="DE23" s="103"/>
      <c r="DF23" s="103"/>
      <c r="DG23" s="103"/>
      <c r="DH23" s="103"/>
      <c r="DI23" s="103"/>
      <c r="DJ23" s="103"/>
      <c r="DK23" s="103"/>
      <c r="DL23" s="103"/>
      <c r="DM23" s="103"/>
      <c r="DN23" s="103"/>
      <c r="DO23" s="103"/>
      <c r="DP23" s="103"/>
      <c r="DQ23" s="103"/>
      <c r="DR23" s="103"/>
      <c r="DS23" s="104"/>
      <c r="DT23" s="30">
        <f>SUM(F23:DR23)</f>
        <v>1</v>
      </c>
    </row>
    <row r="24" spans="2:124" x14ac:dyDescent="0.3">
      <c r="B24" s="74">
        <f>'6.1Personnel List'!B25</f>
        <v>12</v>
      </c>
      <c r="C24" s="73" t="s">
        <v>119</v>
      </c>
      <c r="D24" s="73" t="s">
        <v>111</v>
      </c>
      <c r="E24" s="31" t="str">
        <f>'6.1Personnel List'!H25</f>
        <v>FT</v>
      </c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2"/>
      <c r="BJ24" s="103"/>
      <c r="BK24" s="103"/>
      <c r="BL24" s="103"/>
      <c r="BM24" s="103"/>
      <c r="BN24" s="103"/>
      <c r="BO24" s="103"/>
      <c r="BP24" s="103"/>
      <c r="BQ24" s="103">
        <v>1</v>
      </c>
      <c r="BR24" s="103"/>
      <c r="BS24" s="103"/>
      <c r="BT24" s="103"/>
      <c r="BU24" s="103"/>
      <c r="BV24" s="103"/>
      <c r="BW24" s="103"/>
      <c r="BX24" s="103"/>
      <c r="BY24" s="103"/>
      <c r="BZ24" s="103"/>
      <c r="CA24" s="103"/>
      <c r="CB24" s="103"/>
      <c r="CC24" s="103"/>
      <c r="CD24" s="103"/>
      <c r="CE24" s="103"/>
      <c r="CF24" s="103"/>
      <c r="CG24" s="103"/>
      <c r="CH24" s="103"/>
      <c r="CI24" s="103"/>
      <c r="CJ24" s="103"/>
      <c r="CK24" s="103"/>
      <c r="CL24" s="103"/>
      <c r="CM24" s="103"/>
      <c r="CN24" s="103"/>
      <c r="CO24" s="103"/>
      <c r="CP24" s="103"/>
      <c r="CQ24" s="103"/>
      <c r="CR24" s="103"/>
      <c r="CS24" s="103"/>
      <c r="CT24" s="103"/>
      <c r="CU24" s="103"/>
      <c r="CV24" s="103"/>
      <c r="CW24" s="103"/>
      <c r="CX24" s="103"/>
      <c r="CY24" s="103"/>
      <c r="CZ24" s="103"/>
      <c r="DA24" s="103"/>
      <c r="DB24" s="103"/>
      <c r="DC24" s="103"/>
      <c r="DD24" s="103"/>
      <c r="DE24" s="103"/>
      <c r="DF24" s="103"/>
      <c r="DG24" s="103"/>
      <c r="DH24" s="103"/>
      <c r="DI24" s="103"/>
      <c r="DJ24" s="103"/>
      <c r="DK24" s="103"/>
      <c r="DL24" s="103"/>
      <c r="DM24" s="103"/>
      <c r="DN24" s="103"/>
      <c r="DO24" s="103"/>
      <c r="DP24" s="103"/>
      <c r="DQ24" s="103"/>
      <c r="DR24" s="103"/>
      <c r="DS24" s="104"/>
      <c r="DT24" s="30">
        <f>SUM(F24:DR24)</f>
        <v>1</v>
      </c>
    </row>
    <row r="25" spans="2:124" x14ac:dyDescent="0.3">
      <c r="B25" s="74">
        <f>'6.1Personnel List'!B26</f>
        <v>13</v>
      </c>
      <c r="C25" s="73" t="s">
        <v>120</v>
      </c>
      <c r="D25" s="73" t="s">
        <v>112</v>
      </c>
      <c r="E25" s="31" t="str">
        <f>'6.1Personnel List'!H26</f>
        <v>FT</v>
      </c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2"/>
      <c r="BJ25" s="103"/>
      <c r="BK25" s="103"/>
      <c r="BL25" s="103"/>
      <c r="BM25" s="103"/>
      <c r="BN25" s="103"/>
      <c r="BO25" s="103"/>
      <c r="BP25" s="103"/>
      <c r="BQ25" s="103">
        <v>1</v>
      </c>
      <c r="BR25" s="103"/>
      <c r="BS25" s="103"/>
      <c r="BT25" s="103"/>
      <c r="BU25" s="103"/>
      <c r="BV25" s="103"/>
      <c r="BW25" s="103"/>
      <c r="BX25" s="103"/>
      <c r="BY25" s="103"/>
      <c r="BZ25" s="103"/>
      <c r="CA25" s="103"/>
      <c r="CB25" s="103"/>
      <c r="CC25" s="103"/>
      <c r="CD25" s="103"/>
      <c r="CE25" s="103"/>
      <c r="CF25" s="103"/>
      <c r="CG25" s="103"/>
      <c r="CH25" s="103"/>
      <c r="CI25" s="103"/>
      <c r="CJ25" s="103"/>
      <c r="CK25" s="103"/>
      <c r="CL25" s="103"/>
      <c r="CM25" s="103"/>
      <c r="CN25" s="103"/>
      <c r="CO25" s="103"/>
      <c r="CP25" s="103"/>
      <c r="CQ25" s="103"/>
      <c r="CR25" s="103"/>
      <c r="CS25" s="103"/>
      <c r="CT25" s="103"/>
      <c r="CU25" s="103"/>
      <c r="CV25" s="103"/>
      <c r="CW25" s="103"/>
      <c r="CX25" s="103"/>
      <c r="CY25" s="103"/>
      <c r="CZ25" s="103"/>
      <c r="DA25" s="103"/>
      <c r="DB25" s="103"/>
      <c r="DC25" s="103"/>
      <c r="DD25" s="103"/>
      <c r="DE25" s="103"/>
      <c r="DF25" s="103"/>
      <c r="DG25" s="103"/>
      <c r="DH25" s="103"/>
      <c r="DI25" s="103"/>
      <c r="DJ25" s="103"/>
      <c r="DK25" s="103"/>
      <c r="DL25" s="103"/>
      <c r="DM25" s="103"/>
      <c r="DN25" s="103"/>
      <c r="DO25" s="103"/>
      <c r="DP25" s="103"/>
      <c r="DQ25" s="103"/>
      <c r="DR25" s="103"/>
      <c r="DS25" s="104"/>
      <c r="DT25" s="30">
        <f>SUM(F25:DR25)</f>
        <v>1</v>
      </c>
    </row>
    <row r="26" spans="2:124" x14ac:dyDescent="0.3">
      <c r="B26" s="74">
        <f>'6.1Personnel List'!B27</f>
        <v>14</v>
      </c>
      <c r="C26" s="73" t="s">
        <v>121</v>
      </c>
      <c r="D26" s="73" t="s">
        <v>112</v>
      </c>
      <c r="E26" s="31" t="str">
        <f>'6.1Personnel List'!H27</f>
        <v>FT</v>
      </c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2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>
        <v>1</v>
      </c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3"/>
      <c r="CP26" s="103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3"/>
      <c r="DS26" s="104"/>
      <c r="DT26" s="30">
        <f>SUM(F26:DR26)</f>
        <v>1</v>
      </c>
    </row>
    <row r="27" spans="2:124" x14ac:dyDescent="0.3">
      <c r="B27" s="74">
        <f>'6.1Personnel List'!B28</f>
        <v>15</v>
      </c>
      <c r="C27" s="73" t="s">
        <v>122</v>
      </c>
      <c r="D27" s="73" t="s">
        <v>112</v>
      </c>
      <c r="E27" s="31" t="str">
        <f>'6.1Personnel List'!H28</f>
        <v>FT</v>
      </c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2"/>
      <c r="BJ27" s="103"/>
      <c r="BK27" s="103"/>
      <c r="BL27" s="103"/>
      <c r="BM27" s="103"/>
      <c r="BN27" s="103"/>
      <c r="BO27" s="103"/>
      <c r="BP27" s="103"/>
      <c r="BQ27" s="103">
        <v>1</v>
      </c>
      <c r="BR27" s="103"/>
      <c r="BS27" s="103"/>
      <c r="BT27" s="103"/>
      <c r="BU27" s="103"/>
      <c r="BV27" s="103"/>
      <c r="BW27" s="103"/>
      <c r="BX27" s="103"/>
      <c r="BY27" s="103"/>
      <c r="BZ27" s="103"/>
      <c r="CA27" s="103"/>
      <c r="CB27" s="103"/>
      <c r="CC27" s="103"/>
      <c r="CD27" s="103"/>
      <c r="CE27" s="103"/>
      <c r="CF27" s="103"/>
      <c r="CG27" s="103"/>
      <c r="CH27" s="103"/>
      <c r="CI27" s="103"/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103"/>
      <c r="CV27" s="103"/>
      <c r="CW27" s="103"/>
      <c r="CX27" s="103"/>
      <c r="CY27" s="103"/>
      <c r="CZ27" s="103"/>
      <c r="DA27" s="103"/>
      <c r="DB27" s="103"/>
      <c r="DC27" s="103"/>
      <c r="DD27" s="103"/>
      <c r="DE27" s="103"/>
      <c r="DF27" s="103"/>
      <c r="DG27" s="103"/>
      <c r="DH27" s="103"/>
      <c r="DI27" s="103"/>
      <c r="DJ27" s="103"/>
      <c r="DK27" s="103"/>
      <c r="DL27" s="103"/>
      <c r="DM27" s="103"/>
      <c r="DN27" s="103"/>
      <c r="DO27" s="103"/>
      <c r="DP27" s="103"/>
      <c r="DQ27" s="103"/>
      <c r="DR27" s="103"/>
      <c r="DS27" s="104"/>
      <c r="DT27" s="30">
        <f>SUM(F27:DR27)</f>
        <v>1</v>
      </c>
    </row>
    <row r="28" spans="2:124" x14ac:dyDescent="0.3">
      <c r="B28" s="74">
        <f>'6.1Personnel List'!B29</f>
        <v>16</v>
      </c>
      <c r="C28" s="73" t="s">
        <v>123</v>
      </c>
      <c r="D28" s="73" t="s">
        <v>236</v>
      </c>
      <c r="E28" s="31" t="str">
        <f>'6.1Personnel List'!H29</f>
        <v>FT</v>
      </c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2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>
        <v>1</v>
      </c>
      <c r="CI28" s="103"/>
      <c r="CJ28" s="103"/>
      <c r="CK28" s="103"/>
      <c r="CL28" s="103"/>
      <c r="CM28" s="103"/>
      <c r="CN28" s="103"/>
      <c r="CO28" s="103"/>
      <c r="CP28" s="103"/>
      <c r="CQ28" s="103"/>
      <c r="CR28" s="103"/>
      <c r="CS28" s="103"/>
      <c r="CT28" s="103"/>
      <c r="CU28" s="103"/>
      <c r="CV28" s="103"/>
      <c r="CW28" s="103"/>
      <c r="CX28" s="103"/>
      <c r="CY28" s="103"/>
      <c r="CZ28" s="103"/>
      <c r="DA28" s="103"/>
      <c r="DB28" s="103"/>
      <c r="DC28" s="103"/>
      <c r="DD28" s="103"/>
      <c r="DE28" s="103"/>
      <c r="DF28" s="103"/>
      <c r="DG28" s="103"/>
      <c r="DH28" s="103"/>
      <c r="DI28" s="103"/>
      <c r="DJ28" s="103"/>
      <c r="DK28" s="103"/>
      <c r="DL28" s="103"/>
      <c r="DM28" s="103"/>
      <c r="DN28" s="103"/>
      <c r="DO28" s="103"/>
      <c r="DP28" s="103"/>
      <c r="DQ28" s="103"/>
      <c r="DR28" s="103"/>
      <c r="DS28" s="104"/>
      <c r="DT28" s="30">
        <f>SUM(F28:DR28)</f>
        <v>1</v>
      </c>
    </row>
    <row r="29" spans="2:124" x14ac:dyDescent="0.3">
      <c r="B29" s="74">
        <f>'6.1Personnel List'!B30</f>
        <v>17</v>
      </c>
      <c r="C29" s="73" t="s">
        <v>124</v>
      </c>
      <c r="D29" s="73" t="s">
        <v>237</v>
      </c>
      <c r="E29" s="31" t="str">
        <f>'6.1Personnel List'!H30</f>
        <v>FT</v>
      </c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>
        <v>0.3</v>
      </c>
      <c r="BE29" s="103">
        <v>0.2</v>
      </c>
      <c r="BF29" s="103">
        <v>0.3</v>
      </c>
      <c r="BG29" s="103">
        <v>0.1</v>
      </c>
      <c r="BH29" s="103">
        <v>0.1</v>
      </c>
      <c r="BI29" s="102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3"/>
      <c r="CP29" s="103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4"/>
      <c r="DT29" s="30">
        <f>SUM(F29:DR29)</f>
        <v>1</v>
      </c>
    </row>
    <row r="30" spans="2:124" x14ac:dyDescent="0.3">
      <c r="B30" s="74">
        <f>'6.1Personnel List'!B31</f>
        <v>18</v>
      </c>
      <c r="C30" s="73" t="s">
        <v>125</v>
      </c>
      <c r="D30" s="73" t="s">
        <v>238</v>
      </c>
      <c r="E30" s="31" t="str">
        <f>'6.1Personnel List'!H31</f>
        <v>FT</v>
      </c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  <c r="AK30" s="103"/>
      <c r="AL30" s="103"/>
      <c r="AM30" s="103"/>
      <c r="AN30" s="103"/>
      <c r="AO30" s="103"/>
      <c r="AP30" s="103"/>
      <c r="AQ30" s="103">
        <v>0.4</v>
      </c>
      <c r="AR30" s="103"/>
      <c r="AS30" s="103"/>
      <c r="AT30" s="103"/>
      <c r="AU30" s="103"/>
      <c r="AV30" s="103"/>
      <c r="AW30" s="103"/>
      <c r="AX30" s="103"/>
      <c r="AY30" s="103"/>
      <c r="AZ30" s="103">
        <v>0.25</v>
      </c>
      <c r="BA30" s="103"/>
      <c r="BB30" s="103"/>
      <c r="BC30" s="103"/>
      <c r="BD30" s="103">
        <v>0.1</v>
      </c>
      <c r="BE30" s="103">
        <v>0.1</v>
      </c>
      <c r="BF30" s="103">
        <v>0.05</v>
      </c>
      <c r="BG30" s="103">
        <v>0.05</v>
      </c>
      <c r="BH30" s="103">
        <v>0.05</v>
      </c>
      <c r="BI30" s="102"/>
      <c r="BJ30" s="103"/>
      <c r="BK30" s="103"/>
      <c r="BL30" s="103"/>
      <c r="BM30" s="103"/>
      <c r="BN30" s="103"/>
      <c r="BO30" s="103"/>
      <c r="BP30" s="103"/>
      <c r="BQ30" s="103"/>
      <c r="BR30" s="103"/>
      <c r="BS30" s="103"/>
      <c r="BT30" s="103"/>
      <c r="BU30" s="103"/>
      <c r="BV30" s="103"/>
      <c r="BW30" s="103"/>
      <c r="BX30" s="103"/>
      <c r="BY30" s="103"/>
      <c r="BZ30" s="103"/>
      <c r="CA30" s="103"/>
      <c r="CB30" s="103"/>
      <c r="CC30" s="103"/>
      <c r="CD30" s="103"/>
      <c r="CE30" s="103"/>
      <c r="CF30" s="103"/>
      <c r="CG30" s="103"/>
      <c r="CH30" s="103"/>
      <c r="CI30" s="103"/>
      <c r="CJ30" s="103"/>
      <c r="CK30" s="103"/>
      <c r="CL30" s="103"/>
      <c r="CM30" s="103"/>
      <c r="CN30" s="103"/>
      <c r="CO30" s="103"/>
      <c r="CP30" s="103"/>
      <c r="CQ30" s="103"/>
      <c r="CR30" s="103"/>
      <c r="CS30" s="103"/>
      <c r="CT30" s="103"/>
      <c r="CU30" s="103"/>
      <c r="CV30" s="103"/>
      <c r="CW30" s="103"/>
      <c r="CX30" s="103"/>
      <c r="CY30" s="103"/>
      <c r="CZ30" s="103"/>
      <c r="DA30" s="103"/>
      <c r="DB30" s="103"/>
      <c r="DC30" s="103"/>
      <c r="DD30" s="103"/>
      <c r="DE30" s="103"/>
      <c r="DF30" s="103"/>
      <c r="DG30" s="103"/>
      <c r="DH30" s="103"/>
      <c r="DI30" s="103"/>
      <c r="DJ30" s="103"/>
      <c r="DK30" s="103"/>
      <c r="DL30" s="103"/>
      <c r="DM30" s="103"/>
      <c r="DN30" s="103"/>
      <c r="DO30" s="103"/>
      <c r="DP30" s="103"/>
      <c r="DQ30" s="103"/>
      <c r="DR30" s="103"/>
      <c r="DS30" s="104"/>
      <c r="DT30" s="30">
        <f>SUM(F30:DR30)</f>
        <v>1</v>
      </c>
    </row>
    <row r="31" spans="2:124" x14ac:dyDescent="0.3">
      <c r="B31" s="74">
        <f>'6.1Personnel List'!B32</f>
        <v>19</v>
      </c>
      <c r="C31" s="73" t="s">
        <v>126</v>
      </c>
      <c r="D31" s="73" t="s">
        <v>237</v>
      </c>
      <c r="E31" s="31" t="str">
        <f>'6.1Personnel List'!H32</f>
        <v>FT</v>
      </c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2"/>
      <c r="BJ31" s="103"/>
      <c r="BK31" s="103"/>
      <c r="BL31" s="103"/>
      <c r="BM31" s="103"/>
      <c r="BN31" s="103"/>
      <c r="BO31" s="103"/>
      <c r="BP31" s="103"/>
      <c r="BQ31" s="103"/>
      <c r="BR31" s="103"/>
      <c r="BS31" s="103"/>
      <c r="BT31" s="103"/>
      <c r="BU31" s="103"/>
      <c r="BV31" s="103"/>
      <c r="BW31" s="103"/>
      <c r="BX31" s="103"/>
      <c r="BY31" s="103"/>
      <c r="BZ31" s="103"/>
      <c r="CA31" s="103"/>
      <c r="CB31" s="103"/>
      <c r="CC31" s="103"/>
      <c r="CD31" s="103"/>
      <c r="CE31" s="103"/>
      <c r="CF31" s="103"/>
      <c r="CG31" s="103"/>
      <c r="CH31" s="103"/>
      <c r="CI31" s="103"/>
      <c r="CJ31" s="103"/>
      <c r="CK31" s="103"/>
      <c r="CL31" s="103">
        <v>1</v>
      </c>
      <c r="CM31" s="103"/>
      <c r="CN31" s="103"/>
      <c r="CO31" s="103"/>
      <c r="CP31" s="103"/>
      <c r="CQ31" s="103"/>
      <c r="CR31" s="103"/>
      <c r="CS31" s="103"/>
      <c r="CT31" s="103"/>
      <c r="CU31" s="103"/>
      <c r="CV31" s="103"/>
      <c r="CW31" s="103"/>
      <c r="CX31" s="103"/>
      <c r="CY31" s="103"/>
      <c r="CZ31" s="103"/>
      <c r="DA31" s="103"/>
      <c r="DB31" s="103"/>
      <c r="DC31" s="103"/>
      <c r="DD31" s="103"/>
      <c r="DE31" s="103"/>
      <c r="DF31" s="103"/>
      <c r="DG31" s="103"/>
      <c r="DH31" s="103"/>
      <c r="DI31" s="103"/>
      <c r="DJ31" s="103"/>
      <c r="DK31" s="103"/>
      <c r="DL31" s="103"/>
      <c r="DM31" s="103"/>
      <c r="DN31" s="103"/>
      <c r="DO31" s="103"/>
      <c r="DP31" s="103"/>
      <c r="DQ31" s="103"/>
      <c r="DR31" s="103"/>
      <c r="DS31" s="104"/>
      <c r="DT31" s="30">
        <f>SUM(F31:DR31)</f>
        <v>1</v>
      </c>
    </row>
    <row r="32" spans="2:124" x14ac:dyDescent="0.3">
      <c r="B32" s="74">
        <f>'6.1Personnel List'!B33</f>
        <v>20</v>
      </c>
      <c r="C32" s="73" t="s">
        <v>127</v>
      </c>
      <c r="D32" s="73" t="s">
        <v>239</v>
      </c>
      <c r="E32" s="31" t="str">
        <f>'6.1Personnel List'!H33</f>
        <v>FT</v>
      </c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2"/>
      <c r="BJ32" s="103"/>
      <c r="BK32" s="103"/>
      <c r="BL32" s="103"/>
      <c r="BM32" s="103"/>
      <c r="BN32" s="103"/>
      <c r="BO32" s="103"/>
      <c r="BP32" s="103"/>
      <c r="BQ32" s="103"/>
      <c r="BR32" s="103"/>
      <c r="BS32" s="103"/>
      <c r="BT32" s="103"/>
      <c r="BU32" s="103"/>
      <c r="BV32" s="103"/>
      <c r="BW32" s="103"/>
      <c r="BX32" s="103"/>
      <c r="BY32" s="103"/>
      <c r="BZ32" s="103"/>
      <c r="CA32" s="103"/>
      <c r="CB32" s="103"/>
      <c r="CC32" s="103"/>
      <c r="CD32" s="103"/>
      <c r="CE32" s="103"/>
      <c r="CF32" s="103"/>
      <c r="CG32" s="103">
        <v>1</v>
      </c>
      <c r="CH32" s="103"/>
      <c r="CI32" s="103"/>
      <c r="CJ32" s="103"/>
      <c r="CK32" s="103"/>
      <c r="CL32" s="103"/>
      <c r="CM32" s="103"/>
      <c r="CN32" s="103"/>
      <c r="CO32" s="103"/>
      <c r="CP32" s="103"/>
      <c r="CQ32" s="103"/>
      <c r="CR32" s="103"/>
      <c r="CS32" s="103"/>
      <c r="CT32" s="103"/>
      <c r="CU32" s="103"/>
      <c r="CV32" s="103"/>
      <c r="CW32" s="103"/>
      <c r="CX32" s="103"/>
      <c r="CY32" s="103"/>
      <c r="CZ32" s="103"/>
      <c r="DA32" s="103"/>
      <c r="DB32" s="103"/>
      <c r="DC32" s="103"/>
      <c r="DD32" s="103"/>
      <c r="DE32" s="103"/>
      <c r="DF32" s="103"/>
      <c r="DG32" s="103"/>
      <c r="DH32" s="103"/>
      <c r="DI32" s="103"/>
      <c r="DJ32" s="103"/>
      <c r="DK32" s="103"/>
      <c r="DL32" s="103"/>
      <c r="DM32" s="103"/>
      <c r="DN32" s="103"/>
      <c r="DO32" s="103"/>
      <c r="DP32" s="103"/>
      <c r="DQ32" s="103"/>
      <c r="DR32" s="103"/>
      <c r="DS32" s="104"/>
      <c r="DT32" s="30">
        <f>SUM(F32:DR32)</f>
        <v>1</v>
      </c>
    </row>
    <row r="33" spans="2:124" x14ac:dyDescent="0.3">
      <c r="B33" s="74">
        <f>'6.1Personnel List'!B34</f>
        <v>21</v>
      </c>
      <c r="C33" s="73" t="s">
        <v>128</v>
      </c>
      <c r="D33" s="73" t="s">
        <v>240</v>
      </c>
      <c r="E33" s="31" t="str">
        <f>'6.1Personnel List'!H34</f>
        <v>FT</v>
      </c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>
        <v>0.8</v>
      </c>
      <c r="AH33" s="103"/>
      <c r="AI33" s="103"/>
      <c r="AJ33" s="103"/>
      <c r="AK33" s="103"/>
      <c r="AL33" s="103"/>
      <c r="AM33" s="103"/>
      <c r="AN33" s="103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>
        <v>0.2</v>
      </c>
      <c r="BH33" s="103"/>
      <c r="BI33" s="102"/>
      <c r="BJ33" s="103"/>
      <c r="BK33" s="103"/>
      <c r="BL33" s="103"/>
      <c r="BM33" s="103"/>
      <c r="BN33" s="103"/>
      <c r="BO33" s="103"/>
      <c r="BP33" s="103"/>
      <c r="BQ33" s="103"/>
      <c r="BR33" s="103"/>
      <c r="BS33" s="103"/>
      <c r="BT33" s="103"/>
      <c r="BU33" s="103"/>
      <c r="BV33" s="103"/>
      <c r="BW33" s="103"/>
      <c r="BX33" s="103"/>
      <c r="BY33" s="103"/>
      <c r="BZ33" s="103"/>
      <c r="CA33" s="103"/>
      <c r="CB33" s="103"/>
      <c r="CC33" s="103"/>
      <c r="CD33" s="103"/>
      <c r="CE33" s="103"/>
      <c r="CF33" s="103"/>
      <c r="CG33" s="103"/>
      <c r="CH33" s="103"/>
      <c r="CI33" s="103"/>
      <c r="CJ33" s="103"/>
      <c r="CK33" s="103"/>
      <c r="CL33" s="103"/>
      <c r="CM33" s="103"/>
      <c r="CN33" s="103"/>
      <c r="CO33" s="103"/>
      <c r="CP33" s="103"/>
      <c r="CQ33" s="103"/>
      <c r="CR33" s="103"/>
      <c r="CS33" s="103"/>
      <c r="CT33" s="103"/>
      <c r="CU33" s="103"/>
      <c r="CV33" s="103"/>
      <c r="CW33" s="103"/>
      <c r="CX33" s="103"/>
      <c r="CY33" s="103"/>
      <c r="CZ33" s="103"/>
      <c r="DA33" s="103"/>
      <c r="DB33" s="103"/>
      <c r="DC33" s="103"/>
      <c r="DD33" s="103"/>
      <c r="DE33" s="103"/>
      <c r="DF33" s="103"/>
      <c r="DG33" s="103"/>
      <c r="DH33" s="103"/>
      <c r="DI33" s="103"/>
      <c r="DJ33" s="103"/>
      <c r="DK33" s="103"/>
      <c r="DL33" s="103"/>
      <c r="DM33" s="103"/>
      <c r="DN33" s="103"/>
      <c r="DO33" s="103"/>
      <c r="DP33" s="103"/>
      <c r="DQ33" s="103"/>
      <c r="DR33" s="103"/>
      <c r="DS33" s="104"/>
      <c r="DT33" s="30">
        <f>SUM(F33:DR33)</f>
        <v>1</v>
      </c>
    </row>
    <row r="34" spans="2:124" x14ac:dyDescent="0.3">
      <c r="B34" s="74">
        <f>'6.1Personnel List'!B35</f>
        <v>22</v>
      </c>
      <c r="C34" s="73" t="s">
        <v>129</v>
      </c>
      <c r="D34" s="73" t="s">
        <v>236</v>
      </c>
      <c r="E34" s="31" t="str">
        <f>'6.1Personnel List'!H35</f>
        <v>FT</v>
      </c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2"/>
      <c r="BJ34" s="103"/>
      <c r="BK34" s="103"/>
      <c r="BL34" s="103"/>
      <c r="BM34" s="103"/>
      <c r="BN34" s="103"/>
      <c r="BO34" s="103"/>
      <c r="BP34" s="103"/>
      <c r="BQ34" s="103"/>
      <c r="BR34" s="103"/>
      <c r="BS34" s="103"/>
      <c r="BT34" s="103"/>
      <c r="BU34" s="103"/>
      <c r="BV34" s="103"/>
      <c r="BW34" s="103"/>
      <c r="BX34" s="103"/>
      <c r="BY34" s="103"/>
      <c r="BZ34" s="103"/>
      <c r="CA34" s="103"/>
      <c r="CB34" s="103"/>
      <c r="CC34" s="103"/>
      <c r="CD34" s="103"/>
      <c r="CE34" s="103"/>
      <c r="CF34" s="103"/>
      <c r="CG34" s="103"/>
      <c r="CH34" s="103">
        <v>1</v>
      </c>
      <c r="CI34" s="103"/>
      <c r="CJ34" s="103"/>
      <c r="CK34" s="103"/>
      <c r="CL34" s="103"/>
      <c r="CM34" s="103"/>
      <c r="CN34" s="103"/>
      <c r="CO34" s="103"/>
      <c r="CP34" s="103"/>
      <c r="CQ34" s="103"/>
      <c r="CR34" s="103"/>
      <c r="CS34" s="103"/>
      <c r="CT34" s="103"/>
      <c r="CU34" s="103"/>
      <c r="CV34" s="103"/>
      <c r="CW34" s="103"/>
      <c r="CX34" s="103"/>
      <c r="CY34" s="103"/>
      <c r="CZ34" s="103"/>
      <c r="DA34" s="103"/>
      <c r="DB34" s="103"/>
      <c r="DC34" s="103"/>
      <c r="DD34" s="103"/>
      <c r="DE34" s="103"/>
      <c r="DF34" s="103"/>
      <c r="DG34" s="103"/>
      <c r="DH34" s="103"/>
      <c r="DI34" s="103"/>
      <c r="DJ34" s="103"/>
      <c r="DK34" s="103"/>
      <c r="DL34" s="103"/>
      <c r="DM34" s="103"/>
      <c r="DN34" s="103"/>
      <c r="DO34" s="103"/>
      <c r="DP34" s="103"/>
      <c r="DQ34" s="103"/>
      <c r="DR34" s="103"/>
      <c r="DS34" s="104"/>
      <c r="DT34" s="30">
        <f>SUM(F34:DR34)</f>
        <v>1</v>
      </c>
    </row>
    <row r="35" spans="2:124" x14ac:dyDescent="0.3">
      <c r="B35" s="74">
        <f>'6.1Personnel List'!B36</f>
        <v>23</v>
      </c>
      <c r="C35" s="73" t="s">
        <v>130</v>
      </c>
      <c r="D35" s="73" t="s">
        <v>237</v>
      </c>
      <c r="E35" s="31" t="str">
        <f>'6.1Personnel List'!H36</f>
        <v>FT</v>
      </c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>
        <v>0.3</v>
      </c>
      <c r="BE35" s="103">
        <v>0.2</v>
      </c>
      <c r="BF35" s="103">
        <v>0.3</v>
      </c>
      <c r="BG35" s="103">
        <v>0.1</v>
      </c>
      <c r="BH35" s="103">
        <v>0.1</v>
      </c>
      <c r="BI35" s="102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3"/>
      <c r="BX35" s="103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3"/>
      <c r="CJ35" s="103"/>
      <c r="CK35" s="103"/>
      <c r="CL35" s="103"/>
      <c r="CM35" s="103"/>
      <c r="CN35" s="103"/>
      <c r="CO35" s="103"/>
      <c r="CP35" s="103"/>
      <c r="CQ35" s="103"/>
      <c r="CR35" s="103"/>
      <c r="CS35" s="103"/>
      <c r="CT35" s="103"/>
      <c r="CU35" s="103"/>
      <c r="CV35" s="103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4"/>
      <c r="DT35" s="30">
        <f>SUM(F35:DR35)</f>
        <v>1</v>
      </c>
    </row>
    <row r="36" spans="2:124" x14ac:dyDescent="0.3">
      <c r="B36" s="74">
        <f>'6.1Personnel List'!B37</f>
        <v>24</v>
      </c>
      <c r="C36" s="73" t="s">
        <v>131</v>
      </c>
      <c r="D36" s="73" t="s">
        <v>237</v>
      </c>
      <c r="E36" s="31" t="str">
        <f>'6.1Personnel List'!H37</f>
        <v>FT</v>
      </c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  <c r="AI36" s="103"/>
      <c r="AJ36" s="103"/>
      <c r="AK36" s="103"/>
      <c r="AL36" s="103"/>
      <c r="AM36" s="103"/>
      <c r="AN36" s="103"/>
      <c r="AO36" s="103"/>
      <c r="AP36" s="103"/>
      <c r="AQ36" s="103"/>
      <c r="AR36" s="103"/>
      <c r="AS36" s="103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>
        <v>0.3</v>
      </c>
      <c r="BE36" s="103">
        <v>0.2</v>
      </c>
      <c r="BF36" s="103">
        <v>0.3</v>
      </c>
      <c r="BG36" s="103">
        <v>0.1</v>
      </c>
      <c r="BH36" s="103">
        <v>0.1</v>
      </c>
      <c r="BI36" s="102"/>
      <c r="BJ36" s="103"/>
      <c r="BK36" s="103"/>
      <c r="BL36" s="103"/>
      <c r="BM36" s="103"/>
      <c r="BN36" s="103"/>
      <c r="BO36" s="103"/>
      <c r="BP36" s="103"/>
      <c r="BQ36" s="103"/>
      <c r="BR36" s="103"/>
      <c r="BS36" s="103"/>
      <c r="BT36" s="103"/>
      <c r="BU36" s="103"/>
      <c r="BV36" s="103"/>
      <c r="BW36" s="103"/>
      <c r="BX36" s="103"/>
      <c r="BY36" s="103"/>
      <c r="BZ36" s="103"/>
      <c r="CA36" s="103"/>
      <c r="CB36" s="103"/>
      <c r="CC36" s="103"/>
      <c r="CD36" s="103"/>
      <c r="CE36" s="103"/>
      <c r="CF36" s="103"/>
      <c r="CG36" s="103"/>
      <c r="CH36" s="103"/>
      <c r="CI36" s="103"/>
      <c r="CJ36" s="103"/>
      <c r="CK36" s="103"/>
      <c r="CL36" s="103"/>
      <c r="CM36" s="103"/>
      <c r="CN36" s="103"/>
      <c r="CO36" s="103"/>
      <c r="CP36" s="103"/>
      <c r="CQ36" s="103"/>
      <c r="CR36" s="103"/>
      <c r="CS36" s="103"/>
      <c r="CT36" s="103"/>
      <c r="CU36" s="103"/>
      <c r="CV36" s="103"/>
      <c r="CW36" s="103"/>
      <c r="CX36" s="103"/>
      <c r="CY36" s="103"/>
      <c r="CZ36" s="103"/>
      <c r="DA36" s="103"/>
      <c r="DB36" s="103"/>
      <c r="DC36" s="103"/>
      <c r="DD36" s="103"/>
      <c r="DE36" s="103"/>
      <c r="DF36" s="103"/>
      <c r="DG36" s="103"/>
      <c r="DH36" s="103"/>
      <c r="DI36" s="103"/>
      <c r="DJ36" s="103"/>
      <c r="DK36" s="103"/>
      <c r="DL36" s="103"/>
      <c r="DM36" s="103"/>
      <c r="DN36" s="103"/>
      <c r="DO36" s="103"/>
      <c r="DP36" s="103"/>
      <c r="DQ36" s="103"/>
      <c r="DR36" s="103"/>
      <c r="DS36" s="104"/>
      <c r="DT36" s="30">
        <f>SUM(F36:DR36)</f>
        <v>1</v>
      </c>
    </row>
    <row r="37" spans="2:124" x14ac:dyDescent="0.3">
      <c r="B37" s="74">
        <f>'6.1Personnel List'!B38</f>
        <v>25</v>
      </c>
      <c r="C37" s="73" t="s">
        <v>132</v>
      </c>
      <c r="D37" s="73" t="s">
        <v>238</v>
      </c>
      <c r="E37" s="31" t="str">
        <f>'6.1Personnel List'!H38</f>
        <v>FT</v>
      </c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3"/>
      <c r="AN37" s="103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>
        <v>0.3</v>
      </c>
      <c r="BE37" s="103">
        <v>0.2</v>
      </c>
      <c r="BF37" s="103">
        <v>0.3</v>
      </c>
      <c r="BG37" s="103">
        <v>0.1</v>
      </c>
      <c r="BH37" s="103">
        <v>0.1</v>
      </c>
      <c r="BI37" s="102"/>
      <c r="BJ37" s="103"/>
      <c r="BK37" s="103"/>
      <c r="BL37" s="103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3"/>
      <c r="BX37" s="103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3"/>
      <c r="CJ37" s="103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3"/>
      <c r="CV37" s="103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3"/>
      <c r="DH37" s="103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4"/>
      <c r="DT37" s="30">
        <f>SUM(F37:DR37)</f>
        <v>1</v>
      </c>
    </row>
    <row r="38" spans="2:124" x14ac:dyDescent="0.3">
      <c r="B38" s="74">
        <f>'6.1Personnel List'!B39</f>
        <v>26</v>
      </c>
      <c r="C38" s="73" t="s">
        <v>133</v>
      </c>
      <c r="D38" s="73" t="s">
        <v>237</v>
      </c>
      <c r="E38" s="31" t="str">
        <f>'6.1Personnel List'!H39</f>
        <v>FT</v>
      </c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103"/>
      <c r="AQ38" s="103"/>
      <c r="AR38" s="103"/>
      <c r="AS38" s="103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>
        <v>0.3</v>
      </c>
      <c r="BE38" s="103">
        <v>0.2</v>
      </c>
      <c r="BF38" s="103">
        <v>0.3</v>
      </c>
      <c r="BG38" s="103">
        <v>0.1</v>
      </c>
      <c r="BH38" s="103">
        <v>0.1</v>
      </c>
      <c r="BI38" s="102"/>
      <c r="BJ38" s="103"/>
      <c r="BK38" s="103"/>
      <c r="BL38" s="103"/>
      <c r="BM38" s="103"/>
      <c r="BN38" s="103"/>
      <c r="BO38" s="103"/>
      <c r="BP38" s="103"/>
      <c r="BQ38" s="103"/>
      <c r="BR38" s="103"/>
      <c r="BS38" s="103"/>
      <c r="BT38" s="103"/>
      <c r="BU38" s="103"/>
      <c r="BV38" s="103"/>
      <c r="BW38" s="103"/>
      <c r="BX38" s="103"/>
      <c r="BY38" s="103"/>
      <c r="BZ38" s="103"/>
      <c r="CA38" s="103"/>
      <c r="CB38" s="103"/>
      <c r="CC38" s="103"/>
      <c r="CD38" s="103"/>
      <c r="CE38" s="103"/>
      <c r="CF38" s="103"/>
      <c r="CG38" s="103"/>
      <c r="CH38" s="103"/>
      <c r="CI38" s="103"/>
      <c r="CJ38" s="103"/>
      <c r="CK38" s="103"/>
      <c r="CL38" s="103"/>
      <c r="CM38" s="103"/>
      <c r="CN38" s="103"/>
      <c r="CO38" s="103"/>
      <c r="CP38" s="103"/>
      <c r="CQ38" s="103"/>
      <c r="CR38" s="103"/>
      <c r="CS38" s="103"/>
      <c r="CT38" s="103"/>
      <c r="CU38" s="103"/>
      <c r="CV38" s="103"/>
      <c r="CW38" s="103"/>
      <c r="CX38" s="103"/>
      <c r="CY38" s="103"/>
      <c r="CZ38" s="103"/>
      <c r="DA38" s="103"/>
      <c r="DB38" s="103"/>
      <c r="DC38" s="103"/>
      <c r="DD38" s="103"/>
      <c r="DE38" s="103"/>
      <c r="DF38" s="103"/>
      <c r="DG38" s="103"/>
      <c r="DH38" s="103"/>
      <c r="DI38" s="103"/>
      <c r="DJ38" s="103"/>
      <c r="DK38" s="103"/>
      <c r="DL38" s="103"/>
      <c r="DM38" s="103"/>
      <c r="DN38" s="103"/>
      <c r="DO38" s="103"/>
      <c r="DP38" s="103"/>
      <c r="DQ38" s="103"/>
      <c r="DR38" s="103"/>
      <c r="DS38" s="104"/>
      <c r="DT38" s="30">
        <f>SUM(F38:DR38)</f>
        <v>1</v>
      </c>
    </row>
    <row r="39" spans="2:124" x14ac:dyDescent="0.3">
      <c r="B39" s="74">
        <f>'6.1Personnel List'!B40</f>
        <v>27</v>
      </c>
      <c r="C39" s="73" t="s">
        <v>134</v>
      </c>
      <c r="D39" s="73" t="s">
        <v>237</v>
      </c>
      <c r="E39" s="31" t="str">
        <f>'6.1Personnel List'!H40</f>
        <v>FT</v>
      </c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3"/>
      <c r="AL39" s="103"/>
      <c r="AM39" s="103"/>
      <c r="AN39" s="103"/>
      <c r="AO39" s="103"/>
      <c r="AP39" s="103"/>
      <c r="AQ39" s="103"/>
      <c r="AR39" s="103"/>
      <c r="AS39" s="103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>
        <v>0.3</v>
      </c>
      <c r="BE39" s="103">
        <v>0.2</v>
      </c>
      <c r="BF39" s="103">
        <v>0.3</v>
      </c>
      <c r="BG39" s="103">
        <v>0.1</v>
      </c>
      <c r="BH39" s="103">
        <v>0.1</v>
      </c>
      <c r="BI39" s="102"/>
      <c r="BJ39" s="103"/>
      <c r="BK39" s="103"/>
      <c r="BL39" s="103"/>
      <c r="BM39" s="103"/>
      <c r="BN39" s="103"/>
      <c r="BO39" s="103"/>
      <c r="BP39" s="103"/>
      <c r="BQ39" s="103"/>
      <c r="BR39" s="103"/>
      <c r="BS39" s="103"/>
      <c r="BT39" s="103"/>
      <c r="BU39" s="103"/>
      <c r="BV39" s="103"/>
      <c r="BW39" s="103"/>
      <c r="BX39" s="103"/>
      <c r="BY39" s="103"/>
      <c r="BZ39" s="103"/>
      <c r="CA39" s="103"/>
      <c r="CB39" s="103"/>
      <c r="CC39" s="103"/>
      <c r="CD39" s="103"/>
      <c r="CE39" s="103"/>
      <c r="CF39" s="103"/>
      <c r="CG39" s="103"/>
      <c r="CH39" s="103"/>
      <c r="CI39" s="103"/>
      <c r="CJ39" s="103"/>
      <c r="CK39" s="103"/>
      <c r="CL39" s="103"/>
      <c r="CM39" s="103"/>
      <c r="CN39" s="103"/>
      <c r="CO39" s="103"/>
      <c r="CP39" s="103"/>
      <c r="CQ39" s="103"/>
      <c r="CR39" s="103"/>
      <c r="CS39" s="103"/>
      <c r="CT39" s="103"/>
      <c r="CU39" s="103"/>
      <c r="CV39" s="103"/>
      <c r="CW39" s="103"/>
      <c r="CX39" s="103"/>
      <c r="CY39" s="103"/>
      <c r="CZ39" s="103"/>
      <c r="DA39" s="103"/>
      <c r="DB39" s="103"/>
      <c r="DC39" s="103"/>
      <c r="DD39" s="103"/>
      <c r="DE39" s="103"/>
      <c r="DF39" s="103"/>
      <c r="DG39" s="103"/>
      <c r="DH39" s="103"/>
      <c r="DI39" s="103"/>
      <c r="DJ39" s="103"/>
      <c r="DK39" s="103"/>
      <c r="DL39" s="103"/>
      <c r="DM39" s="103"/>
      <c r="DN39" s="103"/>
      <c r="DO39" s="103"/>
      <c r="DP39" s="103"/>
      <c r="DQ39" s="103"/>
      <c r="DR39" s="103"/>
      <c r="DS39" s="104"/>
      <c r="DT39" s="30">
        <f>SUM(F39:DR39)</f>
        <v>1</v>
      </c>
    </row>
    <row r="40" spans="2:124" x14ac:dyDescent="0.3">
      <c r="B40" s="74">
        <f>'6.1Personnel List'!B41</f>
        <v>28</v>
      </c>
      <c r="C40" s="73" t="s">
        <v>135</v>
      </c>
      <c r="D40" s="73" t="s">
        <v>241</v>
      </c>
      <c r="E40" s="31" t="str">
        <f>'6.1Personnel List'!H41</f>
        <v>FT</v>
      </c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2"/>
      <c r="BJ40" s="103"/>
      <c r="BK40" s="103"/>
      <c r="BL40" s="103"/>
      <c r="BM40" s="103"/>
      <c r="BN40" s="103"/>
      <c r="BO40" s="103"/>
      <c r="BP40" s="103"/>
      <c r="BQ40" s="103"/>
      <c r="BR40" s="103"/>
      <c r="BS40" s="103"/>
      <c r="BT40" s="103"/>
      <c r="BU40" s="103"/>
      <c r="BV40" s="103"/>
      <c r="BW40" s="103"/>
      <c r="BX40" s="103"/>
      <c r="BY40" s="103"/>
      <c r="BZ40" s="103"/>
      <c r="CA40" s="103"/>
      <c r="CB40" s="103"/>
      <c r="CC40" s="103"/>
      <c r="CD40" s="103"/>
      <c r="CE40" s="103">
        <v>1</v>
      </c>
      <c r="CF40" s="103"/>
      <c r="CG40" s="103"/>
      <c r="CH40" s="103"/>
      <c r="CI40" s="103"/>
      <c r="CJ40" s="103"/>
      <c r="CK40" s="103"/>
      <c r="CL40" s="103"/>
      <c r="CM40" s="103"/>
      <c r="CN40" s="103"/>
      <c r="CO40" s="103"/>
      <c r="CP40" s="103"/>
      <c r="CQ40" s="103"/>
      <c r="CR40" s="103"/>
      <c r="CS40" s="103"/>
      <c r="CT40" s="103"/>
      <c r="CU40" s="103"/>
      <c r="CV40" s="103"/>
      <c r="CW40" s="103"/>
      <c r="CX40" s="103"/>
      <c r="CY40" s="103"/>
      <c r="CZ40" s="103"/>
      <c r="DA40" s="103"/>
      <c r="DB40" s="103"/>
      <c r="DC40" s="103"/>
      <c r="DD40" s="103"/>
      <c r="DE40" s="103"/>
      <c r="DF40" s="103"/>
      <c r="DG40" s="103"/>
      <c r="DH40" s="103"/>
      <c r="DI40" s="103"/>
      <c r="DJ40" s="103"/>
      <c r="DK40" s="103"/>
      <c r="DL40" s="103"/>
      <c r="DM40" s="103"/>
      <c r="DN40" s="103"/>
      <c r="DO40" s="103"/>
      <c r="DP40" s="103"/>
      <c r="DQ40" s="103"/>
      <c r="DR40" s="103"/>
      <c r="DS40" s="104"/>
      <c r="DT40" s="30">
        <f>SUM(F40:DR40)</f>
        <v>1</v>
      </c>
    </row>
    <row r="41" spans="2:124" x14ac:dyDescent="0.3">
      <c r="B41" s="74">
        <f>'6.1Personnel List'!B42</f>
        <v>29</v>
      </c>
      <c r="C41" s="73" t="s">
        <v>136</v>
      </c>
      <c r="D41" s="73" t="s">
        <v>237</v>
      </c>
      <c r="E41" s="31" t="str">
        <f>'6.1Personnel List'!H42</f>
        <v>FT</v>
      </c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3"/>
      <c r="AL41" s="103"/>
      <c r="AM41" s="103"/>
      <c r="AN41" s="103"/>
      <c r="AO41" s="103"/>
      <c r="AP41" s="103"/>
      <c r="AQ41" s="103"/>
      <c r="AR41" s="103"/>
      <c r="AS41" s="103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>
        <v>0.3</v>
      </c>
      <c r="BE41" s="103">
        <v>0.2</v>
      </c>
      <c r="BF41" s="103">
        <v>0.3</v>
      </c>
      <c r="BG41" s="103">
        <v>0.1</v>
      </c>
      <c r="BH41" s="103">
        <v>0.1</v>
      </c>
      <c r="BI41" s="102"/>
      <c r="BJ41" s="103"/>
      <c r="BK41" s="103"/>
      <c r="BL41" s="103"/>
      <c r="BM41" s="103"/>
      <c r="BN41" s="103"/>
      <c r="BO41" s="103"/>
      <c r="BP41" s="103"/>
      <c r="BQ41" s="103"/>
      <c r="BR41" s="103"/>
      <c r="BS41" s="103"/>
      <c r="BT41" s="103"/>
      <c r="BU41" s="103"/>
      <c r="BV41" s="103"/>
      <c r="BW41" s="103"/>
      <c r="BX41" s="103"/>
      <c r="BY41" s="103"/>
      <c r="BZ41" s="103"/>
      <c r="CA41" s="103"/>
      <c r="CB41" s="103"/>
      <c r="CC41" s="103"/>
      <c r="CD41" s="103"/>
      <c r="CE41" s="103"/>
      <c r="CF41" s="103"/>
      <c r="CG41" s="103"/>
      <c r="CH41" s="103"/>
      <c r="CI41" s="103"/>
      <c r="CJ41" s="103"/>
      <c r="CK41" s="103"/>
      <c r="CL41" s="103"/>
      <c r="CM41" s="103"/>
      <c r="CN41" s="103"/>
      <c r="CO41" s="103"/>
      <c r="CP41" s="103"/>
      <c r="CQ41" s="103"/>
      <c r="CR41" s="103"/>
      <c r="CS41" s="103"/>
      <c r="CT41" s="103"/>
      <c r="CU41" s="103"/>
      <c r="CV41" s="103"/>
      <c r="CW41" s="103"/>
      <c r="CX41" s="103"/>
      <c r="CY41" s="103"/>
      <c r="CZ41" s="103"/>
      <c r="DA41" s="103"/>
      <c r="DB41" s="103"/>
      <c r="DC41" s="103"/>
      <c r="DD41" s="103"/>
      <c r="DE41" s="103"/>
      <c r="DF41" s="103"/>
      <c r="DG41" s="103"/>
      <c r="DH41" s="103"/>
      <c r="DI41" s="103"/>
      <c r="DJ41" s="103"/>
      <c r="DK41" s="103"/>
      <c r="DL41" s="103"/>
      <c r="DM41" s="103"/>
      <c r="DN41" s="103"/>
      <c r="DO41" s="103"/>
      <c r="DP41" s="103"/>
      <c r="DQ41" s="103"/>
      <c r="DR41" s="103"/>
      <c r="DS41" s="104"/>
      <c r="DT41" s="30">
        <f>SUM(F41:DR41)</f>
        <v>1</v>
      </c>
    </row>
    <row r="42" spans="2:124" x14ac:dyDescent="0.3">
      <c r="B42" s="74">
        <f>'6.1Personnel List'!B43</f>
        <v>30</v>
      </c>
      <c r="C42" s="73" t="s">
        <v>137</v>
      </c>
      <c r="D42" s="73" t="s">
        <v>238</v>
      </c>
      <c r="E42" s="31" t="str">
        <f>'6.1Personnel List'!H43</f>
        <v>FT</v>
      </c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  <c r="AK42" s="103"/>
      <c r="AL42" s="103"/>
      <c r="AM42" s="103"/>
      <c r="AN42" s="103"/>
      <c r="AO42" s="103"/>
      <c r="AP42" s="103"/>
      <c r="AQ42" s="103">
        <v>0.4</v>
      </c>
      <c r="AR42" s="103"/>
      <c r="AS42" s="103"/>
      <c r="AT42" s="103"/>
      <c r="AU42" s="103"/>
      <c r="AV42" s="103"/>
      <c r="AW42" s="103"/>
      <c r="AX42" s="103"/>
      <c r="AY42" s="103"/>
      <c r="AZ42" s="103">
        <v>0.25</v>
      </c>
      <c r="BA42" s="103"/>
      <c r="BB42" s="103"/>
      <c r="BC42" s="103"/>
      <c r="BD42" s="103">
        <v>0.1</v>
      </c>
      <c r="BE42" s="103">
        <v>0.1</v>
      </c>
      <c r="BF42" s="103">
        <v>0.05</v>
      </c>
      <c r="BG42" s="103">
        <v>0.05</v>
      </c>
      <c r="BH42" s="103">
        <v>0.05</v>
      </c>
      <c r="BI42" s="102"/>
      <c r="BJ42" s="103"/>
      <c r="BK42" s="103"/>
      <c r="BL42" s="103"/>
      <c r="BM42" s="103"/>
      <c r="BN42" s="103"/>
      <c r="BO42" s="103"/>
      <c r="BP42" s="103"/>
      <c r="BQ42" s="103"/>
      <c r="BR42" s="103"/>
      <c r="BS42" s="103"/>
      <c r="BT42" s="103"/>
      <c r="BU42" s="103"/>
      <c r="BV42" s="103"/>
      <c r="BW42" s="103"/>
      <c r="BX42" s="103"/>
      <c r="BY42" s="103"/>
      <c r="BZ42" s="103"/>
      <c r="CA42" s="103"/>
      <c r="CB42" s="103"/>
      <c r="CC42" s="103"/>
      <c r="CD42" s="103"/>
      <c r="CE42" s="103"/>
      <c r="CF42" s="103"/>
      <c r="CG42" s="103"/>
      <c r="CH42" s="103"/>
      <c r="CI42" s="103"/>
      <c r="CJ42" s="103"/>
      <c r="CK42" s="103"/>
      <c r="CL42" s="103"/>
      <c r="CM42" s="103"/>
      <c r="CN42" s="103"/>
      <c r="CO42" s="103"/>
      <c r="CP42" s="103"/>
      <c r="CQ42" s="103"/>
      <c r="CR42" s="103"/>
      <c r="CS42" s="103"/>
      <c r="CT42" s="103"/>
      <c r="CU42" s="103"/>
      <c r="CV42" s="103"/>
      <c r="CW42" s="103"/>
      <c r="CX42" s="103"/>
      <c r="CY42" s="103"/>
      <c r="CZ42" s="103"/>
      <c r="DA42" s="103"/>
      <c r="DB42" s="103"/>
      <c r="DC42" s="103"/>
      <c r="DD42" s="103"/>
      <c r="DE42" s="103"/>
      <c r="DF42" s="103"/>
      <c r="DG42" s="103"/>
      <c r="DH42" s="103"/>
      <c r="DI42" s="103"/>
      <c r="DJ42" s="103"/>
      <c r="DK42" s="103"/>
      <c r="DL42" s="103"/>
      <c r="DM42" s="103"/>
      <c r="DN42" s="103"/>
      <c r="DO42" s="103"/>
      <c r="DP42" s="103"/>
      <c r="DQ42" s="103"/>
      <c r="DR42" s="103"/>
      <c r="DS42" s="104"/>
      <c r="DT42" s="30">
        <f>SUM(F42:DR42)</f>
        <v>1</v>
      </c>
    </row>
    <row r="43" spans="2:124" x14ac:dyDescent="0.3">
      <c r="B43" s="74">
        <f>'6.1Personnel List'!B44</f>
        <v>31</v>
      </c>
      <c r="C43" s="73" t="s">
        <v>138</v>
      </c>
      <c r="D43" s="73" t="s">
        <v>237</v>
      </c>
      <c r="E43" s="31" t="str">
        <f>'6.1Personnel List'!H44</f>
        <v>FT</v>
      </c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3"/>
      <c r="AD43" s="103"/>
      <c r="AE43" s="103"/>
      <c r="AF43" s="103"/>
      <c r="AG43" s="103"/>
      <c r="AH43" s="103"/>
      <c r="AI43" s="103"/>
      <c r="AJ43" s="103"/>
      <c r="AK43" s="103"/>
      <c r="AL43" s="103"/>
      <c r="AM43" s="103"/>
      <c r="AN43" s="103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2"/>
      <c r="BJ43" s="103"/>
      <c r="BK43" s="103"/>
      <c r="BL43" s="103"/>
      <c r="BM43" s="103"/>
      <c r="BN43" s="103"/>
      <c r="BO43" s="103"/>
      <c r="BP43" s="103"/>
      <c r="BQ43" s="103"/>
      <c r="BR43" s="103"/>
      <c r="BS43" s="103"/>
      <c r="BT43" s="103"/>
      <c r="BU43" s="103"/>
      <c r="BV43" s="103"/>
      <c r="BW43" s="103"/>
      <c r="BX43" s="103"/>
      <c r="BY43" s="103"/>
      <c r="BZ43" s="103"/>
      <c r="CA43" s="103"/>
      <c r="CB43" s="103"/>
      <c r="CC43" s="103"/>
      <c r="CD43" s="103"/>
      <c r="CE43" s="103"/>
      <c r="CF43" s="103"/>
      <c r="CG43" s="103"/>
      <c r="CH43" s="103"/>
      <c r="CI43" s="103"/>
      <c r="CJ43" s="103"/>
      <c r="CK43" s="103"/>
      <c r="CL43" s="103">
        <v>1</v>
      </c>
      <c r="CM43" s="103"/>
      <c r="CN43" s="103"/>
      <c r="CO43" s="103"/>
      <c r="CP43" s="103"/>
      <c r="CQ43" s="103"/>
      <c r="CR43" s="103"/>
      <c r="CS43" s="103"/>
      <c r="CT43" s="103"/>
      <c r="CU43" s="103"/>
      <c r="CV43" s="103"/>
      <c r="CW43" s="103"/>
      <c r="CX43" s="103"/>
      <c r="CY43" s="103"/>
      <c r="CZ43" s="103"/>
      <c r="DA43" s="103"/>
      <c r="DB43" s="103"/>
      <c r="DC43" s="103"/>
      <c r="DD43" s="103"/>
      <c r="DE43" s="103"/>
      <c r="DF43" s="103"/>
      <c r="DG43" s="103"/>
      <c r="DH43" s="103"/>
      <c r="DI43" s="103"/>
      <c r="DJ43" s="103"/>
      <c r="DK43" s="103"/>
      <c r="DL43" s="103"/>
      <c r="DM43" s="103"/>
      <c r="DN43" s="103"/>
      <c r="DO43" s="103"/>
      <c r="DP43" s="103"/>
      <c r="DQ43" s="103"/>
      <c r="DR43" s="103"/>
      <c r="DS43" s="104"/>
      <c r="DT43" s="30">
        <f>SUM(F43:DR43)</f>
        <v>1</v>
      </c>
    </row>
    <row r="44" spans="2:124" x14ac:dyDescent="0.3">
      <c r="B44" s="74">
        <f>'6.1Personnel List'!B45</f>
        <v>32</v>
      </c>
      <c r="C44" s="73" t="s">
        <v>139</v>
      </c>
      <c r="D44" s="73" t="s">
        <v>237</v>
      </c>
      <c r="E44" s="31" t="str">
        <f>'6.1Personnel List'!H45</f>
        <v>FT</v>
      </c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>
        <v>0.3</v>
      </c>
      <c r="BE44" s="103">
        <v>0.2</v>
      </c>
      <c r="BF44" s="103">
        <v>0.3</v>
      </c>
      <c r="BG44" s="103">
        <v>0.1</v>
      </c>
      <c r="BH44" s="103">
        <v>0.1</v>
      </c>
      <c r="BI44" s="102"/>
      <c r="BJ44" s="103"/>
      <c r="BK44" s="103"/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3"/>
      <c r="BX44" s="103"/>
      <c r="BY44" s="103"/>
      <c r="BZ44" s="103"/>
      <c r="CA44" s="103"/>
      <c r="CB44" s="103"/>
      <c r="CC44" s="103"/>
      <c r="CD44" s="103"/>
      <c r="CE44" s="103"/>
      <c r="CF44" s="103"/>
      <c r="CG44" s="103"/>
      <c r="CH44" s="103"/>
      <c r="CI44" s="103"/>
      <c r="CJ44" s="103"/>
      <c r="CK44" s="103"/>
      <c r="CL44" s="103"/>
      <c r="CM44" s="103"/>
      <c r="CN44" s="103"/>
      <c r="CO44" s="103"/>
      <c r="CP44" s="103"/>
      <c r="CQ44" s="103"/>
      <c r="CR44" s="103"/>
      <c r="CS44" s="103"/>
      <c r="CT44" s="103"/>
      <c r="CU44" s="103"/>
      <c r="CV44" s="103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3"/>
      <c r="DH44" s="103"/>
      <c r="DI44" s="103"/>
      <c r="DJ44" s="103"/>
      <c r="DK44" s="103"/>
      <c r="DL44" s="103"/>
      <c r="DM44" s="103"/>
      <c r="DN44" s="103"/>
      <c r="DO44" s="103"/>
      <c r="DP44" s="103"/>
      <c r="DQ44" s="103"/>
      <c r="DR44" s="103"/>
      <c r="DS44" s="104"/>
      <c r="DT44" s="30">
        <f>SUM(F44:DR44)</f>
        <v>1</v>
      </c>
    </row>
    <row r="45" spans="2:124" x14ac:dyDescent="0.3">
      <c r="B45" s="74">
        <f>'6.1Personnel List'!B46</f>
        <v>33</v>
      </c>
      <c r="C45" s="73" t="s">
        <v>140</v>
      </c>
      <c r="D45" s="73" t="s">
        <v>237</v>
      </c>
      <c r="E45" s="31" t="str">
        <f>'6.1Personnel List'!H46</f>
        <v>FT</v>
      </c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>
        <v>0.3</v>
      </c>
      <c r="BE45" s="103">
        <v>0.2</v>
      </c>
      <c r="BF45" s="103">
        <v>0.3</v>
      </c>
      <c r="BG45" s="103">
        <v>0.1</v>
      </c>
      <c r="BH45" s="103">
        <v>0.1</v>
      </c>
      <c r="BI45" s="102"/>
      <c r="BJ45" s="103"/>
      <c r="BK45" s="103"/>
      <c r="BL45" s="103"/>
      <c r="BM45" s="103"/>
      <c r="BN45" s="103"/>
      <c r="BO45" s="103"/>
      <c r="BP45" s="103"/>
      <c r="BQ45" s="103"/>
      <c r="BR45" s="103"/>
      <c r="BS45" s="103"/>
      <c r="BT45" s="103"/>
      <c r="BU45" s="103"/>
      <c r="BV45" s="103"/>
      <c r="BW45" s="103"/>
      <c r="BX45" s="103"/>
      <c r="BY45" s="103"/>
      <c r="BZ45" s="103"/>
      <c r="CA45" s="103"/>
      <c r="CB45" s="103"/>
      <c r="CC45" s="103"/>
      <c r="CD45" s="103"/>
      <c r="CE45" s="103"/>
      <c r="CF45" s="103"/>
      <c r="CG45" s="103"/>
      <c r="CH45" s="103"/>
      <c r="CI45" s="103"/>
      <c r="CJ45" s="103"/>
      <c r="CK45" s="103"/>
      <c r="CL45" s="103"/>
      <c r="CM45" s="103"/>
      <c r="CN45" s="103"/>
      <c r="CO45" s="103"/>
      <c r="CP45" s="103"/>
      <c r="CQ45" s="103"/>
      <c r="CR45" s="103"/>
      <c r="CS45" s="103"/>
      <c r="CT45" s="103"/>
      <c r="CU45" s="103"/>
      <c r="CV45" s="103"/>
      <c r="CW45" s="103"/>
      <c r="CX45" s="103"/>
      <c r="CY45" s="103"/>
      <c r="CZ45" s="103"/>
      <c r="DA45" s="103"/>
      <c r="DB45" s="103"/>
      <c r="DC45" s="103"/>
      <c r="DD45" s="103"/>
      <c r="DE45" s="103"/>
      <c r="DF45" s="103"/>
      <c r="DG45" s="103"/>
      <c r="DH45" s="103"/>
      <c r="DI45" s="103"/>
      <c r="DJ45" s="103"/>
      <c r="DK45" s="103"/>
      <c r="DL45" s="103"/>
      <c r="DM45" s="103"/>
      <c r="DN45" s="103"/>
      <c r="DO45" s="103"/>
      <c r="DP45" s="103"/>
      <c r="DQ45" s="103"/>
      <c r="DR45" s="103"/>
      <c r="DS45" s="104"/>
      <c r="DT45" s="30">
        <f>SUM(F45:DR45)</f>
        <v>1</v>
      </c>
    </row>
    <row r="46" spans="2:124" x14ac:dyDescent="0.3">
      <c r="B46" s="74">
        <f>'6.1Personnel List'!B47</f>
        <v>34</v>
      </c>
      <c r="C46" s="73" t="s">
        <v>141</v>
      </c>
      <c r="D46" s="73" t="s">
        <v>237</v>
      </c>
      <c r="E46" s="31" t="str">
        <f>'6.1Personnel List'!H47</f>
        <v>FT</v>
      </c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3"/>
      <c r="AD46" s="103"/>
      <c r="AE46" s="103"/>
      <c r="AF46" s="103"/>
      <c r="AG46" s="103"/>
      <c r="AH46" s="103"/>
      <c r="AI46" s="103"/>
      <c r="AJ46" s="103"/>
      <c r="AK46" s="103"/>
      <c r="AL46" s="103"/>
      <c r="AM46" s="103"/>
      <c r="AN46" s="103"/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2"/>
      <c r="BJ46" s="103"/>
      <c r="BK46" s="103"/>
      <c r="BL46" s="103"/>
      <c r="BM46" s="103"/>
      <c r="BN46" s="103"/>
      <c r="BO46" s="103"/>
      <c r="BP46" s="103"/>
      <c r="BQ46" s="103"/>
      <c r="BR46" s="103"/>
      <c r="BS46" s="103"/>
      <c r="BT46" s="103"/>
      <c r="BU46" s="103"/>
      <c r="BV46" s="103"/>
      <c r="BW46" s="103"/>
      <c r="BX46" s="103"/>
      <c r="BY46" s="103"/>
      <c r="BZ46" s="103"/>
      <c r="CA46" s="103"/>
      <c r="CB46" s="103"/>
      <c r="CC46" s="103"/>
      <c r="CD46" s="103"/>
      <c r="CE46" s="103"/>
      <c r="CF46" s="103"/>
      <c r="CG46" s="103"/>
      <c r="CH46" s="103"/>
      <c r="CI46" s="103"/>
      <c r="CJ46" s="103"/>
      <c r="CK46" s="103"/>
      <c r="CL46" s="103"/>
      <c r="CM46" s="103"/>
      <c r="CN46" s="103"/>
      <c r="CO46" s="103"/>
      <c r="CP46" s="103"/>
      <c r="CQ46" s="103"/>
      <c r="CR46" s="103"/>
      <c r="CS46" s="103"/>
      <c r="CT46" s="103"/>
      <c r="CU46" s="103"/>
      <c r="CV46" s="103"/>
      <c r="CW46" s="103"/>
      <c r="CX46" s="103"/>
      <c r="CY46" s="103"/>
      <c r="CZ46" s="103"/>
      <c r="DA46" s="103"/>
      <c r="DB46" s="103"/>
      <c r="DC46" s="103"/>
      <c r="DD46" s="103">
        <v>1</v>
      </c>
      <c r="DE46" s="103"/>
      <c r="DF46" s="103"/>
      <c r="DG46" s="103"/>
      <c r="DH46" s="103"/>
      <c r="DI46" s="103"/>
      <c r="DJ46" s="103"/>
      <c r="DK46" s="103"/>
      <c r="DL46" s="103"/>
      <c r="DM46" s="103"/>
      <c r="DN46" s="103"/>
      <c r="DO46" s="103"/>
      <c r="DP46" s="103"/>
      <c r="DQ46" s="103"/>
      <c r="DR46" s="103"/>
      <c r="DS46" s="104"/>
      <c r="DT46" s="30">
        <f>SUM(F46:DR46)</f>
        <v>1</v>
      </c>
    </row>
    <row r="47" spans="2:124" x14ac:dyDescent="0.3">
      <c r="B47" s="74">
        <f>'6.1Personnel List'!B48</f>
        <v>35</v>
      </c>
      <c r="C47" s="73" t="s">
        <v>142</v>
      </c>
      <c r="D47" s="73" t="s">
        <v>241</v>
      </c>
      <c r="E47" s="31" t="str">
        <f>'6.1Personnel List'!H48</f>
        <v>FT</v>
      </c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3"/>
      <c r="AD47" s="103"/>
      <c r="AE47" s="103"/>
      <c r="AF47" s="103"/>
      <c r="AG47" s="103"/>
      <c r="AH47" s="103"/>
      <c r="AI47" s="103"/>
      <c r="AJ47" s="103"/>
      <c r="AK47" s="103"/>
      <c r="AL47" s="103"/>
      <c r="AM47" s="103"/>
      <c r="AN47" s="103"/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2"/>
      <c r="BJ47" s="103"/>
      <c r="BK47" s="103"/>
      <c r="BL47" s="103"/>
      <c r="BM47" s="103"/>
      <c r="BN47" s="103"/>
      <c r="BO47" s="103"/>
      <c r="BP47" s="103"/>
      <c r="BQ47" s="103"/>
      <c r="BR47" s="103"/>
      <c r="BS47" s="103"/>
      <c r="BT47" s="103"/>
      <c r="BU47" s="103"/>
      <c r="BV47" s="103"/>
      <c r="BW47" s="103"/>
      <c r="BX47" s="103"/>
      <c r="BY47" s="103"/>
      <c r="BZ47" s="103"/>
      <c r="CA47" s="103"/>
      <c r="CB47" s="103"/>
      <c r="CC47" s="103"/>
      <c r="CD47" s="103"/>
      <c r="CE47" s="103">
        <v>1</v>
      </c>
      <c r="CF47" s="103"/>
      <c r="CG47" s="103"/>
      <c r="CH47" s="103"/>
      <c r="CI47" s="103"/>
      <c r="CJ47" s="103"/>
      <c r="CK47" s="103"/>
      <c r="CL47" s="103"/>
      <c r="CM47" s="103"/>
      <c r="CN47" s="103"/>
      <c r="CO47" s="103"/>
      <c r="CP47" s="103"/>
      <c r="CQ47" s="103"/>
      <c r="CR47" s="103"/>
      <c r="CS47" s="103"/>
      <c r="CT47" s="103"/>
      <c r="CU47" s="103"/>
      <c r="CV47" s="103"/>
      <c r="CW47" s="103"/>
      <c r="CX47" s="103"/>
      <c r="CY47" s="103"/>
      <c r="CZ47" s="103"/>
      <c r="DA47" s="103"/>
      <c r="DB47" s="103"/>
      <c r="DC47" s="103"/>
      <c r="DD47" s="103"/>
      <c r="DE47" s="103"/>
      <c r="DF47" s="103"/>
      <c r="DG47" s="103"/>
      <c r="DH47" s="103"/>
      <c r="DI47" s="103"/>
      <c r="DJ47" s="103"/>
      <c r="DK47" s="103"/>
      <c r="DL47" s="103"/>
      <c r="DM47" s="103"/>
      <c r="DN47" s="103"/>
      <c r="DO47" s="103"/>
      <c r="DP47" s="103"/>
      <c r="DQ47" s="103"/>
      <c r="DR47" s="103"/>
      <c r="DS47" s="104"/>
      <c r="DT47" s="30">
        <f>SUM(F47:DR47)</f>
        <v>1</v>
      </c>
    </row>
    <row r="48" spans="2:124" x14ac:dyDescent="0.3">
      <c r="B48" s="74">
        <f>'6.1Personnel List'!B49</f>
        <v>36</v>
      </c>
      <c r="C48" s="73" t="s">
        <v>143</v>
      </c>
      <c r="D48" s="73" t="s">
        <v>237</v>
      </c>
      <c r="E48" s="31" t="str">
        <f>'6.1Personnel List'!H49</f>
        <v>FT</v>
      </c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  <c r="AJ48" s="103"/>
      <c r="AK48" s="103"/>
      <c r="AL48" s="103"/>
      <c r="AM48" s="103"/>
      <c r="AN48" s="103"/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>
        <v>0.3</v>
      </c>
      <c r="BE48" s="103">
        <v>0.2</v>
      </c>
      <c r="BF48" s="103">
        <v>0.3</v>
      </c>
      <c r="BG48" s="103">
        <v>0.1</v>
      </c>
      <c r="BH48" s="103">
        <v>0.1</v>
      </c>
      <c r="BI48" s="102"/>
      <c r="BJ48" s="103"/>
      <c r="BK48" s="103"/>
      <c r="BL48" s="103"/>
      <c r="BM48" s="103"/>
      <c r="BN48" s="103"/>
      <c r="BO48" s="103"/>
      <c r="BP48" s="103"/>
      <c r="BQ48" s="103"/>
      <c r="BR48" s="103"/>
      <c r="BS48" s="103"/>
      <c r="BT48" s="103"/>
      <c r="BU48" s="103"/>
      <c r="BV48" s="103"/>
      <c r="BW48" s="103"/>
      <c r="BX48" s="103"/>
      <c r="BY48" s="103"/>
      <c r="BZ48" s="103"/>
      <c r="CA48" s="103"/>
      <c r="CB48" s="103"/>
      <c r="CC48" s="103"/>
      <c r="CD48" s="103"/>
      <c r="CE48" s="103"/>
      <c r="CF48" s="103"/>
      <c r="CG48" s="103"/>
      <c r="CH48" s="103"/>
      <c r="CI48" s="103"/>
      <c r="CJ48" s="103"/>
      <c r="CK48" s="103"/>
      <c r="CL48" s="103"/>
      <c r="CM48" s="103"/>
      <c r="CN48" s="103"/>
      <c r="CO48" s="103"/>
      <c r="CP48" s="103"/>
      <c r="CQ48" s="103"/>
      <c r="CR48" s="103"/>
      <c r="CS48" s="103"/>
      <c r="CT48" s="103"/>
      <c r="CU48" s="103"/>
      <c r="CV48" s="103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  <c r="DH48" s="103"/>
      <c r="DI48" s="103"/>
      <c r="DJ48" s="103"/>
      <c r="DK48" s="103"/>
      <c r="DL48" s="103"/>
      <c r="DM48" s="103"/>
      <c r="DN48" s="103"/>
      <c r="DO48" s="103"/>
      <c r="DP48" s="103"/>
      <c r="DQ48" s="103"/>
      <c r="DR48" s="103"/>
      <c r="DS48" s="104"/>
      <c r="DT48" s="30">
        <f>SUM(F48:DR48)</f>
        <v>1</v>
      </c>
    </row>
    <row r="49" spans="2:124" x14ac:dyDescent="0.3">
      <c r="B49" s="74">
        <f>'6.1Personnel List'!B50</f>
        <v>37</v>
      </c>
      <c r="C49" s="73" t="s">
        <v>144</v>
      </c>
      <c r="D49" s="73" t="s">
        <v>239</v>
      </c>
      <c r="E49" s="31" t="str">
        <f>'6.1Personnel List'!H50</f>
        <v>FT</v>
      </c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  <c r="AC49" s="103"/>
      <c r="AD49" s="103"/>
      <c r="AE49" s="103"/>
      <c r="AF49" s="103"/>
      <c r="AG49" s="103"/>
      <c r="AH49" s="103"/>
      <c r="AI49" s="103"/>
      <c r="AJ49" s="103"/>
      <c r="AK49" s="103"/>
      <c r="AL49" s="103"/>
      <c r="AM49" s="103"/>
      <c r="AN49" s="103"/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2"/>
      <c r="BJ49" s="103"/>
      <c r="BK49" s="103"/>
      <c r="BL49" s="103"/>
      <c r="BM49" s="103"/>
      <c r="BN49" s="103"/>
      <c r="BO49" s="103"/>
      <c r="BP49" s="103"/>
      <c r="BQ49" s="103"/>
      <c r="BR49" s="103"/>
      <c r="BS49" s="103"/>
      <c r="BT49" s="103"/>
      <c r="BU49" s="103"/>
      <c r="BV49" s="103"/>
      <c r="BW49" s="103"/>
      <c r="BX49" s="103"/>
      <c r="BY49" s="103"/>
      <c r="BZ49" s="103"/>
      <c r="CA49" s="103"/>
      <c r="CB49" s="103"/>
      <c r="CC49" s="103"/>
      <c r="CD49" s="103"/>
      <c r="CE49" s="103"/>
      <c r="CF49" s="103"/>
      <c r="CG49" s="103">
        <v>1</v>
      </c>
      <c r="CH49" s="103"/>
      <c r="CI49" s="103"/>
      <c r="CJ49" s="103"/>
      <c r="CK49" s="103"/>
      <c r="CL49" s="103"/>
      <c r="CM49" s="103"/>
      <c r="CN49" s="103"/>
      <c r="CO49" s="103"/>
      <c r="CP49" s="103"/>
      <c r="CQ49" s="103"/>
      <c r="CR49" s="103"/>
      <c r="CS49" s="103"/>
      <c r="CT49" s="103"/>
      <c r="CU49" s="103"/>
      <c r="CV49" s="103"/>
      <c r="CW49" s="103"/>
      <c r="CX49" s="103"/>
      <c r="CY49" s="103"/>
      <c r="CZ49" s="103"/>
      <c r="DA49" s="103"/>
      <c r="DB49" s="103"/>
      <c r="DC49" s="103"/>
      <c r="DD49" s="103"/>
      <c r="DE49" s="103"/>
      <c r="DF49" s="103"/>
      <c r="DG49" s="103"/>
      <c r="DH49" s="103"/>
      <c r="DI49" s="103"/>
      <c r="DJ49" s="103"/>
      <c r="DK49" s="103"/>
      <c r="DL49" s="103"/>
      <c r="DM49" s="103"/>
      <c r="DN49" s="103"/>
      <c r="DO49" s="103"/>
      <c r="DP49" s="103"/>
      <c r="DQ49" s="103"/>
      <c r="DR49" s="103"/>
      <c r="DS49" s="104"/>
      <c r="DT49" s="30">
        <f>SUM(F49:DR49)</f>
        <v>1</v>
      </c>
    </row>
    <row r="50" spans="2:124" x14ac:dyDescent="0.3">
      <c r="B50" s="74">
        <f>'6.1Personnel List'!B51</f>
        <v>38</v>
      </c>
      <c r="C50" s="73" t="s">
        <v>145</v>
      </c>
      <c r="D50" s="73" t="s">
        <v>236</v>
      </c>
      <c r="E50" s="31" t="str">
        <f>'6.1Personnel List'!H51</f>
        <v>FT</v>
      </c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  <c r="AJ50" s="103"/>
      <c r="AK50" s="103"/>
      <c r="AL50" s="103"/>
      <c r="AM50" s="103"/>
      <c r="AN50" s="103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2"/>
      <c r="BJ50" s="103"/>
      <c r="BK50" s="103"/>
      <c r="BL50" s="103"/>
      <c r="BM50" s="103"/>
      <c r="BN50" s="103"/>
      <c r="BO50" s="103"/>
      <c r="BP50" s="103"/>
      <c r="BQ50" s="103"/>
      <c r="BR50" s="103"/>
      <c r="BS50" s="103"/>
      <c r="BT50" s="103"/>
      <c r="BU50" s="103"/>
      <c r="BV50" s="103"/>
      <c r="BW50" s="103"/>
      <c r="BX50" s="103"/>
      <c r="BY50" s="103"/>
      <c r="BZ50" s="103"/>
      <c r="CA50" s="103"/>
      <c r="CB50" s="103"/>
      <c r="CC50" s="103"/>
      <c r="CD50" s="103"/>
      <c r="CE50" s="103"/>
      <c r="CF50" s="103"/>
      <c r="CG50" s="103"/>
      <c r="CH50" s="103">
        <v>1</v>
      </c>
      <c r="CI50" s="103"/>
      <c r="CJ50" s="103"/>
      <c r="CK50" s="103"/>
      <c r="CL50" s="103"/>
      <c r="CM50" s="103"/>
      <c r="CN50" s="103"/>
      <c r="CO50" s="103"/>
      <c r="CP50" s="103"/>
      <c r="CQ50" s="103"/>
      <c r="CR50" s="103"/>
      <c r="CS50" s="103"/>
      <c r="CT50" s="103"/>
      <c r="CU50" s="103"/>
      <c r="CV50" s="103"/>
      <c r="CW50" s="103"/>
      <c r="CX50" s="103"/>
      <c r="CY50" s="103"/>
      <c r="CZ50" s="103"/>
      <c r="DA50" s="103"/>
      <c r="DB50" s="103"/>
      <c r="DC50" s="103"/>
      <c r="DD50" s="103"/>
      <c r="DE50" s="103"/>
      <c r="DF50" s="103"/>
      <c r="DG50" s="103"/>
      <c r="DH50" s="103"/>
      <c r="DI50" s="103"/>
      <c r="DJ50" s="103"/>
      <c r="DK50" s="103"/>
      <c r="DL50" s="103"/>
      <c r="DM50" s="103"/>
      <c r="DN50" s="103"/>
      <c r="DO50" s="103"/>
      <c r="DP50" s="103"/>
      <c r="DQ50" s="103"/>
      <c r="DR50" s="103"/>
      <c r="DS50" s="104"/>
      <c r="DT50" s="30">
        <f>SUM(F50:DR50)</f>
        <v>1</v>
      </c>
    </row>
    <row r="51" spans="2:124" x14ac:dyDescent="0.3">
      <c r="B51" s="74">
        <f>'6.1Personnel List'!B52</f>
        <v>39</v>
      </c>
      <c r="C51" s="73" t="s">
        <v>146</v>
      </c>
      <c r="D51" s="73" t="s">
        <v>237</v>
      </c>
      <c r="E51" s="31" t="str">
        <f>'6.1Personnel List'!H52</f>
        <v>FT</v>
      </c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  <c r="AA51" s="103"/>
      <c r="AB51" s="103"/>
      <c r="AC51" s="103"/>
      <c r="AD51" s="103"/>
      <c r="AE51" s="103"/>
      <c r="AF51" s="103"/>
      <c r="AG51" s="103"/>
      <c r="AH51" s="103"/>
      <c r="AI51" s="103"/>
      <c r="AJ51" s="103"/>
      <c r="AK51" s="103"/>
      <c r="AL51" s="103"/>
      <c r="AM51" s="103"/>
      <c r="AN51" s="103"/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>
        <v>0.3</v>
      </c>
      <c r="BE51" s="103">
        <v>0.2</v>
      </c>
      <c r="BF51" s="103">
        <v>0.3</v>
      </c>
      <c r="BG51" s="103">
        <v>0.1</v>
      </c>
      <c r="BH51" s="103">
        <v>0.1</v>
      </c>
      <c r="BI51" s="102"/>
      <c r="BJ51" s="103"/>
      <c r="BK51" s="103"/>
      <c r="BL51" s="103"/>
      <c r="BM51" s="103"/>
      <c r="BN51" s="103"/>
      <c r="BO51" s="103"/>
      <c r="BP51" s="103"/>
      <c r="BQ51" s="103"/>
      <c r="BR51" s="103"/>
      <c r="BS51" s="103"/>
      <c r="BT51" s="103"/>
      <c r="BU51" s="103"/>
      <c r="BV51" s="103"/>
      <c r="BW51" s="103"/>
      <c r="BX51" s="103"/>
      <c r="BY51" s="103"/>
      <c r="BZ51" s="103"/>
      <c r="CA51" s="103"/>
      <c r="CB51" s="103"/>
      <c r="CC51" s="103"/>
      <c r="CD51" s="103"/>
      <c r="CE51" s="103"/>
      <c r="CF51" s="103"/>
      <c r="CG51" s="103"/>
      <c r="CH51" s="103"/>
      <c r="CI51" s="103"/>
      <c r="CJ51" s="103"/>
      <c r="CK51" s="103"/>
      <c r="CL51" s="103"/>
      <c r="CM51" s="103"/>
      <c r="CN51" s="103"/>
      <c r="CO51" s="103"/>
      <c r="CP51" s="103"/>
      <c r="CQ51" s="103"/>
      <c r="CR51" s="103"/>
      <c r="CS51" s="103"/>
      <c r="CT51" s="103"/>
      <c r="CU51" s="103"/>
      <c r="CV51" s="103"/>
      <c r="CW51" s="103"/>
      <c r="CX51" s="103"/>
      <c r="CY51" s="103"/>
      <c r="CZ51" s="103"/>
      <c r="DA51" s="103"/>
      <c r="DB51" s="103"/>
      <c r="DC51" s="103"/>
      <c r="DD51" s="103"/>
      <c r="DE51" s="103"/>
      <c r="DF51" s="103"/>
      <c r="DG51" s="103"/>
      <c r="DH51" s="103"/>
      <c r="DI51" s="103"/>
      <c r="DJ51" s="103"/>
      <c r="DK51" s="103"/>
      <c r="DL51" s="103"/>
      <c r="DM51" s="103"/>
      <c r="DN51" s="103"/>
      <c r="DO51" s="103"/>
      <c r="DP51" s="103"/>
      <c r="DQ51" s="103"/>
      <c r="DR51" s="103"/>
      <c r="DS51" s="104"/>
      <c r="DT51" s="30">
        <f>SUM(F51:DR51)</f>
        <v>1</v>
      </c>
    </row>
    <row r="52" spans="2:124" x14ac:dyDescent="0.3">
      <c r="B52" s="74">
        <f>'6.1Personnel List'!B53</f>
        <v>40</v>
      </c>
      <c r="C52" s="73" t="s">
        <v>147</v>
      </c>
      <c r="D52" s="73" t="s">
        <v>241</v>
      </c>
      <c r="E52" s="31" t="str">
        <f>'6.1Personnel List'!H53</f>
        <v>FT</v>
      </c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  <c r="AC52" s="103"/>
      <c r="AD52" s="103"/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2"/>
      <c r="BJ52" s="103"/>
      <c r="BK52" s="103"/>
      <c r="BL52" s="103"/>
      <c r="BM52" s="103"/>
      <c r="BN52" s="103"/>
      <c r="BO52" s="103"/>
      <c r="BP52" s="103"/>
      <c r="BQ52" s="103"/>
      <c r="BR52" s="103"/>
      <c r="BS52" s="103"/>
      <c r="BT52" s="103"/>
      <c r="BU52" s="103"/>
      <c r="BV52" s="103"/>
      <c r="BW52" s="103"/>
      <c r="BX52" s="103"/>
      <c r="BY52" s="103"/>
      <c r="BZ52" s="103"/>
      <c r="CA52" s="103"/>
      <c r="CB52" s="103"/>
      <c r="CC52" s="103"/>
      <c r="CD52" s="103"/>
      <c r="CE52" s="103">
        <v>1</v>
      </c>
      <c r="CF52" s="103"/>
      <c r="CG52" s="103"/>
      <c r="CH52" s="103"/>
      <c r="CI52" s="103"/>
      <c r="CJ52" s="103"/>
      <c r="CK52" s="103"/>
      <c r="CL52" s="103"/>
      <c r="CM52" s="103"/>
      <c r="CN52" s="103"/>
      <c r="CO52" s="103"/>
      <c r="CP52" s="103"/>
      <c r="CQ52" s="103"/>
      <c r="CR52" s="103"/>
      <c r="CS52" s="103"/>
      <c r="CT52" s="103"/>
      <c r="CU52" s="103"/>
      <c r="CV52" s="103"/>
      <c r="CW52" s="103"/>
      <c r="CX52" s="103"/>
      <c r="CY52" s="103"/>
      <c r="CZ52" s="103"/>
      <c r="DA52" s="103"/>
      <c r="DB52" s="103"/>
      <c r="DC52" s="103"/>
      <c r="DD52" s="103"/>
      <c r="DE52" s="103"/>
      <c r="DF52" s="103"/>
      <c r="DG52" s="103"/>
      <c r="DH52" s="103"/>
      <c r="DI52" s="103"/>
      <c r="DJ52" s="103"/>
      <c r="DK52" s="103"/>
      <c r="DL52" s="103"/>
      <c r="DM52" s="103"/>
      <c r="DN52" s="103"/>
      <c r="DO52" s="103"/>
      <c r="DP52" s="103"/>
      <c r="DQ52" s="103"/>
      <c r="DR52" s="103"/>
      <c r="DS52" s="104"/>
      <c r="DT52" s="30">
        <f>SUM(F52:DR52)</f>
        <v>1</v>
      </c>
    </row>
    <row r="53" spans="2:124" x14ac:dyDescent="0.3">
      <c r="B53" s="74">
        <f>'6.1Personnel List'!B54</f>
        <v>41</v>
      </c>
      <c r="C53" s="73" t="s">
        <v>148</v>
      </c>
      <c r="D53" s="73" t="s">
        <v>237</v>
      </c>
      <c r="E53" s="31" t="str">
        <f>'6.1Personnel List'!H54</f>
        <v>FT</v>
      </c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3"/>
      <c r="AF53" s="103"/>
      <c r="AG53" s="103"/>
      <c r="AH53" s="103"/>
      <c r="AI53" s="103"/>
      <c r="AJ53" s="103"/>
      <c r="AK53" s="103"/>
      <c r="AL53" s="103"/>
      <c r="AM53" s="103"/>
      <c r="AN53" s="103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>
        <v>0.3</v>
      </c>
      <c r="BE53" s="103">
        <v>0.2</v>
      </c>
      <c r="BF53" s="103">
        <v>0.3</v>
      </c>
      <c r="BG53" s="103">
        <v>0.1</v>
      </c>
      <c r="BH53" s="103">
        <v>0.1</v>
      </c>
      <c r="BI53" s="102"/>
      <c r="BJ53" s="103"/>
      <c r="BK53" s="103"/>
      <c r="BL53" s="103"/>
      <c r="BM53" s="103"/>
      <c r="BN53" s="103"/>
      <c r="BO53" s="103"/>
      <c r="BP53" s="103"/>
      <c r="BQ53" s="103"/>
      <c r="BR53" s="103"/>
      <c r="BS53" s="103"/>
      <c r="BT53" s="103"/>
      <c r="BU53" s="103"/>
      <c r="BV53" s="103"/>
      <c r="BW53" s="103"/>
      <c r="BX53" s="103"/>
      <c r="BY53" s="103"/>
      <c r="BZ53" s="103"/>
      <c r="CA53" s="103"/>
      <c r="CB53" s="103"/>
      <c r="CC53" s="103"/>
      <c r="CD53" s="103"/>
      <c r="CE53" s="103"/>
      <c r="CF53" s="103"/>
      <c r="CG53" s="103"/>
      <c r="CH53" s="103"/>
      <c r="CI53" s="103"/>
      <c r="CJ53" s="103"/>
      <c r="CK53" s="103"/>
      <c r="CL53" s="103"/>
      <c r="CM53" s="103"/>
      <c r="CN53" s="103"/>
      <c r="CO53" s="103"/>
      <c r="CP53" s="103"/>
      <c r="CQ53" s="103"/>
      <c r="CR53" s="103"/>
      <c r="CS53" s="103"/>
      <c r="CT53" s="103"/>
      <c r="CU53" s="103"/>
      <c r="CV53" s="103"/>
      <c r="CW53" s="103"/>
      <c r="CX53" s="103"/>
      <c r="CY53" s="103"/>
      <c r="CZ53" s="103"/>
      <c r="DA53" s="103"/>
      <c r="DB53" s="103"/>
      <c r="DC53" s="103"/>
      <c r="DD53" s="103"/>
      <c r="DE53" s="103"/>
      <c r="DF53" s="103"/>
      <c r="DG53" s="103"/>
      <c r="DH53" s="103"/>
      <c r="DI53" s="103"/>
      <c r="DJ53" s="103"/>
      <c r="DK53" s="103"/>
      <c r="DL53" s="103"/>
      <c r="DM53" s="103"/>
      <c r="DN53" s="103"/>
      <c r="DO53" s="103"/>
      <c r="DP53" s="103"/>
      <c r="DQ53" s="103"/>
      <c r="DR53" s="103"/>
      <c r="DS53" s="104"/>
      <c r="DT53" s="30">
        <f>SUM(F53:DR53)</f>
        <v>1</v>
      </c>
    </row>
    <row r="54" spans="2:124" x14ac:dyDescent="0.3">
      <c r="B54" s="74">
        <f>'6.1Personnel List'!B55</f>
        <v>42</v>
      </c>
      <c r="C54" s="73" t="s">
        <v>149</v>
      </c>
      <c r="D54" s="73" t="s">
        <v>237</v>
      </c>
      <c r="E54" s="31" t="str">
        <f>'6.1Personnel List'!H55</f>
        <v>FT</v>
      </c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  <c r="AA54" s="103"/>
      <c r="AB54" s="103"/>
      <c r="AC54" s="103"/>
      <c r="AD54" s="103"/>
      <c r="AE54" s="103"/>
      <c r="AF54" s="103"/>
      <c r="AG54" s="103"/>
      <c r="AH54" s="103"/>
      <c r="AI54" s="103"/>
      <c r="AJ54" s="103"/>
      <c r="AK54" s="103"/>
      <c r="AL54" s="103"/>
      <c r="AM54" s="103"/>
      <c r="AN54" s="103"/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>
        <v>0.3</v>
      </c>
      <c r="BE54" s="103">
        <v>0.2</v>
      </c>
      <c r="BF54" s="103">
        <v>0.3</v>
      </c>
      <c r="BG54" s="103">
        <v>0.1</v>
      </c>
      <c r="BH54" s="103">
        <v>0.1</v>
      </c>
      <c r="BI54" s="102"/>
      <c r="BJ54" s="103"/>
      <c r="BK54" s="103"/>
      <c r="BL54" s="103"/>
      <c r="BM54" s="103"/>
      <c r="BN54" s="103"/>
      <c r="BO54" s="103"/>
      <c r="BP54" s="103"/>
      <c r="BQ54" s="103"/>
      <c r="BR54" s="103"/>
      <c r="BS54" s="103"/>
      <c r="BT54" s="103"/>
      <c r="BU54" s="103"/>
      <c r="BV54" s="103"/>
      <c r="BW54" s="103"/>
      <c r="BX54" s="103"/>
      <c r="BY54" s="103"/>
      <c r="BZ54" s="103"/>
      <c r="CA54" s="103"/>
      <c r="CB54" s="103"/>
      <c r="CC54" s="103"/>
      <c r="CD54" s="103"/>
      <c r="CE54" s="103"/>
      <c r="CF54" s="103"/>
      <c r="CG54" s="103"/>
      <c r="CH54" s="103"/>
      <c r="CI54" s="103"/>
      <c r="CJ54" s="103"/>
      <c r="CK54" s="103"/>
      <c r="CL54" s="103"/>
      <c r="CM54" s="103"/>
      <c r="CN54" s="103"/>
      <c r="CO54" s="103"/>
      <c r="CP54" s="103"/>
      <c r="CQ54" s="103"/>
      <c r="CR54" s="103"/>
      <c r="CS54" s="103"/>
      <c r="CT54" s="103"/>
      <c r="CU54" s="103"/>
      <c r="CV54" s="103"/>
      <c r="CW54" s="103"/>
      <c r="CX54" s="103"/>
      <c r="CY54" s="103"/>
      <c r="CZ54" s="103"/>
      <c r="DA54" s="103"/>
      <c r="DB54" s="103"/>
      <c r="DC54" s="103"/>
      <c r="DD54" s="103"/>
      <c r="DE54" s="103"/>
      <c r="DF54" s="103"/>
      <c r="DG54" s="103"/>
      <c r="DH54" s="103"/>
      <c r="DI54" s="103"/>
      <c r="DJ54" s="103"/>
      <c r="DK54" s="103"/>
      <c r="DL54" s="103"/>
      <c r="DM54" s="103"/>
      <c r="DN54" s="103"/>
      <c r="DO54" s="103"/>
      <c r="DP54" s="103"/>
      <c r="DQ54" s="103"/>
      <c r="DR54" s="103"/>
      <c r="DS54" s="104"/>
      <c r="DT54" s="30">
        <f>SUM(F54:DR54)</f>
        <v>1</v>
      </c>
    </row>
    <row r="55" spans="2:124" x14ac:dyDescent="0.3">
      <c r="B55" s="74">
        <f>'6.1Personnel List'!B56</f>
        <v>43</v>
      </c>
      <c r="C55" s="73" t="s">
        <v>150</v>
      </c>
      <c r="D55" s="73" t="s">
        <v>111</v>
      </c>
      <c r="E55" s="31" t="str">
        <f>'6.1Personnel List'!H56</f>
        <v>FT</v>
      </c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3"/>
      <c r="V55" s="103"/>
      <c r="W55" s="103"/>
      <c r="X55" s="103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  <c r="AI55" s="103"/>
      <c r="AJ55" s="103"/>
      <c r="AK55" s="103"/>
      <c r="AL55" s="103"/>
      <c r="AM55" s="103"/>
      <c r="AN55" s="103"/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2"/>
      <c r="BJ55" s="103"/>
      <c r="BK55" s="103"/>
      <c r="BL55" s="103"/>
      <c r="BM55" s="103"/>
      <c r="BN55" s="103"/>
      <c r="BO55" s="103"/>
      <c r="BP55" s="103"/>
      <c r="BQ55" s="103"/>
      <c r="BR55" s="103"/>
      <c r="BS55" s="103"/>
      <c r="BT55" s="103"/>
      <c r="BU55" s="103">
        <v>1</v>
      </c>
      <c r="BV55" s="103"/>
      <c r="BW55" s="103"/>
      <c r="BX55" s="103"/>
      <c r="BY55" s="103"/>
      <c r="BZ55" s="103"/>
      <c r="CA55" s="103"/>
      <c r="CB55" s="103"/>
      <c r="CC55" s="103"/>
      <c r="CD55" s="103"/>
      <c r="CE55" s="103"/>
      <c r="CF55" s="103"/>
      <c r="CG55" s="103"/>
      <c r="CH55" s="103"/>
      <c r="CI55" s="103"/>
      <c r="CJ55" s="103"/>
      <c r="CK55" s="103"/>
      <c r="CL55" s="103"/>
      <c r="CM55" s="103"/>
      <c r="CN55" s="103"/>
      <c r="CO55" s="103"/>
      <c r="CP55" s="103"/>
      <c r="CQ55" s="103"/>
      <c r="CR55" s="103"/>
      <c r="CS55" s="103"/>
      <c r="CT55" s="103"/>
      <c r="CU55" s="103"/>
      <c r="CV55" s="103"/>
      <c r="CW55" s="103"/>
      <c r="CX55" s="103"/>
      <c r="CY55" s="103"/>
      <c r="CZ55" s="103"/>
      <c r="DA55" s="103"/>
      <c r="DB55" s="103"/>
      <c r="DC55" s="103"/>
      <c r="DD55" s="103"/>
      <c r="DE55" s="103"/>
      <c r="DF55" s="103"/>
      <c r="DG55" s="103"/>
      <c r="DH55" s="103"/>
      <c r="DI55" s="103"/>
      <c r="DJ55" s="103"/>
      <c r="DK55" s="103"/>
      <c r="DL55" s="103"/>
      <c r="DM55" s="103"/>
      <c r="DN55" s="103"/>
      <c r="DO55" s="103"/>
      <c r="DP55" s="103"/>
      <c r="DQ55" s="103"/>
      <c r="DR55" s="103"/>
      <c r="DS55" s="104"/>
      <c r="DT55" s="30">
        <f>SUM(F55:DR55)</f>
        <v>1</v>
      </c>
    </row>
    <row r="56" spans="2:124" x14ac:dyDescent="0.3">
      <c r="B56" s="74">
        <f>'6.1Personnel List'!B57</f>
        <v>44</v>
      </c>
      <c r="C56" s="73" t="s">
        <v>151</v>
      </c>
      <c r="D56" s="73" t="s">
        <v>111</v>
      </c>
      <c r="E56" s="31" t="str">
        <f>'6.1Personnel List'!H57</f>
        <v>FT</v>
      </c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  <c r="AI56" s="103"/>
      <c r="AJ56" s="103"/>
      <c r="AK56" s="103"/>
      <c r="AL56" s="103"/>
      <c r="AM56" s="103"/>
      <c r="AN56" s="103"/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2"/>
      <c r="BJ56" s="103"/>
      <c r="BK56" s="103"/>
      <c r="BL56" s="103"/>
      <c r="BM56" s="103"/>
      <c r="BN56" s="103"/>
      <c r="BO56" s="103"/>
      <c r="BP56" s="103"/>
      <c r="BQ56" s="103"/>
      <c r="BR56" s="103"/>
      <c r="BS56" s="103"/>
      <c r="BT56" s="103"/>
      <c r="BU56" s="103"/>
      <c r="BV56" s="103"/>
      <c r="BW56" s="103">
        <v>1</v>
      </c>
      <c r="BX56" s="103"/>
      <c r="BY56" s="103"/>
      <c r="BZ56" s="103"/>
      <c r="CA56" s="103"/>
      <c r="CB56" s="103"/>
      <c r="CC56" s="103"/>
      <c r="CD56" s="103"/>
      <c r="CE56" s="103"/>
      <c r="CF56" s="103"/>
      <c r="CG56" s="103"/>
      <c r="CH56" s="103"/>
      <c r="CI56" s="103"/>
      <c r="CJ56" s="103"/>
      <c r="CK56" s="103"/>
      <c r="CL56" s="103"/>
      <c r="CM56" s="103"/>
      <c r="CN56" s="103"/>
      <c r="CO56" s="103"/>
      <c r="CP56" s="103"/>
      <c r="CQ56" s="103"/>
      <c r="CR56" s="103"/>
      <c r="CS56" s="103"/>
      <c r="CT56" s="103"/>
      <c r="CU56" s="103"/>
      <c r="CV56" s="103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103"/>
      <c r="DM56" s="103"/>
      <c r="DN56" s="103"/>
      <c r="DO56" s="103"/>
      <c r="DP56" s="103"/>
      <c r="DQ56" s="103"/>
      <c r="DR56" s="103"/>
      <c r="DS56" s="104"/>
      <c r="DT56" s="30">
        <f>SUM(F56:DR56)</f>
        <v>1</v>
      </c>
    </row>
    <row r="57" spans="2:124" x14ac:dyDescent="0.3">
      <c r="B57" s="74">
        <f>'6.1Personnel List'!B58</f>
        <v>45</v>
      </c>
      <c r="C57" s="73" t="s">
        <v>152</v>
      </c>
      <c r="D57" s="73" t="s">
        <v>112</v>
      </c>
      <c r="E57" s="31" t="str">
        <f>'6.1Personnel List'!H58</f>
        <v>FT</v>
      </c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  <c r="AJ57" s="103"/>
      <c r="AK57" s="103"/>
      <c r="AL57" s="103"/>
      <c r="AM57" s="103"/>
      <c r="AN57" s="103"/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2"/>
      <c r="BJ57" s="103"/>
      <c r="BK57" s="103"/>
      <c r="BL57" s="103"/>
      <c r="BM57" s="103"/>
      <c r="BN57" s="103"/>
      <c r="BO57" s="103"/>
      <c r="BP57" s="103"/>
      <c r="BQ57" s="103"/>
      <c r="BR57" s="103"/>
      <c r="BS57" s="103">
        <v>1</v>
      </c>
      <c r="BT57" s="103"/>
      <c r="BU57" s="103"/>
      <c r="BV57" s="103"/>
      <c r="BW57" s="103"/>
      <c r="BX57" s="103"/>
      <c r="BY57" s="103"/>
      <c r="BZ57" s="103"/>
      <c r="CA57" s="103"/>
      <c r="CB57" s="103"/>
      <c r="CC57" s="103"/>
      <c r="CD57" s="103"/>
      <c r="CE57" s="103"/>
      <c r="CF57" s="103"/>
      <c r="CG57" s="103"/>
      <c r="CH57" s="103"/>
      <c r="CI57" s="103"/>
      <c r="CJ57" s="103"/>
      <c r="CK57" s="103"/>
      <c r="CL57" s="103"/>
      <c r="CM57" s="103"/>
      <c r="CN57" s="103"/>
      <c r="CO57" s="103"/>
      <c r="CP57" s="103"/>
      <c r="CQ57" s="103"/>
      <c r="CR57" s="103"/>
      <c r="CS57" s="103"/>
      <c r="CT57" s="103"/>
      <c r="CU57" s="103"/>
      <c r="CV57" s="103"/>
      <c r="CW57" s="103"/>
      <c r="CX57" s="103"/>
      <c r="CY57" s="103"/>
      <c r="CZ57" s="103"/>
      <c r="DA57" s="103"/>
      <c r="DB57" s="103"/>
      <c r="DC57" s="103"/>
      <c r="DD57" s="103"/>
      <c r="DE57" s="103"/>
      <c r="DF57" s="103"/>
      <c r="DG57" s="103"/>
      <c r="DH57" s="103"/>
      <c r="DI57" s="103"/>
      <c r="DJ57" s="103"/>
      <c r="DK57" s="103"/>
      <c r="DL57" s="103"/>
      <c r="DM57" s="103"/>
      <c r="DN57" s="103"/>
      <c r="DO57" s="103"/>
      <c r="DP57" s="103"/>
      <c r="DQ57" s="103"/>
      <c r="DR57" s="103"/>
      <c r="DS57" s="104"/>
      <c r="DT57" s="30">
        <f>SUM(F57:DR57)</f>
        <v>1</v>
      </c>
    </row>
    <row r="58" spans="2:124" x14ac:dyDescent="0.3">
      <c r="B58" s="74">
        <f>'6.1Personnel List'!B59</f>
        <v>46</v>
      </c>
      <c r="C58" s="73" t="s">
        <v>153</v>
      </c>
      <c r="D58" s="73" t="s">
        <v>112</v>
      </c>
      <c r="E58" s="31" t="str">
        <f>'6.1Personnel List'!H59</f>
        <v>FT</v>
      </c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  <c r="AC58" s="103"/>
      <c r="AD58" s="103"/>
      <c r="AE58" s="103"/>
      <c r="AF58" s="103"/>
      <c r="AG58" s="103"/>
      <c r="AH58" s="103"/>
      <c r="AI58" s="103"/>
      <c r="AJ58" s="103"/>
      <c r="AK58" s="103"/>
      <c r="AL58" s="103"/>
      <c r="AM58" s="103"/>
      <c r="AN58" s="103"/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2"/>
      <c r="BJ58" s="103"/>
      <c r="BK58" s="103"/>
      <c r="BL58" s="103"/>
      <c r="BM58" s="103"/>
      <c r="BN58" s="103"/>
      <c r="BO58" s="103"/>
      <c r="BP58" s="103"/>
      <c r="BQ58" s="103"/>
      <c r="BR58" s="103"/>
      <c r="BS58" s="103"/>
      <c r="BT58" s="103"/>
      <c r="BU58" s="103"/>
      <c r="BV58" s="103"/>
      <c r="BW58" s="103"/>
      <c r="BX58" s="103"/>
      <c r="BY58" s="103"/>
      <c r="BZ58" s="103"/>
      <c r="CA58" s="103"/>
      <c r="CB58" s="103"/>
      <c r="CC58" s="103"/>
      <c r="CD58" s="103"/>
      <c r="CE58" s="103">
        <v>1</v>
      </c>
      <c r="CF58" s="103"/>
      <c r="CG58" s="103"/>
      <c r="CH58" s="103"/>
      <c r="CI58" s="103"/>
      <c r="CJ58" s="103"/>
      <c r="CK58" s="103"/>
      <c r="CL58" s="103"/>
      <c r="CM58" s="103"/>
      <c r="CN58" s="103"/>
      <c r="CO58" s="103"/>
      <c r="CP58" s="103"/>
      <c r="CQ58" s="103"/>
      <c r="CR58" s="103"/>
      <c r="CS58" s="103"/>
      <c r="CT58" s="103"/>
      <c r="CU58" s="103"/>
      <c r="CV58" s="103"/>
      <c r="CW58" s="103"/>
      <c r="CX58" s="103"/>
      <c r="CY58" s="103"/>
      <c r="CZ58" s="103"/>
      <c r="DA58" s="103"/>
      <c r="DB58" s="103"/>
      <c r="DC58" s="103"/>
      <c r="DD58" s="103"/>
      <c r="DE58" s="103"/>
      <c r="DF58" s="103"/>
      <c r="DG58" s="103"/>
      <c r="DH58" s="103"/>
      <c r="DI58" s="103"/>
      <c r="DJ58" s="103"/>
      <c r="DK58" s="103"/>
      <c r="DL58" s="103"/>
      <c r="DM58" s="103"/>
      <c r="DN58" s="103"/>
      <c r="DO58" s="103"/>
      <c r="DP58" s="103"/>
      <c r="DQ58" s="103"/>
      <c r="DR58" s="103"/>
      <c r="DS58" s="104"/>
      <c r="DT58" s="30">
        <f>SUM(F58:DR58)</f>
        <v>1</v>
      </c>
    </row>
    <row r="59" spans="2:124" x14ac:dyDescent="0.3">
      <c r="B59" s="74">
        <f>'6.1Personnel List'!B60</f>
        <v>47</v>
      </c>
      <c r="C59" s="73" t="s">
        <v>154</v>
      </c>
      <c r="D59" s="73" t="s">
        <v>112</v>
      </c>
      <c r="E59" s="31" t="str">
        <f>'6.1Personnel List'!H60</f>
        <v>FT</v>
      </c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3"/>
      <c r="AL59" s="103"/>
      <c r="AM59" s="103"/>
      <c r="AN59" s="103"/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2"/>
      <c r="BJ59" s="103"/>
      <c r="BK59" s="103"/>
      <c r="BL59" s="103"/>
      <c r="BM59" s="103"/>
      <c r="BN59" s="103"/>
      <c r="BO59" s="103"/>
      <c r="BP59" s="103"/>
      <c r="BQ59" s="103"/>
      <c r="BR59" s="103"/>
      <c r="BS59" s="103"/>
      <c r="BT59" s="103"/>
      <c r="BU59" s="103">
        <v>1</v>
      </c>
      <c r="BV59" s="103"/>
      <c r="BW59" s="103"/>
      <c r="BX59" s="103"/>
      <c r="BY59" s="103"/>
      <c r="BZ59" s="103"/>
      <c r="CA59" s="103"/>
      <c r="CB59" s="103"/>
      <c r="CC59" s="103"/>
      <c r="CD59" s="103"/>
      <c r="CE59" s="103"/>
      <c r="CF59" s="103"/>
      <c r="CG59" s="103"/>
      <c r="CH59" s="103"/>
      <c r="CI59" s="103"/>
      <c r="CJ59" s="103"/>
      <c r="CK59" s="103"/>
      <c r="CL59" s="103"/>
      <c r="CM59" s="103"/>
      <c r="CN59" s="103"/>
      <c r="CO59" s="103"/>
      <c r="CP59" s="103"/>
      <c r="CQ59" s="103"/>
      <c r="CR59" s="103"/>
      <c r="CS59" s="103"/>
      <c r="CT59" s="103"/>
      <c r="CU59" s="103"/>
      <c r="CV59" s="103"/>
      <c r="CW59" s="103"/>
      <c r="CX59" s="103"/>
      <c r="CY59" s="103"/>
      <c r="CZ59" s="103"/>
      <c r="DA59" s="103"/>
      <c r="DB59" s="103"/>
      <c r="DC59" s="103"/>
      <c r="DD59" s="103"/>
      <c r="DE59" s="103"/>
      <c r="DF59" s="103"/>
      <c r="DG59" s="103"/>
      <c r="DH59" s="103"/>
      <c r="DI59" s="103"/>
      <c r="DJ59" s="103"/>
      <c r="DK59" s="103"/>
      <c r="DL59" s="103"/>
      <c r="DM59" s="103"/>
      <c r="DN59" s="103"/>
      <c r="DO59" s="103"/>
      <c r="DP59" s="103"/>
      <c r="DQ59" s="103"/>
      <c r="DR59" s="103"/>
      <c r="DS59" s="104"/>
      <c r="DT59" s="30">
        <f>SUM(F59:DR59)</f>
        <v>1</v>
      </c>
    </row>
    <row r="60" spans="2:124" x14ac:dyDescent="0.3">
      <c r="B60" s="74">
        <f>'6.1Personnel List'!B61</f>
        <v>48</v>
      </c>
      <c r="C60" s="73" t="s">
        <v>155</v>
      </c>
      <c r="D60" s="73" t="s">
        <v>111</v>
      </c>
      <c r="E60" s="31" t="str">
        <f>'6.1Personnel List'!H61</f>
        <v>FT</v>
      </c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3"/>
      <c r="AL60" s="103"/>
      <c r="AM60" s="103"/>
      <c r="AN60" s="103"/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2"/>
      <c r="BJ60" s="103"/>
      <c r="BK60" s="103"/>
      <c r="BL60" s="103"/>
      <c r="BM60" s="103"/>
      <c r="BN60" s="103"/>
      <c r="BO60" s="103"/>
      <c r="BP60" s="103"/>
      <c r="BQ60" s="103"/>
      <c r="BR60" s="103"/>
      <c r="BS60" s="103"/>
      <c r="BT60" s="103"/>
      <c r="BU60" s="103">
        <v>1</v>
      </c>
      <c r="BV60" s="103"/>
      <c r="BW60" s="103"/>
      <c r="BX60" s="103"/>
      <c r="BY60" s="103"/>
      <c r="BZ60" s="103"/>
      <c r="CA60" s="103"/>
      <c r="CB60" s="103"/>
      <c r="CC60" s="103"/>
      <c r="CD60" s="103"/>
      <c r="CE60" s="103"/>
      <c r="CF60" s="103"/>
      <c r="CG60" s="103"/>
      <c r="CH60" s="103"/>
      <c r="CI60" s="103"/>
      <c r="CJ60" s="103"/>
      <c r="CK60" s="103"/>
      <c r="CL60" s="103"/>
      <c r="CM60" s="103"/>
      <c r="CN60" s="103"/>
      <c r="CO60" s="103"/>
      <c r="CP60" s="103"/>
      <c r="CQ60" s="103"/>
      <c r="CR60" s="103"/>
      <c r="CS60" s="103"/>
      <c r="CT60" s="103"/>
      <c r="CU60" s="103"/>
      <c r="CV60" s="103"/>
      <c r="CW60" s="103"/>
      <c r="CX60" s="103"/>
      <c r="CY60" s="103"/>
      <c r="CZ60" s="103"/>
      <c r="DA60" s="103"/>
      <c r="DB60" s="103"/>
      <c r="DC60" s="103"/>
      <c r="DD60" s="103"/>
      <c r="DE60" s="103"/>
      <c r="DF60" s="103"/>
      <c r="DG60" s="103"/>
      <c r="DH60" s="103"/>
      <c r="DI60" s="103"/>
      <c r="DJ60" s="103"/>
      <c r="DK60" s="103"/>
      <c r="DL60" s="103"/>
      <c r="DM60" s="103"/>
      <c r="DN60" s="103"/>
      <c r="DO60" s="103"/>
      <c r="DP60" s="103"/>
      <c r="DQ60" s="103"/>
      <c r="DR60" s="103"/>
      <c r="DS60" s="104"/>
      <c r="DT60" s="30">
        <f>SUM(F60:DR60)</f>
        <v>1</v>
      </c>
    </row>
    <row r="61" spans="2:124" x14ac:dyDescent="0.3">
      <c r="B61" s="74">
        <f>'6.1Personnel List'!B62</f>
        <v>49</v>
      </c>
      <c r="C61" s="73" t="s">
        <v>156</v>
      </c>
      <c r="D61" s="73" t="s">
        <v>111</v>
      </c>
      <c r="E61" s="31" t="str">
        <f>'6.1Personnel List'!H62</f>
        <v>FT</v>
      </c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2"/>
      <c r="BJ61" s="103"/>
      <c r="BK61" s="103"/>
      <c r="BL61" s="103"/>
      <c r="BM61" s="103"/>
      <c r="BN61" s="103"/>
      <c r="BO61" s="103"/>
      <c r="BP61" s="103"/>
      <c r="BQ61" s="103"/>
      <c r="BR61" s="103"/>
      <c r="BS61" s="103"/>
      <c r="BT61" s="103"/>
      <c r="BU61" s="103"/>
      <c r="BV61" s="103"/>
      <c r="BW61" s="103"/>
      <c r="BX61" s="103"/>
      <c r="BY61" s="103"/>
      <c r="BZ61" s="103"/>
      <c r="CA61" s="103"/>
      <c r="CB61" s="103"/>
      <c r="CC61" s="103"/>
      <c r="CD61" s="103"/>
      <c r="CE61" s="103"/>
      <c r="CF61" s="103"/>
      <c r="CG61" s="103"/>
      <c r="CH61" s="103"/>
      <c r="CI61" s="103"/>
      <c r="CJ61" s="103"/>
      <c r="CK61" s="103"/>
      <c r="CL61" s="103"/>
      <c r="CM61" s="103"/>
      <c r="CN61" s="103"/>
      <c r="CO61" s="103"/>
      <c r="CP61" s="103"/>
      <c r="CQ61" s="103"/>
      <c r="CR61" s="103"/>
      <c r="CS61" s="103"/>
      <c r="CT61" s="103"/>
      <c r="CU61" s="103">
        <v>1</v>
      </c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3"/>
      <c r="DI61" s="103"/>
      <c r="DJ61" s="103"/>
      <c r="DK61" s="103"/>
      <c r="DL61" s="103"/>
      <c r="DM61" s="103"/>
      <c r="DN61" s="103"/>
      <c r="DO61" s="103"/>
      <c r="DP61" s="103"/>
      <c r="DQ61" s="103"/>
      <c r="DR61" s="103"/>
      <c r="DS61" s="104"/>
      <c r="DT61" s="30">
        <f>SUM(F61:DR61)</f>
        <v>1</v>
      </c>
    </row>
    <row r="62" spans="2:124" x14ac:dyDescent="0.3">
      <c r="B62" s="74">
        <f>'6.1Personnel List'!B63</f>
        <v>50</v>
      </c>
      <c r="C62" s="73" t="s">
        <v>157</v>
      </c>
      <c r="D62" s="73" t="s">
        <v>111</v>
      </c>
      <c r="E62" s="31" t="str">
        <f>'6.1Personnel List'!H63</f>
        <v>FT</v>
      </c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2"/>
      <c r="BJ62" s="103"/>
      <c r="BK62" s="103"/>
      <c r="BL62" s="103"/>
      <c r="BM62" s="103"/>
      <c r="BN62" s="103"/>
      <c r="BO62" s="103"/>
      <c r="BP62" s="103"/>
      <c r="BQ62" s="103"/>
      <c r="BR62" s="103"/>
      <c r="BS62" s="103"/>
      <c r="BT62" s="103"/>
      <c r="BU62" s="103"/>
      <c r="BV62" s="103"/>
      <c r="BW62" s="103"/>
      <c r="BX62" s="103"/>
      <c r="BY62" s="103"/>
      <c r="BZ62" s="103"/>
      <c r="CA62" s="103"/>
      <c r="CB62" s="103"/>
      <c r="CC62" s="103"/>
      <c r="CD62" s="103"/>
      <c r="CE62" s="103"/>
      <c r="CF62" s="103"/>
      <c r="CG62" s="103"/>
      <c r="CH62" s="103"/>
      <c r="CI62" s="103"/>
      <c r="CJ62" s="103"/>
      <c r="CK62" s="103">
        <v>1</v>
      </c>
      <c r="CL62" s="103"/>
      <c r="CM62" s="103"/>
      <c r="CN62" s="103"/>
      <c r="CO62" s="103"/>
      <c r="CP62" s="103"/>
      <c r="CQ62" s="103"/>
      <c r="CR62" s="103"/>
      <c r="CS62" s="103"/>
      <c r="CT62" s="103"/>
      <c r="CU62" s="103"/>
      <c r="CV62" s="103"/>
      <c r="CW62" s="103"/>
      <c r="CX62" s="103"/>
      <c r="CY62" s="103"/>
      <c r="CZ62" s="103"/>
      <c r="DA62" s="103"/>
      <c r="DB62" s="103"/>
      <c r="DC62" s="103"/>
      <c r="DD62" s="103"/>
      <c r="DE62" s="103"/>
      <c r="DF62" s="103"/>
      <c r="DG62" s="103"/>
      <c r="DH62" s="103"/>
      <c r="DI62" s="103"/>
      <c r="DJ62" s="103"/>
      <c r="DK62" s="103"/>
      <c r="DL62" s="103"/>
      <c r="DM62" s="103"/>
      <c r="DN62" s="103"/>
      <c r="DO62" s="103"/>
      <c r="DP62" s="103"/>
      <c r="DQ62" s="103"/>
      <c r="DR62" s="103"/>
      <c r="DS62" s="104"/>
      <c r="DT62" s="30">
        <f>SUM(F62:DR62)</f>
        <v>1</v>
      </c>
    </row>
    <row r="63" spans="2:124" x14ac:dyDescent="0.3">
      <c r="B63" s="74">
        <f>'6.1Personnel List'!B64</f>
        <v>51</v>
      </c>
      <c r="C63" s="73" t="s">
        <v>158</v>
      </c>
      <c r="D63" s="73" t="s">
        <v>111</v>
      </c>
      <c r="E63" s="31" t="str">
        <f>'6.1Personnel List'!H64</f>
        <v>FT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2"/>
      <c r="BJ63" s="103"/>
      <c r="BK63" s="103"/>
      <c r="BL63" s="103"/>
      <c r="BM63" s="103"/>
      <c r="BN63" s="103"/>
      <c r="BO63" s="103"/>
      <c r="BP63" s="103"/>
      <c r="BQ63" s="103"/>
      <c r="BR63" s="103"/>
      <c r="BS63" s="103"/>
      <c r="BT63" s="103"/>
      <c r="BU63" s="103"/>
      <c r="BV63" s="103"/>
      <c r="BW63" s="103">
        <v>1</v>
      </c>
      <c r="BX63" s="103"/>
      <c r="BY63" s="103"/>
      <c r="BZ63" s="103"/>
      <c r="CA63" s="103"/>
      <c r="CB63" s="103"/>
      <c r="CC63" s="103"/>
      <c r="CD63" s="103"/>
      <c r="CE63" s="103"/>
      <c r="CF63" s="103"/>
      <c r="CG63" s="103"/>
      <c r="CH63" s="103"/>
      <c r="CI63" s="103"/>
      <c r="CJ63" s="103"/>
      <c r="CK63" s="103"/>
      <c r="CL63" s="103"/>
      <c r="CM63" s="103"/>
      <c r="CN63" s="103"/>
      <c r="CO63" s="103"/>
      <c r="CP63" s="103"/>
      <c r="CQ63" s="103"/>
      <c r="CR63" s="103"/>
      <c r="CS63" s="103"/>
      <c r="CT63" s="103"/>
      <c r="CU63" s="103"/>
      <c r="CV63" s="103"/>
      <c r="CW63" s="103"/>
      <c r="CX63" s="103"/>
      <c r="CY63" s="103"/>
      <c r="CZ63" s="103"/>
      <c r="DA63" s="103"/>
      <c r="DB63" s="103"/>
      <c r="DC63" s="103"/>
      <c r="DD63" s="103"/>
      <c r="DE63" s="103"/>
      <c r="DF63" s="103"/>
      <c r="DG63" s="103"/>
      <c r="DH63" s="103"/>
      <c r="DI63" s="103"/>
      <c r="DJ63" s="103"/>
      <c r="DK63" s="103"/>
      <c r="DL63" s="103"/>
      <c r="DM63" s="103"/>
      <c r="DN63" s="103"/>
      <c r="DO63" s="103"/>
      <c r="DP63" s="103"/>
      <c r="DQ63" s="103"/>
      <c r="DR63" s="103"/>
      <c r="DS63" s="104"/>
      <c r="DT63" s="30">
        <f>SUM(F63:DR63)</f>
        <v>1</v>
      </c>
    </row>
    <row r="64" spans="2:124" x14ac:dyDescent="0.3">
      <c r="B64" s="74">
        <f>'6.1Personnel List'!B65</f>
        <v>52</v>
      </c>
      <c r="C64" s="73" t="s">
        <v>159</v>
      </c>
      <c r="D64" s="73" t="s">
        <v>237</v>
      </c>
      <c r="E64" s="31" t="str">
        <f>'6.1Personnel List'!H65</f>
        <v>FT</v>
      </c>
      <c r="G64" s="103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3"/>
      <c r="S64" s="103"/>
      <c r="T64" s="103"/>
      <c r="U64" s="103"/>
      <c r="V64" s="103"/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103"/>
      <c r="AM64" s="103"/>
      <c r="AN64" s="103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2"/>
      <c r="BJ64" s="103"/>
      <c r="BK64" s="103"/>
      <c r="BL64" s="103"/>
      <c r="BM64" s="103"/>
      <c r="BN64" s="103"/>
      <c r="BO64" s="103"/>
      <c r="BP64" s="103"/>
      <c r="BQ64" s="103"/>
      <c r="BR64" s="103"/>
      <c r="BS64" s="103"/>
      <c r="BT64" s="103"/>
      <c r="BU64" s="103"/>
      <c r="BV64" s="103"/>
      <c r="BW64" s="103"/>
      <c r="BX64" s="103"/>
      <c r="BY64" s="103"/>
      <c r="BZ64" s="103"/>
      <c r="CA64" s="103"/>
      <c r="CB64" s="103"/>
      <c r="CC64" s="103"/>
      <c r="CD64" s="103"/>
      <c r="CE64" s="103"/>
      <c r="CF64" s="103"/>
      <c r="CG64" s="103"/>
      <c r="CH64" s="103"/>
      <c r="CI64" s="103"/>
      <c r="CJ64" s="103"/>
      <c r="CK64" s="103"/>
      <c r="CL64" s="103"/>
      <c r="CM64" s="103"/>
      <c r="CN64" s="103"/>
      <c r="CO64" s="103"/>
      <c r="CP64" s="103"/>
      <c r="CQ64" s="103"/>
      <c r="CR64" s="103"/>
      <c r="CS64" s="103"/>
      <c r="CT64" s="103"/>
      <c r="CU64" s="103"/>
      <c r="CV64" s="103"/>
      <c r="CW64" s="103"/>
      <c r="CX64" s="103"/>
      <c r="CY64" s="103"/>
      <c r="CZ64" s="103"/>
      <c r="DA64" s="103"/>
      <c r="DB64" s="103"/>
      <c r="DC64" s="103"/>
      <c r="DD64" s="103">
        <v>1</v>
      </c>
      <c r="DE64" s="103"/>
      <c r="DF64" s="103"/>
      <c r="DG64" s="103"/>
      <c r="DH64" s="103"/>
      <c r="DI64" s="103"/>
      <c r="DJ64" s="103"/>
      <c r="DK64" s="103"/>
      <c r="DL64" s="103"/>
      <c r="DM64" s="103"/>
      <c r="DN64" s="103"/>
      <c r="DO64" s="103"/>
      <c r="DP64" s="103"/>
      <c r="DQ64" s="103"/>
      <c r="DR64" s="103"/>
      <c r="DS64" s="104"/>
      <c r="DT64" s="30">
        <f>SUM(F64:DR64)</f>
        <v>1</v>
      </c>
    </row>
    <row r="65" spans="2:124" x14ac:dyDescent="0.3">
      <c r="B65" s="74">
        <f>'6.1Personnel List'!B66</f>
        <v>53</v>
      </c>
      <c r="C65" s="73" t="s">
        <v>160</v>
      </c>
      <c r="D65" s="73" t="s">
        <v>237</v>
      </c>
      <c r="E65" s="31" t="str">
        <f>'6.1Personnel List'!H66</f>
        <v>FT</v>
      </c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103"/>
      <c r="T65" s="103"/>
      <c r="U65" s="103"/>
      <c r="V65" s="103"/>
      <c r="W65" s="103"/>
      <c r="X65" s="103"/>
      <c r="Y65" s="103"/>
      <c r="Z65" s="103"/>
      <c r="AA65" s="103"/>
      <c r="AB65" s="103"/>
      <c r="AC65" s="103"/>
      <c r="AD65" s="103"/>
      <c r="AE65" s="103"/>
      <c r="AF65" s="103"/>
      <c r="AG65" s="103"/>
      <c r="AH65" s="103"/>
      <c r="AI65" s="103"/>
      <c r="AJ65" s="103"/>
      <c r="AK65" s="103"/>
      <c r="AL65" s="103"/>
      <c r="AM65" s="103"/>
      <c r="AN65" s="103"/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2"/>
      <c r="BJ65" s="103"/>
      <c r="BK65" s="103"/>
      <c r="BL65" s="103"/>
      <c r="BM65" s="103"/>
      <c r="BN65" s="103"/>
      <c r="BO65" s="103"/>
      <c r="BP65" s="103"/>
      <c r="BQ65" s="103"/>
      <c r="BR65" s="103"/>
      <c r="BS65" s="103"/>
      <c r="BT65" s="103"/>
      <c r="BU65" s="103"/>
      <c r="BV65" s="103"/>
      <c r="BW65" s="103"/>
      <c r="BX65" s="103"/>
      <c r="BY65" s="103"/>
      <c r="BZ65" s="103"/>
      <c r="CA65" s="103"/>
      <c r="CB65" s="103"/>
      <c r="CC65" s="103"/>
      <c r="CD65" s="103"/>
      <c r="CE65" s="103"/>
      <c r="CF65" s="103"/>
      <c r="CG65" s="103"/>
      <c r="CH65" s="103"/>
      <c r="CI65" s="103"/>
      <c r="CJ65" s="103"/>
      <c r="CK65" s="103"/>
      <c r="CL65" s="103"/>
      <c r="CM65" s="103"/>
      <c r="CN65" s="103"/>
      <c r="CO65" s="103"/>
      <c r="CP65" s="103"/>
      <c r="CQ65" s="103"/>
      <c r="CR65" s="103"/>
      <c r="CS65" s="103"/>
      <c r="CT65" s="103"/>
      <c r="CU65" s="103"/>
      <c r="CV65" s="103"/>
      <c r="CW65" s="103"/>
      <c r="CX65" s="103"/>
      <c r="CY65" s="103"/>
      <c r="CZ65" s="103"/>
      <c r="DA65" s="103"/>
      <c r="DB65" s="103"/>
      <c r="DC65" s="103"/>
      <c r="DD65" s="103">
        <v>1</v>
      </c>
      <c r="DE65" s="103"/>
      <c r="DF65" s="103"/>
      <c r="DG65" s="103"/>
      <c r="DH65" s="103"/>
      <c r="DI65" s="103"/>
      <c r="DJ65" s="103"/>
      <c r="DK65" s="103"/>
      <c r="DL65" s="103"/>
      <c r="DM65" s="103"/>
      <c r="DN65" s="103"/>
      <c r="DO65" s="103"/>
      <c r="DP65" s="103"/>
      <c r="DQ65" s="103"/>
      <c r="DR65" s="103"/>
      <c r="DS65" s="104"/>
      <c r="DT65" s="30">
        <f>SUM(F65:DR65)</f>
        <v>1</v>
      </c>
    </row>
    <row r="66" spans="2:124" x14ac:dyDescent="0.3">
      <c r="B66" s="74">
        <f>'6.1Personnel List'!B67</f>
        <v>54</v>
      </c>
      <c r="C66" s="73" t="s">
        <v>161</v>
      </c>
      <c r="D66" s="73" t="s">
        <v>237</v>
      </c>
      <c r="E66" s="31" t="str">
        <f>'6.1Personnel List'!H67</f>
        <v>FT</v>
      </c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3"/>
      <c r="S66" s="103"/>
      <c r="T66" s="103"/>
      <c r="U66" s="103"/>
      <c r="V66" s="103"/>
      <c r="W66" s="103"/>
      <c r="X66" s="103"/>
      <c r="Y66" s="103"/>
      <c r="Z66" s="103"/>
      <c r="AA66" s="103"/>
      <c r="AB66" s="103"/>
      <c r="AC66" s="103"/>
      <c r="AD66" s="103"/>
      <c r="AE66" s="103"/>
      <c r="AF66" s="103"/>
      <c r="AG66" s="103"/>
      <c r="AH66" s="103"/>
      <c r="AI66" s="103"/>
      <c r="AJ66" s="103"/>
      <c r="AK66" s="103"/>
      <c r="AL66" s="103"/>
      <c r="AM66" s="103"/>
      <c r="AN66" s="103"/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2"/>
      <c r="BJ66" s="103"/>
      <c r="BK66" s="103"/>
      <c r="BL66" s="103"/>
      <c r="BM66" s="103"/>
      <c r="BN66" s="103"/>
      <c r="BO66" s="103"/>
      <c r="BP66" s="103"/>
      <c r="BQ66" s="103"/>
      <c r="BR66" s="103"/>
      <c r="BS66" s="103"/>
      <c r="BT66" s="103"/>
      <c r="BU66" s="103"/>
      <c r="BV66" s="103"/>
      <c r="BW66" s="103">
        <v>1</v>
      </c>
      <c r="BX66" s="103"/>
      <c r="BY66" s="103"/>
      <c r="BZ66" s="103"/>
      <c r="CA66" s="103"/>
      <c r="CB66" s="103"/>
      <c r="CC66" s="103"/>
      <c r="CD66" s="103"/>
      <c r="CE66" s="103"/>
      <c r="CF66" s="103"/>
      <c r="CG66" s="103"/>
      <c r="CH66" s="103"/>
      <c r="CI66" s="103"/>
      <c r="CJ66" s="103"/>
      <c r="CK66" s="103"/>
      <c r="CL66" s="103"/>
      <c r="CM66" s="103"/>
      <c r="CN66" s="103"/>
      <c r="CO66" s="103"/>
      <c r="CP66" s="103"/>
      <c r="CQ66" s="103"/>
      <c r="CR66" s="103"/>
      <c r="CS66" s="103"/>
      <c r="CT66" s="103"/>
      <c r="CU66" s="103"/>
      <c r="CV66" s="103"/>
      <c r="CW66" s="103"/>
      <c r="CX66" s="103"/>
      <c r="CY66" s="103"/>
      <c r="CZ66" s="103"/>
      <c r="DA66" s="103"/>
      <c r="DB66" s="103"/>
      <c r="DC66" s="103"/>
      <c r="DD66" s="103"/>
      <c r="DE66" s="103"/>
      <c r="DF66" s="103"/>
      <c r="DG66" s="103"/>
      <c r="DH66" s="103"/>
      <c r="DI66" s="103"/>
      <c r="DJ66" s="103"/>
      <c r="DK66" s="103"/>
      <c r="DL66" s="103"/>
      <c r="DM66" s="103"/>
      <c r="DN66" s="103"/>
      <c r="DO66" s="103"/>
      <c r="DP66" s="103"/>
      <c r="DQ66" s="103"/>
      <c r="DR66" s="103"/>
      <c r="DS66" s="104"/>
      <c r="DT66" s="30">
        <f>SUM(F66:DR66)</f>
        <v>1</v>
      </c>
    </row>
    <row r="67" spans="2:124" x14ac:dyDescent="0.3">
      <c r="B67" s="74">
        <f>'6.1Personnel List'!B68</f>
        <v>55</v>
      </c>
      <c r="C67" s="73" t="s">
        <v>162</v>
      </c>
      <c r="D67" s="73" t="s">
        <v>237</v>
      </c>
      <c r="E67" s="31" t="str">
        <f>'6.1Personnel List'!H68</f>
        <v>FT</v>
      </c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3"/>
      <c r="S67" s="103"/>
      <c r="T67" s="103"/>
      <c r="U67" s="103"/>
      <c r="V67" s="103"/>
      <c r="W67" s="103"/>
      <c r="X67" s="103"/>
      <c r="Y67" s="103"/>
      <c r="Z67" s="103"/>
      <c r="AA67" s="103"/>
      <c r="AB67" s="103"/>
      <c r="AC67" s="103"/>
      <c r="AD67" s="103"/>
      <c r="AE67" s="103"/>
      <c r="AF67" s="103"/>
      <c r="AG67" s="103"/>
      <c r="AH67" s="103"/>
      <c r="AI67" s="103"/>
      <c r="AJ67" s="103"/>
      <c r="AK67" s="103"/>
      <c r="AL67" s="103"/>
      <c r="AM67" s="103"/>
      <c r="AN67" s="103"/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>
        <v>0.3</v>
      </c>
      <c r="BE67" s="103">
        <v>0.2</v>
      </c>
      <c r="BF67" s="103">
        <v>0.3</v>
      </c>
      <c r="BG67" s="103">
        <v>0.1</v>
      </c>
      <c r="BH67" s="103">
        <v>0.1</v>
      </c>
      <c r="BI67" s="102"/>
      <c r="BJ67" s="103"/>
      <c r="BK67" s="103"/>
      <c r="BL67" s="103"/>
      <c r="BM67" s="103"/>
      <c r="BN67" s="103"/>
      <c r="BO67" s="103"/>
      <c r="BP67" s="103"/>
      <c r="BQ67" s="103"/>
      <c r="BR67" s="103"/>
      <c r="BS67" s="103"/>
      <c r="BT67" s="103"/>
      <c r="BU67" s="103"/>
      <c r="BV67" s="103"/>
      <c r="BW67" s="103"/>
      <c r="BX67" s="103"/>
      <c r="BY67" s="103"/>
      <c r="BZ67" s="103"/>
      <c r="CA67" s="103"/>
      <c r="CB67" s="103"/>
      <c r="CC67" s="103"/>
      <c r="CD67" s="103"/>
      <c r="CE67" s="103"/>
      <c r="CF67" s="103"/>
      <c r="CG67" s="103"/>
      <c r="CH67" s="103"/>
      <c r="CI67" s="103"/>
      <c r="CJ67" s="103"/>
      <c r="CK67" s="103"/>
      <c r="CL67" s="103"/>
      <c r="CM67" s="103"/>
      <c r="CN67" s="103"/>
      <c r="CO67" s="103"/>
      <c r="CP67" s="103"/>
      <c r="CQ67" s="103"/>
      <c r="CR67" s="103"/>
      <c r="CS67" s="103"/>
      <c r="CT67" s="103"/>
      <c r="CU67" s="103"/>
      <c r="CV67" s="103"/>
      <c r="CW67" s="103"/>
      <c r="CX67" s="103"/>
      <c r="CY67" s="103"/>
      <c r="CZ67" s="103"/>
      <c r="DA67" s="103"/>
      <c r="DB67" s="103"/>
      <c r="DC67" s="103"/>
      <c r="DD67" s="103"/>
      <c r="DE67" s="103"/>
      <c r="DF67" s="103"/>
      <c r="DG67" s="103"/>
      <c r="DH67" s="103"/>
      <c r="DI67" s="103"/>
      <c r="DJ67" s="103"/>
      <c r="DK67" s="103"/>
      <c r="DL67" s="103"/>
      <c r="DM67" s="103"/>
      <c r="DN67" s="103"/>
      <c r="DO67" s="103"/>
      <c r="DP67" s="103"/>
      <c r="DQ67" s="103"/>
      <c r="DR67" s="103"/>
      <c r="DS67" s="104"/>
      <c r="DT67" s="30">
        <f>SUM(F67:DR67)</f>
        <v>1</v>
      </c>
    </row>
    <row r="68" spans="2:124" x14ac:dyDescent="0.3">
      <c r="B68" s="74">
        <f>'6.1Personnel List'!B69</f>
        <v>56</v>
      </c>
      <c r="C68" s="73" t="s">
        <v>163</v>
      </c>
      <c r="D68" s="73" t="s">
        <v>237</v>
      </c>
      <c r="E68" s="31" t="str">
        <f>'6.1Personnel List'!H69</f>
        <v>FT</v>
      </c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/>
      <c r="V68" s="103"/>
      <c r="W68" s="103"/>
      <c r="X68" s="103"/>
      <c r="Y68" s="103"/>
      <c r="Z68" s="103"/>
      <c r="AA68" s="103"/>
      <c r="AB68" s="103"/>
      <c r="AC68" s="103"/>
      <c r="AD68" s="103"/>
      <c r="AE68" s="103"/>
      <c r="AF68" s="103"/>
      <c r="AG68" s="103"/>
      <c r="AH68" s="103"/>
      <c r="AI68" s="103"/>
      <c r="AJ68" s="103"/>
      <c r="AK68" s="103"/>
      <c r="AL68" s="103"/>
      <c r="AM68" s="103"/>
      <c r="AN68" s="103"/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2"/>
      <c r="BJ68" s="103"/>
      <c r="BK68" s="103"/>
      <c r="BL68" s="103"/>
      <c r="BM68" s="103"/>
      <c r="BN68" s="103"/>
      <c r="BO68" s="103"/>
      <c r="BP68" s="103"/>
      <c r="BQ68" s="103"/>
      <c r="BR68" s="103"/>
      <c r="BS68" s="103"/>
      <c r="BT68" s="103"/>
      <c r="BU68" s="103"/>
      <c r="BV68" s="103"/>
      <c r="BW68" s="103"/>
      <c r="BX68" s="103"/>
      <c r="BY68" s="103"/>
      <c r="BZ68" s="103"/>
      <c r="CA68" s="103"/>
      <c r="CB68" s="103"/>
      <c r="CC68" s="103"/>
      <c r="CD68" s="103"/>
      <c r="CE68" s="103"/>
      <c r="CF68" s="103"/>
      <c r="CG68" s="103"/>
      <c r="CH68" s="103"/>
      <c r="CI68" s="103"/>
      <c r="CJ68" s="103"/>
      <c r="CK68" s="103"/>
      <c r="CL68" s="103"/>
      <c r="CM68" s="103"/>
      <c r="CN68" s="103"/>
      <c r="CO68" s="103"/>
      <c r="CP68" s="103"/>
      <c r="CQ68" s="103"/>
      <c r="CR68" s="103"/>
      <c r="CS68" s="103"/>
      <c r="CT68" s="103"/>
      <c r="CU68" s="103"/>
      <c r="CV68" s="103"/>
      <c r="CW68" s="103"/>
      <c r="CX68" s="103"/>
      <c r="CY68" s="103"/>
      <c r="CZ68" s="103"/>
      <c r="DA68" s="103"/>
      <c r="DB68" s="103"/>
      <c r="DC68" s="103"/>
      <c r="DD68" s="103">
        <v>1</v>
      </c>
      <c r="DE68" s="103"/>
      <c r="DF68" s="103"/>
      <c r="DG68" s="103"/>
      <c r="DH68" s="103"/>
      <c r="DI68" s="103"/>
      <c r="DJ68" s="103"/>
      <c r="DK68" s="103"/>
      <c r="DL68" s="103"/>
      <c r="DM68" s="103"/>
      <c r="DN68" s="103"/>
      <c r="DO68" s="103"/>
      <c r="DP68" s="103"/>
      <c r="DQ68" s="103"/>
      <c r="DR68" s="103"/>
      <c r="DS68" s="104"/>
      <c r="DT68" s="30">
        <f>SUM(F68:DR68)</f>
        <v>1</v>
      </c>
    </row>
    <row r="69" spans="2:124" x14ac:dyDescent="0.3">
      <c r="B69" s="74">
        <f>'6.1Personnel List'!B70</f>
        <v>57</v>
      </c>
      <c r="C69" s="73" t="s">
        <v>164</v>
      </c>
      <c r="D69" s="73" t="s">
        <v>237</v>
      </c>
      <c r="E69" s="31" t="str">
        <f>'6.1Personnel List'!H70</f>
        <v>FT</v>
      </c>
      <c r="G69" s="103"/>
      <c r="H69" s="103"/>
      <c r="I69" s="103"/>
      <c r="J69" s="103"/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103"/>
      <c r="X69" s="103"/>
      <c r="Y69" s="103"/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2"/>
      <c r="BJ69" s="103"/>
      <c r="BK69" s="103"/>
      <c r="BL69" s="103"/>
      <c r="BM69" s="103"/>
      <c r="BN69" s="103"/>
      <c r="BO69" s="103"/>
      <c r="BP69" s="103"/>
      <c r="BQ69" s="103"/>
      <c r="BR69" s="103"/>
      <c r="BS69" s="103"/>
      <c r="BT69" s="103"/>
      <c r="BU69" s="103"/>
      <c r="BV69" s="103"/>
      <c r="BW69" s="103"/>
      <c r="BX69" s="103"/>
      <c r="BY69" s="103"/>
      <c r="BZ69" s="103"/>
      <c r="CA69" s="103"/>
      <c r="CB69" s="103"/>
      <c r="CC69" s="103"/>
      <c r="CD69" s="103"/>
      <c r="CE69" s="103"/>
      <c r="CF69" s="103"/>
      <c r="CG69" s="103"/>
      <c r="CH69" s="103"/>
      <c r="CI69" s="103"/>
      <c r="CJ69" s="103"/>
      <c r="CK69" s="103"/>
      <c r="CL69" s="103"/>
      <c r="CM69" s="103"/>
      <c r="CN69" s="103"/>
      <c r="CO69" s="103"/>
      <c r="CP69" s="103"/>
      <c r="CQ69" s="103"/>
      <c r="CR69" s="103"/>
      <c r="CS69" s="103"/>
      <c r="CT69" s="103"/>
      <c r="CU69" s="103"/>
      <c r="CV69" s="103"/>
      <c r="CW69" s="103"/>
      <c r="CX69" s="103"/>
      <c r="CY69" s="103"/>
      <c r="CZ69" s="103"/>
      <c r="DA69" s="103"/>
      <c r="DB69" s="103"/>
      <c r="DC69" s="103"/>
      <c r="DD69" s="103">
        <v>1</v>
      </c>
      <c r="DE69" s="103"/>
      <c r="DF69" s="103"/>
      <c r="DG69" s="103"/>
      <c r="DH69" s="103"/>
      <c r="DI69" s="103"/>
      <c r="DJ69" s="103"/>
      <c r="DK69" s="103"/>
      <c r="DL69" s="103"/>
      <c r="DM69" s="103"/>
      <c r="DN69" s="103"/>
      <c r="DO69" s="103"/>
      <c r="DP69" s="103"/>
      <c r="DQ69" s="103"/>
      <c r="DR69" s="103"/>
      <c r="DS69" s="104"/>
      <c r="DT69" s="30">
        <f>SUM(F69:DR69)</f>
        <v>1</v>
      </c>
    </row>
    <row r="70" spans="2:124" x14ac:dyDescent="0.3">
      <c r="B70" s="74">
        <f>'6.1Personnel List'!B71</f>
        <v>58</v>
      </c>
      <c r="C70" s="73" t="s">
        <v>165</v>
      </c>
      <c r="D70" s="73" t="s">
        <v>237</v>
      </c>
      <c r="E70" s="31" t="str">
        <f>'6.1Personnel List'!H71</f>
        <v>FT</v>
      </c>
      <c r="G70" s="103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/>
      <c r="V70" s="103"/>
      <c r="W70" s="103"/>
      <c r="X70" s="103"/>
      <c r="Y70" s="103"/>
      <c r="Z70" s="103"/>
      <c r="AA70" s="103"/>
      <c r="AB70" s="103"/>
      <c r="AC70" s="103"/>
      <c r="AD70" s="103"/>
      <c r="AE70" s="103"/>
      <c r="AF70" s="103"/>
      <c r="AG70" s="103"/>
      <c r="AH70" s="103"/>
      <c r="AI70" s="103"/>
      <c r="AJ70" s="103"/>
      <c r="AK70" s="103"/>
      <c r="AL70" s="103"/>
      <c r="AM70" s="103"/>
      <c r="AN70" s="103"/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2"/>
      <c r="BJ70" s="103"/>
      <c r="BK70" s="103"/>
      <c r="BL70" s="103"/>
      <c r="BM70" s="103"/>
      <c r="BN70" s="103"/>
      <c r="BO70" s="103"/>
      <c r="BP70" s="103"/>
      <c r="BQ70" s="103"/>
      <c r="BR70" s="103"/>
      <c r="BS70" s="103"/>
      <c r="BT70" s="103"/>
      <c r="BU70" s="103"/>
      <c r="BV70" s="103"/>
      <c r="BW70" s="103">
        <v>1</v>
      </c>
      <c r="BX70" s="103"/>
      <c r="BY70" s="103"/>
      <c r="BZ70" s="103"/>
      <c r="CA70" s="103"/>
      <c r="CB70" s="103"/>
      <c r="CC70" s="103"/>
      <c r="CD70" s="103"/>
      <c r="CE70" s="103"/>
      <c r="CF70" s="103"/>
      <c r="CG70" s="103"/>
      <c r="CH70" s="103"/>
      <c r="CI70" s="103"/>
      <c r="CJ70" s="103"/>
      <c r="CK70" s="103"/>
      <c r="CL70" s="103"/>
      <c r="CM70" s="103"/>
      <c r="CN70" s="103"/>
      <c r="CO70" s="103"/>
      <c r="CP70" s="103"/>
      <c r="CQ70" s="103"/>
      <c r="CR70" s="103"/>
      <c r="CS70" s="103"/>
      <c r="CT70" s="103"/>
      <c r="CU70" s="103"/>
      <c r="CV70" s="103"/>
      <c r="CW70" s="103"/>
      <c r="CX70" s="103"/>
      <c r="CY70" s="103"/>
      <c r="CZ70" s="103"/>
      <c r="DA70" s="103"/>
      <c r="DB70" s="103"/>
      <c r="DC70" s="103"/>
      <c r="DD70" s="103"/>
      <c r="DE70" s="103"/>
      <c r="DF70" s="103"/>
      <c r="DG70" s="103"/>
      <c r="DH70" s="103"/>
      <c r="DI70" s="103"/>
      <c r="DJ70" s="103"/>
      <c r="DK70" s="103"/>
      <c r="DL70" s="103"/>
      <c r="DM70" s="103"/>
      <c r="DN70" s="103"/>
      <c r="DO70" s="103"/>
      <c r="DP70" s="103"/>
      <c r="DQ70" s="103"/>
      <c r="DR70" s="103"/>
      <c r="DS70" s="104"/>
      <c r="DT70" s="30">
        <f>SUM(F70:DR70)</f>
        <v>1</v>
      </c>
    </row>
    <row r="71" spans="2:124" x14ac:dyDescent="0.3">
      <c r="B71" s="74">
        <f>'6.1Personnel List'!B72</f>
        <v>59</v>
      </c>
      <c r="C71" s="73" t="s">
        <v>166</v>
      </c>
      <c r="D71" s="73" t="s">
        <v>237</v>
      </c>
      <c r="E71" s="31" t="str">
        <f>'6.1Personnel List'!H72</f>
        <v>FT</v>
      </c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  <c r="W71" s="103"/>
      <c r="X71" s="103"/>
      <c r="Y71" s="103"/>
      <c r="Z71" s="103"/>
      <c r="AA71" s="103"/>
      <c r="AB71" s="103"/>
      <c r="AC71" s="103"/>
      <c r="AD71" s="103"/>
      <c r="AE71" s="103"/>
      <c r="AF71" s="103"/>
      <c r="AG71" s="103"/>
      <c r="AH71" s="103"/>
      <c r="AI71" s="103"/>
      <c r="AJ71" s="103"/>
      <c r="AK71" s="103"/>
      <c r="AL71" s="103"/>
      <c r="AM71" s="103"/>
      <c r="AN71" s="103"/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2"/>
      <c r="BJ71" s="103"/>
      <c r="BK71" s="103"/>
      <c r="BL71" s="103"/>
      <c r="BM71" s="103"/>
      <c r="BN71" s="103"/>
      <c r="BO71" s="103"/>
      <c r="BP71" s="103"/>
      <c r="BQ71" s="103"/>
      <c r="BR71" s="103"/>
      <c r="BS71" s="103"/>
      <c r="BT71" s="103"/>
      <c r="BU71" s="103"/>
      <c r="BV71" s="103"/>
      <c r="BW71" s="103"/>
      <c r="BX71" s="103"/>
      <c r="BY71" s="103"/>
      <c r="BZ71" s="103"/>
      <c r="CA71" s="103"/>
      <c r="CB71" s="103"/>
      <c r="CC71" s="103"/>
      <c r="CD71" s="103"/>
      <c r="CE71" s="103"/>
      <c r="CF71" s="103"/>
      <c r="CG71" s="103"/>
      <c r="CH71" s="103"/>
      <c r="CI71" s="103"/>
      <c r="CJ71" s="103"/>
      <c r="CK71" s="103"/>
      <c r="CL71" s="103"/>
      <c r="CM71" s="103"/>
      <c r="CN71" s="103"/>
      <c r="CO71" s="103"/>
      <c r="CP71" s="103"/>
      <c r="CQ71" s="103"/>
      <c r="CR71" s="103"/>
      <c r="CS71" s="103"/>
      <c r="CT71" s="103"/>
      <c r="CU71" s="103"/>
      <c r="CV71" s="103"/>
      <c r="CW71" s="103"/>
      <c r="CX71" s="103"/>
      <c r="CY71" s="103"/>
      <c r="CZ71" s="103"/>
      <c r="DA71" s="103"/>
      <c r="DB71" s="103"/>
      <c r="DC71" s="103"/>
      <c r="DD71" s="103">
        <v>1</v>
      </c>
      <c r="DE71" s="103"/>
      <c r="DF71" s="103"/>
      <c r="DG71" s="103"/>
      <c r="DH71" s="103"/>
      <c r="DI71" s="103"/>
      <c r="DJ71" s="103"/>
      <c r="DK71" s="103"/>
      <c r="DL71" s="103"/>
      <c r="DM71" s="103"/>
      <c r="DN71" s="103"/>
      <c r="DO71" s="103"/>
      <c r="DP71" s="103"/>
      <c r="DQ71" s="103"/>
      <c r="DR71" s="103"/>
      <c r="DS71" s="104"/>
      <c r="DT71" s="30">
        <f>SUM(F71:DR71)</f>
        <v>1</v>
      </c>
    </row>
    <row r="72" spans="2:124" x14ac:dyDescent="0.3">
      <c r="B72" s="74">
        <f>'6.1Personnel List'!B73</f>
        <v>60</v>
      </c>
      <c r="C72" s="73" t="s">
        <v>167</v>
      </c>
      <c r="D72" s="73" t="s">
        <v>237</v>
      </c>
      <c r="E72" s="31" t="str">
        <f>'6.1Personnel List'!H73</f>
        <v>FT</v>
      </c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103"/>
      <c r="Z72" s="103"/>
      <c r="AA72" s="103"/>
      <c r="AB72" s="103"/>
      <c r="AC72" s="103"/>
      <c r="AD72" s="103"/>
      <c r="AE72" s="103"/>
      <c r="AF72" s="103"/>
      <c r="AG72" s="103"/>
      <c r="AH72" s="103"/>
      <c r="AI72" s="103"/>
      <c r="AJ72" s="103"/>
      <c r="AK72" s="103"/>
      <c r="AL72" s="103"/>
      <c r="AM72" s="103"/>
      <c r="AN72" s="103"/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>
        <v>0.3</v>
      </c>
      <c r="BE72" s="103">
        <v>0.2</v>
      </c>
      <c r="BF72" s="103">
        <v>0.3</v>
      </c>
      <c r="BG72" s="103">
        <v>0.1</v>
      </c>
      <c r="BH72" s="103">
        <v>0.1</v>
      </c>
      <c r="BI72" s="102"/>
      <c r="BJ72" s="103"/>
      <c r="BK72" s="103"/>
      <c r="BL72" s="103"/>
      <c r="BM72" s="103"/>
      <c r="BN72" s="103"/>
      <c r="BO72" s="103"/>
      <c r="BP72" s="103"/>
      <c r="BQ72" s="103"/>
      <c r="BR72" s="103"/>
      <c r="BS72" s="103"/>
      <c r="BT72" s="103"/>
      <c r="BU72" s="103"/>
      <c r="BV72" s="103"/>
      <c r="BW72" s="103"/>
      <c r="BX72" s="103"/>
      <c r="BY72" s="103"/>
      <c r="BZ72" s="103"/>
      <c r="CA72" s="103"/>
      <c r="CB72" s="103"/>
      <c r="CC72" s="103"/>
      <c r="CD72" s="103"/>
      <c r="CE72" s="103"/>
      <c r="CF72" s="103"/>
      <c r="CG72" s="103"/>
      <c r="CH72" s="103"/>
      <c r="CI72" s="103"/>
      <c r="CJ72" s="103"/>
      <c r="CK72" s="103"/>
      <c r="CL72" s="103"/>
      <c r="CM72" s="103"/>
      <c r="CN72" s="103"/>
      <c r="CO72" s="103"/>
      <c r="CP72" s="103"/>
      <c r="CQ72" s="103"/>
      <c r="CR72" s="103"/>
      <c r="CS72" s="103"/>
      <c r="CT72" s="103"/>
      <c r="CU72" s="103"/>
      <c r="CV72" s="103"/>
      <c r="CW72" s="103"/>
      <c r="CX72" s="103"/>
      <c r="CY72" s="103"/>
      <c r="CZ72" s="103"/>
      <c r="DA72" s="103"/>
      <c r="DB72" s="103"/>
      <c r="DC72" s="103"/>
      <c r="DD72" s="103"/>
      <c r="DE72" s="103"/>
      <c r="DF72" s="103"/>
      <c r="DG72" s="103"/>
      <c r="DH72" s="103"/>
      <c r="DI72" s="103"/>
      <c r="DJ72" s="103"/>
      <c r="DK72" s="103"/>
      <c r="DL72" s="103"/>
      <c r="DM72" s="103"/>
      <c r="DN72" s="103"/>
      <c r="DO72" s="103"/>
      <c r="DP72" s="103"/>
      <c r="DQ72" s="103"/>
      <c r="DR72" s="103"/>
      <c r="DS72" s="104"/>
      <c r="DT72" s="30">
        <f>SUM(F72:DR72)</f>
        <v>1</v>
      </c>
    </row>
    <row r="73" spans="2:124" x14ac:dyDescent="0.3">
      <c r="B73" s="74">
        <f>'6.1Personnel List'!B74</f>
        <v>61</v>
      </c>
      <c r="C73" s="73" t="s">
        <v>168</v>
      </c>
      <c r="D73" s="73" t="s">
        <v>237</v>
      </c>
      <c r="E73" s="31" t="str">
        <f>'6.1Personnel List'!H74</f>
        <v>FT</v>
      </c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2"/>
      <c r="BJ73" s="103"/>
      <c r="BK73" s="103"/>
      <c r="BL73" s="103"/>
      <c r="BM73" s="103"/>
      <c r="BN73" s="103"/>
      <c r="BO73" s="103"/>
      <c r="BP73" s="103"/>
      <c r="BQ73" s="103"/>
      <c r="BR73" s="103"/>
      <c r="BS73" s="103"/>
      <c r="BT73" s="103"/>
      <c r="BU73" s="103"/>
      <c r="BV73" s="103"/>
      <c r="BW73" s="103"/>
      <c r="BX73" s="103"/>
      <c r="BY73" s="103"/>
      <c r="BZ73" s="103"/>
      <c r="CA73" s="103"/>
      <c r="CB73" s="103"/>
      <c r="CC73" s="103"/>
      <c r="CD73" s="103"/>
      <c r="CE73" s="103"/>
      <c r="CF73" s="103"/>
      <c r="CG73" s="103"/>
      <c r="CH73" s="103"/>
      <c r="CI73" s="103"/>
      <c r="CJ73" s="103"/>
      <c r="CK73" s="103">
        <v>1</v>
      </c>
      <c r="CL73" s="103"/>
      <c r="CM73" s="103"/>
      <c r="CN73" s="103"/>
      <c r="CO73" s="103"/>
      <c r="CP73" s="103"/>
      <c r="CQ73" s="103"/>
      <c r="CR73" s="103"/>
      <c r="CS73" s="103"/>
      <c r="CT73" s="103"/>
      <c r="CU73" s="103"/>
      <c r="CV73" s="103"/>
      <c r="CW73" s="103"/>
      <c r="CX73" s="103"/>
      <c r="CY73" s="103"/>
      <c r="CZ73" s="103"/>
      <c r="DA73" s="103"/>
      <c r="DB73" s="103"/>
      <c r="DC73" s="103"/>
      <c r="DD73" s="103"/>
      <c r="DE73" s="103"/>
      <c r="DF73" s="103"/>
      <c r="DG73" s="103"/>
      <c r="DH73" s="103"/>
      <c r="DI73" s="103"/>
      <c r="DJ73" s="103"/>
      <c r="DK73" s="103"/>
      <c r="DL73" s="103"/>
      <c r="DM73" s="103"/>
      <c r="DN73" s="103"/>
      <c r="DO73" s="103"/>
      <c r="DP73" s="103"/>
      <c r="DQ73" s="103"/>
      <c r="DR73" s="103"/>
      <c r="DS73" s="104"/>
      <c r="DT73" s="30">
        <f>SUM(F73:DR73)</f>
        <v>1</v>
      </c>
    </row>
    <row r="74" spans="2:124" x14ac:dyDescent="0.3">
      <c r="B74" s="74">
        <f>'6.1Personnel List'!B75</f>
        <v>62</v>
      </c>
      <c r="C74" s="73" t="s">
        <v>169</v>
      </c>
      <c r="D74" s="73" t="s">
        <v>111</v>
      </c>
      <c r="E74" s="31" t="str">
        <f>'6.1Personnel List'!H75</f>
        <v>FT</v>
      </c>
      <c r="G74" s="103"/>
      <c r="H74" s="103"/>
      <c r="I74" s="103"/>
      <c r="J74" s="103"/>
      <c r="K74" s="103"/>
      <c r="L74" s="103"/>
      <c r="M74" s="103"/>
      <c r="N74" s="103"/>
      <c r="O74" s="103"/>
      <c r="P74" s="103"/>
      <c r="Q74" s="103"/>
      <c r="R74" s="103"/>
      <c r="S74" s="103"/>
      <c r="T74" s="103"/>
      <c r="U74" s="103"/>
      <c r="V74" s="103"/>
      <c r="W74" s="103"/>
      <c r="X74" s="103"/>
      <c r="Y74" s="103"/>
      <c r="Z74" s="103"/>
      <c r="AA74" s="103"/>
      <c r="AB74" s="103"/>
      <c r="AC74" s="103"/>
      <c r="AD74" s="103"/>
      <c r="AE74" s="103"/>
      <c r="AF74" s="103"/>
      <c r="AG74" s="103"/>
      <c r="AH74" s="103"/>
      <c r="AI74" s="103"/>
      <c r="AJ74" s="103"/>
      <c r="AK74" s="103"/>
      <c r="AL74" s="103"/>
      <c r="AM74" s="103"/>
      <c r="AN74" s="103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2"/>
      <c r="BJ74" s="103"/>
      <c r="BK74" s="103"/>
      <c r="BL74" s="103"/>
      <c r="BM74" s="103"/>
      <c r="BN74" s="103"/>
      <c r="BO74" s="103"/>
      <c r="BP74" s="103"/>
      <c r="BQ74" s="103"/>
      <c r="BR74" s="103"/>
      <c r="BS74" s="103"/>
      <c r="BT74" s="103"/>
      <c r="BU74" s="103"/>
      <c r="BV74" s="103">
        <v>1</v>
      </c>
      <c r="BW74" s="103"/>
      <c r="BX74" s="103"/>
      <c r="BY74" s="103"/>
      <c r="BZ74" s="103"/>
      <c r="CA74" s="103"/>
      <c r="CB74" s="103"/>
      <c r="CC74" s="103"/>
      <c r="CD74" s="103"/>
      <c r="CE74" s="103"/>
      <c r="CF74" s="103"/>
      <c r="CG74" s="103"/>
      <c r="CH74" s="103"/>
      <c r="CI74" s="103"/>
      <c r="CJ74" s="103"/>
      <c r="CK74" s="103"/>
      <c r="CL74" s="103"/>
      <c r="CM74" s="103"/>
      <c r="CN74" s="103"/>
      <c r="CO74" s="103"/>
      <c r="CP74" s="103"/>
      <c r="CQ74" s="103"/>
      <c r="CR74" s="103"/>
      <c r="CS74" s="103"/>
      <c r="CT74" s="103"/>
      <c r="CU74" s="103"/>
      <c r="CV74" s="103"/>
      <c r="CW74" s="103"/>
      <c r="CX74" s="103"/>
      <c r="CY74" s="103"/>
      <c r="CZ74" s="103"/>
      <c r="DA74" s="103"/>
      <c r="DB74" s="103"/>
      <c r="DC74" s="103"/>
      <c r="DD74" s="103"/>
      <c r="DE74" s="103"/>
      <c r="DF74" s="103"/>
      <c r="DG74" s="103"/>
      <c r="DH74" s="103"/>
      <c r="DI74" s="103"/>
      <c r="DJ74" s="103"/>
      <c r="DK74" s="103"/>
      <c r="DL74" s="103"/>
      <c r="DM74" s="103"/>
      <c r="DN74" s="103"/>
      <c r="DO74" s="103"/>
      <c r="DP74" s="103"/>
      <c r="DQ74" s="103"/>
      <c r="DR74" s="103"/>
      <c r="DS74" s="104"/>
      <c r="DT74" s="30">
        <f>SUM(F74:DR74)</f>
        <v>1</v>
      </c>
    </row>
    <row r="75" spans="2:124" x14ac:dyDescent="0.3">
      <c r="B75" s="74">
        <f>'6.1Personnel List'!B76</f>
        <v>63</v>
      </c>
      <c r="C75" s="73" t="s">
        <v>170</v>
      </c>
      <c r="D75" s="73" t="s">
        <v>112</v>
      </c>
      <c r="E75" s="31" t="str">
        <f>'6.1Personnel List'!H76</f>
        <v>FT</v>
      </c>
      <c r="G75" s="103"/>
      <c r="H75" s="103"/>
      <c r="I75" s="103"/>
      <c r="J75" s="103"/>
      <c r="K75" s="103"/>
      <c r="L75" s="103"/>
      <c r="M75" s="103"/>
      <c r="N75" s="103"/>
      <c r="O75" s="103"/>
      <c r="P75" s="103"/>
      <c r="Q75" s="103"/>
      <c r="R75" s="103"/>
      <c r="S75" s="103"/>
      <c r="T75" s="103"/>
      <c r="U75" s="103"/>
      <c r="V75" s="103"/>
      <c r="W75" s="103"/>
      <c r="X75" s="103"/>
      <c r="Y75" s="103"/>
      <c r="Z75" s="103"/>
      <c r="AA75" s="103"/>
      <c r="AB75" s="103"/>
      <c r="AC75" s="103"/>
      <c r="AD75" s="103"/>
      <c r="AE75" s="103"/>
      <c r="AF75" s="103"/>
      <c r="AG75" s="103"/>
      <c r="AH75" s="103"/>
      <c r="AI75" s="103"/>
      <c r="AJ75" s="103"/>
      <c r="AK75" s="103"/>
      <c r="AL75" s="103"/>
      <c r="AM75" s="103"/>
      <c r="AN75" s="103"/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2"/>
      <c r="BJ75" s="103"/>
      <c r="BK75" s="103"/>
      <c r="BL75" s="103"/>
      <c r="BM75" s="103"/>
      <c r="BN75" s="103"/>
      <c r="BO75" s="103"/>
      <c r="BP75" s="103"/>
      <c r="BQ75" s="103"/>
      <c r="BR75" s="103"/>
      <c r="BS75" s="103">
        <v>1</v>
      </c>
      <c r="BT75" s="103"/>
      <c r="BU75" s="103"/>
      <c r="BV75" s="103"/>
      <c r="BW75" s="103"/>
      <c r="BX75" s="103"/>
      <c r="BY75" s="103"/>
      <c r="BZ75" s="103"/>
      <c r="CA75" s="103"/>
      <c r="CB75" s="103"/>
      <c r="CC75" s="103"/>
      <c r="CD75" s="103"/>
      <c r="CE75" s="103"/>
      <c r="CF75" s="103"/>
      <c r="CG75" s="103"/>
      <c r="CH75" s="103"/>
      <c r="CI75" s="103"/>
      <c r="CJ75" s="103"/>
      <c r="CK75" s="103"/>
      <c r="CL75" s="103"/>
      <c r="CM75" s="103"/>
      <c r="CN75" s="103"/>
      <c r="CO75" s="103"/>
      <c r="CP75" s="103"/>
      <c r="CQ75" s="103"/>
      <c r="CR75" s="103"/>
      <c r="CS75" s="103"/>
      <c r="CT75" s="103"/>
      <c r="CU75" s="103"/>
      <c r="CV75" s="103"/>
      <c r="CW75" s="103"/>
      <c r="CX75" s="103"/>
      <c r="CY75" s="103"/>
      <c r="CZ75" s="103"/>
      <c r="DA75" s="103"/>
      <c r="DB75" s="103"/>
      <c r="DC75" s="103"/>
      <c r="DD75" s="103"/>
      <c r="DE75" s="103"/>
      <c r="DF75" s="103"/>
      <c r="DG75" s="103"/>
      <c r="DH75" s="103"/>
      <c r="DI75" s="103"/>
      <c r="DJ75" s="103"/>
      <c r="DK75" s="103"/>
      <c r="DL75" s="103"/>
      <c r="DM75" s="103"/>
      <c r="DN75" s="103"/>
      <c r="DO75" s="103"/>
      <c r="DP75" s="103"/>
      <c r="DQ75" s="103"/>
      <c r="DR75" s="103"/>
      <c r="DS75" s="104"/>
      <c r="DT75" s="30">
        <f>SUM(F75:DR75)</f>
        <v>1</v>
      </c>
    </row>
    <row r="76" spans="2:124" x14ac:dyDescent="0.3">
      <c r="B76" s="74">
        <f>'6.1Personnel List'!B77</f>
        <v>64</v>
      </c>
      <c r="C76" s="73" t="s">
        <v>171</v>
      </c>
      <c r="D76" s="73" t="s">
        <v>112</v>
      </c>
      <c r="E76" s="31" t="str">
        <f>'6.1Personnel List'!H77</f>
        <v>FT</v>
      </c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103"/>
      <c r="S76" s="103"/>
      <c r="T76" s="103"/>
      <c r="U76" s="103"/>
      <c r="V76" s="103"/>
      <c r="W76" s="103"/>
      <c r="X76" s="103"/>
      <c r="Y76" s="103"/>
      <c r="Z76" s="103"/>
      <c r="AA76" s="103"/>
      <c r="AB76" s="103"/>
      <c r="AC76" s="103"/>
      <c r="AD76" s="103"/>
      <c r="AE76" s="103"/>
      <c r="AF76" s="103"/>
      <c r="AG76" s="103"/>
      <c r="AH76" s="103"/>
      <c r="AI76" s="103"/>
      <c r="AJ76" s="103"/>
      <c r="AK76" s="103"/>
      <c r="AL76" s="103"/>
      <c r="AM76" s="103"/>
      <c r="AN76" s="103"/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2"/>
      <c r="BJ76" s="103"/>
      <c r="BK76" s="103"/>
      <c r="BL76" s="103"/>
      <c r="BM76" s="103"/>
      <c r="BN76" s="103"/>
      <c r="BO76" s="103"/>
      <c r="BP76" s="103"/>
      <c r="BQ76" s="103"/>
      <c r="BR76" s="103"/>
      <c r="BS76" s="103"/>
      <c r="BT76" s="103"/>
      <c r="BU76" s="103">
        <v>1</v>
      </c>
      <c r="BV76" s="103"/>
      <c r="BW76" s="103"/>
      <c r="BX76" s="103"/>
      <c r="BY76" s="103"/>
      <c r="BZ76" s="103"/>
      <c r="CA76" s="103"/>
      <c r="CB76" s="103"/>
      <c r="CC76" s="103"/>
      <c r="CD76" s="103"/>
      <c r="CE76" s="103"/>
      <c r="CF76" s="103"/>
      <c r="CG76" s="103"/>
      <c r="CH76" s="103"/>
      <c r="CI76" s="103"/>
      <c r="CJ76" s="103"/>
      <c r="CK76" s="103"/>
      <c r="CL76" s="103"/>
      <c r="CM76" s="103"/>
      <c r="CN76" s="103"/>
      <c r="CO76" s="103"/>
      <c r="CP76" s="103"/>
      <c r="CQ76" s="103"/>
      <c r="CR76" s="103"/>
      <c r="CS76" s="103"/>
      <c r="CT76" s="103"/>
      <c r="CU76" s="103"/>
      <c r="CV76" s="103"/>
      <c r="CW76" s="103"/>
      <c r="CX76" s="103"/>
      <c r="CY76" s="103"/>
      <c r="CZ76" s="103"/>
      <c r="DA76" s="103"/>
      <c r="DB76" s="103"/>
      <c r="DC76" s="103"/>
      <c r="DD76" s="103"/>
      <c r="DE76" s="103"/>
      <c r="DF76" s="103"/>
      <c r="DG76" s="103"/>
      <c r="DH76" s="103"/>
      <c r="DI76" s="103"/>
      <c r="DJ76" s="103"/>
      <c r="DK76" s="103"/>
      <c r="DL76" s="103"/>
      <c r="DM76" s="103"/>
      <c r="DN76" s="103"/>
      <c r="DO76" s="103"/>
      <c r="DP76" s="103"/>
      <c r="DQ76" s="103"/>
      <c r="DR76" s="103"/>
      <c r="DS76" s="104"/>
      <c r="DT76" s="30">
        <f>SUM(F76:DR76)</f>
        <v>1</v>
      </c>
    </row>
    <row r="77" spans="2:124" x14ac:dyDescent="0.3">
      <c r="B77" s="74">
        <f>'6.1Personnel List'!B78</f>
        <v>65</v>
      </c>
      <c r="C77" s="73" t="s">
        <v>172</v>
      </c>
      <c r="D77" s="73" t="s">
        <v>242</v>
      </c>
      <c r="E77" s="31" t="str">
        <f>'6.1Personnel List'!H78</f>
        <v>FT</v>
      </c>
      <c r="G77" s="103"/>
      <c r="H77" s="103"/>
      <c r="I77" s="103"/>
      <c r="J77" s="103"/>
      <c r="K77" s="103"/>
      <c r="L77" s="103"/>
      <c r="M77" s="103"/>
      <c r="N77" s="103"/>
      <c r="O77" s="103"/>
      <c r="P77" s="103"/>
      <c r="Q77" s="103"/>
      <c r="R77" s="103"/>
      <c r="S77" s="103"/>
      <c r="T77" s="103"/>
      <c r="U77" s="103"/>
      <c r="V77" s="103"/>
      <c r="W77" s="103"/>
      <c r="X77" s="103"/>
      <c r="Y77" s="103"/>
      <c r="Z77" s="103"/>
      <c r="AA77" s="103"/>
      <c r="AB77" s="103"/>
      <c r="AC77" s="103"/>
      <c r="AD77" s="103"/>
      <c r="AE77" s="103"/>
      <c r="AF77" s="103"/>
      <c r="AG77" s="103"/>
      <c r="AH77" s="103"/>
      <c r="AI77" s="103"/>
      <c r="AJ77" s="103"/>
      <c r="AK77" s="103"/>
      <c r="AL77" s="103"/>
      <c r="AM77" s="103"/>
      <c r="AN77" s="103"/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2"/>
      <c r="BJ77" s="103"/>
      <c r="BK77" s="103"/>
      <c r="BL77" s="103"/>
      <c r="BM77" s="103"/>
      <c r="BN77" s="103"/>
      <c r="BO77" s="103"/>
      <c r="BP77" s="103"/>
      <c r="BQ77" s="103"/>
      <c r="BR77" s="103"/>
      <c r="BS77" s="103"/>
      <c r="BT77" s="103"/>
      <c r="BU77" s="103"/>
      <c r="BV77" s="103"/>
      <c r="BW77" s="103"/>
      <c r="BX77" s="103"/>
      <c r="BY77" s="103"/>
      <c r="BZ77" s="103"/>
      <c r="CA77" s="103"/>
      <c r="CB77" s="103"/>
      <c r="CC77" s="103"/>
      <c r="CD77" s="103"/>
      <c r="CE77" s="103"/>
      <c r="CF77" s="103"/>
      <c r="CG77" s="103"/>
      <c r="CH77" s="103"/>
      <c r="CI77" s="103"/>
      <c r="CJ77" s="103"/>
      <c r="CK77" s="103"/>
      <c r="CL77" s="103"/>
      <c r="CM77" s="103"/>
      <c r="CN77" s="103"/>
      <c r="CO77" s="103"/>
      <c r="CP77" s="103"/>
      <c r="CQ77" s="103"/>
      <c r="CR77" s="103"/>
      <c r="CS77" s="103"/>
      <c r="CT77" s="103"/>
      <c r="CU77" s="103"/>
      <c r="CV77" s="103"/>
      <c r="CW77" s="103"/>
      <c r="CX77" s="103"/>
      <c r="CY77" s="103"/>
      <c r="CZ77" s="103"/>
      <c r="DA77" s="103"/>
      <c r="DB77" s="103"/>
      <c r="DC77" s="103"/>
      <c r="DD77" s="103"/>
      <c r="DE77" s="103"/>
      <c r="DF77" s="103"/>
      <c r="DG77" s="103"/>
      <c r="DH77" s="103"/>
      <c r="DI77" s="103">
        <v>1</v>
      </c>
      <c r="DJ77" s="103"/>
      <c r="DK77" s="103"/>
      <c r="DL77" s="103"/>
      <c r="DM77" s="103"/>
      <c r="DN77" s="103"/>
      <c r="DO77" s="103"/>
      <c r="DP77" s="103"/>
      <c r="DQ77" s="103"/>
      <c r="DR77" s="103"/>
      <c r="DS77" s="104"/>
      <c r="DT77" s="30">
        <f>SUM(F77:DR77)</f>
        <v>1</v>
      </c>
    </row>
    <row r="78" spans="2:124" x14ac:dyDescent="0.3">
      <c r="B78" s="74">
        <f>'6.1Personnel List'!B79</f>
        <v>66</v>
      </c>
      <c r="C78" s="73" t="s">
        <v>173</v>
      </c>
      <c r="D78" s="73" t="s">
        <v>111</v>
      </c>
      <c r="E78" s="31" t="str">
        <f>'6.1Personnel List'!H79</f>
        <v>FT</v>
      </c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103"/>
      <c r="S78" s="103"/>
      <c r="T78" s="103"/>
      <c r="U78" s="103"/>
      <c r="V78" s="103"/>
      <c r="W78" s="103"/>
      <c r="X78" s="103"/>
      <c r="Y78" s="103"/>
      <c r="Z78" s="103"/>
      <c r="AA78" s="103"/>
      <c r="AB78" s="103"/>
      <c r="AC78" s="103"/>
      <c r="AD78" s="103"/>
      <c r="AE78" s="103"/>
      <c r="AF78" s="103"/>
      <c r="AG78" s="103"/>
      <c r="AH78" s="103"/>
      <c r="AI78" s="103"/>
      <c r="AJ78" s="103"/>
      <c r="AK78" s="103"/>
      <c r="AL78" s="103"/>
      <c r="AM78" s="103"/>
      <c r="AN78" s="103"/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2"/>
      <c r="BJ78" s="103"/>
      <c r="BK78" s="103"/>
      <c r="BL78" s="103"/>
      <c r="BM78" s="103"/>
      <c r="BN78" s="103"/>
      <c r="BO78" s="103"/>
      <c r="BP78" s="103"/>
      <c r="BQ78" s="103"/>
      <c r="BR78" s="103"/>
      <c r="BS78" s="103"/>
      <c r="BT78" s="103"/>
      <c r="BU78" s="103"/>
      <c r="BV78" s="103"/>
      <c r="BW78" s="103"/>
      <c r="BX78" s="103"/>
      <c r="BY78" s="103"/>
      <c r="BZ78" s="103"/>
      <c r="CA78" s="103"/>
      <c r="CB78" s="103"/>
      <c r="CC78" s="103">
        <v>1</v>
      </c>
      <c r="CD78" s="103"/>
      <c r="CE78" s="103"/>
      <c r="CF78" s="103"/>
      <c r="CG78" s="103"/>
      <c r="CH78" s="103"/>
      <c r="CI78" s="103"/>
      <c r="CJ78" s="103"/>
      <c r="CK78" s="103"/>
      <c r="CL78" s="103"/>
      <c r="CM78" s="103"/>
      <c r="CN78" s="103"/>
      <c r="CO78" s="103"/>
      <c r="CP78" s="103"/>
      <c r="CQ78" s="103"/>
      <c r="CR78" s="103"/>
      <c r="CS78" s="103"/>
      <c r="CT78" s="103"/>
      <c r="CU78" s="103"/>
      <c r="CV78" s="103"/>
      <c r="CW78" s="103"/>
      <c r="CX78" s="103"/>
      <c r="CY78" s="103"/>
      <c r="CZ78" s="103"/>
      <c r="DA78" s="103"/>
      <c r="DB78" s="103"/>
      <c r="DC78" s="103"/>
      <c r="DD78" s="103"/>
      <c r="DE78" s="103"/>
      <c r="DF78" s="103"/>
      <c r="DG78" s="103"/>
      <c r="DH78" s="103"/>
      <c r="DI78" s="103"/>
      <c r="DJ78" s="103"/>
      <c r="DK78" s="103"/>
      <c r="DL78" s="103"/>
      <c r="DM78" s="103"/>
      <c r="DN78" s="103"/>
      <c r="DO78" s="103"/>
      <c r="DP78" s="103"/>
      <c r="DQ78" s="103"/>
      <c r="DR78" s="103"/>
      <c r="DS78" s="104"/>
      <c r="DT78" s="30">
        <f>SUM(F78:DR78)</f>
        <v>1</v>
      </c>
    </row>
    <row r="79" spans="2:124" x14ac:dyDescent="0.3">
      <c r="B79" s="74">
        <f>'6.1Personnel List'!B80</f>
        <v>67</v>
      </c>
      <c r="C79" s="73" t="s">
        <v>174</v>
      </c>
      <c r="D79" s="73" t="s">
        <v>111</v>
      </c>
      <c r="E79" s="31" t="str">
        <f>'6.1Personnel List'!H80</f>
        <v>FT</v>
      </c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103"/>
      <c r="S79" s="103"/>
      <c r="T79" s="103"/>
      <c r="U79" s="103"/>
      <c r="V79" s="103"/>
      <c r="W79" s="103"/>
      <c r="X79" s="103"/>
      <c r="Y79" s="103"/>
      <c r="Z79" s="103"/>
      <c r="AA79" s="103"/>
      <c r="AB79" s="103"/>
      <c r="AC79" s="103"/>
      <c r="AD79" s="103"/>
      <c r="AE79" s="103"/>
      <c r="AF79" s="103"/>
      <c r="AG79" s="103"/>
      <c r="AH79" s="103"/>
      <c r="AI79" s="103"/>
      <c r="AJ79" s="103"/>
      <c r="AK79" s="103"/>
      <c r="AL79" s="103"/>
      <c r="AM79" s="103"/>
      <c r="AN79" s="103"/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2"/>
      <c r="BJ79" s="103"/>
      <c r="BK79" s="103"/>
      <c r="BL79" s="103"/>
      <c r="BM79" s="103"/>
      <c r="BN79" s="103"/>
      <c r="BO79" s="103"/>
      <c r="BP79" s="103"/>
      <c r="BQ79" s="103"/>
      <c r="BR79" s="103"/>
      <c r="BS79" s="103"/>
      <c r="BT79" s="103"/>
      <c r="BU79" s="103"/>
      <c r="BV79" s="103"/>
      <c r="BW79" s="103"/>
      <c r="BX79" s="103"/>
      <c r="BY79" s="103"/>
      <c r="BZ79" s="103"/>
      <c r="CA79" s="103"/>
      <c r="CB79" s="103"/>
      <c r="CC79" s="103"/>
      <c r="CD79" s="103"/>
      <c r="CE79" s="103"/>
      <c r="CF79" s="103"/>
      <c r="CG79" s="103"/>
      <c r="CH79" s="103"/>
      <c r="CI79" s="103"/>
      <c r="CJ79" s="103"/>
      <c r="CK79" s="103">
        <v>1</v>
      </c>
      <c r="CL79" s="103"/>
      <c r="CM79" s="103"/>
      <c r="CN79" s="103"/>
      <c r="CO79" s="103"/>
      <c r="CP79" s="103"/>
      <c r="CQ79" s="103"/>
      <c r="CR79" s="103"/>
      <c r="CS79" s="103"/>
      <c r="CT79" s="103"/>
      <c r="CU79" s="103"/>
      <c r="CV79" s="103"/>
      <c r="CW79" s="103"/>
      <c r="CX79" s="103"/>
      <c r="CY79" s="103"/>
      <c r="CZ79" s="103"/>
      <c r="DA79" s="103"/>
      <c r="DB79" s="103"/>
      <c r="DC79" s="103"/>
      <c r="DD79" s="103"/>
      <c r="DE79" s="103"/>
      <c r="DF79" s="103"/>
      <c r="DG79" s="103"/>
      <c r="DH79" s="103"/>
      <c r="DI79" s="103"/>
      <c r="DJ79" s="103"/>
      <c r="DK79" s="103"/>
      <c r="DL79" s="103"/>
      <c r="DM79" s="103"/>
      <c r="DN79" s="103"/>
      <c r="DO79" s="103"/>
      <c r="DP79" s="103"/>
      <c r="DQ79" s="103"/>
      <c r="DR79" s="103"/>
      <c r="DS79" s="104"/>
      <c r="DT79" s="30">
        <f>SUM(F79:DR79)</f>
        <v>1</v>
      </c>
    </row>
    <row r="80" spans="2:124" x14ac:dyDescent="0.3">
      <c r="B80" s="74">
        <f>'6.1Personnel List'!B81</f>
        <v>68</v>
      </c>
      <c r="C80" s="73" t="s">
        <v>175</v>
      </c>
      <c r="D80" s="73" t="s">
        <v>111</v>
      </c>
      <c r="E80" s="31" t="str">
        <f>'6.1Personnel List'!H81</f>
        <v>FT</v>
      </c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03"/>
      <c r="S80" s="103"/>
      <c r="T80" s="103"/>
      <c r="U80" s="103"/>
      <c r="V80" s="103"/>
      <c r="W80" s="103"/>
      <c r="X80" s="103"/>
      <c r="Y80" s="103"/>
      <c r="Z80" s="103"/>
      <c r="AA80" s="103"/>
      <c r="AB80" s="103"/>
      <c r="AC80" s="103"/>
      <c r="AD80" s="103"/>
      <c r="AE80" s="103"/>
      <c r="AF80" s="103"/>
      <c r="AG80" s="103"/>
      <c r="AH80" s="103"/>
      <c r="AI80" s="103"/>
      <c r="AJ80" s="103"/>
      <c r="AK80" s="103"/>
      <c r="AL80" s="103"/>
      <c r="AM80" s="103"/>
      <c r="AN80" s="103"/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2"/>
      <c r="BJ80" s="103"/>
      <c r="BK80" s="103"/>
      <c r="BL80" s="103"/>
      <c r="BM80" s="103"/>
      <c r="BN80" s="103"/>
      <c r="BO80" s="103"/>
      <c r="BP80" s="103"/>
      <c r="BQ80" s="103"/>
      <c r="BR80" s="103"/>
      <c r="BS80" s="103"/>
      <c r="BT80" s="103"/>
      <c r="BU80" s="103">
        <v>1</v>
      </c>
      <c r="BV80" s="103"/>
      <c r="BW80" s="103"/>
      <c r="BX80" s="103"/>
      <c r="BY80" s="103"/>
      <c r="BZ80" s="103"/>
      <c r="CA80" s="103"/>
      <c r="CB80" s="103"/>
      <c r="CC80" s="103"/>
      <c r="CD80" s="103"/>
      <c r="CE80" s="103"/>
      <c r="CF80" s="103"/>
      <c r="CG80" s="103"/>
      <c r="CH80" s="103"/>
      <c r="CI80" s="103"/>
      <c r="CJ80" s="103"/>
      <c r="CK80" s="103"/>
      <c r="CL80" s="103"/>
      <c r="CM80" s="103"/>
      <c r="CN80" s="103"/>
      <c r="CO80" s="103"/>
      <c r="CP80" s="103"/>
      <c r="CQ80" s="103"/>
      <c r="CR80" s="103"/>
      <c r="CS80" s="103"/>
      <c r="CT80" s="103"/>
      <c r="CU80" s="103"/>
      <c r="CV80" s="103"/>
      <c r="CW80" s="103"/>
      <c r="CX80" s="103"/>
      <c r="CY80" s="103"/>
      <c r="CZ80" s="103"/>
      <c r="DA80" s="103"/>
      <c r="DB80" s="103"/>
      <c r="DC80" s="103"/>
      <c r="DD80" s="103"/>
      <c r="DE80" s="103"/>
      <c r="DF80" s="103"/>
      <c r="DG80" s="103"/>
      <c r="DH80" s="103"/>
      <c r="DI80" s="103"/>
      <c r="DJ80" s="103"/>
      <c r="DK80" s="103"/>
      <c r="DL80" s="103"/>
      <c r="DM80" s="103"/>
      <c r="DN80" s="103"/>
      <c r="DO80" s="103"/>
      <c r="DP80" s="103"/>
      <c r="DQ80" s="103"/>
      <c r="DR80" s="103"/>
      <c r="DS80" s="104"/>
      <c r="DT80" s="30">
        <f>SUM(F80:DR80)</f>
        <v>1</v>
      </c>
    </row>
    <row r="81" spans="2:124" x14ac:dyDescent="0.3">
      <c r="B81" s="74">
        <f>'6.1Personnel List'!B82</f>
        <v>69</v>
      </c>
      <c r="C81" s="73" t="s">
        <v>176</v>
      </c>
      <c r="D81" s="73" t="s">
        <v>111</v>
      </c>
      <c r="E81" s="31" t="str">
        <f>'6.1Personnel List'!H82</f>
        <v>FT</v>
      </c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S81" s="103"/>
      <c r="T81" s="103"/>
      <c r="U81" s="103"/>
      <c r="V81" s="103"/>
      <c r="W81" s="103"/>
      <c r="X81" s="103"/>
      <c r="Y81" s="103"/>
      <c r="Z81" s="103"/>
      <c r="AA81" s="103"/>
      <c r="AB81" s="103"/>
      <c r="AC81" s="103"/>
      <c r="AD81" s="103"/>
      <c r="AE81" s="103"/>
      <c r="AF81" s="103"/>
      <c r="AG81" s="103"/>
      <c r="AH81" s="103"/>
      <c r="AI81" s="103"/>
      <c r="AJ81" s="103"/>
      <c r="AK81" s="103"/>
      <c r="AL81" s="103"/>
      <c r="AM81" s="103"/>
      <c r="AN81" s="103"/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>
        <v>0.3</v>
      </c>
      <c r="BE81" s="103">
        <v>0.2</v>
      </c>
      <c r="BF81" s="103">
        <v>0.3</v>
      </c>
      <c r="BG81" s="103">
        <v>0.1</v>
      </c>
      <c r="BH81" s="103">
        <v>0.1</v>
      </c>
      <c r="BI81" s="102"/>
      <c r="BJ81" s="103"/>
      <c r="BK81" s="103"/>
      <c r="BL81" s="103"/>
      <c r="BM81" s="103"/>
      <c r="BN81" s="103"/>
      <c r="BO81" s="103"/>
      <c r="BP81" s="103"/>
      <c r="BQ81" s="103"/>
      <c r="BR81" s="103"/>
      <c r="BS81" s="103"/>
      <c r="BT81" s="103"/>
      <c r="BU81" s="103"/>
      <c r="BV81" s="103"/>
      <c r="BW81" s="103"/>
      <c r="BX81" s="103"/>
      <c r="BY81" s="103"/>
      <c r="BZ81" s="103"/>
      <c r="CA81" s="103"/>
      <c r="CB81" s="103"/>
      <c r="CC81" s="103"/>
      <c r="CD81" s="103"/>
      <c r="CE81" s="103"/>
      <c r="CF81" s="103"/>
      <c r="CG81" s="103"/>
      <c r="CH81" s="103"/>
      <c r="CI81" s="103"/>
      <c r="CJ81" s="103"/>
      <c r="CK81" s="103"/>
      <c r="CL81" s="103"/>
      <c r="CM81" s="103"/>
      <c r="CN81" s="103"/>
      <c r="CO81" s="103"/>
      <c r="CP81" s="103"/>
      <c r="CQ81" s="103"/>
      <c r="CR81" s="103"/>
      <c r="CS81" s="103"/>
      <c r="CT81" s="103"/>
      <c r="CU81" s="103"/>
      <c r="CV81" s="103"/>
      <c r="CW81" s="103"/>
      <c r="CX81" s="103"/>
      <c r="CY81" s="103"/>
      <c r="CZ81" s="103"/>
      <c r="DA81" s="103"/>
      <c r="DB81" s="103"/>
      <c r="DC81" s="103"/>
      <c r="DD81" s="103"/>
      <c r="DE81" s="103"/>
      <c r="DF81" s="103"/>
      <c r="DG81" s="103"/>
      <c r="DH81" s="103"/>
      <c r="DI81" s="103"/>
      <c r="DJ81" s="103"/>
      <c r="DK81" s="103"/>
      <c r="DL81" s="103"/>
      <c r="DM81" s="103"/>
      <c r="DN81" s="103"/>
      <c r="DO81" s="103"/>
      <c r="DP81" s="103"/>
      <c r="DQ81" s="103"/>
      <c r="DR81" s="103"/>
      <c r="DS81" s="104"/>
      <c r="DT81" s="30">
        <f>SUM(F81:DR81)</f>
        <v>1</v>
      </c>
    </row>
    <row r="82" spans="2:124" x14ac:dyDescent="0.3">
      <c r="B82" s="74">
        <f>'6.1Personnel List'!B83</f>
        <v>70</v>
      </c>
      <c r="C82" s="73" t="s">
        <v>177</v>
      </c>
      <c r="D82" s="73" t="s">
        <v>237</v>
      </c>
      <c r="E82" s="31" t="str">
        <f>'6.1Personnel List'!H83</f>
        <v>FT</v>
      </c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103"/>
      <c r="S82" s="103"/>
      <c r="T82" s="103"/>
      <c r="U82" s="103"/>
      <c r="V82" s="103"/>
      <c r="W82" s="103"/>
      <c r="X82" s="103"/>
      <c r="Y82" s="103"/>
      <c r="Z82" s="103"/>
      <c r="AA82" s="103"/>
      <c r="AB82" s="103"/>
      <c r="AC82" s="103"/>
      <c r="AD82" s="103"/>
      <c r="AE82" s="103"/>
      <c r="AF82" s="103"/>
      <c r="AG82" s="103"/>
      <c r="AH82" s="103"/>
      <c r="AI82" s="103"/>
      <c r="AJ82" s="103"/>
      <c r="AK82" s="103"/>
      <c r="AL82" s="103"/>
      <c r="AM82" s="103"/>
      <c r="AN82" s="103"/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2"/>
      <c r="BJ82" s="103"/>
      <c r="BK82" s="103"/>
      <c r="BL82" s="103"/>
      <c r="BM82" s="103"/>
      <c r="BN82" s="103"/>
      <c r="BO82" s="103"/>
      <c r="BP82" s="103"/>
      <c r="BQ82" s="103"/>
      <c r="BR82" s="103"/>
      <c r="BS82" s="103"/>
      <c r="BT82" s="103"/>
      <c r="BU82" s="103"/>
      <c r="BV82" s="103"/>
      <c r="BW82" s="103">
        <v>1</v>
      </c>
      <c r="BX82" s="103"/>
      <c r="BY82" s="103"/>
      <c r="BZ82" s="103"/>
      <c r="CA82" s="103"/>
      <c r="CB82" s="103"/>
      <c r="CC82" s="103"/>
      <c r="CD82" s="103"/>
      <c r="CE82" s="103"/>
      <c r="CF82" s="103"/>
      <c r="CG82" s="103"/>
      <c r="CH82" s="103"/>
      <c r="CI82" s="103"/>
      <c r="CJ82" s="103"/>
      <c r="CK82" s="103"/>
      <c r="CL82" s="103"/>
      <c r="CM82" s="103"/>
      <c r="CN82" s="103"/>
      <c r="CO82" s="103"/>
      <c r="CP82" s="103"/>
      <c r="CQ82" s="103"/>
      <c r="CR82" s="103"/>
      <c r="CS82" s="103"/>
      <c r="CT82" s="103"/>
      <c r="CU82" s="103"/>
      <c r="CV82" s="103"/>
      <c r="CW82" s="103"/>
      <c r="CX82" s="103"/>
      <c r="CY82" s="103"/>
      <c r="CZ82" s="103"/>
      <c r="DA82" s="103"/>
      <c r="DB82" s="103"/>
      <c r="DC82" s="103"/>
      <c r="DD82" s="103"/>
      <c r="DE82" s="103"/>
      <c r="DF82" s="103"/>
      <c r="DG82" s="103"/>
      <c r="DH82" s="103"/>
      <c r="DI82" s="103"/>
      <c r="DJ82" s="103"/>
      <c r="DK82" s="103"/>
      <c r="DL82" s="103"/>
      <c r="DM82" s="103"/>
      <c r="DN82" s="103"/>
      <c r="DO82" s="103"/>
      <c r="DP82" s="103"/>
      <c r="DQ82" s="103"/>
      <c r="DR82" s="103"/>
      <c r="DS82" s="104"/>
      <c r="DT82" s="30">
        <f>SUM(F82:DR82)</f>
        <v>1</v>
      </c>
    </row>
    <row r="83" spans="2:124" x14ac:dyDescent="0.3">
      <c r="B83" s="74">
        <f>'6.1Personnel List'!B84</f>
        <v>71</v>
      </c>
      <c r="C83" s="73" t="s">
        <v>178</v>
      </c>
      <c r="D83" s="73" t="s">
        <v>237</v>
      </c>
      <c r="E83" s="31" t="str">
        <f>'6.1Personnel List'!H84</f>
        <v>FT</v>
      </c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2"/>
      <c r="BJ83" s="103"/>
      <c r="BK83" s="103"/>
      <c r="BL83" s="103"/>
      <c r="BM83" s="103"/>
      <c r="BN83" s="103"/>
      <c r="BO83" s="103"/>
      <c r="BP83" s="103"/>
      <c r="BQ83" s="103"/>
      <c r="BR83" s="103"/>
      <c r="BS83" s="103"/>
      <c r="BT83" s="103"/>
      <c r="BU83" s="103"/>
      <c r="BV83" s="103"/>
      <c r="BW83" s="103"/>
      <c r="BX83" s="103"/>
      <c r="BY83" s="103"/>
      <c r="BZ83" s="103"/>
      <c r="CA83" s="103"/>
      <c r="CB83" s="103"/>
      <c r="CC83" s="103"/>
      <c r="CD83" s="103"/>
      <c r="CE83" s="103"/>
      <c r="CF83" s="103"/>
      <c r="CG83" s="103"/>
      <c r="CH83" s="103"/>
      <c r="CI83" s="103"/>
      <c r="CJ83" s="103"/>
      <c r="CK83" s="103"/>
      <c r="CL83" s="103">
        <v>1</v>
      </c>
      <c r="CM83" s="103"/>
      <c r="CN83" s="103"/>
      <c r="CO83" s="103"/>
      <c r="CP83" s="103"/>
      <c r="CQ83" s="103"/>
      <c r="CR83" s="103"/>
      <c r="CS83" s="103"/>
      <c r="CT83" s="103"/>
      <c r="CU83" s="103"/>
      <c r="CV83" s="103"/>
      <c r="CW83" s="103"/>
      <c r="CX83" s="103"/>
      <c r="CY83" s="103"/>
      <c r="CZ83" s="103"/>
      <c r="DA83" s="103"/>
      <c r="DB83" s="103"/>
      <c r="DC83" s="103"/>
      <c r="DD83" s="103"/>
      <c r="DE83" s="103"/>
      <c r="DF83" s="103"/>
      <c r="DG83" s="103"/>
      <c r="DH83" s="103"/>
      <c r="DI83" s="103"/>
      <c r="DJ83" s="103"/>
      <c r="DK83" s="103"/>
      <c r="DL83" s="103"/>
      <c r="DM83" s="103"/>
      <c r="DN83" s="103"/>
      <c r="DO83" s="103"/>
      <c r="DP83" s="103"/>
      <c r="DQ83" s="103"/>
      <c r="DR83" s="103"/>
      <c r="DS83" s="104"/>
      <c r="DT83" s="30">
        <f>SUM(F83:DR83)</f>
        <v>1</v>
      </c>
    </row>
    <row r="84" spans="2:124" x14ac:dyDescent="0.3">
      <c r="B84" s="74">
        <f>'6.1Personnel List'!B85</f>
        <v>72</v>
      </c>
      <c r="C84" s="73" t="s">
        <v>179</v>
      </c>
      <c r="D84" s="73" t="s">
        <v>237</v>
      </c>
      <c r="E84" s="31" t="str">
        <f>'6.1Personnel List'!H85</f>
        <v>FT</v>
      </c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2"/>
      <c r="BJ84" s="103"/>
      <c r="BK84" s="103"/>
      <c r="BL84" s="103"/>
      <c r="BM84" s="103"/>
      <c r="BN84" s="103"/>
      <c r="BO84" s="103"/>
      <c r="BP84" s="103"/>
      <c r="BQ84" s="103"/>
      <c r="BR84" s="103"/>
      <c r="BS84" s="103"/>
      <c r="BT84" s="103"/>
      <c r="BU84" s="103"/>
      <c r="BV84" s="103"/>
      <c r="BW84" s="103"/>
      <c r="BX84" s="103"/>
      <c r="BY84" s="103"/>
      <c r="BZ84" s="103"/>
      <c r="CA84" s="103"/>
      <c r="CB84" s="103"/>
      <c r="CC84" s="103"/>
      <c r="CD84" s="103"/>
      <c r="CE84" s="103"/>
      <c r="CF84" s="103"/>
      <c r="CG84" s="103"/>
      <c r="CH84" s="103"/>
      <c r="CI84" s="103"/>
      <c r="CJ84" s="103"/>
      <c r="CK84" s="103"/>
      <c r="CL84" s="103"/>
      <c r="CM84" s="103"/>
      <c r="CN84" s="103"/>
      <c r="CO84" s="103"/>
      <c r="CP84" s="103"/>
      <c r="CQ84" s="103"/>
      <c r="CR84" s="103"/>
      <c r="CS84" s="103"/>
      <c r="CT84" s="103"/>
      <c r="CU84" s="103"/>
      <c r="CV84" s="103"/>
      <c r="CW84" s="103"/>
      <c r="CX84" s="103"/>
      <c r="CY84" s="103"/>
      <c r="CZ84" s="103"/>
      <c r="DA84" s="103"/>
      <c r="DB84" s="103"/>
      <c r="DC84" s="103"/>
      <c r="DD84" s="103">
        <v>1</v>
      </c>
      <c r="DE84" s="103"/>
      <c r="DF84" s="103"/>
      <c r="DG84" s="103"/>
      <c r="DH84" s="103"/>
      <c r="DI84" s="103"/>
      <c r="DJ84" s="103"/>
      <c r="DK84" s="103"/>
      <c r="DL84" s="103"/>
      <c r="DM84" s="103"/>
      <c r="DN84" s="103"/>
      <c r="DO84" s="103"/>
      <c r="DP84" s="103"/>
      <c r="DQ84" s="103"/>
      <c r="DR84" s="103"/>
      <c r="DS84" s="104"/>
      <c r="DT84" s="30">
        <f>SUM(F84:DR84)</f>
        <v>1</v>
      </c>
    </row>
    <row r="85" spans="2:124" x14ac:dyDescent="0.3">
      <c r="B85" s="74">
        <f>'6.1Personnel List'!B86</f>
        <v>73</v>
      </c>
      <c r="C85" s="73" t="s">
        <v>180</v>
      </c>
      <c r="D85" s="73" t="s">
        <v>112</v>
      </c>
      <c r="E85" s="31" t="str">
        <f>'6.1Personnel List'!H86</f>
        <v>FT</v>
      </c>
      <c r="G85" s="103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R85" s="103"/>
      <c r="S85" s="103"/>
      <c r="T85" s="103"/>
      <c r="U85" s="103"/>
      <c r="V85" s="103"/>
      <c r="W85" s="103"/>
      <c r="X85" s="103"/>
      <c r="Y85" s="103"/>
      <c r="Z85" s="103"/>
      <c r="AA85" s="103"/>
      <c r="AB85" s="103"/>
      <c r="AC85" s="103"/>
      <c r="AD85" s="103"/>
      <c r="AE85" s="103"/>
      <c r="AF85" s="103"/>
      <c r="AG85" s="103"/>
      <c r="AH85" s="103"/>
      <c r="AI85" s="103"/>
      <c r="AJ85" s="103"/>
      <c r="AK85" s="103"/>
      <c r="AL85" s="103"/>
      <c r="AM85" s="103"/>
      <c r="AN85" s="103"/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2"/>
      <c r="BJ85" s="103"/>
      <c r="BK85" s="103"/>
      <c r="BL85" s="103"/>
      <c r="BM85" s="103"/>
      <c r="BN85" s="103"/>
      <c r="BO85" s="103"/>
      <c r="BP85" s="103"/>
      <c r="BQ85" s="103"/>
      <c r="BR85" s="103"/>
      <c r="BS85" s="103"/>
      <c r="BT85" s="103"/>
      <c r="BU85" s="103"/>
      <c r="BV85" s="103"/>
      <c r="BW85" s="103"/>
      <c r="BX85" s="103">
        <v>1</v>
      </c>
      <c r="BY85" s="103"/>
      <c r="BZ85" s="103"/>
      <c r="CA85" s="103"/>
      <c r="CB85" s="103"/>
      <c r="CC85" s="103"/>
      <c r="CD85" s="103"/>
      <c r="CE85" s="103"/>
      <c r="CF85" s="103"/>
      <c r="CG85" s="103"/>
      <c r="CH85" s="103"/>
      <c r="CI85" s="103"/>
      <c r="CJ85" s="103"/>
      <c r="CK85" s="103"/>
      <c r="CL85" s="103"/>
      <c r="CM85" s="103"/>
      <c r="CN85" s="103"/>
      <c r="CO85" s="103"/>
      <c r="CP85" s="103"/>
      <c r="CQ85" s="103"/>
      <c r="CR85" s="103"/>
      <c r="CS85" s="103"/>
      <c r="CT85" s="103"/>
      <c r="CU85" s="103"/>
      <c r="CV85" s="103"/>
      <c r="CW85" s="103"/>
      <c r="CX85" s="103"/>
      <c r="CY85" s="103"/>
      <c r="CZ85" s="103"/>
      <c r="DA85" s="103"/>
      <c r="DB85" s="103"/>
      <c r="DC85" s="103"/>
      <c r="DD85" s="103"/>
      <c r="DE85" s="103"/>
      <c r="DF85" s="103"/>
      <c r="DG85" s="103"/>
      <c r="DH85" s="103"/>
      <c r="DI85" s="103"/>
      <c r="DJ85" s="103"/>
      <c r="DK85" s="103"/>
      <c r="DL85" s="103"/>
      <c r="DM85" s="103"/>
      <c r="DN85" s="103"/>
      <c r="DO85" s="103"/>
      <c r="DP85" s="103"/>
      <c r="DQ85" s="103"/>
      <c r="DR85" s="103"/>
      <c r="DS85" s="104"/>
      <c r="DT85" s="30">
        <f>SUM(F85:DR85)</f>
        <v>1</v>
      </c>
    </row>
    <row r="86" spans="2:124" x14ac:dyDescent="0.3">
      <c r="B86" s="74">
        <f>'6.1Personnel List'!B87</f>
        <v>74</v>
      </c>
      <c r="C86" s="73" t="s">
        <v>181</v>
      </c>
      <c r="D86" s="73" t="s">
        <v>112</v>
      </c>
      <c r="E86" s="31" t="str">
        <f>'6.1Personnel List'!H87</f>
        <v>FT</v>
      </c>
      <c r="G86" s="103"/>
      <c r="H86" s="103"/>
      <c r="I86" s="103"/>
      <c r="J86" s="103"/>
      <c r="K86" s="103"/>
      <c r="L86" s="103"/>
      <c r="M86" s="103"/>
      <c r="N86" s="103"/>
      <c r="O86" s="103"/>
      <c r="P86" s="103"/>
      <c r="Q86" s="103"/>
      <c r="R86" s="103"/>
      <c r="S86" s="103"/>
      <c r="T86" s="103"/>
      <c r="U86" s="103"/>
      <c r="V86" s="103"/>
      <c r="W86" s="103"/>
      <c r="X86" s="103"/>
      <c r="Y86" s="103"/>
      <c r="Z86" s="103"/>
      <c r="AA86" s="103"/>
      <c r="AB86" s="103"/>
      <c r="AC86" s="103"/>
      <c r="AD86" s="103"/>
      <c r="AE86" s="103"/>
      <c r="AF86" s="103"/>
      <c r="AG86" s="103"/>
      <c r="AH86" s="103"/>
      <c r="AI86" s="103"/>
      <c r="AJ86" s="103"/>
      <c r="AK86" s="103"/>
      <c r="AL86" s="103"/>
      <c r="AM86" s="103"/>
      <c r="AN86" s="103"/>
      <c r="AO86" s="103"/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2"/>
      <c r="BJ86" s="103"/>
      <c r="BK86" s="103"/>
      <c r="BL86" s="103">
        <v>1</v>
      </c>
      <c r="BM86" s="103"/>
      <c r="BN86" s="103"/>
      <c r="BO86" s="103"/>
      <c r="BP86" s="103"/>
      <c r="BQ86" s="103"/>
      <c r="BR86" s="103"/>
      <c r="BS86" s="103"/>
      <c r="BT86" s="103"/>
      <c r="BU86" s="103"/>
      <c r="BV86" s="103"/>
      <c r="BW86" s="103"/>
      <c r="BX86" s="103"/>
      <c r="BY86" s="103"/>
      <c r="BZ86" s="103"/>
      <c r="CA86" s="103"/>
      <c r="CB86" s="103"/>
      <c r="CC86" s="103"/>
      <c r="CD86" s="103"/>
      <c r="CE86" s="103"/>
      <c r="CF86" s="103"/>
      <c r="CG86" s="103"/>
      <c r="CH86" s="103"/>
      <c r="CI86" s="103"/>
      <c r="CJ86" s="103"/>
      <c r="CK86" s="103"/>
      <c r="CL86" s="103"/>
      <c r="CM86" s="103"/>
      <c r="CN86" s="103"/>
      <c r="CO86" s="103"/>
      <c r="CP86" s="103"/>
      <c r="CQ86" s="103"/>
      <c r="CR86" s="103"/>
      <c r="CS86" s="103"/>
      <c r="CT86" s="103"/>
      <c r="CU86" s="103"/>
      <c r="CV86" s="103"/>
      <c r="CW86" s="103"/>
      <c r="CX86" s="103"/>
      <c r="CY86" s="103"/>
      <c r="CZ86" s="103"/>
      <c r="DA86" s="103"/>
      <c r="DB86" s="103"/>
      <c r="DC86" s="103"/>
      <c r="DD86" s="103"/>
      <c r="DE86" s="103"/>
      <c r="DF86" s="103"/>
      <c r="DG86" s="103"/>
      <c r="DH86" s="103"/>
      <c r="DI86" s="103"/>
      <c r="DJ86" s="103"/>
      <c r="DK86" s="103"/>
      <c r="DL86" s="103"/>
      <c r="DM86" s="103"/>
      <c r="DN86" s="103"/>
      <c r="DO86" s="103"/>
      <c r="DP86" s="103"/>
      <c r="DQ86" s="103"/>
      <c r="DR86" s="103"/>
      <c r="DS86" s="104"/>
      <c r="DT86" s="30">
        <f>SUM(F86:DR86)</f>
        <v>1</v>
      </c>
    </row>
    <row r="87" spans="2:124" x14ac:dyDescent="0.3">
      <c r="B87" s="74">
        <f>'6.1Personnel List'!B88</f>
        <v>75</v>
      </c>
      <c r="C87" s="73" t="s">
        <v>182</v>
      </c>
      <c r="D87" s="73" t="s">
        <v>111</v>
      </c>
      <c r="E87" s="31" t="str">
        <f>'6.1Personnel List'!H88</f>
        <v>FT</v>
      </c>
      <c r="G87" s="103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R87" s="103"/>
      <c r="S87" s="103"/>
      <c r="T87" s="103"/>
      <c r="U87" s="103"/>
      <c r="V87" s="103"/>
      <c r="W87" s="103"/>
      <c r="X87" s="103"/>
      <c r="Y87" s="103"/>
      <c r="Z87" s="103"/>
      <c r="AA87" s="103"/>
      <c r="AB87" s="103"/>
      <c r="AC87" s="103"/>
      <c r="AD87" s="103"/>
      <c r="AE87" s="103"/>
      <c r="AF87" s="103"/>
      <c r="AG87" s="103"/>
      <c r="AH87" s="103"/>
      <c r="AI87" s="103"/>
      <c r="AJ87" s="103"/>
      <c r="AK87" s="103"/>
      <c r="AL87" s="103"/>
      <c r="AM87" s="103"/>
      <c r="AN87" s="103"/>
      <c r="AO87" s="103"/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2"/>
      <c r="BJ87" s="103"/>
      <c r="BK87" s="103"/>
      <c r="BL87" s="103"/>
      <c r="BM87" s="103"/>
      <c r="BN87" s="103"/>
      <c r="BO87" s="103"/>
      <c r="BP87" s="103"/>
      <c r="BQ87" s="103"/>
      <c r="BR87" s="103"/>
      <c r="BS87" s="103"/>
      <c r="BT87" s="103"/>
      <c r="BU87" s="103"/>
      <c r="BV87" s="103"/>
      <c r="BW87" s="103"/>
      <c r="BX87" s="103"/>
      <c r="BY87" s="103"/>
      <c r="BZ87" s="103"/>
      <c r="CA87" s="103"/>
      <c r="CB87" s="103"/>
      <c r="CC87" s="103"/>
      <c r="CD87" s="103"/>
      <c r="CE87" s="103"/>
      <c r="CF87" s="103"/>
      <c r="CG87" s="103">
        <v>1</v>
      </c>
      <c r="CH87" s="103"/>
      <c r="CI87" s="103"/>
      <c r="CJ87" s="103"/>
      <c r="CK87" s="103"/>
      <c r="CL87" s="103"/>
      <c r="CM87" s="103"/>
      <c r="CN87" s="103"/>
      <c r="CO87" s="103"/>
      <c r="CP87" s="103"/>
      <c r="CQ87" s="103"/>
      <c r="CR87" s="103"/>
      <c r="CS87" s="103"/>
      <c r="CT87" s="103"/>
      <c r="CU87" s="103"/>
      <c r="CV87" s="103"/>
      <c r="CW87" s="103"/>
      <c r="CX87" s="103"/>
      <c r="CY87" s="103"/>
      <c r="CZ87" s="103"/>
      <c r="DA87" s="103"/>
      <c r="DB87" s="103"/>
      <c r="DC87" s="103"/>
      <c r="DD87" s="103"/>
      <c r="DE87" s="103"/>
      <c r="DF87" s="103"/>
      <c r="DG87" s="103"/>
      <c r="DH87" s="103"/>
      <c r="DI87" s="103"/>
      <c r="DJ87" s="103"/>
      <c r="DK87" s="103"/>
      <c r="DL87" s="103"/>
      <c r="DM87" s="103"/>
      <c r="DN87" s="103"/>
      <c r="DO87" s="103"/>
      <c r="DP87" s="103"/>
      <c r="DQ87" s="103"/>
      <c r="DR87" s="103"/>
      <c r="DS87" s="104"/>
      <c r="DT87" s="30">
        <f>SUM(F87:DR87)</f>
        <v>1</v>
      </c>
    </row>
    <row r="88" spans="2:124" x14ac:dyDescent="0.3">
      <c r="B88" s="74">
        <f>'6.1Personnel List'!B89</f>
        <v>76</v>
      </c>
      <c r="C88" s="73" t="s">
        <v>183</v>
      </c>
      <c r="D88" s="73" t="s">
        <v>111</v>
      </c>
      <c r="E88" s="31" t="str">
        <f>'6.1Personnel List'!H89</f>
        <v>FT</v>
      </c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  <c r="Z88" s="103"/>
      <c r="AA88" s="103"/>
      <c r="AB88" s="103"/>
      <c r="AC88" s="103"/>
      <c r="AD88" s="103"/>
      <c r="AE88" s="103"/>
      <c r="AF88" s="103"/>
      <c r="AG88" s="103"/>
      <c r="AH88" s="103"/>
      <c r="AI88" s="103"/>
      <c r="AJ88" s="103"/>
      <c r="AK88" s="103"/>
      <c r="AL88" s="103"/>
      <c r="AM88" s="103"/>
      <c r="AN88" s="103"/>
      <c r="AO88" s="103"/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2"/>
      <c r="BJ88" s="103"/>
      <c r="BK88" s="103"/>
      <c r="BL88" s="103"/>
      <c r="BM88" s="103"/>
      <c r="BN88" s="103"/>
      <c r="BO88" s="103"/>
      <c r="BP88" s="103"/>
      <c r="BQ88" s="103"/>
      <c r="BR88" s="103"/>
      <c r="BS88" s="103"/>
      <c r="BT88" s="103"/>
      <c r="BU88" s="103"/>
      <c r="BV88" s="103"/>
      <c r="BW88" s="103"/>
      <c r="BX88" s="103">
        <v>1</v>
      </c>
      <c r="BY88" s="103"/>
      <c r="BZ88" s="103"/>
      <c r="CA88" s="103"/>
      <c r="CB88" s="103"/>
      <c r="CC88" s="103"/>
      <c r="CD88" s="103"/>
      <c r="CE88" s="103"/>
      <c r="CF88" s="103"/>
      <c r="CG88" s="103"/>
      <c r="CH88" s="103"/>
      <c r="CI88" s="103"/>
      <c r="CJ88" s="103"/>
      <c r="CK88" s="103"/>
      <c r="CL88" s="103"/>
      <c r="CM88" s="103"/>
      <c r="CN88" s="103"/>
      <c r="CO88" s="103"/>
      <c r="CP88" s="103"/>
      <c r="CQ88" s="103"/>
      <c r="CR88" s="103"/>
      <c r="CS88" s="103"/>
      <c r="CT88" s="103"/>
      <c r="CU88" s="103"/>
      <c r="CV88" s="103"/>
      <c r="CW88" s="103"/>
      <c r="CX88" s="103"/>
      <c r="CY88" s="103"/>
      <c r="CZ88" s="103"/>
      <c r="DA88" s="103"/>
      <c r="DB88" s="103"/>
      <c r="DC88" s="103"/>
      <c r="DD88" s="103"/>
      <c r="DE88" s="103"/>
      <c r="DF88" s="103"/>
      <c r="DG88" s="103"/>
      <c r="DH88" s="103"/>
      <c r="DI88" s="103"/>
      <c r="DJ88" s="103"/>
      <c r="DK88" s="103"/>
      <c r="DL88" s="103"/>
      <c r="DM88" s="103"/>
      <c r="DN88" s="103"/>
      <c r="DO88" s="103"/>
      <c r="DP88" s="103"/>
      <c r="DQ88" s="103"/>
      <c r="DR88" s="103"/>
      <c r="DS88" s="104"/>
      <c r="DT88" s="30">
        <f>SUM(F88:DR88)</f>
        <v>1</v>
      </c>
    </row>
    <row r="89" spans="2:124" x14ac:dyDescent="0.3">
      <c r="B89" s="74">
        <f>'6.1Personnel List'!B90</f>
        <v>77</v>
      </c>
      <c r="C89" s="73" t="s">
        <v>184</v>
      </c>
      <c r="D89" s="73" t="s">
        <v>243</v>
      </c>
      <c r="E89" s="31" t="str">
        <f>'6.1Personnel List'!H90</f>
        <v>FT</v>
      </c>
      <c r="G89" s="103"/>
      <c r="H89" s="103"/>
      <c r="I89" s="103"/>
      <c r="J89" s="103"/>
      <c r="K89" s="103"/>
      <c r="L89" s="103"/>
      <c r="M89" s="103"/>
      <c r="N89" s="103"/>
      <c r="O89" s="103"/>
      <c r="P89" s="103"/>
      <c r="Q89" s="103"/>
      <c r="R89" s="103"/>
      <c r="S89" s="103"/>
      <c r="T89" s="103"/>
      <c r="U89" s="103"/>
      <c r="V89" s="103"/>
      <c r="W89" s="103"/>
      <c r="X89" s="103"/>
      <c r="Y89" s="103"/>
      <c r="Z89" s="103"/>
      <c r="AA89" s="103"/>
      <c r="AB89" s="103"/>
      <c r="AC89" s="103"/>
      <c r="AD89" s="103"/>
      <c r="AE89" s="103"/>
      <c r="AF89" s="103"/>
      <c r="AG89" s="103"/>
      <c r="AH89" s="103"/>
      <c r="AI89" s="103"/>
      <c r="AJ89" s="103"/>
      <c r="AK89" s="103"/>
      <c r="AL89" s="103"/>
      <c r="AM89" s="103"/>
      <c r="AN89" s="103"/>
      <c r="AO89" s="103"/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2"/>
      <c r="BJ89" s="103"/>
      <c r="BK89" s="103"/>
      <c r="BL89" s="103"/>
      <c r="BM89" s="103"/>
      <c r="BN89" s="103"/>
      <c r="BO89" s="103"/>
      <c r="BP89" s="103"/>
      <c r="BQ89" s="103"/>
      <c r="BR89" s="103"/>
      <c r="BS89" s="103"/>
      <c r="BT89" s="103"/>
      <c r="BU89" s="103"/>
      <c r="BV89" s="103"/>
      <c r="BW89" s="103"/>
      <c r="BX89" s="103"/>
      <c r="BY89" s="103">
        <v>1</v>
      </c>
      <c r="BZ89" s="103"/>
      <c r="CA89" s="103"/>
      <c r="CB89" s="103"/>
      <c r="CC89" s="103"/>
      <c r="CD89" s="103"/>
      <c r="CE89" s="103"/>
      <c r="CF89" s="103"/>
      <c r="CG89" s="103"/>
      <c r="CH89" s="103"/>
      <c r="CI89" s="103"/>
      <c r="CJ89" s="103"/>
      <c r="CK89" s="103"/>
      <c r="CL89" s="103"/>
      <c r="CM89" s="103"/>
      <c r="CN89" s="103"/>
      <c r="CO89" s="103"/>
      <c r="CP89" s="103"/>
      <c r="CQ89" s="103"/>
      <c r="CR89" s="103"/>
      <c r="CS89" s="103"/>
      <c r="CT89" s="103"/>
      <c r="CU89" s="103"/>
      <c r="CV89" s="103"/>
      <c r="CW89" s="103"/>
      <c r="CX89" s="103"/>
      <c r="CY89" s="103"/>
      <c r="CZ89" s="103"/>
      <c r="DA89" s="103"/>
      <c r="DB89" s="103"/>
      <c r="DC89" s="103"/>
      <c r="DD89" s="103"/>
      <c r="DE89" s="103"/>
      <c r="DF89" s="103"/>
      <c r="DG89" s="103"/>
      <c r="DH89" s="103"/>
      <c r="DI89" s="103"/>
      <c r="DJ89" s="103"/>
      <c r="DK89" s="103"/>
      <c r="DL89" s="103"/>
      <c r="DM89" s="103"/>
      <c r="DN89" s="103"/>
      <c r="DO89" s="103"/>
      <c r="DP89" s="103"/>
      <c r="DQ89" s="103"/>
      <c r="DR89" s="103"/>
      <c r="DS89" s="104"/>
      <c r="DT89" s="30">
        <f>SUM(F89:DR89)</f>
        <v>1</v>
      </c>
    </row>
    <row r="90" spans="2:124" x14ac:dyDescent="0.3">
      <c r="B90" s="74">
        <f>'6.1Personnel List'!B91</f>
        <v>78</v>
      </c>
      <c r="C90" s="73" t="s">
        <v>185</v>
      </c>
      <c r="D90" s="73" t="s">
        <v>111</v>
      </c>
      <c r="E90" s="31" t="str">
        <f>'6.1Personnel List'!H91</f>
        <v>FT</v>
      </c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103"/>
      <c r="S90" s="103"/>
      <c r="T90" s="103"/>
      <c r="U90" s="103"/>
      <c r="V90" s="103"/>
      <c r="W90" s="103"/>
      <c r="X90" s="103"/>
      <c r="Y90" s="103"/>
      <c r="Z90" s="103"/>
      <c r="AA90" s="103"/>
      <c r="AB90" s="103"/>
      <c r="AC90" s="103"/>
      <c r="AD90" s="103"/>
      <c r="AE90" s="103"/>
      <c r="AF90" s="103"/>
      <c r="AG90" s="103"/>
      <c r="AH90" s="103"/>
      <c r="AI90" s="103"/>
      <c r="AJ90" s="103"/>
      <c r="AK90" s="103"/>
      <c r="AL90" s="103"/>
      <c r="AM90" s="103"/>
      <c r="AN90" s="103"/>
      <c r="AO90" s="103"/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2"/>
      <c r="BJ90" s="103"/>
      <c r="BK90" s="103"/>
      <c r="BL90" s="103"/>
      <c r="BM90" s="103"/>
      <c r="BN90" s="103"/>
      <c r="BO90" s="103"/>
      <c r="BP90" s="103"/>
      <c r="BQ90" s="103">
        <v>1</v>
      </c>
      <c r="BR90" s="103"/>
      <c r="BS90" s="103"/>
      <c r="BT90" s="103"/>
      <c r="BU90" s="103"/>
      <c r="BV90" s="103"/>
      <c r="BW90" s="103"/>
      <c r="BX90" s="103"/>
      <c r="BY90" s="103"/>
      <c r="BZ90" s="103"/>
      <c r="CA90" s="103"/>
      <c r="CB90" s="103"/>
      <c r="CC90" s="103"/>
      <c r="CD90" s="103"/>
      <c r="CE90" s="103"/>
      <c r="CF90" s="103"/>
      <c r="CG90" s="103"/>
      <c r="CH90" s="103"/>
      <c r="CI90" s="103"/>
      <c r="CJ90" s="103"/>
      <c r="CK90" s="103"/>
      <c r="CL90" s="103"/>
      <c r="CM90" s="103"/>
      <c r="CN90" s="103"/>
      <c r="CO90" s="103"/>
      <c r="CP90" s="103"/>
      <c r="CQ90" s="103"/>
      <c r="CR90" s="103"/>
      <c r="CS90" s="103"/>
      <c r="CT90" s="103"/>
      <c r="CU90" s="103"/>
      <c r="CV90" s="103"/>
      <c r="CW90" s="103"/>
      <c r="CX90" s="103"/>
      <c r="CY90" s="103"/>
      <c r="CZ90" s="103"/>
      <c r="DA90" s="103"/>
      <c r="DB90" s="103"/>
      <c r="DC90" s="103"/>
      <c r="DD90" s="103"/>
      <c r="DE90" s="103"/>
      <c r="DF90" s="103"/>
      <c r="DG90" s="103"/>
      <c r="DH90" s="103"/>
      <c r="DI90" s="103"/>
      <c r="DJ90" s="103"/>
      <c r="DK90" s="103"/>
      <c r="DL90" s="103"/>
      <c r="DM90" s="103"/>
      <c r="DN90" s="103"/>
      <c r="DO90" s="103"/>
      <c r="DP90" s="103"/>
      <c r="DQ90" s="103"/>
      <c r="DR90" s="103"/>
      <c r="DS90" s="104"/>
      <c r="DT90" s="30">
        <f>SUM(F90:DR90)</f>
        <v>1</v>
      </c>
    </row>
    <row r="91" spans="2:124" x14ac:dyDescent="0.3">
      <c r="B91" s="74">
        <f>'6.1Personnel List'!B92</f>
        <v>79</v>
      </c>
      <c r="C91" s="73" t="s">
        <v>186</v>
      </c>
      <c r="D91" s="73" t="s">
        <v>238</v>
      </c>
      <c r="E91" s="31" t="str">
        <f>'6.1Personnel List'!H92</f>
        <v>FT</v>
      </c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103"/>
      <c r="AA91" s="103"/>
      <c r="AB91" s="103"/>
      <c r="AC91" s="103"/>
      <c r="AD91" s="103"/>
      <c r="AE91" s="103"/>
      <c r="AF91" s="103"/>
      <c r="AG91" s="103"/>
      <c r="AH91" s="103"/>
      <c r="AI91" s="103"/>
      <c r="AJ91" s="103"/>
      <c r="AK91" s="103"/>
      <c r="AL91" s="103"/>
      <c r="AM91" s="103"/>
      <c r="AN91" s="103"/>
      <c r="AO91" s="103"/>
      <c r="AP91" s="103"/>
      <c r="AQ91" s="103">
        <v>0.4</v>
      </c>
      <c r="AR91" s="103"/>
      <c r="AS91" s="103"/>
      <c r="AT91" s="103"/>
      <c r="AU91" s="103"/>
      <c r="AV91" s="103"/>
      <c r="AW91" s="103"/>
      <c r="AX91" s="103"/>
      <c r="AY91" s="103"/>
      <c r="AZ91" s="103">
        <v>0.25</v>
      </c>
      <c r="BA91" s="103"/>
      <c r="BB91" s="103"/>
      <c r="BC91" s="103"/>
      <c r="BD91" s="103">
        <v>0.1</v>
      </c>
      <c r="BE91" s="103">
        <v>0.1</v>
      </c>
      <c r="BF91" s="103">
        <v>0.05</v>
      </c>
      <c r="BG91" s="103">
        <v>0.05</v>
      </c>
      <c r="BH91" s="103">
        <v>0.05</v>
      </c>
      <c r="BI91" s="102"/>
      <c r="BJ91" s="103"/>
      <c r="BK91" s="103"/>
      <c r="BL91" s="103"/>
      <c r="BM91" s="103"/>
      <c r="BN91" s="103"/>
      <c r="BO91" s="103"/>
      <c r="BP91" s="103"/>
      <c r="BQ91" s="103"/>
      <c r="BR91" s="103"/>
      <c r="BS91" s="103"/>
      <c r="BT91" s="103"/>
      <c r="BU91" s="103"/>
      <c r="BV91" s="103"/>
      <c r="BW91" s="103"/>
      <c r="BX91" s="103"/>
      <c r="BY91" s="103"/>
      <c r="BZ91" s="103"/>
      <c r="CA91" s="103"/>
      <c r="CB91" s="103"/>
      <c r="CC91" s="103"/>
      <c r="CD91" s="103"/>
      <c r="CE91" s="103"/>
      <c r="CF91" s="103"/>
      <c r="CG91" s="103"/>
      <c r="CH91" s="103"/>
      <c r="CI91" s="103"/>
      <c r="CJ91" s="103"/>
      <c r="CK91" s="103"/>
      <c r="CL91" s="103"/>
      <c r="CM91" s="103"/>
      <c r="CN91" s="103"/>
      <c r="CO91" s="103"/>
      <c r="CP91" s="103"/>
      <c r="CQ91" s="103"/>
      <c r="CR91" s="103"/>
      <c r="CS91" s="103"/>
      <c r="CT91" s="103"/>
      <c r="CU91" s="103"/>
      <c r="CV91" s="103"/>
      <c r="CW91" s="103"/>
      <c r="CX91" s="103"/>
      <c r="CY91" s="103"/>
      <c r="CZ91" s="103"/>
      <c r="DA91" s="103"/>
      <c r="DB91" s="103"/>
      <c r="DC91" s="103"/>
      <c r="DD91" s="103"/>
      <c r="DE91" s="103"/>
      <c r="DF91" s="103"/>
      <c r="DG91" s="103"/>
      <c r="DH91" s="103"/>
      <c r="DI91" s="103"/>
      <c r="DJ91" s="103"/>
      <c r="DK91" s="103"/>
      <c r="DL91" s="103"/>
      <c r="DM91" s="103"/>
      <c r="DN91" s="103"/>
      <c r="DO91" s="103"/>
      <c r="DP91" s="103"/>
      <c r="DQ91" s="103"/>
      <c r="DR91" s="103"/>
      <c r="DS91" s="104"/>
      <c r="DT91" s="30">
        <f>SUM(F91:DR91)</f>
        <v>1</v>
      </c>
    </row>
    <row r="92" spans="2:124" x14ac:dyDescent="0.3">
      <c r="B92" s="74">
        <f>'6.1Personnel List'!B93</f>
        <v>80</v>
      </c>
      <c r="C92" s="73" t="s">
        <v>187</v>
      </c>
      <c r="D92" s="73" t="s">
        <v>244</v>
      </c>
      <c r="E92" s="31" t="str">
        <f>'6.1Personnel List'!H93</f>
        <v>FT</v>
      </c>
      <c r="G92" s="103"/>
      <c r="H92" s="103"/>
      <c r="I92" s="103"/>
      <c r="J92" s="103"/>
      <c r="K92" s="103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  <c r="AA92" s="103"/>
      <c r="AB92" s="103"/>
      <c r="AC92" s="103"/>
      <c r="AD92" s="103"/>
      <c r="AE92" s="103"/>
      <c r="AF92" s="103"/>
      <c r="AG92" s="103"/>
      <c r="AH92" s="103"/>
      <c r="AI92" s="103"/>
      <c r="AJ92" s="103"/>
      <c r="AK92" s="103"/>
      <c r="AL92" s="103"/>
      <c r="AM92" s="103"/>
      <c r="AN92" s="103"/>
      <c r="AO92" s="103"/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2"/>
      <c r="BJ92" s="103"/>
      <c r="BK92" s="103"/>
      <c r="BL92" s="103"/>
      <c r="BM92" s="103"/>
      <c r="BN92" s="103"/>
      <c r="BO92" s="103"/>
      <c r="BP92" s="103"/>
      <c r="BQ92" s="103"/>
      <c r="BR92" s="103"/>
      <c r="BS92" s="103"/>
      <c r="BT92" s="103"/>
      <c r="BU92" s="103"/>
      <c r="BV92" s="103"/>
      <c r="BW92" s="103"/>
      <c r="BX92" s="103"/>
      <c r="BY92" s="103"/>
      <c r="BZ92" s="103"/>
      <c r="CA92" s="103"/>
      <c r="CB92" s="103"/>
      <c r="CC92" s="103"/>
      <c r="CD92" s="103"/>
      <c r="CE92" s="103"/>
      <c r="CF92" s="103"/>
      <c r="CG92" s="103"/>
      <c r="CH92" s="103"/>
      <c r="CI92" s="103"/>
      <c r="CJ92" s="103"/>
      <c r="CK92" s="103">
        <v>1</v>
      </c>
      <c r="CL92" s="103"/>
      <c r="CM92" s="103"/>
      <c r="CN92" s="103"/>
      <c r="CO92" s="103"/>
      <c r="CP92" s="103"/>
      <c r="CQ92" s="103"/>
      <c r="CR92" s="103"/>
      <c r="CS92" s="103"/>
      <c r="CT92" s="103"/>
      <c r="CU92" s="103"/>
      <c r="CV92" s="103"/>
      <c r="CW92" s="103"/>
      <c r="CX92" s="103"/>
      <c r="CY92" s="103"/>
      <c r="CZ92" s="103"/>
      <c r="DA92" s="103"/>
      <c r="DB92" s="103"/>
      <c r="DC92" s="103"/>
      <c r="DD92" s="103"/>
      <c r="DE92" s="103"/>
      <c r="DF92" s="103"/>
      <c r="DG92" s="103"/>
      <c r="DH92" s="103"/>
      <c r="DI92" s="103"/>
      <c r="DJ92" s="103"/>
      <c r="DK92" s="103"/>
      <c r="DL92" s="103"/>
      <c r="DM92" s="103"/>
      <c r="DN92" s="103"/>
      <c r="DO92" s="103"/>
      <c r="DP92" s="103"/>
      <c r="DQ92" s="103"/>
      <c r="DR92" s="103"/>
      <c r="DS92" s="104"/>
      <c r="DT92" s="30">
        <f>SUM(F92:DR92)</f>
        <v>1</v>
      </c>
    </row>
    <row r="93" spans="2:124" x14ac:dyDescent="0.3">
      <c r="B93" s="74">
        <f>'6.1Personnel List'!B94</f>
        <v>81</v>
      </c>
      <c r="C93" s="73" t="s">
        <v>188</v>
      </c>
      <c r="D93" s="73" t="s">
        <v>245</v>
      </c>
      <c r="E93" s="31" t="str">
        <f>'6.1Personnel List'!H94</f>
        <v>FT</v>
      </c>
      <c r="G93" s="103"/>
      <c r="H93" s="103"/>
      <c r="I93" s="103"/>
      <c r="J93" s="103"/>
      <c r="K93" s="103"/>
      <c r="L93" s="103"/>
      <c r="M93" s="103"/>
      <c r="N93" s="103"/>
      <c r="O93" s="103"/>
      <c r="P93" s="103"/>
      <c r="Q93" s="103"/>
      <c r="R93" s="103"/>
      <c r="S93" s="103"/>
      <c r="T93" s="103"/>
      <c r="U93" s="103"/>
      <c r="V93" s="103"/>
      <c r="W93" s="103"/>
      <c r="X93" s="103"/>
      <c r="Y93" s="103"/>
      <c r="Z93" s="103"/>
      <c r="AA93" s="103"/>
      <c r="AB93" s="103"/>
      <c r="AC93" s="103"/>
      <c r="AD93" s="103"/>
      <c r="AE93" s="103"/>
      <c r="AF93" s="103"/>
      <c r="AG93" s="103"/>
      <c r="AH93" s="103"/>
      <c r="AI93" s="103"/>
      <c r="AJ93" s="103"/>
      <c r="AK93" s="103"/>
      <c r="AL93" s="103"/>
      <c r="AM93" s="103"/>
      <c r="AN93" s="103"/>
      <c r="AO93" s="103"/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2"/>
      <c r="BJ93" s="103"/>
      <c r="BK93" s="103"/>
      <c r="BL93" s="103">
        <v>1</v>
      </c>
      <c r="BM93" s="103"/>
      <c r="BN93" s="103"/>
      <c r="BO93" s="103"/>
      <c r="BP93" s="103"/>
      <c r="BQ93" s="103"/>
      <c r="BR93" s="103"/>
      <c r="BS93" s="103"/>
      <c r="BT93" s="103"/>
      <c r="BU93" s="103"/>
      <c r="BV93" s="103"/>
      <c r="BW93" s="103"/>
      <c r="BX93" s="103"/>
      <c r="BY93" s="103"/>
      <c r="BZ93" s="103"/>
      <c r="CA93" s="103"/>
      <c r="CB93" s="103"/>
      <c r="CC93" s="103"/>
      <c r="CD93" s="103"/>
      <c r="CE93" s="103"/>
      <c r="CF93" s="103"/>
      <c r="CG93" s="103"/>
      <c r="CH93" s="103"/>
      <c r="CI93" s="103"/>
      <c r="CJ93" s="103"/>
      <c r="CK93" s="103"/>
      <c r="CL93" s="103"/>
      <c r="CM93" s="103"/>
      <c r="CN93" s="103"/>
      <c r="CO93" s="103"/>
      <c r="CP93" s="103"/>
      <c r="CQ93" s="103"/>
      <c r="CR93" s="103"/>
      <c r="CS93" s="103"/>
      <c r="CT93" s="103"/>
      <c r="CU93" s="103"/>
      <c r="CV93" s="103"/>
      <c r="CW93" s="103"/>
      <c r="CX93" s="103"/>
      <c r="CY93" s="103"/>
      <c r="CZ93" s="103"/>
      <c r="DA93" s="103"/>
      <c r="DB93" s="103"/>
      <c r="DC93" s="103"/>
      <c r="DD93" s="103"/>
      <c r="DE93" s="103"/>
      <c r="DF93" s="103"/>
      <c r="DG93" s="103"/>
      <c r="DH93" s="103"/>
      <c r="DI93" s="103"/>
      <c r="DJ93" s="103"/>
      <c r="DK93" s="103"/>
      <c r="DL93" s="103"/>
      <c r="DM93" s="103"/>
      <c r="DN93" s="103"/>
      <c r="DO93" s="103"/>
      <c r="DP93" s="103"/>
      <c r="DQ93" s="103"/>
      <c r="DR93" s="103"/>
      <c r="DS93" s="104"/>
      <c r="DT93" s="30">
        <f>SUM(F93:DR93)</f>
        <v>1</v>
      </c>
    </row>
    <row r="94" spans="2:124" x14ac:dyDescent="0.3">
      <c r="B94" s="74">
        <f>'6.1Personnel List'!B95</f>
        <v>82</v>
      </c>
      <c r="C94" s="73" t="s">
        <v>189</v>
      </c>
      <c r="D94" s="73" t="s">
        <v>112</v>
      </c>
      <c r="E94" s="31" t="str">
        <f>'6.1Personnel List'!H95</f>
        <v>FT</v>
      </c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03"/>
      <c r="T94" s="103"/>
      <c r="U94" s="103"/>
      <c r="V94" s="103"/>
      <c r="W94" s="103"/>
      <c r="X94" s="103"/>
      <c r="Y94" s="103"/>
      <c r="Z94" s="103"/>
      <c r="AA94" s="103"/>
      <c r="AB94" s="103"/>
      <c r="AC94" s="103"/>
      <c r="AD94" s="103"/>
      <c r="AE94" s="103"/>
      <c r="AF94" s="103"/>
      <c r="AG94" s="103"/>
      <c r="AH94" s="103"/>
      <c r="AI94" s="103"/>
      <c r="AJ94" s="103"/>
      <c r="AK94" s="103"/>
      <c r="AL94" s="103"/>
      <c r="AM94" s="103"/>
      <c r="AN94" s="103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2"/>
      <c r="BJ94" s="103"/>
      <c r="BK94" s="103"/>
      <c r="BL94" s="103"/>
      <c r="BM94" s="103"/>
      <c r="BN94" s="103"/>
      <c r="BO94" s="103"/>
      <c r="BP94" s="103">
        <v>1</v>
      </c>
      <c r="BQ94" s="103"/>
      <c r="BR94" s="103"/>
      <c r="BS94" s="103"/>
      <c r="BT94" s="103"/>
      <c r="BU94" s="103"/>
      <c r="BV94" s="103"/>
      <c r="BW94" s="103"/>
      <c r="BX94" s="103"/>
      <c r="BY94" s="103"/>
      <c r="BZ94" s="103"/>
      <c r="CA94" s="103"/>
      <c r="CB94" s="103"/>
      <c r="CC94" s="103"/>
      <c r="CD94" s="103"/>
      <c r="CE94" s="103"/>
      <c r="CF94" s="103"/>
      <c r="CG94" s="103"/>
      <c r="CH94" s="103"/>
      <c r="CI94" s="103"/>
      <c r="CJ94" s="103"/>
      <c r="CK94" s="103"/>
      <c r="CL94" s="103"/>
      <c r="CM94" s="103"/>
      <c r="CN94" s="103"/>
      <c r="CO94" s="103"/>
      <c r="CP94" s="103"/>
      <c r="CQ94" s="103"/>
      <c r="CR94" s="103"/>
      <c r="CS94" s="103"/>
      <c r="CT94" s="103"/>
      <c r="CU94" s="103"/>
      <c r="CV94" s="103"/>
      <c r="CW94" s="103"/>
      <c r="CX94" s="103"/>
      <c r="CY94" s="103"/>
      <c r="CZ94" s="103"/>
      <c r="DA94" s="103"/>
      <c r="DB94" s="103"/>
      <c r="DC94" s="103"/>
      <c r="DD94" s="103"/>
      <c r="DE94" s="103"/>
      <c r="DF94" s="103"/>
      <c r="DG94" s="103"/>
      <c r="DH94" s="103"/>
      <c r="DI94" s="103"/>
      <c r="DJ94" s="103"/>
      <c r="DK94" s="103"/>
      <c r="DL94" s="103"/>
      <c r="DM94" s="103"/>
      <c r="DN94" s="103"/>
      <c r="DO94" s="103"/>
      <c r="DP94" s="103"/>
      <c r="DQ94" s="103"/>
      <c r="DR94" s="103"/>
      <c r="DS94" s="104"/>
      <c r="DT94" s="30">
        <f>SUM(F94:DR94)</f>
        <v>1</v>
      </c>
    </row>
    <row r="95" spans="2:124" x14ac:dyDescent="0.3">
      <c r="B95" s="74">
        <f>'6.1Personnel List'!B96</f>
        <v>83</v>
      </c>
      <c r="C95" s="73" t="s">
        <v>190</v>
      </c>
      <c r="D95" s="73" t="s">
        <v>238</v>
      </c>
      <c r="E95" s="31" t="str">
        <f>'6.1Personnel List'!H96</f>
        <v>FT</v>
      </c>
      <c r="G95" s="103"/>
      <c r="H95" s="103"/>
      <c r="I95" s="103"/>
      <c r="J95" s="103"/>
      <c r="K95" s="103"/>
      <c r="L95" s="103"/>
      <c r="M95" s="103"/>
      <c r="N95" s="103"/>
      <c r="O95" s="103"/>
      <c r="P95" s="103"/>
      <c r="Q95" s="103"/>
      <c r="R95" s="103"/>
      <c r="S95" s="103"/>
      <c r="T95" s="103"/>
      <c r="U95" s="103"/>
      <c r="V95" s="103"/>
      <c r="W95" s="103"/>
      <c r="X95" s="103"/>
      <c r="Y95" s="103"/>
      <c r="Z95" s="103"/>
      <c r="AA95" s="103"/>
      <c r="AB95" s="103"/>
      <c r="AC95" s="103"/>
      <c r="AD95" s="103"/>
      <c r="AE95" s="103"/>
      <c r="AF95" s="103"/>
      <c r="AG95" s="103"/>
      <c r="AH95" s="103"/>
      <c r="AI95" s="103"/>
      <c r="AJ95" s="103"/>
      <c r="AK95" s="103"/>
      <c r="AL95" s="103"/>
      <c r="AM95" s="103"/>
      <c r="AN95" s="103"/>
      <c r="AO95" s="103"/>
      <c r="AP95" s="103"/>
      <c r="AQ95" s="103">
        <v>0.4</v>
      </c>
      <c r="AR95" s="103"/>
      <c r="AS95" s="103"/>
      <c r="AT95" s="103"/>
      <c r="AU95" s="103"/>
      <c r="AV95" s="103"/>
      <c r="AW95" s="103"/>
      <c r="AX95" s="103"/>
      <c r="AY95" s="103"/>
      <c r="AZ95" s="103">
        <v>0.25</v>
      </c>
      <c r="BA95" s="103"/>
      <c r="BB95" s="103"/>
      <c r="BC95" s="103"/>
      <c r="BD95" s="103">
        <v>0.1</v>
      </c>
      <c r="BE95" s="103">
        <v>0.1</v>
      </c>
      <c r="BF95" s="103">
        <v>0.05</v>
      </c>
      <c r="BG95" s="103">
        <v>0.05</v>
      </c>
      <c r="BH95" s="103">
        <v>0.05</v>
      </c>
      <c r="BI95" s="102"/>
      <c r="BJ95" s="103"/>
      <c r="BK95" s="103"/>
      <c r="BL95" s="103"/>
      <c r="BM95" s="103"/>
      <c r="BN95" s="103"/>
      <c r="BO95" s="103"/>
      <c r="BP95" s="103"/>
      <c r="BQ95" s="103"/>
      <c r="BR95" s="103"/>
      <c r="BS95" s="103"/>
      <c r="BT95" s="103"/>
      <c r="BU95" s="103"/>
      <c r="BV95" s="103"/>
      <c r="BW95" s="103"/>
      <c r="BX95" s="103"/>
      <c r="BY95" s="103"/>
      <c r="BZ95" s="103"/>
      <c r="CA95" s="103"/>
      <c r="CB95" s="103"/>
      <c r="CC95" s="103"/>
      <c r="CD95" s="103"/>
      <c r="CE95" s="103"/>
      <c r="CF95" s="103"/>
      <c r="CG95" s="103"/>
      <c r="CH95" s="103"/>
      <c r="CI95" s="103"/>
      <c r="CJ95" s="103"/>
      <c r="CK95" s="103"/>
      <c r="CL95" s="103"/>
      <c r="CM95" s="103"/>
      <c r="CN95" s="103"/>
      <c r="CO95" s="103"/>
      <c r="CP95" s="103"/>
      <c r="CQ95" s="103"/>
      <c r="CR95" s="103"/>
      <c r="CS95" s="103"/>
      <c r="CT95" s="103"/>
      <c r="CU95" s="103"/>
      <c r="CV95" s="103"/>
      <c r="CW95" s="103"/>
      <c r="CX95" s="103"/>
      <c r="CY95" s="103"/>
      <c r="CZ95" s="103"/>
      <c r="DA95" s="103"/>
      <c r="DB95" s="103"/>
      <c r="DC95" s="103"/>
      <c r="DD95" s="103"/>
      <c r="DE95" s="103"/>
      <c r="DF95" s="103"/>
      <c r="DG95" s="103"/>
      <c r="DH95" s="103"/>
      <c r="DI95" s="103"/>
      <c r="DJ95" s="103"/>
      <c r="DK95" s="103"/>
      <c r="DL95" s="103"/>
      <c r="DM95" s="103"/>
      <c r="DN95" s="103"/>
      <c r="DO95" s="103"/>
      <c r="DP95" s="103"/>
      <c r="DQ95" s="103"/>
      <c r="DR95" s="103"/>
      <c r="DS95" s="104"/>
      <c r="DT95" s="30">
        <f>SUM(F95:DR95)</f>
        <v>1</v>
      </c>
    </row>
    <row r="96" spans="2:124" x14ac:dyDescent="0.3">
      <c r="B96" s="74">
        <f>'6.1Personnel List'!B97</f>
        <v>84</v>
      </c>
      <c r="C96" s="73" t="s">
        <v>191</v>
      </c>
      <c r="D96" s="73" t="s">
        <v>246</v>
      </c>
      <c r="E96" s="31" t="str">
        <f>'6.1Personnel List'!H97</f>
        <v>FT</v>
      </c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  <c r="AH96" s="103"/>
      <c r="AI96" s="103"/>
      <c r="AJ96" s="103"/>
      <c r="AK96" s="103"/>
      <c r="AL96" s="103"/>
      <c r="AM96" s="103"/>
      <c r="AN96" s="103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2"/>
      <c r="BJ96" s="103"/>
      <c r="BK96" s="103"/>
      <c r="BL96" s="103"/>
      <c r="BM96" s="103"/>
      <c r="BN96" s="103"/>
      <c r="BO96" s="103"/>
      <c r="BP96" s="103"/>
      <c r="BQ96" s="103"/>
      <c r="BR96" s="103"/>
      <c r="BS96" s="103"/>
      <c r="BT96" s="103"/>
      <c r="BU96" s="103"/>
      <c r="BV96" s="103"/>
      <c r="BW96" s="103"/>
      <c r="BX96" s="103"/>
      <c r="BY96" s="103"/>
      <c r="BZ96" s="103"/>
      <c r="CA96" s="103"/>
      <c r="CB96" s="103"/>
      <c r="CC96" s="103"/>
      <c r="CD96" s="103"/>
      <c r="CE96" s="103"/>
      <c r="CF96" s="103"/>
      <c r="CG96" s="103">
        <v>1</v>
      </c>
      <c r="CH96" s="103"/>
      <c r="CI96" s="103"/>
      <c r="CJ96" s="103"/>
      <c r="CK96" s="103"/>
      <c r="CL96" s="103"/>
      <c r="CM96" s="103"/>
      <c r="CN96" s="103"/>
      <c r="CO96" s="103"/>
      <c r="CP96" s="103"/>
      <c r="CQ96" s="103"/>
      <c r="CR96" s="103"/>
      <c r="CS96" s="103"/>
      <c r="CT96" s="103"/>
      <c r="CU96" s="103"/>
      <c r="CV96" s="103"/>
      <c r="CW96" s="103"/>
      <c r="CX96" s="103"/>
      <c r="CY96" s="103"/>
      <c r="CZ96" s="103"/>
      <c r="DA96" s="103"/>
      <c r="DB96" s="103"/>
      <c r="DC96" s="103"/>
      <c r="DD96" s="103"/>
      <c r="DE96" s="103"/>
      <c r="DF96" s="103"/>
      <c r="DG96" s="103"/>
      <c r="DH96" s="103"/>
      <c r="DI96" s="103"/>
      <c r="DJ96" s="103"/>
      <c r="DK96" s="103"/>
      <c r="DL96" s="103"/>
      <c r="DM96" s="103"/>
      <c r="DN96" s="103"/>
      <c r="DO96" s="103"/>
      <c r="DP96" s="103"/>
      <c r="DQ96" s="103"/>
      <c r="DR96" s="103"/>
      <c r="DS96" s="104"/>
      <c r="DT96" s="30">
        <f>SUM(F96:DR96)</f>
        <v>1</v>
      </c>
    </row>
    <row r="97" spans="2:124" x14ac:dyDescent="0.3">
      <c r="B97" s="74">
        <f>'6.1Personnel List'!B98</f>
        <v>85</v>
      </c>
      <c r="C97" s="73" t="s">
        <v>192</v>
      </c>
      <c r="D97" s="73" t="s">
        <v>112</v>
      </c>
      <c r="E97" s="31" t="str">
        <f>'6.1Personnel List'!H98</f>
        <v>FT</v>
      </c>
      <c r="G97" s="103"/>
      <c r="H97" s="103"/>
      <c r="I97" s="103"/>
      <c r="J97" s="103"/>
      <c r="K97" s="103"/>
      <c r="L97" s="103"/>
      <c r="M97" s="103"/>
      <c r="N97" s="103"/>
      <c r="O97" s="103"/>
      <c r="P97" s="103"/>
      <c r="Q97" s="103"/>
      <c r="R97" s="103"/>
      <c r="S97" s="103"/>
      <c r="T97" s="103"/>
      <c r="U97" s="103"/>
      <c r="V97" s="103"/>
      <c r="W97" s="103"/>
      <c r="X97" s="103"/>
      <c r="Y97" s="103"/>
      <c r="Z97" s="103"/>
      <c r="AA97" s="103"/>
      <c r="AB97" s="103"/>
      <c r="AC97" s="103"/>
      <c r="AD97" s="103"/>
      <c r="AE97" s="103"/>
      <c r="AF97" s="103"/>
      <c r="AG97" s="103"/>
      <c r="AH97" s="103"/>
      <c r="AI97" s="103"/>
      <c r="AJ97" s="103"/>
      <c r="AK97" s="103"/>
      <c r="AL97" s="103"/>
      <c r="AM97" s="103"/>
      <c r="AN97" s="103"/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2"/>
      <c r="BJ97" s="103"/>
      <c r="BK97" s="103"/>
      <c r="BL97" s="103"/>
      <c r="BM97" s="103"/>
      <c r="BN97" s="103"/>
      <c r="BO97" s="103"/>
      <c r="BP97" s="103"/>
      <c r="BQ97" s="103"/>
      <c r="BR97" s="103"/>
      <c r="BS97" s="103"/>
      <c r="BT97" s="103"/>
      <c r="BU97" s="103"/>
      <c r="BV97" s="103"/>
      <c r="BW97" s="103"/>
      <c r="BX97" s="103"/>
      <c r="BY97" s="103"/>
      <c r="BZ97" s="103"/>
      <c r="CA97" s="103">
        <v>1</v>
      </c>
      <c r="CB97" s="103"/>
      <c r="CC97" s="103"/>
      <c r="CD97" s="103"/>
      <c r="CE97" s="103"/>
      <c r="CF97" s="103"/>
      <c r="CG97" s="103"/>
      <c r="CH97" s="103"/>
      <c r="CI97" s="103"/>
      <c r="CJ97" s="103"/>
      <c r="CK97" s="103"/>
      <c r="CL97" s="103"/>
      <c r="CM97" s="103"/>
      <c r="CN97" s="103"/>
      <c r="CO97" s="103"/>
      <c r="CP97" s="103"/>
      <c r="CQ97" s="103"/>
      <c r="CR97" s="103"/>
      <c r="CS97" s="103"/>
      <c r="CT97" s="103"/>
      <c r="CU97" s="103"/>
      <c r="CV97" s="103"/>
      <c r="CW97" s="103"/>
      <c r="CX97" s="103"/>
      <c r="CY97" s="103"/>
      <c r="CZ97" s="103"/>
      <c r="DA97" s="103"/>
      <c r="DB97" s="103"/>
      <c r="DC97" s="103"/>
      <c r="DD97" s="103"/>
      <c r="DE97" s="103"/>
      <c r="DF97" s="103"/>
      <c r="DG97" s="103"/>
      <c r="DH97" s="103"/>
      <c r="DI97" s="103"/>
      <c r="DJ97" s="103"/>
      <c r="DK97" s="103"/>
      <c r="DL97" s="103"/>
      <c r="DM97" s="103"/>
      <c r="DN97" s="103"/>
      <c r="DO97" s="103"/>
      <c r="DP97" s="103"/>
      <c r="DQ97" s="103"/>
      <c r="DR97" s="103"/>
      <c r="DS97" s="104"/>
      <c r="DT97" s="30">
        <f>SUM(F97:DR97)</f>
        <v>1</v>
      </c>
    </row>
    <row r="98" spans="2:124" x14ac:dyDescent="0.3">
      <c r="B98" s="74">
        <f>'6.1Personnel List'!B99</f>
        <v>86</v>
      </c>
      <c r="C98" s="73" t="s">
        <v>193</v>
      </c>
      <c r="D98" s="73" t="s">
        <v>111</v>
      </c>
      <c r="E98" s="31" t="str">
        <f>'6.1Personnel List'!H99</f>
        <v>FT</v>
      </c>
      <c r="G98" s="103"/>
      <c r="H98" s="103"/>
      <c r="I98" s="103"/>
      <c r="J98" s="103"/>
      <c r="K98" s="103"/>
      <c r="L98" s="103"/>
      <c r="M98" s="103"/>
      <c r="N98" s="103"/>
      <c r="O98" s="103"/>
      <c r="P98" s="103"/>
      <c r="Q98" s="103"/>
      <c r="R98" s="103"/>
      <c r="S98" s="103"/>
      <c r="T98" s="103"/>
      <c r="U98" s="103"/>
      <c r="V98" s="103"/>
      <c r="W98" s="103"/>
      <c r="X98" s="103"/>
      <c r="Y98" s="103"/>
      <c r="Z98" s="103"/>
      <c r="AA98" s="103"/>
      <c r="AB98" s="103"/>
      <c r="AC98" s="103"/>
      <c r="AD98" s="103"/>
      <c r="AE98" s="103"/>
      <c r="AF98" s="103"/>
      <c r="AG98" s="103"/>
      <c r="AH98" s="103"/>
      <c r="AI98" s="103"/>
      <c r="AJ98" s="103"/>
      <c r="AK98" s="103"/>
      <c r="AL98" s="103"/>
      <c r="AM98" s="103"/>
      <c r="AN98" s="103"/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2"/>
      <c r="BJ98" s="103"/>
      <c r="BK98" s="103"/>
      <c r="BL98" s="103"/>
      <c r="BM98" s="103"/>
      <c r="BN98" s="103"/>
      <c r="BO98" s="103"/>
      <c r="BP98" s="103"/>
      <c r="BQ98" s="103">
        <v>1</v>
      </c>
      <c r="BR98" s="103"/>
      <c r="BS98" s="103"/>
      <c r="BT98" s="103"/>
      <c r="BU98" s="103"/>
      <c r="BV98" s="103"/>
      <c r="BW98" s="103"/>
      <c r="BX98" s="103"/>
      <c r="BY98" s="103"/>
      <c r="BZ98" s="103"/>
      <c r="CA98" s="103"/>
      <c r="CB98" s="103"/>
      <c r="CC98" s="103"/>
      <c r="CD98" s="103"/>
      <c r="CE98" s="103"/>
      <c r="CF98" s="103"/>
      <c r="CG98" s="103"/>
      <c r="CH98" s="103"/>
      <c r="CI98" s="103"/>
      <c r="CJ98" s="103"/>
      <c r="CK98" s="103"/>
      <c r="CL98" s="103"/>
      <c r="CM98" s="103"/>
      <c r="CN98" s="103"/>
      <c r="CO98" s="103"/>
      <c r="CP98" s="103"/>
      <c r="CQ98" s="103"/>
      <c r="CR98" s="103"/>
      <c r="CS98" s="103"/>
      <c r="CT98" s="103"/>
      <c r="CU98" s="103"/>
      <c r="CV98" s="103"/>
      <c r="CW98" s="103"/>
      <c r="CX98" s="103"/>
      <c r="CY98" s="103"/>
      <c r="CZ98" s="103"/>
      <c r="DA98" s="103"/>
      <c r="DB98" s="103"/>
      <c r="DC98" s="103"/>
      <c r="DD98" s="103"/>
      <c r="DE98" s="103"/>
      <c r="DF98" s="103"/>
      <c r="DG98" s="103"/>
      <c r="DH98" s="103"/>
      <c r="DI98" s="103"/>
      <c r="DJ98" s="103"/>
      <c r="DK98" s="103"/>
      <c r="DL98" s="103"/>
      <c r="DM98" s="103"/>
      <c r="DN98" s="103"/>
      <c r="DO98" s="103"/>
      <c r="DP98" s="103"/>
      <c r="DQ98" s="103"/>
      <c r="DR98" s="103"/>
      <c r="DS98" s="104"/>
      <c r="DT98" s="30">
        <f>SUM(F98:DR98)</f>
        <v>1</v>
      </c>
    </row>
    <row r="99" spans="2:124" x14ac:dyDescent="0.3">
      <c r="B99" s="74">
        <f>'6.1Personnel List'!B100</f>
        <v>87</v>
      </c>
      <c r="C99" s="73" t="s">
        <v>194</v>
      </c>
      <c r="D99" s="73" t="s">
        <v>247</v>
      </c>
      <c r="E99" s="31" t="str">
        <f>'6.1Personnel List'!H100</f>
        <v>FT</v>
      </c>
      <c r="G99" s="103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103"/>
      <c r="S99" s="103"/>
      <c r="T99" s="103"/>
      <c r="U99" s="103"/>
      <c r="V99" s="103"/>
      <c r="W99" s="103"/>
      <c r="X99" s="103"/>
      <c r="Y99" s="103"/>
      <c r="Z99" s="103"/>
      <c r="AA99" s="103"/>
      <c r="AB99" s="103"/>
      <c r="AC99" s="103"/>
      <c r="AD99" s="103"/>
      <c r="AE99" s="103"/>
      <c r="AF99" s="103"/>
      <c r="AG99" s="103"/>
      <c r="AH99" s="103"/>
      <c r="AI99" s="103"/>
      <c r="AJ99" s="103"/>
      <c r="AK99" s="103"/>
      <c r="AL99" s="103"/>
      <c r="AM99" s="103"/>
      <c r="AN99" s="103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2"/>
      <c r="BJ99" s="103"/>
      <c r="BK99" s="103"/>
      <c r="BL99" s="103"/>
      <c r="BM99" s="103"/>
      <c r="BN99" s="103"/>
      <c r="BO99" s="103"/>
      <c r="BP99" s="103"/>
      <c r="BQ99" s="103"/>
      <c r="BR99" s="103"/>
      <c r="BS99" s="103"/>
      <c r="BT99" s="103"/>
      <c r="BU99" s="103">
        <v>1</v>
      </c>
      <c r="BV99" s="103"/>
      <c r="BW99" s="103"/>
      <c r="BX99" s="103"/>
      <c r="BY99" s="103"/>
      <c r="BZ99" s="103"/>
      <c r="CA99" s="103"/>
      <c r="CB99" s="103"/>
      <c r="CC99" s="103"/>
      <c r="CD99" s="103"/>
      <c r="CE99" s="103"/>
      <c r="CF99" s="103"/>
      <c r="CG99" s="103"/>
      <c r="CH99" s="103"/>
      <c r="CI99" s="103"/>
      <c r="CJ99" s="103"/>
      <c r="CK99" s="103"/>
      <c r="CL99" s="103"/>
      <c r="CM99" s="103"/>
      <c r="CN99" s="103"/>
      <c r="CO99" s="103"/>
      <c r="CP99" s="103"/>
      <c r="CQ99" s="103"/>
      <c r="CR99" s="103"/>
      <c r="CS99" s="103"/>
      <c r="CT99" s="103"/>
      <c r="CU99" s="103"/>
      <c r="CV99" s="103"/>
      <c r="CW99" s="103"/>
      <c r="CX99" s="103"/>
      <c r="CY99" s="103"/>
      <c r="CZ99" s="103"/>
      <c r="DA99" s="103"/>
      <c r="DB99" s="103"/>
      <c r="DC99" s="103"/>
      <c r="DD99" s="103"/>
      <c r="DE99" s="103"/>
      <c r="DF99" s="103"/>
      <c r="DG99" s="103"/>
      <c r="DH99" s="103"/>
      <c r="DI99" s="103"/>
      <c r="DJ99" s="103"/>
      <c r="DK99" s="103"/>
      <c r="DL99" s="103"/>
      <c r="DM99" s="103"/>
      <c r="DN99" s="103"/>
      <c r="DO99" s="103"/>
      <c r="DP99" s="103"/>
      <c r="DQ99" s="103"/>
      <c r="DR99" s="103"/>
      <c r="DS99" s="104"/>
      <c r="DT99" s="30">
        <f>SUM(F99:DR99)</f>
        <v>1</v>
      </c>
    </row>
    <row r="100" spans="2:124" x14ac:dyDescent="0.3">
      <c r="B100" s="74">
        <f>'6.1Personnel List'!B101</f>
        <v>88</v>
      </c>
      <c r="C100" s="73" t="s">
        <v>195</v>
      </c>
      <c r="D100" s="73" t="s">
        <v>248</v>
      </c>
      <c r="E100" s="31" t="str">
        <f>'6.1Personnel List'!H101</f>
        <v>FT</v>
      </c>
      <c r="G100" s="103"/>
      <c r="H100" s="103"/>
      <c r="I100" s="103"/>
      <c r="J100" s="103"/>
      <c r="K100" s="103"/>
      <c r="L100" s="103"/>
      <c r="M100" s="103"/>
      <c r="N100" s="103"/>
      <c r="O100" s="103"/>
      <c r="P100" s="103"/>
      <c r="Q100" s="103"/>
      <c r="R100" s="103"/>
      <c r="S100" s="103"/>
      <c r="T100" s="103"/>
      <c r="U100" s="103"/>
      <c r="V100" s="103"/>
      <c r="W100" s="103"/>
      <c r="X100" s="103"/>
      <c r="Y100" s="103"/>
      <c r="Z100" s="103"/>
      <c r="AA100" s="103"/>
      <c r="AB100" s="103"/>
      <c r="AC100" s="103"/>
      <c r="AD100" s="103"/>
      <c r="AE100" s="103"/>
      <c r="AF100" s="103"/>
      <c r="AG100" s="103"/>
      <c r="AH100" s="103"/>
      <c r="AI100" s="103"/>
      <c r="AJ100" s="103"/>
      <c r="AK100" s="103"/>
      <c r="AL100" s="103"/>
      <c r="AM100" s="103"/>
      <c r="AN100" s="103"/>
      <c r="AO100" s="103"/>
      <c r="AP100" s="103"/>
      <c r="AQ100" s="103">
        <v>0.4</v>
      </c>
      <c r="AR100" s="103"/>
      <c r="AS100" s="103"/>
      <c r="AT100" s="103"/>
      <c r="AU100" s="103"/>
      <c r="AV100" s="103"/>
      <c r="AW100" s="103"/>
      <c r="AX100" s="103"/>
      <c r="AY100" s="103"/>
      <c r="AZ100" s="103">
        <v>0.25</v>
      </c>
      <c r="BA100" s="103"/>
      <c r="BB100" s="103"/>
      <c r="BC100" s="103"/>
      <c r="BD100" s="103">
        <v>0.1</v>
      </c>
      <c r="BE100" s="103">
        <v>0.1</v>
      </c>
      <c r="BF100" s="103">
        <v>0.05</v>
      </c>
      <c r="BG100" s="103">
        <v>0.05</v>
      </c>
      <c r="BH100" s="103">
        <v>0.05</v>
      </c>
      <c r="BI100" s="102"/>
      <c r="BJ100" s="103"/>
      <c r="BK100" s="103"/>
      <c r="BL100" s="103"/>
      <c r="BM100" s="103"/>
      <c r="BN100" s="103"/>
      <c r="BO100" s="103"/>
      <c r="BP100" s="103"/>
      <c r="BQ100" s="103"/>
      <c r="BR100" s="103"/>
      <c r="BS100" s="103"/>
      <c r="BT100" s="103"/>
      <c r="BU100" s="103"/>
      <c r="BV100" s="103"/>
      <c r="BW100" s="103"/>
      <c r="BX100" s="103"/>
      <c r="BY100" s="103"/>
      <c r="BZ100" s="103"/>
      <c r="CA100" s="103"/>
      <c r="CB100" s="103"/>
      <c r="CC100" s="103"/>
      <c r="CD100" s="103"/>
      <c r="CE100" s="103"/>
      <c r="CF100" s="103"/>
      <c r="CG100" s="103"/>
      <c r="CH100" s="103"/>
      <c r="CI100" s="103"/>
      <c r="CJ100" s="103"/>
      <c r="CK100" s="103"/>
      <c r="CL100" s="103"/>
      <c r="CM100" s="103"/>
      <c r="CN100" s="103"/>
      <c r="CO100" s="103"/>
      <c r="CP100" s="103"/>
      <c r="CQ100" s="103"/>
      <c r="CR100" s="103"/>
      <c r="CS100" s="103"/>
      <c r="CT100" s="103"/>
      <c r="CU100" s="103"/>
      <c r="CV100" s="103"/>
      <c r="CW100" s="103"/>
      <c r="CX100" s="103"/>
      <c r="CY100" s="103"/>
      <c r="CZ100" s="103"/>
      <c r="DA100" s="103"/>
      <c r="DB100" s="103"/>
      <c r="DC100" s="103"/>
      <c r="DD100" s="103"/>
      <c r="DE100" s="103"/>
      <c r="DF100" s="103"/>
      <c r="DG100" s="103"/>
      <c r="DH100" s="103"/>
      <c r="DI100" s="103"/>
      <c r="DJ100" s="103"/>
      <c r="DK100" s="103"/>
      <c r="DL100" s="103"/>
      <c r="DM100" s="103"/>
      <c r="DN100" s="103"/>
      <c r="DO100" s="103"/>
      <c r="DP100" s="103"/>
      <c r="DQ100" s="103"/>
      <c r="DR100" s="103"/>
      <c r="DS100" s="104"/>
      <c r="DT100" s="30">
        <f>SUM(F100:DR100)</f>
        <v>1</v>
      </c>
    </row>
    <row r="101" spans="2:124" x14ac:dyDescent="0.3">
      <c r="B101" s="74">
        <f>'6.1Personnel List'!B102</f>
        <v>89</v>
      </c>
      <c r="C101" s="73" t="s">
        <v>196</v>
      </c>
      <c r="D101" s="73" t="s">
        <v>249</v>
      </c>
      <c r="E101" s="31" t="str">
        <f>'6.1Personnel List'!H102</f>
        <v>FT</v>
      </c>
      <c r="G101" s="1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2"/>
      <c r="BJ101" s="103"/>
      <c r="BK101" s="103"/>
      <c r="BL101" s="103"/>
      <c r="BM101" s="103"/>
      <c r="BN101" s="103"/>
      <c r="BO101" s="103"/>
      <c r="BP101" s="103"/>
      <c r="BQ101" s="103"/>
      <c r="BR101" s="103"/>
      <c r="BS101" s="103"/>
      <c r="BT101" s="103"/>
      <c r="BU101" s="103"/>
      <c r="BV101" s="103"/>
      <c r="BW101" s="103"/>
      <c r="BX101" s="103"/>
      <c r="BY101" s="103"/>
      <c r="BZ101" s="103"/>
      <c r="CA101" s="103"/>
      <c r="CB101" s="103"/>
      <c r="CC101" s="103"/>
      <c r="CD101" s="103"/>
      <c r="CE101" s="103"/>
      <c r="CF101" s="103"/>
      <c r="CG101" s="103">
        <v>1</v>
      </c>
      <c r="CH101" s="103"/>
      <c r="CI101" s="103"/>
      <c r="CJ101" s="103"/>
      <c r="CK101" s="103"/>
      <c r="CL101" s="103"/>
      <c r="CM101" s="103"/>
      <c r="CN101" s="103"/>
      <c r="CO101" s="103"/>
      <c r="CP101" s="103"/>
      <c r="CQ101" s="103"/>
      <c r="CR101" s="103"/>
      <c r="CS101" s="103"/>
      <c r="CT101" s="103"/>
      <c r="CU101" s="103"/>
      <c r="CV101" s="103"/>
      <c r="CW101" s="103"/>
      <c r="CX101" s="103"/>
      <c r="CY101" s="103"/>
      <c r="CZ101" s="103"/>
      <c r="DA101" s="103"/>
      <c r="DB101" s="103"/>
      <c r="DC101" s="103"/>
      <c r="DD101" s="103"/>
      <c r="DE101" s="103"/>
      <c r="DF101" s="103"/>
      <c r="DG101" s="103"/>
      <c r="DH101" s="103"/>
      <c r="DI101" s="103"/>
      <c r="DJ101" s="103"/>
      <c r="DK101" s="103"/>
      <c r="DL101" s="103"/>
      <c r="DM101" s="103"/>
      <c r="DN101" s="103"/>
      <c r="DO101" s="103"/>
      <c r="DP101" s="103"/>
      <c r="DQ101" s="103"/>
      <c r="DR101" s="103"/>
      <c r="DS101" s="104"/>
      <c r="DT101" s="30">
        <f>SUM(F101:DR101)</f>
        <v>1</v>
      </c>
    </row>
    <row r="102" spans="2:124" x14ac:dyDescent="0.3">
      <c r="B102" s="74">
        <f>'6.1Personnel List'!B103</f>
        <v>90</v>
      </c>
      <c r="C102" s="73" t="s">
        <v>197</v>
      </c>
      <c r="D102" s="73" t="s">
        <v>244</v>
      </c>
      <c r="E102" s="31" t="str">
        <f>'6.1Personnel List'!H103</f>
        <v>FT</v>
      </c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  <c r="V102" s="103"/>
      <c r="W102" s="103"/>
      <c r="X102" s="103"/>
      <c r="Y102" s="103"/>
      <c r="Z102" s="103"/>
      <c r="AA102" s="103"/>
      <c r="AB102" s="103"/>
      <c r="AC102" s="103"/>
      <c r="AD102" s="103"/>
      <c r="AE102" s="103"/>
      <c r="AF102" s="103"/>
      <c r="AG102" s="103"/>
      <c r="AH102" s="103"/>
      <c r="AI102" s="103"/>
      <c r="AJ102" s="103"/>
      <c r="AK102" s="103"/>
      <c r="AL102" s="103"/>
      <c r="AM102" s="103"/>
      <c r="AN102" s="103"/>
      <c r="AO102" s="103"/>
      <c r="AP102" s="103"/>
      <c r="AQ102" s="103"/>
      <c r="AR102" s="103"/>
      <c r="AS102" s="103"/>
      <c r="AT102" s="103"/>
      <c r="AU102" s="103"/>
      <c r="AV102" s="103"/>
      <c r="AW102" s="103"/>
      <c r="AX102" s="103"/>
      <c r="AY102" s="103"/>
      <c r="AZ102" s="103"/>
      <c r="BA102" s="103"/>
      <c r="BB102" s="103"/>
      <c r="BC102" s="103"/>
      <c r="BD102" s="103"/>
      <c r="BE102" s="103"/>
      <c r="BF102" s="103"/>
      <c r="BG102" s="103"/>
      <c r="BH102" s="103"/>
      <c r="BI102" s="102"/>
      <c r="BJ102" s="103"/>
      <c r="BK102" s="103"/>
      <c r="BL102" s="103"/>
      <c r="BM102" s="103"/>
      <c r="BN102" s="103"/>
      <c r="BO102" s="103"/>
      <c r="BP102" s="103"/>
      <c r="BQ102" s="103"/>
      <c r="BR102" s="103"/>
      <c r="BS102" s="103"/>
      <c r="BT102" s="103"/>
      <c r="BU102" s="103"/>
      <c r="BV102" s="103"/>
      <c r="BW102" s="103"/>
      <c r="BX102" s="103"/>
      <c r="BY102" s="103"/>
      <c r="BZ102" s="103"/>
      <c r="CA102" s="103"/>
      <c r="CB102" s="103"/>
      <c r="CC102" s="103"/>
      <c r="CD102" s="103"/>
      <c r="CE102" s="103"/>
      <c r="CF102" s="103"/>
      <c r="CG102" s="103"/>
      <c r="CH102" s="103"/>
      <c r="CI102" s="103"/>
      <c r="CJ102" s="103"/>
      <c r="CK102" s="103">
        <v>1</v>
      </c>
      <c r="CL102" s="103"/>
      <c r="CM102" s="103"/>
      <c r="CN102" s="103"/>
      <c r="CO102" s="103"/>
      <c r="CP102" s="103"/>
      <c r="CQ102" s="103"/>
      <c r="CR102" s="103"/>
      <c r="CS102" s="103"/>
      <c r="CT102" s="103"/>
      <c r="CU102" s="103"/>
      <c r="CV102" s="103"/>
      <c r="CW102" s="103"/>
      <c r="CX102" s="103"/>
      <c r="CY102" s="103"/>
      <c r="CZ102" s="103"/>
      <c r="DA102" s="103"/>
      <c r="DB102" s="103"/>
      <c r="DC102" s="103"/>
      <c r="DD102" s="103"/>
      <c r="DE102" s="103"/>
      <c r="DF102" s="103"/>
      <c r="DG102" s="103"/>
      <c r="DH102" s="103"/>
      <c r="DI102" s="103"/>
      <c r="DJ102" s="103"/>
      <c r="DK102" s="103"/>
      <c r="DL102" s="103"/>
      <c r="DM102" s="103"/>
      <c r="DN102" s="103"/>
      <c r="DO102" s="103"/>
      <c r="DP102" s="103"/>
      <c r="DQ102" s="103"/>
      <c r="DR102" s="103"/>
      <c r="DS102" s="104"/>
      <c r="DT102" s="30">
        <f>SUM(F102:DR102)</f>
        <v>1</v>
      </c>
    </row>
    <row r="103" spans="2:124" x14ac:dyDescent="0.3">
      <c r="B103" s="74">
        <f>'6.1Personnel List'!B104</f>
        <v>91</v>
      </c>
      <c r="C103" s="73" t="s">
        <v>198</v>
      </c>
      <c r="D103" s="73" t="s">
        <v>237</v>
      </c>
      <c r="E103" s="31" t="str">
        <f>'6.1Personnel List'!H104</f>
        <v>FT</v>
      </c>
      <c r="G103" s="103"/>
      <c r="H103" s="103"/>
      <c r="I103" s="103"/>
      <c r="J103" s="103"/>
      <c r="K103" s="103"/>
      <c r="L103" s="103"/>
      <c r="M103" s="103"/>
      <c r="N103" s="103"/>
      <c r="O103" s="103"/>
      <c r="P103" s="103"/>
      <c r="Q103" s="103"/>
      <c r="R103" s="103"/>
      <c r="S103" s="103"/>
      <c r="T103" s="103"/>
      <c r="U103" s="103"/>
      <c r="V103" s="103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103"/>
      <c r="AM103" s="103"/>
      <c r="AN103" s="103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2"/>
      <c r="BJ103" s="103"/>
      <c r="BK103" s="103"/>
      <c r="BL103" s="103"/>
      <c r="BM103" s="103"/>
      <c r="BN103" s="103"/>
      <c r="BO103" s="103"/>
      <c r="BP103" s="103"/>
      <c r="BQ103" s="103"/>
      <c r="BR103" s="103"/>
      <c r="BS103" s="103"/>
      <c r="BT103" s="103"/>
      <c r="BU103" s="103"/>
      <c r="BV103" s="103"/>
      <c r="BW103" s="103"/>
      <c r="BX103" s="103"/>
      <c r="BY103" s="103"/>
      <c r="BZ103" s="103"/>
      <c r="CA103" s="103"/>
      <c r="CB103" s="103"/>
      <c r="CC103" s="103"/>
      <c r="CD103" s="103"/>
      <c r="CE103" s="103"/>
      <c r="CF103" s="103"/>
      <c r="CG103" s="103"/>
      <c r="CH103" s="103"/>
      <c r="CI103" s="103"/>
      <c r="CJ103" s="103"/>
      <c r="CK103" s="103"/>
      <c r="CL103" s="103">
        <v>1</v>
      </c>
      <c r="CM103" s="103"/>
      <c r="CN103" s="103"/>
      <c r="CO103" s="103"/>
      <c r="CP103" s="103"/>
      <c r="CQ103" s="103"/>
      <c r="CR103" s="103"/>
      <c r="CS103" s="103"/>
      <c r="CT103" s="103"/>
      <c r="CU103" s="103"/>
      <c r="CV103" s="103"/>
      <c r="CW103" s="103"/>
      <c r="CX103" s="103"/>
      <c r="CY103" s="103"/>
      <c r="CZ103" s="103"/>
      <c r="DA103" s="103"/>
      <c r="DB103" s="103"/>
      <c r="DC103" s="103"/>
      <c r="DD103" s="103"/>
      <c r="DE103" s="103"/>
      <c r="DF103" s="103"/>
      <c r="DG103" s="103"/>
      <c r="DH103" s="103"/>
      <c r="DI103" s="103"/>
      <c r="DJ103" s="103"/>
      <c r="DK103" s="103"/>
      <c r="DL103" s="103"/>
      <c r="DM103" s="103"/>
      <c r="DN103" s="103"/>
      <c r="DO103" s="103"/>
      <c r="DP103" s="103"/>
      <c r="DQ103" s="103"/>
      <c r="DR103" s="103"/>
      <c r="DS103" s="104"/>
      <c r="DT103" s="30">
        <f>SUM(F103:DR103)</f>
        <v>1</v>
      </c>
    </row>
    <row r="104" spans="2:124" x14ac:dyDescent="0.3">
      <c r="B104" s="74">
        <f>'6.1Personnel List'!B105</f>
        <v>92</v>
      </c>
      <c r="C104" s="73" t="s">
        <v>199</v>
      </c>
      <c r="D104" s="73" t="s">
        <v>237</v>
      </c>
      <c r="E104" s="31" t="str">
        <f>'6.1Personnel List'!H105</f>
        <v>FT</v>
      </c>
      <c r="G104" s="103"/>
      <c r="H104" s="103"/>
      <c r="I104" s="103"/>
      <c r="J104" s="103"/>
      <c r="K104" s="103"/>
      <c r="L104" s="103"/>
      <c r="M104" s="103"/>
      <c r="N104" s="103"/>
      <c r="O104" s="103"/>
      <c r="P104" s="103"/>
      <c r="Q104" s="103"/>
      <c r="R104" s="103"/>
      <c r="S104" s="103"/>
      <c r="T104" s="103"/>
      <c r="U104" s="103"/>
      <c r="V104" s="103"/>
      <c r="W104" s="103"/>
      <c r="X104" s="103"/>
      <c r="Y104" s="103"/>
      <c r="Z104" s="103"/>
      <c r="AA104" s="103"/>
      <c r="AB104" s="103"/>
      <c r="AC104" s="103"/>
      <c r="AD104" s="103"/>
      <c r="AE104" s="103"/>
      <c r="AF104" s="103"/>
      <c r="AG104" s="103"/>
      <c r="AH104" s="103"/>
      <c r="AI104" s="103"/>
      <c r="AJ104" s="103"/>
      <c r="AK104" s="103"/>
      <c r="AL104" s="103"/>
      <c r="AM104" s="103"/>
      <c r="AN104" s="103"/>
      <c r="AO104" s="103"/>
      <c r="AP104" s="103"/>
      <c r="AQ104" s="103"/>
      <c r="AR104" s="103"/>
      <c r="AS104" s="103"/>
      <c r="AT104" s="103"/>
      <c r="AU104" s="103"/>
      <c r="AV104" s="103"/>
      <c r="AW104" s="103"/>
      <c r="AX104" s="103"/>
      <c r="AY104" s="103"/>
      <c r="AZ104" s="103"/>
      <c r="BA104" s="103"/>
      <c r="BB104" s="103"/>
      <c r="BC104" s="103"/>
      <c r="BD104" s="103"/>
      <c r="BE104" s="103"/>
      <c r="BF104" s="103"/>
      <c r="BG104" s="103"/>
      <c r="BH104" s="103"/>
      <c r="BI104" s="102"/>
      <c r="BJ104" s="103"/>
      <c r="BK104" s="103"/>
      <c r="BL104" s="103"/>
      <c r="BM104" s="103"/>
      <c r="BN104" s="103"/>
      <c r="BO104" s="103"/>
      <c r="BP104" s="103"/>
      <c r="BQ104" s="103"/>
      <c r="BR104" s="103"/>
      <c r="BS104" s="103"/>
      <c r="BT104" s="103"/>
      <c r="BU104" s="103"/>
      <c r="BV104" s="103"/>
      <c r="BW104" s="103"/>
      <c r="BX104" s="103"/>
      <c r="BY104" s="103"/>
      <c r="BZ104" s="103"/>
      <c r="CA104" s="103"/>
      <c r="CB104" s="103"/>
      <c r="CC104" s="103"/>
      <c r="CD104" s="103"/>
      <c r="CE104" s="103"/>
      <c r="CF104" s="103"/>
      <c r="CG104" s="103"/>
      <c r="CH104" s="103"/>
      <c r="CI104" s="103"/>
      <c r="CJ104" s="103"/>
      <c r="CK104" s="103"/>
      <c r="CL104" s="103"/>
      <c r="CM104" s="103"/>
      <c r="CN104" s="103"/>
      <c r="CO104" s="103"/>
      <c r="CP104" s="103"/>
      <c r="CQ104" s="103"/>
      <c r="CR104" s="103"/>
      <c r="CS104" s="103"/>
      <c r="CT104" s="103">
        <v>1</v>
      </c>
      <c r="CU104" s="103"/>
      <c r="CV104" s="103"/>
      <c r="CW104" s="103"/>
      <c r="CX104" s="103"/>
      <c r="CY104" s="103"/>
      <c r="CZ104" s="103"/>
      <c r="DA104" s="103"/>
      <c r="DB104" s="103"/>
      <c r="DC104" s="103"/>
      <c r="DD104" s="103"/>
      <c r="DE104" s="103"/>
      <c r="DF104" s="103"/>
      <c r="DG104" s="103"/>
      <c r="DH104" s="103"/>
      <c r="DI104" s="103"/>
      <c r="DJ104" s="103"/>
      <c r="DK104" s="103"/>
      <c r="DL104" s="103"/>
      <c r="DM104" s="103"/>
      <c r="DN104" s="103"/>
      <c r="DO104" s="103"/>
      <c r="DP104" s="103"/>
      <c r="DQ104" s="103"/>
      <c r="DR104" s="103"/>
      <c r="DS104" s="104"/>
      <c r="DT104" s="30">
        <f>SUM(F104:DR104)</f>
        <v>1</v>
      </c>
    </row>
    <row r="105" spans="2:124" x14ac:dyDescent="0.3">
      <c r="B105" s="74">
        <f>'6.1Personnel List'!B106</f>
        <v>93</v>
      </c>
      <c r="C105" s="73" t="s">
        <v>200</v>
      </c>
      <c r="D105" s="73" t="s">
        <v>112</v>
      </c>
      <c r="E105" s="31" t="str">
        <f>'6.1Personnel List'!H106</f>
        <v>FT</v>
      </c>
      <c r="G105" s="103"/>
      <c r="H105" s="103"/>
      <c r="I105" s="103"/>
      <c r="J105" s="103"/>
      <c r="K105" s="103"/>
      <c r="L105" s="103"/>
      <c r="M105" s="103"/>
      <c r="N105" s="103"/>
      <c r="O105" s="103"/>
      <c r="P105" s="103"/>
      <c r="Q105" s="103"/>
      <c r="R105" s="103"/>
      <c r="S105" s="103"/>
      <c r="T105" s="103"/>
      <c r="U105" s="103"/>
      <c r="V105" s="103"/>
      <c r="W105" s="103"/>
      <c r="X105" s="103"/>
      <c r="Y105" s="103"/>
      <c r="Z105" s="103"/>
      <c r="AA105" s="103"/>
      <c r="AB105" s="103"/>
      <c r="AC105" s="103"/>
      <c r="AD105" s="103"/>
      <c r="AE105" s="103"/>
      <c r="AF105" s="103"/>
      <c r="AG105" s="103"/>
      <c r="AH105" s="103"/>
      <c r="AI105" s="103"/>
      <c r="AJ105" s="103"/>
      <c r="AK105" s="103"/>
      <c r="AL105" s="103"/>
      <c r="AM105" s="103"/>
      <c r="AN105" s="103"/>
      <c r="AO105" s="103"/>
      <c r="AP105" s="103"/>
      <c r="AQ105" s="103"/>
      <c r="AR105" s="103"/>
      <c r="AS105" s="103"/>
      <c r="AT105" s="103"/>
      <c r="AU105" s="103"/>
      <c r="AV105" s="103"/>
      <c r="AW105" s="103"/>
      <c r="AX105" s="103"/>
      <c r="AY105" s="103"/>
      <c r="AZ105" s="103"/>
      <c r="BA105" s="103"/>
      <c r="BB105" s="103"/>
      <c r="BC105" s="103"/>
      <c r="BD105" s="103"/>
      <c r="BE105" s="103"/>
      <c r="BF105" s="103"/>
      <c r="BG105" s="103"/>
      <c r="BH105" s="103"/>
      <c r="BI105" s="102"/>
      <c r="BJ105" s="103"/>
      <c r="BK105" s="103"/>
      <c r="BL105" s="103"/>
      <c r="BM105" s="103"/>
      <c r="BN105" s="103"/>
      <c r="BO105" s="103"/>
      <c r="BP105" s="103"/>
      <c r="BQ105" s="103"/>
      <c r="BR105" s="103"/>
      <c r="BS105" s="103"/>
      <c r="BT105" s="103"/>
      <c r="BU105" s="103"/>
      <c r="BV105" s="103"/>
      <c r="BW105" s="103"/>
      <c r="BX105" s="103">
        <v>1</v>
      </c>
      <c r="BY105" s="103"/>
      <c r="BZ105" s="103"/>
      <c r="CA105" s="103"/>
      <c r="CB105" s="103"/>
      <c r="CC105" s="103"/>
      <c r="CD105" s="103"/>
      <c r="CE105" s="103"/>
      <c r="CF105" s="103"/>
      <c r="CG105" s="103"/>
      <c r="CH105" s="103"/>
      <c r="CI105" s="103"/>
      <c r="CJ105" s="103"/>
      <c r="CK105" s="103"/>
      <c r="CL105" s="103"/>
      <c r="CM105" s="103"/>
      <c r="CN105" s="103"/>
      <c r="CO105" s="103"/>
      <c r="CP105" s="103"/>
      <c r="CQ105" s="103"/>
      <c r="CR105" s="103"/>
      <c r="CS105" s="103"/>
      <c r="CT105" s="103"/>
      <c r="CU105" s="103"/>
      <c r="CV105" s="103"/>
      <c r="CW105" s="103"/>
      <c r="CX105" s="103"/>
      <c r="CY105" s="103"/>
      <c r="CZ105" s="103"/>
      <c r="DA105" s="103"/>
      <c r="DB105" s="103"/>
      <c r="DC105" s="103"/>
      <c r="DD105" s="103"/>
      <c r="DE105" s="103"/>
      <c r="DF105" s="103"/>
      <c r="DG105" s="103"/>
      <c r="DH105" s="103"/>
      <c r="DI105" s="103"/>
      <c r="DJ105" s="103"/>
      <c r="DK105" s="103"/>
      <c r="DL105" s="103"/>
      <c r="DM105" s="103"/>
      <c r="DN105" s="103"/>
      <c r="DO105" s="103"/>
      <c r="DP105" s="103"/>
      <c r="DQ105" s="103"/>
      <c r="DR105" s="103"/>
      <c r="DS105" s="104"/>
      <c r="DT105" s="30">
        <f>SUM(F105:DR105)</f>
        <v>1</v>
      </c>
    </row>
    <row r="106" spans="2:124" x14ac:dyDescent="0.3">
      <c r="B106" s="74">
        <f>'6.1Personnel List'!B107</f>
        <v>94</v>
      </c>
      <c r="C106" s="73" t="s">
        <v>201</v>
      </c>
      <c r="D106" s="73" t="s">
        <v>250</v>
      </c>
      <c r="E106" s="31" t="str">
        <f>'6.1Personnel List'!H107</f>
        <v>FT</v>
      </c>
      <c r="G106" s="103"/>
      <c r="H106" s="103"/>
      <c r="I106" s="103"/>
      <c r="J106" s="103"/>
      <c r="K106" s="103"/>
      <c r="L106" s="103"/>
      <c r="M106" s="103"/>
      <c r="N106" s="103"/>
      <c r="O106" s="103"/>
      <c r="P106" s="103"/>
      <c r="Q106" s="103"/>
      <c r="R106" s="103"/>
      <c r="S106" s="103"/>
      <c r="T106" s="103"/>
      <c r="U106" s="103"/>
      <c r="V106" s="103"/>
      <c r="W106" s="103"/>
      <c r="X106" s="103"/>
      <c r="Y106" s="103"/>
      <c r="Z106" s="103"/>
      <c r="AA106" s="103"/>
      <c r="AB106" s="103"/>
      <c r="AC106" s="103"/>
      <c r="AD106" s="103"/>
      <c r="AE106" s="103"/>
      <c r="AF106" s="103"/>
      <c r="AG106" s="103"/>
      <c r="AH106" s="103"/>
      <c r="AI106" s="103"/>
      <c r="AJ106" s="103"/>
      <c r="AK106" s="103"/>
      <c r="AL106" s="103"/>
      <c r="AM106" s="103"/>
      <c r="AN106" s="103"/>
      <c r="AO106" s="103"/>
      <c r="AP106" s="103"/>
      <c r="AQ106" s="103"/>
      <c r="AR106" s="103"/>
      <c r="AS106" s="103"/>
      <c r="AT106" s="103"/>
      <c r="AU106" s="103"/>
      <c r="AV106" s="103"/>
      <c r="AW106" s="103"/>
      <c r="AX106" s="103"/>
      <c r="AY106" s="103"/>
      <c r="AZ106" s="103"/>
      <c r="BA106" s="103"/>
      <c r="BB106" s="103"/>
      <c r="BC106" s="103"/>
      <c r="BD106" s="103">
        <v>0.3</v>
      </c>
      <c r="BE106" s="103">
        <v>0.2</v>
      </c>
      <c r="BF106" s="103">
        <v>0.3</v>
      </c>
      <c r="BG106" s="103">
        <v>0.1</v>
      </c>
      <c r="BH106" s="103">
        <v>0.1</v>
      </c>
      <c r="BI106" s="102"/>
      <c r="BJ106" s="103"/>
      <c r="BK106" s="103"/>
      <c r="BL106" s="103"/>
      <c r="BM106" s="103"/>
      <c r="BN106" s="103"/>
      <c r="BO106" s="103"/>
      <c r="BP106" s="103"/>
      <c r="BQ106" s="103"/>
      <c r="BR106" s="103"/>
      <c r="BS106" s="103"/>
      <c r="BT106" s="103"/>
      <c r="BU106" s="103"/>
      <c r="BV106" s="103"/>
      <c r="BW106" s="103"/>
      <c r="BX106" s="103"/>
      <c r="BY106" s="103"/>
      <c r="BZ106" s="103"/>
      <c r="CA106" s="103"/>
      <c r="CB106" s="103"/>
      <c r="CC106" s="103"/>
      <c r="CD106" s="103"/>
      <c r="CE106" s="103"/>
      <c r="CF106" s="103"/>
      <c r="CG106" s="103"/>
      <c r="CH106" s="103"/>
      <c r="CI106" s="103"/>
      <c r="CJ106" s="103"/>
      <c r="CK106" s="103"/>
      <c r="CL106" s="103"/>
      <c r="CM106" s="103"/>
      <c r="CN106" s="103"/>
      <c r="CO106" s="103"/>
      <c r="CP106" s="103"/>
      <c r="CQ106" s="103"/>
      <c r="CR106" s="103"/>
      <c r="CS106" s="103"/>
      <c r="CT106" s="103"/>
      <c r="CU106" s="103"/>
      <c r="CV106" s="103"/>
      <c r="CW106" s="103"/>
      <c r="CX106" s="103"/>
      <c r="CY106" s="103"/>
      <c r="CZ106" s="103"/>
      <c r="DA106" s="103"/>
      <c r="DB106" s="103"/>
      <c r="DC106" s="103"/>
      <c r="DD106" s="103"/>
      <c r="DE106" s="103"/>
      <c r="DF106" s="103"/>
      <c r="DG106" s="103"/>
      <c r="DH106" s="103"/>
      <c r="DI106" s="103"/>
      <c r="DJ106" s="103"/>
      <c r="DK106" s="103"/>
      <c r="DL106" s="103"/>
      <c r="DM106" s="103"/>
      <c r="DN106" s="103"/>
      <c r="DO106" s="103"/>
      <c r="DP106" s="103"/>
      <c r="DQ106" s="103"/>
      <c r="DR106" s="103"/>
      <c r="DS106" s="104"/>
      <c r="DT106" s="30">
        <f>SUM(F106:DR106)</f>
        <v>1</v>
      </c>
    </row>
    <row r="107" spans="2:124" x14ac:dyDescent="0.3">
      <c r="B107" s="74">
        <f>'6.1Personnel List'!B108</f>
        <v>95</v>
      </c>
      <c r="C107" s="73" t="s">
        <v>202</v>
      </c>
      <c r="D107" s="73" t="s">
        <v>111</v>
      </c>
      <c r="E107" s="31" t="str">
        <f>'6.1Personnel List'!H108</f>
        <v>FT</v>
      </c>
      <c r="G107" s="103"/>
      <c r="H107" s="103"/>
      <c r="I107" s="103"/>
      <c r="J107" s="103"/>
      <c r="K107" s="103"/>
      <c r="L107" s="103"/>
      <c r="M107" s="103"/>
      <c r="N107" s="103"/>
      <c r="O107" s="103"/>
      <c r="P107" s="103"/>
      <c r="Q107" s="103"/>
      <c r="R107" s="103"/>
      <c r="S107" s="103"/>
      <c r="T107" s="103"/>
      <c r="U107" s="103"/>
      <c r="V107" s="103"/>
      <c r="W107" s="103"/>
      <c r="X107" s="103"/>
      <c r="Y107" s="103"/>
      <c r="Z107" s="103"/>
      <c r="AA107" s="103"/>
      <c r="AB107" s="103"/>
      <c r="AC107" s="103"/>
      <c r="AD107" s="103"/>
      <c r="AE107" s="103"/>
      <c r="AF107" s="103"/>
      <c r="AG107" s="103"/>
      <c r="AH107" s="103"/>
      <c r="AI107" s="103"/>
      <c r="AJ107" s="103"/>
      <c r="AK107" s="103"/>
      <c r="AL107" s="103"/>
      <c r="AM107" s="103"/>
      <c r="AN107" s="103"/>
      <c r="AO107" s="103"/>
      <c r="AP107" s="103"/>
      <c r="AQ107" s="103"/>
      <c r="AR107" s="103"/>
      <c r="AS107" s="103"/>
      <c r="AT107" s="103"/>
      <c r="AU107" s="103"/>
      <c r="AV107" s="103"/>
      <c r="AW107" s="103"/>
      <c r="AX107" s="103"/>
      <c r="AY107" s="103"/>
      <c r="AZ107" s="103"/>
      <c r="BA107" s="103"/>
      <c r="BB107" s="103"/>
      <c r="BC107" s="103"/>
      <c r="BD107" s="103"/>
      <c r="BE107" s="103"/>
      <c r="BF107" s="103"/>
      <c r="BG107" s="103"/>
      <c r="BH107" s="103"/>
      <c r="BI107" s="102"/>
      <c r="BJ107" s="103"/>
      <c r="BK107" s="103"/>
      <c r="BL107" s="103"/>
      <c r="BM107" s="103"/>
      <c r="BN107" s="103"/>
      <c r="BO107" s="103"/>
      <c r="BP107" s="103"/>
      <c r="BQ107" s="103">
        <v>1</v>
      </c>
      <c r="BR107" s="103"/>
      <c r="BS107" s="103"/>
      <c r="BT107" s="103"/>
      <c r="BU107" s="103"/>
      <c r="BV107" s="103"/>
      <c r="BW107" s="103"/>
      <c r="BX107" s="103"/>
      <c r="BY107" s="103"/>
      <c r="BZ107" s="103"/>
      <c r="CA107" s="103"/>
      <c r="CB107" s="103"/>
      <c r="CC107" s="103"/>
      <c r="CD107" s="103"/>
      <c r="CE107" s="103"/>
      <c r="CF107" s="103"/>
      <c r="CG107" s="103"/>
      <c r="CH107" s="103"/>
      <c r="CI107" s="103"/>
      <c r="CJ107" s="103"/>
      <c r="CK107" s="103"/>
      <c r="CL107" s="103"/>
      <c r="CM107" s="103"/>
      <c r="CN107" s="103"/>
      <c r="CO107" s="103"/>
      <c r="CP107" s="103"/>
      <c r="CQ107" s="103"/>
      <c r="CR107" s="103"/>
      <c r="CS107" s="103"/>
      <c r="CT107" s="103"/>
      <c r="CU107" s="103"/>
      <c r="CV107" s="103"/>
      <c r="CW107" s="103"/>
      <c r="CX107" s="103"/>
      <c r="CY107" s="103"/>
      <c r="CZ107" s="103"/>
      <c r="DA107" s="103"/>
      <c r="DB107" s="103"/>
      <c r="DC107" s="103"/>
      <c r="DD107" s="103"/>
      <c r="DE107" s="103"/>
      <c r="DF107" s="103"/>
      <c r="DG107" s="103"/>
      <c r="DH107" s="103"/>
      <c r="DI107" s="103"/>
      <c r="DJ107" s="103"/>
      <c r="DK107" s="103"/>
      <c r="DL107" s="103"/>
      <c r="DM107" s="103"/>
      <c r="DN107" s="103"/>
      <c r="DO107" s="103"/>
      <c r="DP107" s="103"/>
      <c r="DQ107" s="103"/>
      <c r="DR107" s="103"/>
      <c r="DS107" s="104"/>
      <c r="DT107" s="30">
        <f>SUM(F107:DR107)</f>
        <v>1</v>
      </c>
    </row>
    <row r="108" spans="2:124" x14ac:dyDescent="0.3">
      <c r="B108" s="74">
        <f>'6.1Personnel List'!B109</f>
        <v>96</v>
      </c>
      <c r="C108" s="73" t="s">
        <v>203</v>
      </c>
      <c r="D108" s="73" t="s">
        <v>244</v>
      </c>
      <c r="E108" s="31" t="str">
        <f>'6.1Personnel List'!H109</f>
        <v>FT</v>
      </c>
      <c r="G108" s="10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/>
      <c r="V108" s="103"/>
      <c r="W108" s="103"/>
      <c r="X108" s="103"/>
      <c r="Y108" s="103"/>
      <c r="Z108" s="103"/>
      <c r="AA108" s="103"/>
      <c r="AB108" s="103"/>
      <c r="AC108" s="103"/>
      <c r="AD108" s="103"/>
      <c r="AE108" s="103"/>
      <c r="AF108" s="103"/>
      <c r="AG108" s="103"/>
      <c r="AH108" s="103"/>
      <c r="AI108" s="103"/>
      <c r="AJ108" s="103"/>
      <c r="AK108" s="103"/>
      <c r="AL108" s="103"/>
      <c r="AM108" s="103"/>
      <c r="AN108" s="103"/>
      <c r="AO108" s="103"/>
      <c r="AP108" s="103"/>
      <c r="AQ108" s="103"/>
      <c r="AR108" s="103"/>
      <c r="AS108" s="103"/>
      <c r="AT108" s="103"/>
      <c r="AU108" s="103"/>
      <c r="AV108" s="103"/>
      <c r="AW108" s="103"/>
      <c r="AX108" s="103"/>
      <c r="AY108" s="103"/>
      <c r="AZ108" s="103"/>
      <c r="BA108" s="103"/>
      <c r="BB108" s="103"/>
      <c r="BC108" s="103"/>
      <c r="BD108" s="103"/>
      <c r="BE108" s="103"/>
      <c r="BF108" s="103"/>
      <c r="BG108" s="103"/>
      <c r="BH108" s="103"/>
      <c r="BI108" s="102"/>
      <c r="BJ108" s="103"/>
      <c r="BK108" s="103"/>
      <c r="BL108" s="103"/>
      <c r="BM108" s="103"/>
      <c r="BN108" s="103"/>
      <c r="BO108" s="103"/>
      <c r="BP108" s="103"/>
      <c r="BQ108" s="103"/>
      <c r="BR108" s="103"/>
      <c r="BS108" s="103"/>
      <c r="BT108" s="103"/>
      <c r="BU108" s="103"/>
      <c r="BV108" s="103"/>
      <c r="BW108" s="103"/>
      <c r="BX108" s="103"/>
      <c r="BY108" s="103"/>
      <c r="BZ108" s="103"/>
      <c r="CA108" s="103"/>
      <c r="CB108" s="103"/>
      <c r="CC108" s="103"/>
      <c r="CD108" s="103"/>
      <c r="CE108" s="103"/>
      <c r="CF108" s="103"/>
      <c r="CG108" s="103"/>
      <c r="CH108" s="103"/>
      <c r="CI108" s="103"/>
      <c r="CJ108" s="103"/>
      <c r="CK108" s="103">
        <v>1</v>
      </c>
      <c r="CL108" s="103"/>
      <c r="CM108" s="103"/>
      <c r="CN108" s="103"/>
      <c r="CO108" s="103"/>
      <c r="CP108" s="103"/>
      <c r="CQ108" s="103"/>
      <c r="CR108" s="103"/>
      <c r="CS108" s="103"/>
      <c r="CT108" s="103"/>
      <c r="CU108" s="103"/>
      <c r="CV108" s="103"/>
      <c r="CW108" s="103"/>
      <c r="CX108" s="103"/>
      <c r="CY108" s="103"/>
      <c r="CZ108" s="103"/>
      <c r="DA108" s="103"/>
      <c r="DB108" s="103"/>
      <c r="DC108" s="103"/>
      <c r="DD108" s="103"/>
      <c r="DE108" s="103"/>
      <c r="DF108" s="103"/>
      <c r="DG108" s="103"/>
      <c r="DH108" s="103"/>
      <c r="DI108" s="103"/>
      <c r="DJ108" s="103"/>
      <c r="DK108" s="103"/>
      <c r="DL108" s="103"/>
      <c r="DM108" s="103"/>
      <c r="DN108" s="103"/>
      <c r="DO108" s="103"/>
      <c r="DP108" s="103"/>
      <c r="DQ108" s="103"/>
      <c r="DR108" s="103"/>
      <c r="DS108" s="104"/>
      <c r="DT108" s="30">
        <f>SUM(F108:DR108)</f>
        <v>1</v>
      </c>
    </row>
    <row r="109" spans="2:124" x14ac:dyDescent="0.3">
      <c r="B109" s="74">
        <f>'6.1Personnel List'!B110</f>
        <v>97</v>
      </c>
      <c r="C109" s="73" t="s">
        <v>204</v>
      </c>
      <c r="D109" s="73" t="s">
        <v>251</v>
      </c>
      <c r="E109" s="31" t="str">
        <f>'6.1Personnel List'!H110</f>
        <v>FT</v>
      </c>
      <c r="G109" s="103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  <c r="R109" s="103"/>
      <c r="S109" s="103"/>
      <c r="T109" s="103"/>
      <c r="U109" s="103"/>
      <c r="V109" s="103"/>
      <c r="W109" s="103"/>
      <c r="X109" s="103"/>
      <c r="Y109" s="103"/>
      <c r="Z109" s="103"/>
      <c r="AA109" s="103"/>
      <c r="AB109" s="103"/>
      <c r="AC109" s="103"/>
      <c r="AD109" s="103"/>
      <c r="AE109" s="103"/>
      <c r="AF109" s="103"/>
      <c r="AG109" s="103"/>
      <c r="AH109" s="103"/>
      <c r="AI109" s="103"/>
      <c r="AJ109" s="103"/>
      <c r="AK109" s="103"/>
      <c r="AL109" s="103"/>
      <c r="AM109" s="103"/>
      <c r="AN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2"/>
      <c r="BJ109" s="103"/>
      <c r="BK109" s="103"/>
      <c r="BL109" s="103">
        <v>1</v>
      </c>
      <c r="BM109" s="103"/>
      <c r="BN109" s="103"/>
      <c r="BO109" s="103"/>
      <c r="BP109" s="103"/>
      <c r="BQ109" s="103"/>
      <c r="BR109" s="103"/>
      <c r="BS109" s="103"/>
      <c r="BT109" s="103"/>
      <c r="BU109" s="103"/>
      <c r="BV109" s="103"/>
      <c r="BW109" s="103"/>
      <c r="BX109" s="103"/>
      <c r="BY109" s="103"/>
      <c r="BZ109" s="103"/>
      <c r="CA109" s="103"/>
      <c r="CB109" s="103"/>
      <c r="CC109" s="103"/>
      <c r="CD109" s="103"/>
      <c r="CE109" s="103"/>
      <c r="CF109" s="103"/>
      <c r="CG109" s="103"/>
      <c r="CH109" s="103"/>
      <c r="CI109" s="103"/>
      <c r="CJ109" s="103"/>
      <c r="CK109" s="103"/>
      <c r="CL109" s="103"/>
      <c r="CM109" s="103"/>
      <c r="CN109" s="103"/>
      <c r="CO109" s="103"/>
      <c r="CP109" s="103"/>
      <c r="CQ109" s="103"/>
      <c r="CR109" s="103"/>
      <c r="CS109" s="103"/>
      <c r="CT109" s="103"/>
      <c r="CU109" s="103"/>
      <c r="CV109" s="103"/>
      <c r="CW109" s="103"/>
      <c r="CX109" s="103"/>
      <c r="CY109" s="103"/>
      <c r="CZ109" s="103"/>
      <c r="DA109" s="103"/>
      <c r="DB109" s="103"/>
      <c r="DC109" s="103"/>
      <c r="DD109" s="103"/>
      <c r="DE109" s="103"/>
      <c r="DF109" s="103"/>
      <c r="DG109" s="103"/>
      <c r="DH109" s="103"/>
      <c r="DI109" s="103"/>
      <c r="DJ109" s="103"/>
      <c r="DK109" s="103"/>
      <c r="DL109" s="103"/>
      <c r="DM109" s="103"/>
      <c r="DN109" s="103"/>
      <c r="DO109" s="103"/>
      <c r="DP109" s="103"/>
      <c r="DQ109" s="103"/>
      <c r="DR109" s="103"/>
      <c r="DS109" s="104"/>
      <c r="DT109" s="30">
        <f>SUM(F109:DR109)</f>
        <v>1</v>
      </c>
    </row>
    <row r="110" spans="2:124" x14ac:dyDescent="0.3">
      <c r="B110" s="74">
        <f>'6.1Personnel List'!B111</f>
        <v>98</v>
      </c>
      <c r="C110" s="73" t="s">
        <v>205</v>
      </c>
      <c r="D110" s="73" t="s">
        <v>252</v>
      </c>
      <c r="E110" s="31" t="str">
        <f>'6.1Personnel List'!H111</f>
        <v>FT</v>
      </c>
      <c r="G110" s="103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  <c r="R110" s="103"/>
      <c r="S110" s="103"/>
      <c r="T110" s="103"/>
      <c r="U110" s="103"/>
      <c r="V110" s="103"/>
      <c r="W110" s="103"/>
      <c r="X110" s="103"/>
      <c r="Y110" s="103"/>
      <c r="Z110" s="103"/>
      <c r="AA110" s="103"/>
      <c r="AB110" s="103"/>
      <c r="AC110" s="103"/>
      <c r="AD110" s="103"/>
      <c r="AE110" s="103"/>
      <c r="AF110" s="103"/>
      <c r="AG110" s="103"/>
      <c r="AH110" s="103"/>
      <c r="AI110" s="103"/>
      <c r="AJ110" s="103"/>
      <c r="AK110" s="103"/>
      <c r="AL110" s="103"/>
      <c r="AM110" s="103"/>
      <c r="AN110" s="103"/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2"/>
      <c r="BJ110" s="103"/>
      <c r="BK110" s="103"/>
      <c r="BL110" s="103">
        <v>1</v>
      </c>
      <c r="BM110" s="103"/>
      <c r="BN110" s="103"/>
      <c r="BO110" s="103"/>
      <c r="BP110" s="103"/>
      <c r="BQ110" s="103"/>
      <c r="BR110" s="103"/>
      <c r="BS110" s="103"/>
      <c r="BT110" s="103"/>
      <c r="BU110" s="103"/>
      <c r="BV110" s="103"/>
      <c r="BW110" s="103"/>
      <c r="BX110" s="103"/>
      <c r="BY110" s="103"/>
      <c r="BZ110" s="103"/>
      <c r="CA110" s="103"/>
      <c r="CB110" s="103"/>
      <c r="CC110" s="103"/>
      <c r="CD110" s="103"/>
      <c r="CE110" s="103"/>
      <c r="CF110" s="103"/>
      <c r="CG110" s="103"/>
      <c r="CH110" s="103"/>
      <c r="CI110" s="103"/>
      <c r="CJ110" s="103"/>
      <c r="CK110" s="103"/>
      <c r="CL110" s="103"/>
      <c r="CM110" s="103"/>
      <c r="CN110" s="103"/>
      <c r="CO110" s="103"/>
      <c r="CP110" s="103"/>
      <c r="CQ110" s="103"/>
      <c r="CR110" s="103"/>
      <c r="CS110" s="103"/>
      <c r="CT110" s="103"/>
      <c r="CU110" s="103"/>
      <c r="CV110" s="103"/>
      <c r="CW110" s="103"/>
      <c r="CX110" s="103"/>
      <c r="CY110" s="103"/>
      <c r="CZ110" s="103"/>
      <c r="DA110" s="103"/>
      <c r="DB110" s="103"/>
      <c r="DC110" s="103"/>
      <c r="DD110" s="103"/>
      <c r="DE110" s="103"/>
      <c r="DF110" s="103"/>
      <c r="DG110" s="103"/>
      <c r="DH110" s="103"/>
      <c r="DI110" s="103"/>
      <c r="DJ110" s="103"/>
      <c r="DK110" s="103"/>
      <c r="DL110" s="103"/>
      <c r="DM110" s="103"/>
      <c r="DN110" s="103"/>
      <c r="DO110" s="103"/>
      <c r="DP110" s="103"/>
      <c r="DQ110" s="103"/>
      <c r="DR110" s="103"/>
      <c r="DS110" s="104"/>
      <c r="DT110" s="30">
        <f>SUM(F110:DR110)</f>
        <v>1</v>
      </c>
    </row>
    <row r="111" spans="2:124" x14ac:dyDescent="0.3">
      <c r="B111" s="74">
        <f>'6.1Personnel List'!B112</f>
        <v>99</v>
      </c>
      <c r="C111" s="73" t="s">
        <v>206</v>
      </c>
      <c r="D111" s="73" t="s">
        <v>253</v>
      </c>
      <c r="E111" s="31" t="str">
        <f>'6.1Personnel List'!H112</f>
        <v>FT</v>
      </c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  <c r="R111" s="103"/>
      <c r="S111" s="103"/>
      <c r="T111" s="103"/>
      <c r="U111" s="103"/>
      <c r="V111" s="103"/>
      <c r="W111" s="103"/>
      <c r="X111" s="103"/>
      <c r="Y111" s="103"/>
      <c r="Z111" s="103">
        <v>1</v>
      </c>
      <c r="AA111" s="103"/>
      <c r="AB111" s="103"/>
      <c r="AC111" s="103"/>
      <c r="AD111" s="103"/>
      <c r="AE111" s="103"/>
      <c r="AF111" s="103"/>
      <c r="AG111" s="103"/>
      <c r="AH111" s="103"/>
      <c r="AI111" s="103"/>
      <c r="AJ111" s="103"/>
      <c r="AK111" s="103"/>
      <c r="AL111" s="103"/>
      <c r="AM111" s="103"/>
      <c r="AN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2"/>
      <c r="BJ111" s="103"/>
      <c r="BK111" s="103"/>
      <c r="BL111" s="103"/>
      <c r="BM111" s="103"/>
      <c r="BN111" s="103"/>
      <c r="BO111" s="103"/>
      <c r="BP111" s="103"/>
      <c r="BQ111" s="103"/>
      <c r="BR111" s="103"/>
      <c r="BS111" s="103"/>
      <c r="BT111" s="103"/>
      <c r="BU111" s="103"/>
      <c r="BV111" s="103"/>
      <c r="BW111" s="103"/>
      <c r="BX111" s="103"/>
      <c r="BY111" s="103"/>
      <c r="BZ111" s="103"/>
      <c r="CA111" s="103"/>
      <c r="CB111" s="103"/>
      <c r="CC111" s="103"/>
      <c r="CD111" s="103"/>
      <c r="CE111" s="103"/>
      <c r="CF111" s="103"/>
      <c r="CG111" s="103"/>
      <c r="CH111" s="103"/>
      <c r="CI111" s="103"/>
      <c r="CJ111" s="103"/>
      <c r="CK111" s="103"/>
      <c r="CL111" s="103"/>
      <c r="CM111" s="103"/>
      <c r="CN111" s="103"/>
      <c r="CO111" s="103"/>
      <c r="CP111" s="103"/>
      <c r="CQ111" s="103"/>
      <c r="CR111" s="103"/>
      <c r="CS111" s="103"/>
      <c r="CT111" s="103"/>
      <c r="CU111" s="103"/>
      <c r="CV111" s="103"/>
      <c r="CW111" s="103"/>
      <c r="CX111" s="103"/>
      <c r="CY111" s="103"/>
      <c r="CZ111" s="103"/>
      <c r="DA111" s="103"/>
      <c r="DB111" s="103"/>
      <c r="DC111" s="103"/>
      <c r="DD111" s="103"/>
      <c r="DE111" s="103"/>
      <c r="DF111" s="103"/>
      <c r="DG111" s="103"/>
      <c r="DH111" s="103"/>
      <c r="DI111" s="103"/>
      <c r="DJ111" s="103"/>
      <c r="DK111" s="103"/>
      <c r="DL111" s="103"/>
      <c r="DM111" s="103"/>
      <c r="DN111" s="103"/>
      <c r="DO111" s="103"/>
      <c r="DP111" s="103"/>
      <c r="DQ111" s="103"/>
      <c r="DR111" s="103"/>
      <c r="DS111" s="104"/>
      <c r="DT111" s="30">
        <f>SUM(F111:DR111)</f>
        <v>1</v>
      </c>
    </row>
    <row r="112" spans="2:124" x14ac:dyDescent="0.3">
      <c r="B112" s="74">
        <f>'6.1Personnel List'!B113</f>
        <v>100</v>
      </c>
      <c r="C112" s="73" t="s">
        <v>207</v>
      </c>
      <c r="D112" s="73" t="s">
        <v>254</v>
      </c>
      <c r="E112" s="31" t="str">
        <f>'6.1Personnel List'!H113</f>
        <v>FT</v>
      </c>
      <c r="G112" s="103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  <c r="R112" s="103"/>
      <c r="S112" s="103"/>
      <c r="T112" s="103"/>
      <c r="U112" s="103"/>
      <c r="V112" s="103"/>
      <c r="W112" s="103"/>
      <c r="X112" s="103"/>
      <c r="Y112" s="103"/>
      <c r="Z112" s="103"/>
      <c r="AA112" s="103"/>
      <c r="AB112" s="103"/>
      <c r="AC112" s="103"/>
      <c r="AD112" s="103"/>
      <c r="AE112" s="103"/>
      <c r="AF112" s="103"/>
      <c r="AG112" s="103"/>
      <c r="AH112" s="103"/>
      <c r="AI112" s="103"/>
      <c r="AJ112" s="103"/>
      <c r="AK112" s="103"/>
      <c r="AL112" s="103"/>
      <c r="AM112" s="103"/>
      <c r="AN112" s="103"/>
      <c r="AO112" s="103"/>
      <c r="AP112" s="103"/>
      <c r="AQ112" s="103"/>
      <c r="AR112" s="103"/>
      <c r="AS112" s="103"/>
      <c r="AT112" s="103"/>
      <c r="AU112" s="103"/>
      <c r="AV112" s="103"/>
      <c r="AW112" s="103"/>
      <c r="AX112" s="103"/>
      <c r="AY112" s="103"/>
      <c r="AZ112" s="103"/>
      <c r="BA112" s="103"/>
      <c r="BB112" s="103"/>
      <c r="BC112" s="103"/>
      <c r="BD112" s="103"/>
      <c r="BE112" s="103"/>
      <c r="BF112" s="103"/>
      <c r="BG112" s="103"/>
      <c r="BH112" s="103"/>
      <c r="BI112" s="102"/>
      <c r="BJ112" s="103"/>
      <c r="BK112" s="103"/>
      <c r="BL112" s="103"/>
      <c r="BM112" s="103"/>
      <c r="BN112" s="103"/>
      <c r="BO112" s="103"/>
      <c r="BP112" s="103"/>
      <c r="BQ112" s="103"/>
      <c r="BR112" s="103"/>
      <c r="BS112" s="103"/>
      <c r="BT112" s="103"/>
      <c r="BU112" s="103"/>
      <c r="BV112" s="103"/>
      <c r="BW112" s="103"/>
      <c r="BX112" s="103"/>
      <c r="BY112" s="103"/>
      <c r="BZ112" s="103"/>
      <c r="CA112" s="103"/>
      <c r="CB112" s="103"/>
      <c r="CC112" s="103"/>
      <c r="CD112" s="103"/>
      <c r="CE112" s="103"/>
      <c r="CF112" s="103"/>
      <c r="CG112" s="103"/>
      <c r="CH112" s="103"/>
      <c r="CI112" s="103"/>
      <c r="CJ112" s="103"/>
      <c r="CK112" s="103">
        <v>1</v>
      </c>
      <c r="CL112" s="103"/>
      <c r="CM112" s="103"/>
      <c r="CN112" s="103"/>
      <c r="CO112" s="103"/>
      <c r="CP112" s="103"/>
      <c r="CQ112" s="103"/>
      <c r="CR112" s="103"/>
      <c r="CS112" s="103"/>
      <c r="CT112" s="103"/>
      <c r="CU112" s="103"/>
      <c r="CV112" s="103"/>
      <c r="CW112" s="103"/>
      <c r="CX112" s="103"/>
      <c r="CY112" s="103"/>
      <c r="CZ112" s="103"/>
      <c r="DA112" s="103"/>
      <c r="DB112" s="103"/>
      <c r="DC112" s="103"/>
      <c r="DD112" s="103"/>
      <c r="DE112" s="103"/>
      <c r="DF112" s="103"/>
      <c r="DG112" s="103"/>
      <c r="DH112" s="103"/>
      <c r="DI112" s="103"/>
      <c r="DJ112" s="103"/>
      <c r="DK112" s="103"/>
      <c r="DL112" s="103"/>
      <c r="DM112" s="103"/>
      <c r="DN112" s="103"/>
      <c r="DO112" s="103"/>
      <c r="DP112" s="103"/>
      <c r="DQ112" s="103"/>
      <c r="DR112" s="103"/>
      <c r="DS112" s="104"/>
      <c r="DT112" s="30">
        <f>SUM(F112:DR112)</f>
        <v>1</v>
      </c>
    </row>
    <row r="113" spans="2:124" x14ac:dyDescent="0.3">
      <c r="B113" s="74">
        <f>'6.1Personnel List'!B114</f>
        <v>101</v>
      </c>
      <c r="C113" s="73" t="s">
        <v>208</v>
      </c>
      <c r="D113" s="73" t="s">
        <v>237</v>
      </c>
      <c r="E113" s="31" t="str">
        <f>'6.1Personnel List'!H114</f>
        <v>FT</v>
      </c>
      <c r="G113" s="103"/>
      <c r="H113" s="103"/>
      <c r="I113" s="103"/>
      <c r="J113" s="103"/>
      <c r="K113" s="103"/>
      <c r="L113" s="103"/>
      <c r="M113" s="103"/>
      <c r="N113" s="103"/>
      <c r="O113" s="103"/>
      <c r="P113" s="103"/>
      <c r="Q113" s="103"/>
      <c r="R113" s="103"/>
      <c r="S113" s="103"/>
      <c r="T113" s="103"/>
      <c r="U113" s="103"/>
      <c r="V113" s="103"/>
      <c r="W113" s="103"/>
      <c r="X113" s="103"/>
      <c r="Y113" s="103"/>
      <c r="Z113" s="103"/>
      <c r="AA113" s="103"/>
      <c r="AB113" s="103"/>
      <c r="AC113" s="103"/>
      <c r="AD113" s="103"/>
      <c r="AE113" s="103"/>
      <c r="AF113" s="103"/>
      <c r="AG113" s="103"/>
      <c r="AH113" s="103"/>
      <c r="AI113" s="103"/>
      <c r="AJ113" s="103"/>
      <c r="AK113" s="103"/>
      <c r="AL113" s="103"/>
      <c r="AM113" s="103"/>
      <c r="AN113" s="103"/>
      <c r="AO113" s="103"/>
      <c r="AP113" s="103"/>
      <c r="AQ113" s="103"/>
      <c r="AR113" s="103"/>
      <c r="AS113" s="103"/>
      <c r="AT113" s="103"/>
      <c r="AU113" s="103"/>
      <c r="AV113" s="103"/>
      <c r="AW113" s="103"/>
      <c r="AX113" s="103"/>
      <c r="AY113" s="103"/>
      <c r="AZ113" s="103"/>
      <c r="BA113" s="103"/>
      <c r="BB113" s="103"/>
      <c r="BC113" s="103"/>
      <c r="BD113" s="103"/>
      <c r="BE113" s="103"/>
      <c r="BF113" s="103"/>
      <c r="BG113" s="103"/>
      <c r="BH113" s="103"/>
      <c r="BI113" s="102"/>
      <c r="BJ113" s="103"/>
      <c r="BK113" s="103"/>
      <c r="BL113" s="103"/>
      <c r="BM113" s="103"/>
      <c r="BN113" s="103"/>
      <c r="BO113" s="103"/>
      <c r="BP113" s="103"/>
      <c r="BQ113" s="103"/>
      <c r="BR113" s="103"/>
      <c r="BS113" s="103"/>
      <c r="BT113" s="103"/>
      <c r="BU113" s="103"/>
      <c r="BV113" s="103"/>
      <c r="BW113" s="103"/>
      <c r="BX113" s="103"/>
      <c r="BY113" s="103"/>
      <c r="BZ113" s="103"/>
      <c r="CA113" s="103"/>
      <c r="CB113" s="103"/>
      <c r="CC113" s="103"/>
      <c r="CD113" s="103"/>
      <c r="CE113" s="103"/>
      <c r="CF113" s="103"/>
      <c r="CG113" s="103"/>
      <c r="CH113" s="103"/>
      <c r="CI113" s="103"/>
      <c r="CJ113" s="103"/>
      <c r="CK113" s="103"/>
      <c r="CL113" s="103"/>
      <c r="CM113" s="103"/>
      <c r="CN113" s="103"/>
      <c r="CO113" s="103"/>
      <c r="CP113" s="103"/>
      <c r="CQ113" s="103"/>
      <c r="CR113" s="103"/>
      <c r="CS113" s="103"/>
      <c r="CT113" s="103"/>
      <c r="CU113" s="103"/>
      <c r="CV113" s="103"/>
      <c r="CW113" s="103"/>
      <c r="CX113" s="103"/>
      <c r="CY113" s="103"/>
      <c r="CZ113" s="103"/>
      <c r="DA113" s="103"/>
      <c r="DB113" s="103"/>
      <c r="DC113" s="103"/>
      <c r="DD113" s="103">
        <v>1</v>
      </c>
      <c r="DE113" s="103"/>
      <c r="DF113" s="103"/>
      <c r="DG113" s="103"/>
      <c r="DH113" s="103"/>
      <c r="DI113" s="103"/>
      <c r="DJ113" s="103"/>
      <c r="DK113" s="103"/>
      <c r="DL113" s="103"/>
      <c r="DM113" s="103"/>
      <c r="DN113" s="103"/>
      <c r="DO113" s="103"/>
      <c r="DP113" s="103"/>
      <c r="DQ113" s="103"/>
      <c r="DR113" s="103"/>
      <c r="DS113" s="104"/>
      <c r="DT113" s="30">
        <f>SUM(F113:DR113)</f>
        <v>1</v>
      </c>
    </row>
    <row r="114" spans="2:124" x14ac:dyDescent="0.3">
      <c r="B114" s="74">
        <f>'6.1Personnel List'!B115</f>
        <v>102</v>
      </c>
      <c r="C114" s="73" t="s">
        <v>209</v>
      </c>
      <c r="D114" s="73" t="s">
        <v>255</v>
      </c>
      <c r="E114" s="31" t="str">
        <f>'6.1Personnel List'!H115</f>
        <v>FT</v>
      </c>
      <c r="G114" s="103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  <c r="R114" s="103"/>
      <c r="S114" s="103"/>
      <c r="T114" s="103"/>
      <c r="U114" s="103"/>
      <c r="V114" s="103"/>
      <c r="W114" s="103"/>
      <c r="X114" s="103"/>
      <c r="Y114" s="103"/>
      <c r="Z114" s="103"/>
      <c r="AA114" s="103"/>
      <c r="AB114" s="103"/>
      <c r="AC114" s="103"/>
      <c r="AD114" s="103"/>
      <c r="AE114" s="103"/>
      <c r="AF114" s="103"/>
      <c r="AG114" s="103"/>
      <c r="AH114" s="103"/>
      <c r="AI114" s="103"/>
      <c r="AJ114" s="103"/>
      <c r="AK114" s="103"/>
      <c r="AL114" s="103"/>
      <c r="AM114" s="103"/>
      <c r="AN114" s="103"/>
      <c r="AO114" s="103"/>
      <c r="AP114" s="103"/>
      <c r="AQ114" s="103"/>
      <c r="AR114" s="103"/>
      <c r="AS114" s="103"/>
      <c r="AT114" s="103"/>
      <c r="AU114" s="103"/>
      <c r="AV114" s="103"/>
      <c r="AW114" s="103"/>
      <c r="AX114" s="103"/>
      <c r="AY114" s="103"/>
      <c r="AZ114" s="103"/>
      <c r="BA114" s="103"/>
      <c r="BB114" s="103"/>
      <c r="BC114" s="103"/>
      <c r="BD114" s="103"/>
      <c r="BE114" s="103"/>
      <c r="BF114" s="103"/>
      <c r="BG114" s="103"/>
      <c r="BH114" s="103"/>
      <c r="BI114" s="102"/>
      <c r="BJ114" s="103"/>
      <c r="BK114" s="103"/>
      <c r="BL114" s="103"/>
      <c r="BM114" s="103"/>
      <c r="BN114" s="103"/>
      <c r="BO114" s="103"/>
      <c r="BP114" s="103"/>
      <c r="BQ114" s="103"/>
      <c r="BR114" s="103"/>
      <c r="BS114" s="103"/>
      <c r="BT114" s="103"/>
      <c r="BU114" s="103">
        <v>1</v>
      </c>
      <c r="BV114" s="103"/>
      <c r="BW114" s="103"/>
      <c r="BX114" s="103"/>
      <c r="BY114" s="103"/>
      <c r="BZ114" s="103"/>
      <c r="CA114" s="103"/>
      <c r="CB114" s="103"/>
      <c r="CC114" s="103"/>
      <c r="CD114" s="103"/>
      <c r="CE114" s="103"/>
      <c r="CF114" s="103"/>
      <c r="CG114" s="103"/>
      <c r="CH114" s="103"/>
      <c r="CI114" s="103"/>
      <c r="CJ114" s="103"/>
      <c r="CK114" s="103"/>
      <c r="CL114" s="103"/>
      <c r="CM114" s="103"/>
      <c r="CN114" s="103"/>
      <c r="CO114" s="103"/>
      <c r="CP114" s="103"/>
      <c r="CQ114" s="103"/>
      <c r="CR114" s="103"/>
      <c r="CS114" s="103"/>
      <c r="CT114" s="103"/>
      <c r="CU114" s="103"/>
      <c r="CV114" s="103"/>
      <c r="CW114" s="103"/>
      <c r="CX114" s="103"/>
      <c r="CY114" s="103"/>
      <c r="CZ114" s="103"/>
      <c r="DA114" s="103"/>
      <c r="DB114" s="103"/>
      <c r="DC114" s="103"/>
      <c r="DD114" s="103"/>
      <c r="DE114" s="103"/>
      <c r="DF114" s="103"/>
      <c r="DG114" s="103"/>
      <c r="DH114" s="103"/>
      <c r="DI114" s="103"/>
      <c r="DJ114" s="103"/>
      <c r="DK114" s="103"/>
      <c r="DL114" s="103"/>
      <c r="DM114" s="103"/>
      <c r="DN114" s="103"/>
      <c r="DO114" s="103"/>
      <c r="DP114" s="103"/>
      <c r="DQ114" s="103"/>
      <c r="DR114" s="103"/>
      <c r="DS114" s="104"/>
      <c r="DT114" s="30">
        <f>SUM(F114:DR114)</f>
        <v>1</v>
      </c>
    </row>
    <row r="115" spans="2:124" x14ac:dyDescent="0.3">
      <c r="B115" s="74">
        <f>'6.1Personnel List'!B116</f>
        <v>103</v>
      </c>
      <c r="C115" s="73" t="s">
        <v>210</v>
      </c>
      <c r="D115" s="73" t="s">
        <v>256</v>
      </c>
      <c r="E115" s="31" t="str">
        <f>'6.1Personnel List'!H116</f>
        <v>FT</v>
      </c>
      <c r="G115" s="103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R115" s="103"/>
      <c r="S115" s="103"/>
      <c r="T115" s="103"/>
      <c r="U115" s="103"/>
      <c r="V115" s="103"/>
      <c r="W115" s="103"/>
      <c r="X115" s="103"/>
      <c r="Y115" s="103"/>
      <c r="Z115" s="103"/>
      <c r="AA115" s="103"/>
      <c r="AB115" s="103"/>
      <c r="AC115" s="103"/>
      <c r="AD115" s="103"/>
      <c r="AE115" s="103"/>
      <c r="AF115" s="103"/>
      <c r="AG115" s="103"/>
      <c r="AH115" s="103"/>
      <c r="AI115" s="103"/>
      <c r="AJ115" s="103"/>
      <c r="AK115" s="103"/>
      <c r="AL115" s="103"/>
      <c r="AM115" s="103"/>
      <c r="AN115" s="103"/>
      <c r="AO115" s="103"/>
      <c r="AP115" s="103"/>
      <c r="AQ115" s="103"/>
      <c r="AR115" s="103"/>
      <c r="AS115" s="103"/>
      <c r="AT115" s="103"/>
      <c r="AU115" s="103"/>
      <c r="AV115" s="103"/>
      <c r="AW115" s="103"/>
      <c r="AX115" s="103"/>
      <c r="AY115" s="103"/>
      <c r="AZ115" s="103"/>
      <c r="BA115" s="103"/>
      <c r="BB115" s="103"/>
      <c r="BC115" s="103"/>
      <c r="BD115" s="103"/>
      <c r="BE115" s="103"/>
      <c r="BF115" s="103"/>
      <c r="BG115" s="103"/>
      <c r="BH115" s="103"/>
      <c r="BI115" s="102"/>
      <c r="BJ115" s="103"/>
      <c r="BK115" s="103"/>
      <c r="BL115" s="103"/>
      <c r="BM115" s="103"/>
      <c r="BN115" s="103"/>
      <c r="BO115" s="103"/>
      <c r="BP115" s="103"/>
      <c r="BQ115" s="103"/>
      <c r="BR115" s="103"/>
      <c r="BS115" s="103"/>
      <c r="BT115" s="103">
        <v>1</v>
      </c>
      <c r="BU115" s="103"/>
      <c r="BV115" s="103"/>
      <c r="BW115" s="103"/>
      <c r="BX115" s="103"/>
      <c r="BY115" s="103"/>
      <c r="BZ115" s="103"/>
      <c r="CA115" s="103"/>
      <c r="CB115" s="103"/>
      <c r="CC115" s="103"/>
      <c r="CD115" s="103"/>
      <c r="CE115" s="103"/>
      <c r="CF115" s="103"/>
      <c r="CG115" s="103"/>
      <c r="CH115" s="103"/>
      <c r="CI115" s="103"/>
      <c r="CJ115" s="103"/>
      <c r="CK115" s="103"/>
      <c r="CL115" s="103"/>
      <c r="CM115" s="103"/>
      <c r="CN115" s="103"/>
      <c r="CO115" s="103"/>
      <c r="CP115" s="103"/>
      <c r="CQ115" s="103"/>
      <c r="CR115" s="103"/>
      <c r="CS115" s="103"/>
      <c r="CT115" s="103"/>
      <c r="CU115" s="103"/>
      <c r="CV115" s="103"/>
      <c r="CW115" s="103"/>
      <c r="CX115" s="103"/>
      <c r="CY115" s="103"/>
      <c r="CZ115" s="103"/>
      <c r="DA115" s="103"/>
      <c r="DB115" s="103"/>
      <c r="DC115" s="103"/>
      <c r="DD115" s="103"/>
      <c r="DE115" s="103"/>
      <c r="DF115" s="103"/>
      <c r="DG115" s="103"/>
      <c r="DH115" s="103"/>
      <c r="DI115" s="103"/>
      <c r="DJ115" s="103"/>
      <c r="DK115" s="103"/>
      <c r="DL115" s="103"/>
      <c r="DM115" s="103"/>
      <c r="DN115" s="103"/>
      <c r="DO115" s="103"/>
      <c r="DP115" s="103"/>
      <c r="DQ115" s="103"/>
      <c r="DR115" s="103"/>
      <c r="DS115" s="104"/>
      <c r="DT115" s="30">
        <f>SUM(F115:DR115)</f>
        <v>1</v>
      </c>
    </row>
    <row r="116" spans="2:124" s="75" customFormat="1" x14ac:dyDescent="0.3">
      <c r="B116" s="74">
        <f>'6.1Personnel List'!B117</f>
        <v>104</v>
      </c>
      <c r="C116" s="73" t="s">
        <v>211</v>
      </c>
      <c r="D116" s="73" t="s">
        <v>257</v>
      </c>
      <c r="E116" s="31" t="str">
        <f>'6.1Personnel List'!H117</f>
        <v>FT</v>
      </c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  <c r="BF116" s="76"/>
      <c r="BG116" s="76"/>
      <c r="BH116" s="76"/>
      <c r="BI116" s="102"/>
      <c r="BJ116" s="76"/>
      <c r="BK116" s="76"/>
      <c r="BL116" s="76"/>
      <c r="BM116" s="76"/>
      <c r="BN116" s="76"/>
      <c r="BO116" s="76"/>
      <c r="BP116" s="76"/>
      <c r="BQ116" s="77">
        <v>1</v>
      </c>
      <c r="BR116" s="76"/>
      <c r="BS116" s="76"/>
      <c r="BT116" s="76"/>
      <c r="BU116" s="76"/>
      <c r="BV116" s="76"/>
      <c r="BW116" s="76"/>
      <c r="BX116" s="76"/>
      <c r="BY116" s="76"/>
      <c r="BZ116" s="76"/>
      <c r="CA116" s="76"/>
      <c r="CB116" s="76"/>
      <c r="CC116" s="76"/>
      <c r="CD116" s="76"/>
      <c r="CE116" s="76"/>
      <c r="CF116" s="76"/>
      <c r="CG116" s="76"/>
      <c r="CH116" s="76"/>
      <c r="CI116" s="76"/>
      <c r="CJ116" s="76"/>
      <c r="CK116" s="76"/>
      <c r="CL116" s="76"/>
      <c r="CM116" s="76"/>
      <c r="CN116" s="76"/>
      <c r="CO116" s="76"/>
      <c r="CP116" s="76"/>
      <c r="CQ116" s="76"/>
      <c r="CR116" s="76"/>
      <c r="CS116" s="76"/>
      <c r="CT116" s="76"/>
      <c r="CU116" s="76"/>
      <c r="CV116" s="76"/>
      <c r="CW116" s="76"/>
      <c r="CX116" s="76"/>
      <c r="CY116" s="76"/>
      <c r="CZ116" s="76"/>
      <c r="DA116" s="76"/>
      <c r="DB116" s="76"/>
      <c r="DC116" s="76"/>
      <c r="DD116" s="76"/>
      <c r="DE116" s="76"/>
      <c r="DF116" s="76"/>
      <c r="DG116" s="76"/>
      <c r="DH116" s="76"/>
      <c r="DI116" s="76"/>
      <c r="DJ116" s="76"/>
      <c r="DK116" s="76"/>
      <c r="DL116" s="76"/>
      <c r="DM116" s="76"/>
      <c r="DN116" s="76"/>
      <c r="DO116" s="76"/>
      <c r="DP116" s="76"/>
      <c r="DQ116" s="76"/>
      <c r="DR116" s="76"/>
      <c r="DS116" s="78"/>
      <c r="DT116" s="30">
        <v>1</v>
      </c>
    </row>
    <row r="117" spans="2:124" x14ac:dyDescent="0.3">
      <c r="B117" s="74">
        <f>'6.1Personnel List'!B118</f>
        <v>105</v>
      </c>
      <c r="C117" s="73" t="s">
        <v>212</v>
      </c>
      <c r="D117" s="73" t="s">
        <v>258</v>
      </c>
      <c r="E117" s="31" t="str">
        <f>'6.1Personnel List'!H118</f>
        <v>FT</v>
      </c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3"/>
      <c r="S117" s="103"/>
      <c r="T117" s="103"/>
      <c r="U117" s="103"/>
      <c r="V117" s="103"/>
      <c r="W117" s="103"/>
      <c r="X117" s="103"/>
      <c r="Y117" s="103"/>
      <c r="Z117" s="103"/>
      <c r="AA117" s="103"/>
      <c r="AB117" s="103"/>
      <c r="AC117" s="103"/>
      <c r="AD117" s="103"/>
      <c r="AE117" s="103"/>
      <c r="AF117" s="103"/>
      <c r="AG117" s="103"/>
      <c r="AH117" s="103"/>
      <c r="AI117" s="103"/>
      <c r="AJ117" s="103"/>
      <c r="AK117" s="103"/>
      <c r="AL117" s="103"/>
      <c r="AM117" s="103"/>
      <c r="AN117" s="103"/>
      <c r="AO117" s="103"/>
      <c r="AP117" s="103"/>
      <c r="AQ117" s="103"/>
      <c r="AR117" s="103"/>
      <c r="AS117" s="103"/>
      <c r="AT117" s="103"/>
      <c r="AU117" s="103"/>
      <c r="AV117" s="103"/>
      <c r="AW117" s="103"/>
      <c r="AX117" s="103"/>
      <c r="AY117" s="103"/>
      <c r="AZ117" s="103"/>
      <c r="BA117" s="103"/>
      <c r="BB117" s="103"/>
      <c r="BC117" s="103"/>
      <c r="BD117" s="103"/>
      <c r="BE117" s="103"/>
      <c r="BF117" s="103"/>
      <c r="BG117" s="103"/>
      <c r="BH117" s="103"/>
      <c r="BI117" s="102"/>
      <c r="BJ117" s="103"/>
      <c r="BK117" s="103"/>
      <c r="BL117" s="103"/>
      <c r="BM117" s="103"/>
      <c r="BN117" s="103"/>
      <c r="BO117" s="103"/>
      <c r="BP117" s="103">
        <v>1</v>
      </c>
      <c r="BQ117" s="103"/>
      <c r="BR117" s="103"/>
      <c r="BS117" s="103"/>
      <c r="BT117" s="103"/>
      <c r="BU117" s="103"/>
      <c r="BV117" s="103"/>
      <c r="BW117" s="103"/>
      <c r="BX117" s="103"/>
      <c r="BY117" s="103"/>
      <c r="BZ117" s="103"/>
      <c r="CA117" s="103"/>
      <c r="CB117" s="103"/>
      <c r="CC117" s="103"/>
      <c r="CD117" s="103"/>
      <c r="CE117" s="103"/>
      <c r="CF117" s="103"/>
      <c r="CG117" s="103"/>
      <c r="CH117" s="103"/>
      <c r="CI117" s="103"/>
      <c r="CJ117" s="103"/>
      <c r="CK117" s="103"/>
      <c r="CL117" s="103"/>
      <c r="CM117" s="103"/>
      <c r="CN117" s="103"/>
      <c r="CO117" s="103"/>
      <c r="CP117" s="103"/>
      <c r="CQ117" s="103"/>
      <c r="CR117" s="103"/>
      <c r="CS117" s="103"/>
      <c r="CT117" s="103"/>
      <c r="CU117" s="103"/>
      <c r="CV117" s="103"/>
      <c r="CW117" s="103"/>
      <c r="CX117" s="103"/>
      <c r="CY117" s="103"/>
      <c r="CZ117" s="103"/>
      <c r="DA117" s="103"/>
      <c r="DB117" s="103"/>
      <c r="DC117" s="103"/>
      <c r="DD117" s="103"/>
      <c r="DE117" s="103"/>
      <c r="DF117" s="103"/>
      <c r="DG117" s="103"/>
      <c r="DH117" s="103"/>
      <c r="DI117" s="103"/>
      <c r="DJ117" s="103"/>
      <c r="DK117" s="103"/>
      <c r="DL117" s="103"/>
      <c r="DM117" s="103"/>
      <c r="DN117" s="103"/>
      <c r="DO117" s="103"/>
      <c r="DP117" s="103"/>
      <c r="DQ117" s="103"/>
      <c r="DR117" s="103"/>
      <c r="DS117" s="104"/>
      <c r="DT117" s="30">
        <f>SUM(F117:DR117)</f>
        <v>1</v>
      </c>
    </row>
    <row r="118" spans="2:124" x14ac:dyDescent="0.3">
      <c r="B118" s="74">
        <f>'6.1Personnel List'!B119</f>
        <v>106</v>
      </c>
      <c r="C118" s="73" t="s">
        <v>213</v>
      </c>
      <c r="D118" s="73" t="s">
        <v>250</v>
      </c>
      <c r="E118" s="31" t="str">
        <f>'6.1Personnel List'!H119</f>
        <v>FT</v>
      </c>
      <c r="G118" s="103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  <c r="R118" s="103"/>
      <c r="S118" s="103"/>
      <c r="T118" s="103"/>
      <c r="U118" s="103"/>
      <c r="V118" s="103"/>
      <c r="W118" s="103"/>
      <c r="X118" s="103"/>
      <c r="Y118" s="103"/>
      <c r="Z118" s="103"/>
      <c r="AA118" s="103"/>
      <c r="AB118" s="103"/>
      <c r="AC118" s="103"/>
      <c r="AD118" s="103"/>
      <c r="AE118" s="103"/>
      <c r="AF118" s="103"/>
      <c r="AG118" s="103"/>
      <c r="AH118" s="103"/>
      <c r="AI118" s="103"/>
      <c r="AJ118" s="103"/>
      <c r="AK118" s="103"/>
      <c r="AL118" s="103"/>
      <c r="AM118" s="103"/>
      <c r="AN118" s="103"/>
      <c r="AO118" s="103"/>
      <c r="AP118" s="103"/>
      <c r="AQ118" s="103"/>
      <c r="AR118" s="103"/>
      <c r="AS118" s="103"/>
      <c r="AT118" s="103"/>
      <c r="AU118" s="103"/>
      <c r="AV118" s="103"/>
      <c r="AW118" s="103"/>
      <c r="AX118" s="103"/>
      <c r="AY118" s="103"/>
      <c r="AZ118" s="103"/>
      <c r="BA118" s="103"/>
      <c r="BB118" s="103"/>
      <c r="BC118" s="103"/>
      <c r="BD118" s="103"/>
      <c r="BE118" s="103"/>
      <c r="BF118" s="103"/>
      <c r="BG118" s="103"/>
      <c r="BH118" s="103"/>
      <c r="BI118" s="102"/>
      <c r="BJ118" s="103"/>
      <c r="BK118" s="103"/>
      <c r="BL118" s="103"/>
      <c r="BM118" s="103"/>
      <c r="BN118" s="103"/>
      <c r="BO118" s="103"/>
      <c r="BP118" s="103"/>
      <c r="BQ118" s="103"/>
      <c r="BR118" s="103"/>
      <c r="BS118" s="103"/>
      <c r="BT118" s="103"/>
      <c r="BU118" s="103"/>
      <c r="BV118" s="103"/>
      <c r="BW118" s="103"/>
      <c r="BX118" s="103"/>
      <c r="BY118" s="103"/>
      <c r="BZ118" s="103"/>
      <c r="CA118" s="103"/>
      <c r="CB118" s="103"/>
      <c r="CC118" s="103"/>
      <c r="CD118" s="103"/>
      <c r="CE118" s="103"/>
      <c r="CF118" s="103"/>
      <c r="CG118" s="103"/>
      <c r="CH118" s="103"/>
      <c r="CI118" s="103"/>
      <c r="CJ118" s="103"/>
      <c r="CK118" s="103"/>
      <c r="CL118" s="103"/>
      <c r="CM118" s="103"/>
      <c r="CN118" s="103"/>
      <c r="CO118" s="103"/>
      <c r="CP118" s="103"/>
      <c r="CQ118" s="103"/>
      <c r="CR118" s="103"/>
      <c r="CS118" s="103"/>
      <c r="CT118" s="103"/>
      <c r="CU118" s="103"/>
      <c r="CV118" s="103"/>
      <c r="CW118" s="103"/>
      <c r="CX118" s="103"/>
      <c r="CY118" s="103"/>
      <c r="CZ118" s="103"/>
      <c r="DA118" s="103"/>
      <c r="DB118" s="103"/>
      <c r="DC118" s="103"/>
      <c r="DD118" s="103">
        <v>1</v>
      </c>
      <c r="DE118" s="103"/>
      <c r="DF118" s="103"/>
      <c r="DG118" s="103"/>
      <c r="DH118" s="103"/>
      <c r="DI118" s="103"/>
      <c r="DJ118" s="103"/>
      <c r="DK118" s="103"/>
      <c r="DL118" s="103"/>
      <c r="DM118" s="103"/>
      <c r="DN118" s="103"/>
      <c r="DO118" s="103"/>
      <c r="DP118" s="103"/>
      <c r="DQ118" s="103"/>
      <c r="DR118" s="103"/>
      <c r="DS118" s="104"/>
      <c r="DT118" s="30">
        <f>SUM(F118:DR118)</f>
        <v>1</v>
      </c>
    </row>
    <row r="119" spans="2:124" x14ac:dyDescent="0.3">
      <c r="B119" s="74">
        <f>'6.1Personnel List'!B120</f>
        <v>107</v>
      </c>
      <c r="C119" s="73" t="s">
        <v>214</v>
      </c>
      <c r="D119" s="73" t="s">
        <v>259</v>
      </c>
      <c r="E119" s="31" t="str">
        <f>'6.1Personnel List'!H120</f>
        <v>FT</v>
      </c>
      <c r="G119" s="103"/>
      <c r="H119" s="103"/>
      <c r="I119" s="103"/>
      <c r="J119" s="103"/>
      <c r="K119" s="103"/>
      <c r="L119" s="103"/>
      <c r="M119" s="103"/>
      <c r="N119" s="103"/>
      <c r="O119" s="103"/>
      <c r="P119" s="103"/>
      <c r="Q119" s="103"/>
      <c r="R119" s="103"/>
      <c r="S119" s="103"/>
      <c r="T119" s="103"/>
      <c r="U119" s="103"/>
      <c r="V119" s="103"/>
      <c r="W119" s="103"/>
      <c r="X119" s="103"/>
      <c r="Y119" s="103"/>
      <c r="Z119" s="103"/>
      <c r="AA119" s="103"/>
      <c r="AB119" s="103"/>
      <c r="AC119" s="103"/>
      <c r="AD119" s="103"/>
      <c r="AE119" s="103"/>
      <c r="AF119" s="103"/>
      <c r="AG119" s="103"/>
      <c r="AH119" s="103"/>
      <c r="AI119" s="103"/>
      <c r="AJ119" s="103"/>
      <c r="AK119" s="103"/>
      <c r="AL119" s="103"/>
      <c r="AM119" s="103"/>
      <c r="AN119" s="103"/>
      <c r="AO119" s="103"/>
      <c r="AP119" s="103"/>
      <c r="AQ119" s="103"/>
      <c r="AR119" s="103"/>
      <c r="AS119" s="103"/>
      <c r="AT119" s="103"/>
      <c r="AU119" s="103"/>
      <c r="AV119" s="103"/>
      <c r="AW119" s="103"/>
      <c r="AX119" s="103"/>
      <c r="AY119" s="103"/>
      <c r="AZ119" s="103"/>
      <c r="BA119" s="103"/>
      <c r="BB119" s="103"/>
      <c r="BC119" s="103"/>
      <c r="BD119" s="103"/>
      <c r="BE119" s="103"/>
      <c r="BF119" s="103"/>
      <c r="BG119" s="103"/>
      <c r="BH119" s="103"/>
      <c r="BI119" s="102"/>
      <c r="BJ119" s="103"/>
      <c r="BK119" s="103"/>
      <c r="BL119" s="103"/>
      <c r="BM119" s="103"/>
      <c r="BN119" s="103"/>
      <c r="BO119" s="103"/>
      <c r="BP119" s="103"/>
      <c r="BQ119" s="103"/>
      <c r="BR119" s="103"/>
      <c r="BS119" s="103"/>
      <c r="BT119" s="103"/>
      <c r="BU119" s="103"/>
      <c r="BV119" s="103"/>
      <c r="BW119" s="103"/>
      <c r="BX119" s="103"/>
      <c r="BY119" s="103"/>
      <c r="BZ119" s="103"/>
      <c r="CA119" s="103"/>
      <c r="CB119" s="103"/>
      <c r="CC119" s="103"/>
      <c r="CD119" s="103"/>
      <c r="CE119" s="103"/>
      <c r="CF119" s="103"/>
      <c r="CG119" s="103">
        <v>1</v>
      </c>
      <c r="CH119" s="103"/>
      <c r="CI119" s="103"/>
      <c r="CJ119" s="103"/>
      <c r="CK119" s="103"/>
      <c r="CL119" s="103"/>
      <c r="CM119" s="103"/>
      <c r="CN119" s="103"/>
      <c r="CO119" s="103"/>
      <c r="CP119" s="103"/>
      <c r="CQ119" s="103"/>
      <c r="CR119" s="103"/>
      <c r="CS119" s="103"/>
      <c r="CT119" s="103"/>
      <c r="CU119" s="103"/>
      <c r="CV119" s="103"/>
      <c r="CW119" s="103"/>
      <c r="CX119" s="103"/>
      <c r="CY119" s="103"/>
      <c r="CZ119" s="103"/>
      <c r="DA119" s="103"/>
      <c r="DB119" s="103"/>
      <c r="DC119" s="103"/>
      <c r="DD119" s="103"/>
      <c r="DE119" s="103"/>
      <c r="DF119" s="103"/>
      <c r="DG119" s="103"/>
      <c r="DH119" s="103"/>
      <c r="DI119" s="103"/>
      <c r="DJ119" s="103"/>
      <c r="DK119" s="103"/>
      <c r="DL119" s="103"/>
      <c r="DM119" s="103"/>
      <c r="DN119" s="103"/>
      <c r="DO119" s="103"/>
      <c r="DP119" s="103"/>
      <c r="DQ119" s="103"/>
      <c r="DR119" s="103"/>
      <c r="DS119" s="104"/>
      <c r="DT119" s="30">
        <f>SUM(F119:DR119)</f>
        <v>1</v>
      </c>
    </row>
    <row r="120" spans="2:124" x14ac:dyDescent="0.3">
      <c r="B120" s="74">
        <f>'6.1Personnel List'!B121</f>
        <v>108</v>
      </c>
      <c r="C120" s="73" t="s">
        <v>215</v>
      </c>
      <c r="D120" s="73" t="s">
        <v>260</v>
      </c>
      <c r="E120" s="31" t="str">
        <f>'6.1Personnel List'!H121</f>
        <v>FT</v>
      </c>
      <c r="G120" s="103"/>
      <c r="H120" s="103"/>
      <c r="I120" s="103"/>
      <c r="J120" s="103"/>
      <c r="K120" s="103"/>
      <c r="L120" s="103"/>
      <c r="M120" s="103"/>
      <c r="N120" s="103"/>
      <c r="O120" s="103"/>
      <c r="P120" s="103"/>
      <c r="Q120" s="103"/>
      <c r="R120" s="103"/>
      <c r="S120" s="103"/>
      <c r="T120" s="103"/>
      <c r="U120" s="103"/>
      <c r="V120" s="103"/>
      <c r="W120" s="103"/>
      <c r="X120" s="103"/>
      <c r="Y120" s="103"/>
      <c r="Z120" s="103"/>
      <c r="AA120" s="103"/>
      <c r="AB120" s="103"/>
      <c r="AC120" s="103"/>
      <c r="AD120" s="103"/>
      <c r="AE120" s="103"/>
      <c r="AF120" s="103"/>
      <c r="AG120" s="103"/>
      <c r="AH120" s="103"/>
      <c r="AI120" s="103"/>
      <c r="AJ120" s="103"/>
      <c r="AK120" s="103"/>
      <c r="AL120" s="103"/>
      <c r="AM120" s="103"/>
      <c r="AN120" s="103"/>
      <c r="AO120" s="103"/>
      <c r="AP120" s="103"/>
      <c r="AQ120" s="103"/>
      <c r="AR120" s="103"/>
      <c r="AS120" s="103"/>
      <c r="AT120" s="103"/>
      <c r="AU120" s="103"/>
      <c r="AV120" s="103"/>
      <c r="AW120" s="103"/>
      <c r="AX120" s="103"/>
      <c r="AY120" s="103"/>
      <c r="AZ120" s="103"/>
      <c r="BA120" s="103"/>
      <c r="BB120" s="103"/>
      <c r="BC120" s="103"/>
      <c r="BD120" s="103"/>
      <c r="BE120" s="103"/>
      <c r="BF120" s="103"/>
      <c r="BG120" s="103"/>
      <c r="BH120" s="103"/>
      <c r="BI120" s="102"/>
      <c r="BJ120" s="103"/>
      <c r="BK120" s="103"/>
      <c r="BL120" s="103"/>
      <c r="BM120" s="103"/>
      <c r="BN120" s="103"/>
      <c r="BO120" s="103"/>
      <c r="BP120" s="103"/>
      <c r="BQ120" s="103"/>
      <c r="BR120" s="103"/>
      <c r="BS120" s="103"/>
      <c r="BT120" s="103"/>
      <c r="BU120" s="103"/>
      <c r="BV120" s="103"/>
      <c r="BW120" s="103"/>
      <c r="BX120" s="103"/>
      <c r="BY120" s="103"/>
      <c r="BZ120" s="103"/>
      <c r="CA120" s="103"/>
      <c r="CB120" s="103"/>
      <c r="CC120" s="103"/>
      <c r="CD120" s="103"/>
      <c r="CE120" s="103">
        <v>1</v>
      </c>
      <c r="CF120" s="103"/>
      <c r="CG120" s="103"/>
      <c r="CH120" s="103"/>
      <c r="CI120" s="103"/>
      <c r="CJ120" s="103"/>
      <c r="CK120" s="103"/>
      <c r="CL120" s="103"/>
      <c r="CM120" s="103"/>
      <c r="CN120" s="103"/>
      <c r="CO120" s="103"/>
      <c r="CP120" s="103"/>
      <c r="CQ120" s="103"/>
      <c r="CR120" s="103"/>
      <c r="CS120" s="103"/>
      <c r="CT120" s="103"/>
      <c r="CU120" s="103"/>
      <c r="CV120" s="103"/>
      <c r="CW120" s="103"/>
      <c r="CX120" s="103"/>
      <c r="CY120" s="103"/>
      <c r="CZ120" s="103"/>
      <c r="DA120" s="103"/>
      <c r="DB120" s="103"/>
      <c r="DC120" s="103"/>
      <c r="DD120" s="103"/>
      <c r="DE120" s="103"/>
      <c r="DF120" s="103"/>
      <c r="DG120" s="103"/>
      <c r="DH120" s="103"/>
      <c r="DI120" s="103"/>
      <c r="DJ120" s="103"/>
      <c r="DK120" s="103"/>
      <c r="DL120" s="103"/>
      <c r="DM120" s="103"/>
      <c r="DN120" s="103"/>
      <c r="DO120" s="103"/>
      <c r="DP120" s="103"/>
      <c r="DQ120" s="103"/>
      <c r="DR120" s="103"/>
      <c r="DS120" s="104"/>
      <c r="DT120" s="30">
        <f>SUM(F120:DR120)</f>
        <v>1</v>
      </c>
    </row>
    <row r="121" spans="2:124" x14ac:dyDescent="0.3">
      <c r="B121" s="74">
        <f>'6.1Personnel List'!B122</f>
        <v>109</v>
      </c>
      <c r="C121" s="73" t="s">
        <v>216</v>
      </c>
      <c r="D121" s="73" t="s">
        <v>252</v>
      </c>
      <c r="E121" s="31" t="str">
        <f>'6.1Personnel List'!H122</f>
        <v>FT</v>
      </c>
      <c r="G121" s="103"/>
      <c r="H121" s="103"/>
      <c r="I121" s="103"/>
      <c r="J121" s="103"/>
      <c r="K121" s="103"/>
      <c r="L121" s="103"/>
      <c r="M121" s="103"/>
      <c r="N121" s="103"/>
      <c r="O121" s="103"/>
      <c r="P121" s="103"/>
      <c r="Q121" s="103"/>
      <c r="R121" s="103"/>
      <c r="S121" s="103"/>
      <c r="T121" s="103"/>
      <c r="U121" s="103"/>
      <c r="V121" s="103"/>
      <c r="W121" s="103"/>
      <c r="X121" s="103"/>
      <c r="Y121" s="103"/>
      <c r="Z121" s="103"/>
      <c r="AA121" s="103"/>
      <c r="AB121" s="103"/>
      <c r="AC121" s="103"/>
      <c r="AD121" s="103"/>
      <c r="AE121" s="103"/>
      <c r="AF121" s="103"/>
      <c r="AG121" s="103"/>
      <c r="AH121" s="103"/>
      <c r="AI121" s="103"/>
      <c r="AJ121" s="103"/>
      <c r="AK121" s="103"/>
      <c r="AL121" s="103"/>
      <c r="AM121" s="103"/>
      <c r="AN121" s="103"/>
      <c r="AO121" s="103"/>
      <c r="AP121" s="103"/>
      <c r="AQ121" s="103"/>
      <c r="AR121" s="103"/>
      <c r="AS121" s="103"/>
      <c r="AT121" s="103"/>
      <c r="AU121" s="103"/>
      <c r="AV121" s="103"/>
      <c r="AW121" s="103"/>
      <c r="AX121" s="103"/>
      <c r="AY121" s="103"/>
      <c r="AZ121" s="103"/>
      <c r="BA121" s="103"/>
      <c r="BB121" s="103"/>
      <c r="BC121" s="103"/>
      <c r="BD121" s="103"/>
      <c r="BE121" s="103"/>
      <c r="BF121" s="103"/>
      <c r="BG121" s="103"/>
      <c r="BH121" s="103"/>
      <c r="BI121" s="102"/>
      <c r="BJ121" s="103"/>
      <c r="BK121" s="103"/>
      <c r="BL121" s="103"/>
      <c r="BM121" s="103"/>
      <c r="BN121" s="103"/>
      <c r="BO121" s="103"/>
      <c r="BP121" s="103"/>
      <c r="BQ121" s="103"/>
      <c r="BR121" s="103"/>
      <c r="BS121" s="103"/>
      <c r="BT121" s="103"/>
      <c r="BU121" s="103"/>
      <c r="BV121" s="103"/>
      <c r="BW121" s="103"/>
      <c r="BX121" s="103">
        <v>1</v>
      </c>
      <c r="BY121" s="103"/>
      <c r="BZ121" s="103"/>
      <c r="CA121" s="103"/>
      <c r="CB121" s="103"/>
      <c r="CC121" s="103"/>
      <c r="CD121" s="103"/>
      <c r="CE121" s="103"/>
      <c r="CF121" s="103"/>
      <c r="CG121" s="103"/>
      <c r="CH121" s="103"/>
      <c r="CI121" s="103"/>
      <c r="CJ121" s="103"/>
      <c r="CK121" s="103"/>
      <c r="CL121" s="103"/>
      <c r="CM121" s="103"/>
      <c r="CN121" s="103"/>
      <c r="CO121" s="103"/>
      <c r="CP121" s="103"/>
      <c r="CQ121" s="103"/>
      <c r="CR121" s="103"/>
      <c r="CS121" s="103"/>
      <c r="CT121" s="103"/>
      <c r="CU121" s="103"/>
      <c r="CV121" s="103"/>
      <c r="CW121" s="103"/>
      <c r="CX121" s="103"/>
      <c r="CY121" s="103"/>
      <c r="CZ121" s="103"/>
      <c r="DA121" s="103"/>
      <c r="DB121" s="103"/>
      <c r="DC121" s="103"/>
      <c r="DD121" s="103"/>
      <c r="DE121" s="103"/>
      <c r="DF121" s="103"/>
      <c r="DG121" s="103"/>
      <c r="DH121" s="103"/>
      <c r="DI121" s="103"/>
      <c r="DJ121" s="103"/>
      <c r="DK121" s="103"/>
      <c r="DL121" s="103"/>
      <c r="DM121" s="103"/>
      <c r="DN121" s="103"/>
      <c r="DO121" s="103"/>
      <c r="DP121" s="103"/>
      <c r="DQ121" s="103"/>
      <c r="DR121" s="103"/>
      <c r="DS121" s="104"/>
      <c r="DT121" s="30">
        <f>SUM(F121:DR121)</f>
        <v>1</v>
      </c>
    </row>
    <row r="122" spans="2:124" x14ac:dyDescent="0.3">
      <c r="B122" s="74">
        <f>'6.1Personnel List'!B123</f>
        <v>110</v>
      </c>
      <c r="C122" s="73" t="s">
        <v>217</v>
      </c>
      <c r="D122" s="73" t="s">
        <v>237</v>
      </c>
      <c r="E122" s="31" t="str">
        <f>'6.1Personnel List'!H123</f>
        <v>FT</v>
      </c>
      <c r="G122" s="103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  <c r="R122" s="103"/>
      <c r="S122" s="103"/>
      <c r="T122" s="103"/>
      <c r="U122" s="103"/>
      <c r="V122" s="103"/>
      <c r="W122" s="103"/>
      <c r="X122" s="103"/>
      <c r="Y122" s="103"/>
      <c r="Z122" s="103"/>
      <c r="AA122" s="103"/>
      <c r="AB122" s="103"/>
      <c r="AC122" s="103"/>
      <c r="AD122" s="103"/>
      <c r="AE122" s="103"/>
      <c r="AF122" s="103"/>
      <c r="AG122" s="103"/>
      <c r="AH122" s="103"/>
      <c r="AI122" s="103"/>
      <c r="AJ122" s="103"/>
      <c r="AK122" s="103"/>
      <c r="AL122" s="103"/>
      <c r="AM122" s="103"/>
      <c r="AN122" s="103"/>
      <c r="AO122" s="103"/>
      <c r="AP122" s="103"/>
      <c r="AQ122" s="103"/>
      <c r="AR122" s="103"/>
      <c r="AS122" s="103"/>
      <c r="AT122" s="103"/>
      <c r="AU122" s="103"/>
      <c r="AV122" s="103"/>
      <c r="AW122" s="103"/>
      <c r="AX122" s="103"/>
      <c r="AY122" s="103"/>
      <c r="AZ122" s="103"/>
      <c r="BA122" s="103"/>
      <c r="BB122" s="103"/>
      <c r="BC122" s="103"/>
      <c r="BD122" s="103">
        <v>0.3</v>
      </c>
      <c r="BE122" s="103">
        <v>0.2</v>
      </c>
      <c r="BF122" s="103">
        <v>0.3</v>
      </c>
      <c r="BG122" s="103">
        <v>0.1</v>
      </c>
      <c r="BH122" s="103">
        <v>0.1</v>
      </c>
      <c r="BI122" s="102"/>
      <c r="BJ122" s="103"/>
      <c r="BK122" s="103"/>
      <c r="BL122" s="103"/>
      <c r="BM122" s="103"/>
      <c r="BN122" s="103"/>
      <c r="BO122" s="103"/>
      <c r="BP122" s="103"/>
      <c r="BQ122" s="103"/>
      <c r="BR122" s="103"/>
      <c r="BS122" s="103"/>
      <c r="BT122" s="103"/>
      <c r="BU122" s="103"/>
      <c r="BV122" s="103"/>
      <c r="BW122" s="103"/>
      <c r="BX122" s="103"/>
      <c r="BY122" s="103"/>
      <c r="BZ122" s="103"/>
      <c r="CA122" s="103"/>
      <c r="CB122" s="103"/>
      <c r="CC122" s="103"/>
      <c r="CD122" s="103"/>
      <c r="CE122" s="103"/>
      <c r="CF122" s="103"/>
      <c r="CG122" s="103"/>
      <c r="CH122" s="103"/>
      <c r="CI122" s="103"/>
      <c r="CJ122" s="103"/>
      <c r="CK122" s="103"/>
      <c r="CL122" s="103"/>
      <c r="CM122" s="103"/>
      <c r="CN122" s="103"/>
      <c r="CO122" s="103"/>
      <c r="CP122" s="103"/>
      <c r="CQ122" s="103"/>
      <c r="CR122" s="103"/>
      <c r="CS122" s="103"/>
      <c r="CT122" s="103"/>
      <c r="CU122" s="103"/>
      <c r="CV122" s="103"/>
      <c r="CW122" s="103"/>
      <c r="CX122" s="103"/>
      <c r="CY122" s="103"/>
      <c r="CZ122" s="103"/>
      <c r="DA122" s="103"/>
      <c r="DB122" s="103"/>
      <c r="DC122" s="103"/>
      <c r="DD122" s="103"/>
      <c r="DE122" s="103"/>
      <c r="DF122" s="103"/>
      <c r="DG122" s="103"/>
      <c r="DH122" s="103"/>
      <c r="DI122" s="103"/>
      <c r="DJ122" s="103"/>
      <c r="DK122" s="103"/>
      <c r="DL122" s="103"/>
      <c r="DM122" s="103"/>
      <c r="DN122" s="103"/>
      <c r="DO122" s="103"/>
      <c r="DP122" s="103"/>
      <c r="DQ122" s="103"/>
      <c r="DR122" s="103"/>
      <c r="DS122" s="104"/>
      <c r="DT122" s="30">
        <f>SUM(F122:DR122)</f>
        <v>1</v>
      </c>
    </row>
    <row r="123" spans="2:124" x14ac:dyDescent="0.3">
      <c r="B123" s="74">
        <f>'6.1Personnel List'!B124</f>
        <v>111</v>
      </c>
      <c r="C123" s="73" t="s">
        <v>218</v>
      </c>
      <c r="D123" s="73" t="s">
        <v>237</v>
      </c>
      <c r="E123" s="31" t="str">
        <f>'6.1Personnel List'!H124</f>
        <v>FT</v>
      </c>
      <c r="G123" s="103"/>
      <c r="H123" s="103"/>
      <c r="I123" s="103"/>
      <c r="J123" s="103"/>
      <c r="K123" s="103"/>
      <c r="L123" s="103"/>
      <c r="M123" s="103"/>
      <c r="N123" s="103"/>
      <c r="O123" s="103"/>
      <c r="P123" s="103"/>
      <c r="Q123" s="103"/>
      <c r="R123" s="103"/>
      <c r="S123" s="103"/>
      <c r="T123" s="103"/>
      <c r="U123" s="103"/>
      <c r="V123" s="103"/>
      <c r="W123" s="103"/>
      <c r="X123" s="103"/>
      <c r="Y123" s="103"/>
      <c r="Z123" s="103"/>
      <c r="AA123" s="103"/>
      <c r="AB123" s="103"/>
      <c r="AC123" s="103"/>
      <c r="AD123" s="103"/>
      <c r="AE123" s="103"/>
      <c r="AF123" s="103"/>
      <c r="AG123" s="103"/>
      <c r="AH123" s="103"/>
      <c r="AI123" s="103"/>
      <c r="AJ123" s="103"/>
      <c r="AK123" s="103"/>
      <c r="AL123" s="103"/>
      <c r="AM123" s="103"/>
      <c r="AN123" s="103"/>
      <c r="AO123" s="103"/>
      <c r="AP123" s="103"/>
      <c r="AQ123" s="103"/>
      <c r="AR123" s="103"/>
      <c r="AS123" s="103"/>
      <c r="AT123" s="103"/>
      <c r="AU123" s="103"/>
      <c r="AV123" s="103"/>
      <c r="AW123" s="103"/>
      <c r="AX123" s="103"/>
      <c r="AY123" s="103"/>
      <c r="AZ123" s="103"/>
      <c r="BA123" s="103"/>
      <c r="BB123" s="103"/>
      <c r="BC123" s="103"/>
      <c r="BD123" s="103"/>
      <c r="BE123" s="103"/>
      <c r="BF123" s="103"/>
      <c r="BG123" s="103"/>
      <c r="BH123" s="103"/>
      <c r="BI123" s="102"/>
      <c r="BJ123" s="103"/>
      <c r="BK123" s="103"/>
      <c r="BL123" s="103"/>
      <c r="BM123" s="103"/>
      <c r="BN123" s="103"/>
      <c r="BO123" s="103"/>
      <c r="BP123" s="103"/>
      <c r="BQ123" s="103"/>
      <c r="BR123" s="103"/>
      <c r="BS123" s="103"/>
      <c r="BT123" s="103"/>
      <c r="BU123" s="103"/>
      <c r="BV123" s="103"/>
      <c r="BW123" s="103"/>
      <c r="BX123" s="103"/>
      <c r="BY123" s="103"/>
      <c r="BZ123" s="103"/>
      <c r="CA123" s="103"/>
      <c r="CB123" s="103"/>
      <c r="CC123" s="103"/>
      <c r="CD123" s="103"/>
      <c r="CE123" s="103"/>
      <c r="CF123" s="103"/>
      <c r="CG123" s="103"/>
      <c r="CH123" s="103"/>
      <c r="CI123" s="103"/>
      <c r="CJ123" s="103"/>
      <c r="CK123" s="103"/>
      <c r="CL123" s="103"/>
      <c r="CM123" s="103"/>
      <c r="CN123" s="103"/>
      <c r="CO123" s="103"/>
      <c r="CP123" s="103"/>
      <c r="CQ123" s="103"/>
      <c r="CR123" s="103"/>
      <c r="CS123" s="103"/>
      <c r="CT123" s="103"/>
      <c r="CU123" s="103">
        <v>1</v>
      </c>
      <c r="CV123" s="103"/>
      <c r="CW123" s="103"/>
      <c r="CX123" s="103"/>
      <c r="CY123" s="103"/>
      <c r="CZ123" s="103"/>
      <c r="DA123" s="103"/>
      <c r="DB123" s="103"/>
      <c r="DC123" s="103"/>
      <c r="DD123" s="103"/>
      <c r="DE123" s="103"/>
      <c r="DF123" s="103"/>
      <c r="DG123" s="103"/>
      <c r="DH123" s="103"/>
      <c r="DI123" s="103"/>
      <c r="DJ123" s="103"/>
      <c r="DK123" s="103"/>
      <c r="DL123" s="103"/>
      <c r="DM123" s="103"/>
      <c r="DN123" s="103"/>
      <c r="DO123" s="103"/>
      <c r="DP123" s="103"/>
      <c r="DQ123" s="103"/>
      <c r="DR123" s="103"/>
      <c r="DS123" s="104"/>
      <c r="DT123" s="30">
        <f>SUM(F123:DR123)</f>
        <v>1</v>
      </c>
    </row>
    <row r="124" spans="2:124" x14ac:dyDescent="0.3">
      <c r="B124" s="74">
        <f>'6.1Personnel List'!B125</f>
        <v>112</v>
      </c>
      <c r="C124" s="73" t="s">
        <v>219</v>
      </c>
      <c r="D124" s="73" t="s">
        <v>111</v>
      </c>
      <c r="E124" s="31" t="str">
        <f>'6.1Personnel List'!H125</f>
        <v>FT</v>
      </c>
      <c r="G124" s="103"/>
      <c r="H124" s="103"/>
      <c r="I124" s="103"/>
      <c r="J124" s="103"/>
      <c r="K124" s="103"/>
      <c r="L124" s="103"/>
      <c r="M124" s="103"/>
      <c r="N124" s="103"/>
      <c r="O124" s="103"/>
      <c r="P124" s="103"/>
      <c r="Q124" s="103"/>
      <c r="R124" s="103"/>
      <c r="S124" s="103"/>
      <c r="T124" s="103"/>
      <c r="U124" s="103"/>
      <c r="V124" s="103"/>
      <c r="W124" s="103"/>
      <c r="X124" s="103"/>
      <c r="Y124" s="103"/>
      <c r="Z124" s="103"/>
      <c r="AA124" s="103"/>
      <c r="AB124" s="103"/>
      <c r="AC124" s="103"/>
      <c r="AD124" s="103"/>
      <c r="AE124" s="103"/>
      <c r="AF124" s="103"/>
      <c r="AG124" s="103"/>
      <c r="AH124" s="103"/>
      <c r="AI124" s="103"/>
      <c r="AJ124" s="103"/>
      <c r="AK124" s="103"/>
      <c r="AL124" s="103"/>
      <c r="AM124" s="103"/>
      <c r="AN124" s="103"/>
      <c r="AO124" s="103"/>
      <c r="AP124" s="103"/>
      <c r="AQ124" s="103"/>
      <c r="AR124" s="103"/>
      <c r="AS124" s="103"/>
      <c r="AT124" s="103"/>
      <c r="AU124" s="103"/>
      <c r="AV124" s="103"/>
      <c r="AW124" s="103"/>
      <c r="AX124" s="103"/>
      <c r="AY124" s="103"/>
      <c r="AZ124" s="103"/>
      <c r="BA124" s="103"/>
      <c r="BB124" s="103"/>
      <c r="BC124" s="103"/>
      <c r="BD124" s="103"/>
      <c r="BE124" s="103"/>
      <c r="BF124" s="103"/>
      <c r="BG124" s="103"/>
      <c r="BH124" s="103"/>
      <c r="BI124" s="102"/>
      <c r="BJ124" s="103"/>
      <c r="BK124" s="103"/>
      <c r="BL124" s="103"/>
      <c r="BM124" s="103"/>
      <c r="BN124" s="103"/>
      <c r="BO124" s="103"/>
      <c r="BP124" s="103"/>
      <c r="BQ124" s="103">
        <v>1</v>
      </c>
      <c r="BR124" s="103"/>
      <c r="BS124" s="103"/>
      <c r="BT124" s="103"/>
      <c r="BU124" s="103"/>
      <c r="BV124" s="103"/>
      <c r="BW124" s="103"/>
      <c r="BX124" s="103"/>
      <c r="BY124" s="103"/>
      <c r="BZ124" s="103"/>
      <c r="CA124" s="103"/>
      <c r="CB124" s="103"/>
      <c r="CC124" s="103"/>
      <c r="CD124" s="103"/>
      <c r="CE124" s="103"/>
      <c r="CF124" s="103"/>
      <c r="CG124" s="103"/>
      <c r="CH124" s="103"/>
      <c r="CI124" s="103"/>
      <c r="CJ124" s="103"/>
      <c r="CK124" s="103"/>
      <c r="CL124" s="103"/>
      <c r="CM124" s="103"/>
      <c r="CN124" s="103"/>
      <c r="CO124" s="103"/>
      <c r="CP124" s="103"/>
      <c r="CQ124" s="103"/>
      <c r="CR124" s="103"/>
      <c r="CS124" s="103"/>
      <c r="CT124" s="103"/>
      <c r="CU124" s="103"/>
      <c r="CV124" s="103"/>
      <c r="CW124" s="103"/>
      <c r="CX124" s="103"/>
      <c r="CY124" s="103"/>
      <c r="CZ124" s="103"/>
      <c r="DA124" s="103"/>
      <c r="DB124" s="103"/>
      <c r="DC124" s="103"/>
      <c r="DD124" s="103"/>
      <c r="DE124" s="103"/>
      <c r="DF124" s="103"/>
      <c r="DG124" s="103"/>
      <c r="DH124" s="103"/>
      <c r="DI124" s="103"/>
      <c r="DJ124" s="103"/>
      <c r="DK124" s="103"/>
      <c r="DL124" s="103"/>
      <c r="DM124" s="103"/>
      <c r="DN124" s="103"/>
      <c r="DO124" s="103"/>
      <c r="DP124" s="103"/>
      <c r="DQ124" s="103"/>
      <c r="DR124" s="103"/>
      <c r="DS124" s="104"/>
      <c r="DT124" s="30">
        <f>SUM(F124:DR124)</f>
        <v>1</v>
      </c>
    </row>
    <row r="125" spans="2:124" x14ac:dyDescent="0.3">
      <c r="B125" s="74">
        <f>'6.1Personnel List'!B126</f>
        <v>113</v>
      </c>
      <c r="C125" s="73" t="s">
        <v>220</v>
      </c>
      <c r="D125" s="73" t="s">
        <v>261</v>
      </c>
      <c r="E125" s="31" t="str">
        <f>'6.1Personnel List'!H126</f>
        <v>FT</v>
      </c>
      <c r="G125" s="103"/>
      <c r="H125" s="103"/>
      <c r="I125" s="103"/>
      <c r="J125" s="103"/>
      <c r="K125" s="103"/>
      <c r="L125" s="103"/>
      <c r="M125" s="103"/>
      <c r="N125" s="103"/>
      <c r="O125" s="103"/>
      <c r="P125" s="103"/>
      <c r="Q125" s="103"/>
      <c r="R125" s="103"/>
      <c r="S125" s="103"/>
      <c r="T125" s="103"/>
      <c r="U125" s="103"/>
      <c r="V125" s="103"/>
      <c r="W125" s="103"/>
      <c r="X125" s="103"/>
      <c r="Y125" s="103"/>
      <c r="Z125" s="103"/>
      <c r="AA125" s="103"/>
      <c r="AB125" s="103"/>
      <c r="AC125" s="103"/>
      <c r="AD125" s="103"/>
      <c r="AE125" s="103"/>
      <c r="AF125" s="103"/>
      <c r="AG125" s="103"/>
      <c r="AH125" s="103"/>
      <c r="AI125" s="103"/>
      <c r="AJ125" s="103"/>
      <c r="AK125" s="103"/>
      <c r="AL125" s="103"/>
      <c r="AM125" s="103"/>
      <c r="AN125" s="103"/>
      <c r="AO125" s="103"/>
      <c r="AP125" s="103"/>
      <c r="AQ125" s="103"/>
      <c r="AR125" s="103"/>
      <c r="AS125" s="103"/>
      <c r="AT125" s="103"/>
      <c r="AU125" s="103"/>
      <c r="AV125" s="103"/>
      <c r="AW125" s="103"/>
      <c r="AX125" s="103"/>
      <c r="AY125" s="103"/>
      <c r="AZ125" s="103"/>
      <c r="BA125" s="103"/>
      <c r="BB125" s="103"/>
      <c r="BC125" s="103"/>
      <c r="BD125" s="103"/>
      <c r="BE125" s="103"/>
      <c r="BF125" s="103"/>
      <c r="BG125" s="103"/>
      <c r="BH125" s="103"/>
      <c r="BI125" s="102"/>
      <c r="BJ125" s="103">
        <v>0.1</v>
      </c>
      <c r="BK125" s="103"/>
      <c r="BL125" s="103"/>
      <c r="BM125" s="103"/>
      <c r="BN125" s="103"/>
      <c r="BO125" s="103"/>
      <c r="BP125" s="103"/>
      <c r="BQ125" s="103"/>
      <c r="BR125" s="103"/>
      <c r="BS125" s="103"/>
      <c r="BT125" s="103"/>
      <c r="BU125" s="103"/>
      <c r="BV125" s="103"/>
      <c r="BW125" s="103"/>
      <c r="BX125" s="103"/>
      <c r="BY125" s="103"/>
      <c r="BZ125" s="103"/>
      <c r="CA125" s="103"/>
      <c r="CB125" s="103"/>
      <c r="CC125" s="103"/>
      <c r="CD125" s="103"/>
      <c r="CE125" s="103"/>
      <c r="CF125" s="103"/>
      <c r="CG125" s="103"/>
      <c r="CH125" s="103"/>
      <c r="CI125" s="103"/>
      <c r="CJ125" s="103"/>
      <c r="CK125" s="103">
        <v>0.1</v>
      </c>
      <c r="CL125" s="103">
        <v>0.8</v>
      </c>
      <c r="CM125" s="103"/>
      <c r="CN125" s="103"/>
      <c r="CO125" s="103"/>
      <c r="CP125" s="103"/>
      <c r="CQ125" s="103"/>
      <c r="CR125" s="103"/>
      <c r="CS125" s="103"/>
      <c r="CT125" s="103"/>
      <c r="CU125" s="103"/>
      <c r="CV125" s="103"/>
      <c r="CW125" s="103"/>
      <c r="CX125" s="103"/>
      <c r="CY125" s="103"/>
      <c r="CZ125" s="103"/>
      <c r="DA125" s="103"/>
      <c r="DB125" s="103"/>
      <c r="DC125" s="103"/>
      <c r="DD125" s="103"/>
      <c r="DE125" s="103"/>
      <c r="DF125" s="103"/>
      <c r="DG125" s="103"/>
      <c r="DH125" s="103"/>
      <c r="DI125" s="103"/>
      <c r="DJ125" s="103"/>
      <c r="DK125" s="103"/>
      <c r="DL125" s="103"/>
      <c r="DM125" s="103"/>
      <c r="DN125" s="103"/>
      <c r="DO125" s="103"/>
      <c r="DP125" s="103"/>
      <c r="DQ125" s="103"/>
      <c r="DR125" s="103"/>
      <c r="DS125" s="104"/>
      <c r="DT125" s="30">
        <f>SUM(F125:DR125)</f>
        <v>1</v>
      </c>
    </row>
    <row r="126" spans="2:124" x14ac:dyDescent="0.3">
      <c r="B126" s="74">
        <f>'6.1Personnel List'!B127</f>
        <v>114</v>
      </c>
      <c r="C126" s="73" t="s">
        <v>221</v>
      </c>
      <c r="D126" s="73" t="s">
        <v>111</v>
      </c>
      <c r="E126" s="31" t="str">
        <f>'6.1Personnel List'!H127</f>
        <v>FT</v>
      </c>
      <c r="G126" s="103"/>
      <c r="H126" s="103"/>
      <c r="I126" s="103"/>
      <c r="J126" s="103"/>
      <c r="K126" s="103"/>
      <c r="L126" s="103"/>
      <c r="M126" s="103"/>
      <c r="N126" s="103"/>
      <c r="O126" s="103"/>
      <c r="P126" s="103"/>
      <c r="Q126" s="103"/>
      <c r="R126" s="103"/>
      <c r="S126" s="103"/>
      <c r="T126" s="103"/>
      <c r="U126" s="103"/>
      <c r="V126" s="103"/>
      <c r="W126" s="103"/>
      <c r="X126" s="103"/>
      <c r="Y126" s="103"/>
      <c r="Z126" s="103"/>
      <c r="AA126" s="103"/>
      <c r="AB126" s="103"/>
      <c r="AC126" s="103"/>
      <c r="AD126" s="103"/>
      <c r="AE126" s="103"/>
      <c r="AF126" s="103"/>
      <c r="AG126" s="103"/>
      <c r="AH126" s="103"/>
      <c r="AI126" s="103"/>
      <c r="AJ126" s="103"/>
      <c r="AK126" s="103"/>
      <c r="AL126" s="103"/>
      <c r="AM126" s="103"/>
      <c r="AN126" s="103"/>
      <c r="AO126" s="103"/>
      <c r="AP126" s="103"/>
      <c r="AQ126" s="103"/>
      <c r="AR126" s="103"/>
      <c r="AS126" s="103"/>
      <c r="AT126" s="103"/>
      <c r="AU126" s="103"/>
      <c r="AV126" s="103"/>
      <c r="AW126" s="103"/>
      <c r="AX126" s="103"/>
      <c r="AY126" s="103"/>
      <c r="AZ126" s="103"/>
      <c r="BA126" s="103"/>
      <c r="BB126" s="103"/>
      <c r="BC126" s="103"/>
      <c r="BD126" s="103"/>
      <c r="BE126" s="103"/>
      <c r="BF126" s="103"/>
      <c r="BG126" s="103"/>
      <c r="BH126" s="103"/>
      <c r="BI126" s="102"/>
      <c r="BJ126" s="103"/>
      <c r="BK126" s="103"/>
      <c r="BL126" s="103"/>
      <c r="BM126" s="103"/>
      <c r="BN126" s="103"/>
      <c r="BO126" s="103"/>
      <c r="BP126" s="103"/>
      <c r="BQ126" s="103"/>
      <c r="BR126" s="103"/>
      <c r="BS126" s="103"/>
      <c r="BT126" s="103"/>
      <c r="BU126" s="103"/>
      <c r="BV126" s="103"/>
      <c r="BW126" s="103"/>
      <c r="BX126" s="103"/>
      <c r="BY126" s="103"/>
      <c r="BZ126" s="103"/>
      <c r="CA126" s="103"/>
      <c r="CB126" s="103"/>
      <c r="CC126" s="103"/>
      <c r="CD126" s="103">
        <v>0.1</v>
      </c>
      <c r="CE126" s="103"/>
      <c r="CF126" s="103"/>
      <c r="CG126" s="103"/>
      <c r="CH126" s="103"/>
      <c r="CI126" s="103"/>
      <c r="CJ126" s="103"/>
      <c r="CK126" s="103"/>
      <c r="CL126" s="103">
        <v>0.9</v>
      </c>
      <c r="CM126" s="103"/>
      <c r="CN126" s="103"/>
      <c r="CO126" s="103"/>
      <c r="CP126" s="103"/>
      <c r="CQ126" s="103"/>
      <c r="CR126" s="103"/>
      <c r="CS126" s="103"/>
      <c r="CT126" s="103"/>
      <c r="CU126" s="103"/>
      <c r="CV126" s="103"/>
      <c r="CW126" s="103"/>
      <c r="CX126" s="103"/>
      <c r="CY126" s="103"/>
      <c r="CZ126" s="103"/>
      <c r="DA126" s="103"/>
      <c r="DB126" s="103"/>
      <c r="DC126" s="103"/>
      <c r="DD126" s="103"/>
      <c r="DE126" s="103"/>
      <c r="DF126" s="103"/>
      <c r="DG126" s="103"/>
      <c r="DH126" s="103"/>
      <c r="DI126" s="103"/>
      <c r="DJ126" s="103"/>
      <c r="DK126" s="103"/>
      <c r="DL126" s="103"/>
      <c r="DM126" s="103"/>
      <c r="DN126" s="103"/>
      <c r="DO126" s="103"/>
      <c r="DP126" s="103"/>
      <c r="DQ126" s="103"/>
      <c r="DR126" s="103"/>
      <c r="DS126" s="104"/>
      <c r="DT126" s="30">
        <f>SUM(F126:DR126)</f>
        <v>1</v>
      </c>
    </row>
    <row r="127" spans="2:124" x14ac:dyDescent="0.3">
      <c r="B127" s="74">
        <f>'6.1Personnel List'!B128</f>
        <v>115</v>
      </c>
      <c r="C127" s="73" t="s">
        <v>222</v>
      </c>
      <c r="D127" s="73" t="s">
        <v>262</v>
      </c>
      <c r="E127" s="31" t="str">
        <f>'6.1Personnel List'!H128</f>
        <v>FT</v>
      </c>
      <c r="G127" s="103"/>
      <c r="H127" s="103"/>
      <c r="I127" s="103"/>
      <c r="J127" s="103"/>
      <c r="K127" s="103"/>
      <c r="L127" s="103"/>
      <c r="M127" s="103"/>
      <c r="N127" s="103"/>
      <c r="O127" s="103"/>
      <c r="P127" s="103"/>
      <c r="Q127" s="103"/>
      <c r="R127" s="103"/>
      <c r="S127" s="103"/>
      <c r="T127" s="103"/>
      <c r="U127" s="103"/>
      <c r="V127" s="103"/>
      <c r="W127" s="103"/>
      <c r="X127" s="103"/>
      <c r="Y127" s="103"/>
      <c r="Z127" s="103"/>
      <c r="AA127" s="103"/>
      <c r="AB127" s="103"/>
      <c r="AC127" s="103"/>
      <c r="AD127" s="103"/>
      <c r="AE127" s="103"/>
      <c r="AF127" s="103"/>
      <c r="AG127" s="103"/>
      <c r="AH127" s="103"/>
      <c r="AI127" s="103"/>
      <c r="AJ127" s="103"/>
      <c r="AK127" s="103"/>
      <c r="AL127" s="103"/>
      <c r="AM127" s="103"/>
      <c r="AN127" s="103"/>
      <c r="AO127" s="103"/>
      <c r="AP127" s="103"/>
      <c r="AQ127" s="103"/>
      <c r="AR127" s="103"/>
      <c r="AS127" s="103"/>
      <c r="AT127" s="103"/>
      <c r="AU127" s="103"/>
      <c r="AV127" s="103"/>
      <c r="AW127" s="103"/>
      <c r="AX127" s="103"/>
      <c r="AY127" s="103"/>
      <c r="AZ127" s="103"/>
      <c r="BA127" s="103"/>
      <c r="BB127" s="103"/>
      <c r="BC127" s="103"/>
      <c r="BD127" s="103"/>
      <c r="BE127" s="103"/>
      <c r="BF127" s="103"/>
      <c r="BG127" s="103"/>
      <c r="BH127" s="103"/>
      <c r="BI127" s="102"/>
      <c r="BJ127" s="103"/>
      <c r="BK127" s="103"/>
      <c r="BL127" s="103"/>
      <c r="BM127" s="103"/>
      <c r="BN127" s="103"/>
      <c r="BO127" s="103"/>
      <c r="BP127" s="103"/>
      <c r="BQ127" s="103"/>
      <c r="BR127" s="103"/>
      <c r="BS127" s="103"/>
      <c r="BT127" s="103"/>
      <c r="BU127" s="103"/>
      <c r="BV127" s="103"/>
      <c r="BW127" s="103"/>
      <c r="BX127" s="103"/>
      <c r="BY127" s="103"/>
      <c r="BZ127" s="103"/>
      <c r="CA127" s="103"/>
      <c r="CB127" s="103"/>
      <c r="CC127" s="103">
        <v>1</v>
      </c>
      <c r="CD127" s="103"/>
      <c r="CE127" s="103"/>
      <c r="CF127" s="103"/>
      <c r="CG127" s="103"/>
      <c r="CH127" s="103"/>
      <c r="CI127" s="103"/>
      <c r="CJ127" s="103"/>
      <c r="CK127" s="103"/>
      <c r="CL127" s="103"/>
      <c r="CM127" s="103"/>
      <c r="CN127" s="103"/>
      <c r="CO127" s="103"/>
      <c r="CP127" s="103"/>
      <c r="CQ127" s="103"/>
      <c r="CR127" s="103"/>
      <c r="CS127" s="103"/>
      <c r="CT127" s="103"/>
      <c r="CU127" s="103"/>
      <c r="CV127" s="103"/>
      <c r="CW127" s="103"/>
      <c r="CX127" s="103"/>
      <c r="CY127" s="103"/>
      <c r="CZ127" s="103"/>
      <c r="DA127" s="103"/>
      <c r="DB127" s="103"/>
      <c r="DC127" s="103"/>
      <c r="DD127" s="103"/>
      <c r="DE127" s="103"/>
      <c r="DF127" s="103"/>
      <c r="DG127" s="103"/>
      <c r="DH127" s="103"/>
      <c r="DI127" s="103"/>
      <c r="DJ127" s="103"/>
      <c r="DK127" s="103"/>
      <c r="DL127" s="103"/>
      <c r="DM127" s="103"/>
      <c r="DN127" s="103"/>
      <c r="DO127" s="103"/>
      <c r="DP127" s="103"/>
      <c r="DQ127" s="103"/>
      <c r="DR127" s="103"/>
      <c r="DS127" s="104"/>
      <c r="DT127" s="30">
        <f>SUM(F127:DR127)</f>
        <v>1</v>
      </c>
    </row>
    <row r="128" spans="2:124" x14ac:dyDescent="0.3">
      <c r="B128" s="74">
        <f>'6.1Personnel List'!B129</f>
        <v>116</v>
      </c>
      <c r="C128" s="73" t="s">
        <v>223</v>
      </c>
      <c r="D128" s="73" t="s">
        <v>244</v>
      </c>
      <c r="E128" s="31" t="str">
        <f>'6.1Personnel List'!H129</f>
        <v>FT</v>
      </c>
      <c r="G128" s="103"/>
      <c r="H128" s="103"/>
      <c r="I128" s="103"/>
      <c r="J128" s="103"/>
      <c r="K128" s="103"/>
      <c r="L128" s="103"/>
      <c r="M128" s="103"/>
      <c r="N128" s="103"/>
      <c r="O128" s="103"/>
      <c r="P128" s="103"/>
      <c r="Q128" s="103"/>
      <c r="R128" s="103"/>
      <c r="S128" s="103"/>
      <c r="T128" s="103"/>
      <c r="U128" s="103"/>
      <c r="V128" s="103"/>
      <c r="W128" s="103"/>
      <c r="X128" s="103"/>
      <c r="Y128" s="103"/>
      <c r="Z128" s="103"/>
      <c r="AA128" s="103"/>
      <c r="AB128" s="103"/>
      <c r="AC128" s="103"/>
      <c r="AD128" s="103"/>
      <c r="AE128" s="103"/>
      <c r="AF128" s="103"/>
      <c r="AG128" s="103"/>
      <c r="AH128" s="103"/>
      <c r="AI128" s="103"/>
      <c r="AJ128" s="103"/>
      <c r="AK128" s="103"/>
      <c r="AL128" s="103"/>
      <c r="AM128" s="103"/>
      <c r="AN128" s="103"/>
      <c r="AO128" s="103"/>
      <c r="AP128" s="103"/>
      <c r="AQ128" s="103"/>
      <c r="AR128" s="103"/>
      <c r="AS128" s="103"/>
      <c r="AT128" s="103"/>
      <c r="AU128" s="103"/>
      <c r="AV128" s="103"/>
      <c r="AW128" s="103"/>
      <c r="AX128" s="103"/>
      <c r="AY128" s="103"/>
      <c r="AZ128" s="103"/>
      <c r="BA128" s="103"/>
      <c r="BB128" s="103"/>
      <c r="BC128" s="103"/>
      <c r="BD128" s="103"/>
      <c r="BE128" s="103"/>
      <c r="BF128" s="103"/>
      <c r="BG128" s="103"/>
      <c r="BH128" s="103"/>
      <c r="BI128" s="102"/>
      <c r="BJ128" s="103"/>
      <c r="BK128" s="103"/>
      <c r="BL128" s="103"/>
      <c r="BM128" s="103"/>
      <c r="BN128" s="103"/>
      <c r="BO128" s="103"/>
      <c r="BP128" s="103"/>
      <c r="BQ128" s="103"/>
      <c r="BR128" s="103"/>
      <c r="BS128" s="103"/>
      <c r="BT128" s="103"/>
      <c r="BU128" s="103"/>
      <c r="BV128" s="103">
        <v>1</v>
      </c>
      <c r="BW128" s="103"/>
      <c r="BX128" s="103"/>
      <c r="BY128" s="103"/>
      <c r="BZ128" s="103"/>
      <c r="CA128" s="103"/>
      <c r="CB128" s="103"/>
      <c r="CC128" s="103"/>
      <c r="CD128" s="103"/>
      <c r="CE128" s="103"/>
      <c r="CF128" s="103"/>
      <c r="CG128" s="103"/>
      <c r="CH128" s="103"/>
      <c r="CI128" s="103"/>
      <c r="CJ128" s="103"/>
      <c r="CK128" s="103"/>
      <c r="CL128" s="103"/>
      <c r="CM128" s="103"/>
      <c r="CN128" s="103"/>
      <c r="CO128" s="103"/>
      <c r="CP128" s="103"/>
      <c r="CQ128" s="103"/>
      <c r="CR128" s="103"/>
      <c r="CS128" s="103"/>
      <c r="CT128" s="103"/>
      <c r="CU128" s="103"/>
      <c r="CV128" s="103"/>
      <c r="CW128" s="103"/>
      <c r="CX128" s="103"/>
      <c r="CY128" s="103"/>
      <c r="CZ128" s="103"/>
      <c r="DA128" s="103"/>
      <c r="DB128" s="103"/>
      <c r="DC128" s="103"/>
      <c r="DD128" s="103"/>
      <c r="DE128" s="103"/>
      <c r="DF128" s="103"/>
      <c r="DG128" s="103"/>
      <c r="DH128" s="103"/>
      <c r="DI128" s="103"/>
      <c r="DJ128" s="103"/>
      <c r="DK128" s="103"/>
      <c r="DL128" s="103"/>
      <c r="DM128" s="103"/>
      <c r="DN128" s="103"/>
      <c r="DO128" s="103"/>
      <c r="DP128" s="103"/>
      <c r="DQ128" s="103"/>
      <c r="DR128" s="103"/>
      <c r="DS128" s="104"/>
      <c r="DT128" s="30">
        <f>SUM(F128:DR128)</f>
        <v>1</v>
      </c>
    </row>
    <row r="129" spans="2:124" x14ac:dyDescent="0.3">
      <c r="B129" s="74">
        <f>'6.1Personnel List'!B130</f>
        <v>117</v>
      </c>
      <c r="C129" s="73" t="s">
        <v>224</v>
      </c>
      <c r="D129" s="73" t="s">
        <v>263</v>
      </c>
      <c r="E129" s="31" t="str">
        <f>'6.1Personnel List'!H130</f>
        <v>FT</v>
      </c>
      <c r="G129" s="103"/>
      <c r="H129" s="103"/>
      <c r="I129" s="103"/>
      <c r="J129" s="103"/>
      <c r="K129" s="103"/>
      <c r="L129" s="103"/>
      <c r="M129" s="103"/>
      <c r="N129" s="103"/>
      <c r="O129" s="103"/>
      <c r="P129" s="103"/>
      <c r="Q129" s="103"/>
      <c r="R129" s="103"/>
      <c r="S129" s="103"/>
      <c r="T129" s="103"/>
      <c r="U129" s="103"/>
      <c r="V129" s="103"/>
      <c r="W129" s="103"/>
      <c r="X129" s="103"/>
      <c r="Y129" s="103"/>
      <c r="Z129" s="103"/>
      <c r="AA129" s="103"/>
      <c r="AB129" s="103"/>
      <c r="AC129" s="103"/>
      <c r="AD129" s="103"/>
      <c r="AE129" s="103"/>
      <c r="AF129" s="103"/>
      <c r="AG129" s="103"/>
      <c r="AH129" s="103"/>
      <c r="AI129" s="103"/>
      <c r="AJ129" s="103"/>
      <c r="AK129" s="103"/>
      <c r="AL129" s="103"/>
      <c r="AM129" s="103"/>
      <c r="AN129" s="103"/>
      <c r="AO129" s="103"/>
      <c r="AP129" s="103"/>
      <c r="AQ129" s="103"/>
      <c r="AR129" s="103"/>
      <c r="AS129" s="103"/>
      <c r="AT129" s="103"/>
      <c r="AU129" s="103"/>
      <c r="AV129" s="103"/>
      <c r="AW129" s="103"/>
      <c r="AX129" s="103"/>
      <c r="AY129" s="103"/>
      <c r="AZ129" s="103"/>
      <c r="BA129" s="103"/>
      <c r="BB129" s="103"/>
      <c r="BC129" s="103"/>
      <c r="BD129" s="103"/>
      <c r="BE129" s="103"/>
      <c r="BF129" s="103"/>
      <c r="BG129" s="103"/>
      <c r="BH129" s="103"/>
      <c r="BI129" s="102"/>
      <c r="BJ129" s="103"/>
      <c r="BK129" s="103"/>
      <c r="BL129" s="103"/>
      <c r="BM129" s="103"/>
      <c r="BN129" s="103"/>
      <c r="BO129" s="103"/>
      <c r="BP129" s="103"/>
      <c r="BQ129" s="103"/>
      <c r="BR129" s="103"/>
      <c r="BS129" s="103"/>
      <c r="BT129" s="103"/>
      <c r="BU129" s="103"/>
      <c r="BV129" s="103"/>
      <c r="BW129" s="103"/>
      <c r="BX129" s="103"/>
      <c r="BY129" s="103"/>
      <c r="BZ129" s="103"/>
      <c r="CA129" s="103"/>
      <c r="CB129" s="103"/>
      <c r="CC129" s="103"/>
      <c r="CD129" s="103"/>
      <c r="CE129" s="103"/>
      <c r="CF129" s="103"/>
      <c r="CG129" s="103"/>
      <c r="CH129" s="103">
        <v>1</v>
      </c>
      <c r="CI129" s="103"/>
      <c r="CJ129" s="103"/>
      <c r="CK129" s="103"/>
      <c r="CL129" s="103"/>
      <c r="CM129" s="103"/>
      <c r="CN129" s="103"/>
      <c r="CO129" s="103"/>
      <c r="CP129" s="103"/>
      <c r="CQ129" s="103"/>
      <c r="CR129" s="103"/>
      <c r="CS129" s="103"/>
      <c r="CT129" s="103"/>
      <c r="CU129" s="103"/>
      <c r="CV129" s="103"/>
      <c r="CW129" s="103"/>
      <c r="CX129" s="103"/>
      <c r="CY129" s="103"/>
      <c r="CZ129" s="103"/>
      <c r="DA129" s="103"/>
      <c r="DB129" s="103"/>
      <c r="DC129" s="103"/>
      <c r="DD129" s="103"/>
      <c r="DE129" s="103"/>
      <c r="DF129" s="103"/>
      <c r="DG129" s="103"/>
      <c r="DH129" s="103"/>
      <c r="DI129" s="103"/>
      <c r="DJ129" s="103"/>
      <c r="DK129" s="103"/>
      <c r="DL129" s="103"/>
      <c r="DM129" s="103"/>
      <c r="DN129" s="103"/>
      <c r="DO129" s="103"/>
      <c r="DP129" s="103"/>
      <c r="DQ129" s="103"/>
      <c r="DR129" s="103"/>
      <c r="DS129" s="104"/>
      <c r="DT129" s="30">
        <f>SUM(F129:DR129)</f>
        <v>1</v>
      </c>
    </row>
    <row r="130" spans="2:124" x14ac:dyDescent="0.3">
      <c r="B130" s="74">
        <f>'6.1Personnel List'!B131</f>
        <v>118</v>
      </c>
      <c r="C130" s="73" t="s">
        <v>225</v>
      </c>
      <c r="D130" s="73" t="s">
        <v>237</v>
      </c>
      <c r="E130" s="31" t="str">
        <f>'6.1Personnel List'!H131</f>
        <v>FT</v>
      </c>
      <c r="G130" s="103"/>
      <c r="H130" s="103"/>
      <c r="I130" s="103"/>
      <c r="J130" s="103"/>
      <c r="K130" s="103"/>
      <c r="L130" s="103"/>
      <c r="M130" s="103"/>
      <c r="N130" s="103"/>
      <c r="O130" s="103"/>
      <c r="P130" s="103"/>
      <c r="Q130" s="103"/>
      <c r="R130" s="103"/>
      <c r="S130" s="103"/>
      <c r="T130" s="103"/>
      <c r="U130" s="103"/>
      <c r="V130" s="103"/>
      <c r="W130" s="103"/>
      <c r="X130" s="103"/>
      <c r="Y130" s="103"/>
      <c r="Z130" s="103"/>
      <c r="AA130" s="103"/>
      <c r="AB130" s="103"/>
      <c r="AC130" s="103"/>
      <c r="AD130" s="103"/>
      <c r="AE130" s="103"/>
      <c r="AF130" s="103"/>
      <c r="AG130" s="103"/>
      <c r="AH130" s="103"/>
      <c r="AI130" s="103"/>
      <c r="AJ130" s="103"/>
      <c r="AK130" s="103"/>
      <c r="AL130" s="103"/>
      <c r="AM130" s="103"/>
      <c r="AN130" s="103"/>
      <c r="AO130" s="103"/>
      <c r="AP130" s="103"/>
      <c r="AQ130" s="103"/>
      <c r="AR130" s="103"/>
      <c r="AS130" s="103"/>
      <c r="AT130" s="103"/>
      <c r="AU130" s="103"/>
      <c r="AV130" s="103"/>
      <c r="AW130" s="103"/>
      <c r="AX130" s="103"/>
      <c r="AY130" s="103"/>
      <c r="AZ130" s="103">
        <v>1</v>
      </c>
      <c r="BA130" s="103"/>
      <c r="BB130" s="103"/>
      <c r="BC130" s="103"/>
      <c r="BD130" s="103"/>
      <c r="BE130" s="103"/>
      <c r="BF130" s="103"/>
      <c r="BG130" s="103"/>
      <c r="BH130" s="103"/>
      <c r="BI130" s="102"/>
      <c r="BJ130" s="103"/>
      <c r="BK130" s="103"/>
      <c r="BL130" s="103"/>
      <c r="BM130" s="103"/>
      <c r="BN130" s="103"/>
      <c r="BO130" s="103"/>
      <c r="BP130" s="103"/>
      <c r="BQ130" s="103"/>
      <c r="BR130" s="103"/>
      <c r="BS130" s="103"/>
      <c r="BT130" s="103"/>
      <c r="BU130" s="103"/>
      <c r="BV130" s="103"/>
      <c r="BW130" s="103"/>
      <c r="BX130" s="103"/>
      <c r="BY130" s="103"/>
      <c r="BZ130" s="103"/>
      <c r="CA130" s="103"/>
      <c r="CB130" s="103"/>
      <c r="CC130" s="103"/>
      <c r="CD130" s="103"/>
      <c r="CE130" s="103"/>
      <c r="CF130" s="103"/>
      <c r="CG130" s="103"/>
      <c r="CH130" s="103"/>
      <c r="CI130" s="103"/>
      <c r="CJ130" s="103"/>
      <c r="CK130" s="103"/>
      <c r="CL130" s="103"/>
      <c r="CM130" s="103"/>
      <c r="CN130" s="103"/>
      <c r="CO130" s="103"/>
      <c r="CP130" s="103"/>
      <c r="CQ130" s="103"/>
      <c r="CR130" s="103"/>
      <c r="CS130" s="103"/>
      <c r="CT130" s="103"/>
      <c r="CU130" s="103"/>
      <c r="CV130" s="103"/>
      <c r="CW130" s="103"/>
      <c r="CX130" s="103"/>
      <c r="CY130" s="103"/>
      <c r="CZ130" s="103"/>
      <c r="DA130" s="103"/>
      <c r="DB130" s="103"/>
      <c r="DC130" s="103"/>
      <c r="DD130" s="103"/>
      <c r="DE130" s="103"/>
      <c r="DF130" s="103"/>
      <c r="DG130" s="103"/>
      <c r="DH130" s="103"/>
      <c r="DI130" s="103"/>
      <c r="DJ130" s="103"/>
      <c r="DK130" s="103"/>
      <c r="DL130" s="103"/>
      <c r="DM130" s="103"/>
      <c r="DN130" s="103"/>
      <c r="DO130" s="103"/>
      <c r="DP130" s="103"/>
      <c r="DQ130" s="103"/>
      <c r="DR130" s="103"/>
      <c r="DS130" s="104"/>
      <c r="DT130" s="30">
        <f>SUM(F130:DR130)</f>
        <v>1</v>
      </c>
    </row>
    <row r="131" spans="2:124" x14ac:dyDescent="0.3">
      <c r="B131" s="74">
        <f>'6.1Personnel List'!B132</f>
        <v>119</v>
      </c>
      <c r="C131" s="73" t="s">
        <v>226</v>
      </c>
      <c r="D131" s="73" t="s">
        <v>112</v>
      </c>
      <c r="E131" s="31" t="str">
        <f>'6.1Personnel List'!H132</f>
        <v>FT</v>
      </c>
      <c r="G131" s="103"/>
      <c r="H131" s="103"/>
      <c r="I131" s="103"/>
      <c r="J131" s="103"/>
      <c r="K131" s="103"/>
      <c r="L131" s="103"/>
      <c r="M131" s="103"/>
      <c r="N131" s="103"/>
      <c r="O131" s="103"/>
      <c r="P131" s="103"/>
      <c r="Q131" s="103"/>
      <c r="R131" s="103"/>
      <c r="S131" s="103"/>
      <c r="T131" s="103">
        <v>1</v>
      </c>
      <c r="U131" s="103"/>
      <c r="V131" s="103"/>
      <c r="W131" s="103"/>
      <c r="X131" s="103"/>
      <c r="Y131" s="103"/>
      <c r="Z131" s="103"/>
      <c r="AA131" s="103"/>
      <c r="AB131" s="103"/>
      <c r="AC131" s="103"/>
      <c r="AD131" s="103"/>
      <c r="AE131" s="103"/>
      <c r="AF131" s="103"/>
      <c r="AG131" s="103"/>
      <c r="AH131" s="103"/>
      <c r="AI131" s="103"/>
      <c r="AJ131" s="103"/>
      <c r="AK131" s="103"/>
      <c r="AL131" s="103"/>
      <c r="AM131" s="103"/>
      <c r="AN131" s="103"/>
      <c r="AO131" s="103"/>
      <c r="AP131" s="103"/>
      <c r="AQ131" s="103"/>
      <c r="AR131" s="103"/>
      <c r="AS131" s="103"/>
      <c r="AT131" s="103"/>
      <c r="AU131" s="103"/>
      <c r="AV131" s="103"/>
      <c r="AW131" s="103"/>
      <c r="AX131" s="103"/>
      <c r="AY131" s="103"/>
      <c r="AZ131" s="103"/>
      <c r="BA131" s="103"/>
      <c r="BB131" s="103"/>
      <c r="BC131" s="103"/>
      <c r="BD131" s="103"/>
      <c r="BE131" s="103"/>
      <c r="BF131" s="103"/>
      <c r="BG131" s="103"/>
      <c r="BH131" s="103"/>
      <c r="BI131" s="102"/>
      <c r="BJ131" s="103"/>
      <c r="BK131" s="103"/>
      <c r="BL131" s="103"/>
      <c r="BM131" s="103"/>
      <c r="BN131" s="103"/>
      <c r="BO131" s="103"/>
      <c r="BP131" s="103"/>
      <c r="BQ131" s="103"/>
      <c r="BR131" s="103"/>
      <c r="BS131" s="103"/>
      <c r="BT131" s="103"/>
      <c r="BU131" s="103"/>
      <c r="BV131" s="103"/>
      <c r="BW131" s="103"/>
      <c r="BX131" s="103"/>
      <c r="BY131" s="103"/>
      <c r="BZ131" s="103"/>
      <c r="CA131" s="103"/>
      <c r="CB131" s="103"/>
      <c r="CC131" s="103"/>
      <c r="CD131" s="103"/>
      <c r="CE131" s="103"/>
      <c r="CF131" s="103"/>
      <c r="CG131" s="103"/>
      <c r="CH131" s="103"/>
      <c r="CI131" s="103"/>
      <c r="CJ131" s="103"/>
      <c r="CK131" s="103"/>
      <c r="CL131" s="103"/>
      <c r="CM131" s="103"/>
      <c r="CN131" s="103"/>
      <c r="CO131" s="103"/>
      <c r="CP131" s="103"/>
      <c r="CQ131" s="103"/>
      <c r="CR131" s="103"/>
      <c r="CS131" s="103"/>
      <c r="CT131" s="103"/>
      <c r="CU131" s="103"/>
      <c r="CV131" s="103"/>
      <c r="CW131" s="103"/>
      <c r="CX131" s="103"/>
      <c r="CY131" s="103"/>
      <c r="CZ131" s="103"/>
      <c r="DA131" s="103"/>
      <c r="DB131" s="103"/>
      <c r="DC131" s="103"/>
      <c r="DD131" s="103"/>
      <c r="DE131" s="103"/>
      <c r="DF131" s="103"/>
      <c r="DG131" s="103"/>
      <c r="DH131" s="103"/>
      <c r="DI131" s="103"/>
      <c r="DJ131" s="103"/>
      <c r="DK131" s="103"/>
      <c r="DL131" s="103"/>
      <c r="DM131" s="103"/>
      <c r="DN131" s="103"/>
      <c r="DO131" s="103"/>
      <c r="DP131" s="103"/>
      <c r="DQ131" s="103"/>
      <c r="DR131" s="103"/>
      <c r="DS131" s="104"/>
      <c r="DT131" s="30">
        <f>SUM(F131:DR131)</f>
        <v>1</v>
      </c>
    </row>
    <row r="132" spans="2:124" x14ac:dyDescent="0.3">
      <c r="B132" s="74">
        <f>'6.1Personnel List'!B133</f>
        <v>120</v>
      </c>
      <c r="C132" s="73" t="s">
        <v>227</v>
      </c>
      <c r="D132" s="73" t="s">
        <v>237</v>
      </c>
      <c r="E132" s="31" t="str">
        <f>'6.1Personnel List'!H133</f>
        <v>FT</v>
      </c>
      <c r="G132" s="103"/>
      <c r="H132" s="103"/>
      <c r="I132" s="103"/>
      <c r="J132" s="103"/>
      <c r="K132" s="103"/>
      <c r="L132" s="103"/>
      <c r="M132" s="103"/>
      <c r="N132" s="103"/>
      <c r="O132" s="103"/>
      <c r="P132" s="103"/>
      <c r="Q132" s="103"/>
      <c r="R132" s="103"/>
      <c r="S132" s="103"/>
      <c r="T132" s="103"/>
      <c r="U132" s="103"/>
      <c r="V132" s="103"/>
      <c r="W132" s="103"/>
      <c r="X132" s="103"/>
      <c r="Y132" s="103"/>
      <c r="Z132" s="103"/>
      <c r="AA132" s="103"/>
      <c r="AB132" s="103"/>
      <c r="AC132" s="103"/>
      <c r="AD132" s="103"/>
      <c r="AE132" s="103"/>
      <c r="AF132" s="103"/>
      <c r="AG132" s="103"/>
      <c r="AH132" s="103"/>
      <c r="AI132" s="103"/>
      <c r="AJ132" s="103"/>
      <c r="AK132" s="103"/>
      <c r="AL132" s="103"/>
      <c r="AM132" s="103"/>
      <c r="AN132" s="103"/>
      <c r="AO132" s="103"/>
      <c r="AP132" s="103"/>
      <c r="AQ132" s="103"/>
      <c r="AR132" s="103"/>
      <c r="AS132" s="103"/>
      <c r="AT132" s="103"/>
      <c r="AU132" s="103"/>
      <c r="AV132" s="103"/>
      <c r="AW132" s="103"/>
      <c r="AX132" s="103"/>
      <c r="AY132" s="103"/>
      <c r="AZ132" s="103">
        <v>1</v>
      </c>
      <c r="BA132" s="103"/>
      <c r="BB132" s="103"/>
      <c r="BC132" s="103"/>
      <c r="BD132" s="103"/>
      <c r="BE132" s="103"/>
      <c r="BF132" s="103"/>
      <c r="BG132" s="103"/>
      <c r="BH132" s="103"/>
      <c r="BI132" s="102"/>
      <c r="BJ132" s="103"/>
      <c r="BK132" s="103"/>
      <c r="BL132" s="103"/>
      <c r="BM132" s="103"/>
      <c r="BN132" s="103"/>
      <c r="BO132" s="103"/>
      <c r="BP132" s="103"/>
      <c r="BQ132" s="103"/>
      <c r="BR132" s="103"/>
      <c r="BS132" s="103"/>
      <c r="BT132" s="103"/>
      <c r="BU132" s="103"/>
      <c r="BV132" s="103"/>
      <c r="BW132" s="103"/>
      <c r="BX132" s="103"/>
      <c r="BY132" s="103"/>
      <c r="BZ132" s="103"/>
      <c r="CA132" s="103"/>
      <c r="CB132" s="103"/>
      <c r="CC132" s="103"/>
      <c r="CD132" s="103"/>
      <c r="CE132" s="103"/>
      <c r="CF132" s="103"/>
      <c r="CG132" s="103"/>
      <c r="CH132" s="103"/>
      <c r="CI132" s="103"/>
      <c r="CJ132" s="103"/>
      <c r="CK132" s="103"/>
      <c r="CL132" s="103"/>
      <c r="CM132" s="103"/>
      <c r="CN132" s="103"/>
      <c r="CO132" s="103"/>
      <c r="CP132" s="103"/>
      <c r="CQ132" s="103"/>
      <c r="CR132" s="103"/>
      <c r="CS132" s="103"/>
      <c r="CT132" s="103"/>
      <c r="CU132" s="103"/>
      <c r="CV132" s="103"/>
      <c r="CW132" s="103"/>
      <c r="CX132" s="103"/>
      <c r="CY132" s="103"/>
      <c r="CZ132" s="103"/>
      <c r="DA132" s="103"/>
      <c r="DB132" s="103"/>
      <c r="DC132" s="103"/>
      <c r="DD132" s="103"/>
      <c r="DE132" s="103"/>
      <c r="DF132" s="103"/>
      <c r="DG132" s="103"/>
      <c r="DH132" s="103"/>
      <c r="DI132" s="103"/>
      <c r="DJ132" s="103"/>
      <c r="DK132" s="103"/>
      <c r="DL132" s="103"/>
      <c r="DM132" s="103"/>
      <c r="DN132" s="103"/>
      <c r="DO132" s="103"/>
      <c r="DP132" s="103"/>
      <c r="DQ132" s="103"/>
      <c r="DR132" s="103"/>
      <c r="DS132" s="104"/>
      <c r="DT132" s="30">
        <f>SUM(F132:DR132)</f>
        <v>1</v>
      </c>
    </row>
    <row r="133" spans="2:124" x14ac:dyDescent="0.3">
      <c r="B133" s="74">
        <f>'6.1Personnel List'!B134</f>
        <v>121</v>
      </c>
      <c r="C133" s="73" t="s">
        <v>228</v>
      </c>
      <c r="D133" s="73" t="s">
        <v>264</v>
      </c>
      <c r="E133" s="31" t="str">
        <f>'6.1Personnel List'!H134</f>
        <v>FT</v>
      </c>
      <c r="G133" s="103"/>
      <c r="H133" s="103"/>
      <c r="I133" s="103"/>
      <c r="J133" s="103"/>
      <c r="K133" s="103"/>
      <c r="L133" s="103"/>
      <c r="M133" s="103"/>
      <c r="N133" s="103"/>
      <c r="O133" s="103"/>
      <c r="P133" s="103"/>
      <c r="Q133" s="103"/>
      <c r="R133" s="103"/>
      <c r="S133" s="103"/>
      <c r="T133" s="103"/>
      <c r="U133" s="103"/>
      <c r="V133" s="103"/>
      <c r="W133" s="103"/>
      <c r="X133" s="103"/>
      <c r="Y133" s="103"/>
      <c r="Z133" s="103">
        <v>1</v>
      </c>
      <c r="AA133" s="103"/>
      <c r="AB133" s="103"/>
      <c r="AC133" s="103"/>
      <c r="AD133" s="103"/>
      <c r="AE133" s="103"/>
      <c r="AF133" s="103"/>
      <c r="AG133" s="103"/>
      <c r="AH133" s="103"/>
      <c r="AI133" s="103"/>
      <c r="AJ133" s="103"/>
      <c r="AK133" s="103"/>
      <c r="AL133" s="103"/>
      <c r="AM133" s="103"/>
      <c r="AN133" s="103"/>
      <c r="AO133" s="103"/>
      <c r="AP133" s="103"/>
      <c r="AQ133" s="103"/>
      <c r="AR133" s="103"/>
      <c r="AS133" s="103"/>
      <c r="AT133" s="103"/>
      <c r="AU133" s="103"/>
      <c r="AV133" s="103"/>
      <c r="AW133" s="103"/>
      <c r="AX133" s="103"/>
      <c r="AY133" s="103"/>
      <c r="AZ133" s="103"/>
      <c r="BA133" s="103"/>
      <c r="BB133" s="103"/>
      <c r="BC133" s="103"/>
      <c r="BD133" s="103"/>
      <c r="BE133" s="103"/>
      <c r="BF133" s="103"/>
      <c r="BG133" s="103"/>
      <c r="BH133" s="103"/>
      <c r="BI133" s="102"/>
      <c r="BJ133" s="103"/>
      <c r="BK133" s="103"/>
      <c r="BL133" s="103"/>
      <c r="BM133" s="103"/>
      <c r="BN133" s="103"/>
      <c r="BO133" s="103"/>
      <c r="BP133" s="103"/>
      <c r="BQ133" s="103"/>
      <c r="BR133" s="103"/>
      <c r="BS133" s="103"/>
      <c r="BT133" s="103"/>
      <c r="BU133" s="103"/>
      <c r="BV133" s="103"/>
      <c r="BW133" s="103"/>
      <c r="BX133" s="103"/>
      <c r="BY133" s="103"/>
      <c r="BZ133" s="103"/>
      <c r="CA133" s="103"/>
      <c r="CB133" s="103"/>
      <c r="CC133" s="103"/>
      <c r="CD133" s="103"/>
      <c r="CE133" s="103"/>
      <c r="CF133" s="103"/>
      <c r="CG133" s="103"/>
      <c r="CH133" s="103"/>
      <c r="CI133" s="103"/>
      <c r="CJ133" s="103"/>
      <c r="CK133" s="103"/>
      <c r="CL133" s="103"/>
      <c r="CM133" s="103"/>
      <c r="CN133" s="103"/>
      <c r="CO133" s="103"/>
      <c r="CP133" s="103"/>
      <c r="CQ133" s="103"/>
      <c r="CR133" s="103"/>
      <c r="CS133" s="103"/>
      <c r="CT133" s="103"/>
      <c r="CU133" s="103"/>
      <c r="CV133" s="103"/>
      <c r="CW133" s="103"/>
      <c r="CX133" s="103"/>
      <c r="CY133" s="103"/>
      <c r="CZ133" s="103"/>
      <c r="DA133" s="103"/>
      <c r="DB133" s="103"/>
      <c r="DC133" s="103"/>
      <c r="DD133" s="103"/>
      <c r="DE133" s="103"/>
      <c r="DF133" s="103"/>
      <c r="DG133" s="103"/>
      <c r="DH133" s="103"/>
      <c r="DI133" s="103"/>
      <c r="DJ133" s="103"/>
      <c r="DK133" s="103"/>
      <c r="DL133" s="103"/>
      <c r="DM133" s="103"/>
      <c r="DN133" s="103"/>
      <c r="DO133" s="103"/>
      <c r="DP133" s="103"/>
      <c r="DQ133" s="103"/>
      <c r="DR133" s="103"/>
      <c r="DS133" s="104"/>
      <c r="DT133" s="30">
        <f>SUM(F133:DR133)</f>
        <v>1</v>
      </c>
    </row>
    <row r="134" spans="2:124" x14ac:dyDescent="0.3">
      <c r="B134" s="74">
        <f>'6.1Personnel List'!B135</f>
        <v>122</v>
      </c>
      <c r="C134" s="73" t="s">
        <v>229</v>
      </c>
      <c r="D134" s="73" t="s">
        <v>247</v>
      </c>
      <c r="E134" s="31" t="str">
        <f>'6.1Personnel List'!H135</f>
        <v>FT</v>
      </c>
      <c r="G134" s="103"/>
      <c r="H134" s="103"/>
      <c r="I134" s="103"/>
      <c r="J134" s="103"/>
      <c r="K134" s="103">
        <v>0.2</v>
      </c>
      <c r="L134" s="103">
        <v>0.8</v>
      </c>
      <c r="M134" s="103"/>
      <c r="N134" s="103"/>
      <c r="O134" s="103"/>
      <c r="P134" s="103"/>
      <c r="Q134" s="103"/>
      <c r="R134" s="103"/>
      <c r="S134" s="103"/>
      <c r="T134" s="103"/>
      <c r="U134" s="103"/>
      <c r="V134" s="103"/>
      <c r="W134" s="103"/>
      <c r="X134" s="103"/>
      <c r="Y134" s="103"/>
      <c r="Z134" s="103"/>
      <c r="AA134" s="103"/>
      <c r="AB134" s="103"/>
      <c r="AC134" s="103"/>
      <c r="AD134" s="103"/>
      <c r="AE134" s="103"/>
      <c r="AF134" s="103"/>
      <c r="AG134" s="103"/>
      <c r="AH134" s="103"/>
      <c r="AI134" s="103"/>
      <c r="AJ134" s="103"/>
      <c r="AK134" s="103"/>
      <c r="AL134" s="103"/>
      <c r="AM134" s="103"/>
      <c r="AN134" s="103"/>
      <c r="AO134" s="103"/>
      <c r="AP134" s="103"/>
      <c r="AQ134" s="103"/>
      <c r="AR134" s="103"/>
      <c r="AS134" s="103"/>
      <c r="AT134" s="103"/>
      <c r="AU134" s="103"/>
      <c r="AV134" s="103"/>
      <c r="AW134" s="103"/>
      <c r="AX134" s="103"/>
      <c r="AY134" s="103"/>
      <c r="AZ134" s="103"/>
      <c r="BA134" s="103"/>
      <c r="BB134" s="103"/>
      <c r="BC134" s="103"/>
      <c r="BD134" s="103"/>
      <c r="BE134" s="103"/>
      <c r="BF134" s="103"/>
      <c r="BG134" s="103"/>
      <c r="BH134" s="103"/>
      <c r="BI134" s="102"/>
      <c r="BJ134" s="103"/>
      <c r="BK134" s="103"/>
      <c r="BL134" s="103"/>
      <c r="BM134" s="103"/>
      <c r="BN134" s="103"/>
      <c r="BO134" s="103"/>
      <c r="BP134" s="103"/>
      <c r="BQ134" s="103"/>
      <c r="BR134" s="103"/>
      <c r="BS134" s="103"/>
      <c r="BT134" s="103"/>
      <c r="BU134" s="103"/>
      <c r="BV134" s="103"/>
      <c r="BW134" s="103"/>
      <c r="BX134" s="103"/>
      <c r="BY134" s="103"/>
      <c r="BZ134" s="103"/>
      <c r="CA134" s="103"/>
      <c r="CB134" s="103"/>
      <c r="CC134" s="103"/>
      <c r="CD134" s="103"/>
      <c r="CE134" s="103"/>
      <c r="CF134" s="103"/>
      <c r="CG134" s="103"/>
      <c r="CH134" s="103"/>
      <c r="CI134" s="103"/>
      <c r="CJ134" s="103"/>
      <c r="CK134" s="103"/>
      <c r="CL134" s="103"/>
      <c r="CM134" s="103"/>
      <c r="CN134" s="103"/>
      <c r="CO134" s="103"/>
      <c r="CP134" s="103"/>
      <c r="CQ134" s="103"/>
      <c r="CR134" s="103"/>
      <c r="CS134" s="103"/>
      <c r="CT134" s="103"/>
      <c r="CU134" s="103"/>
      <c r="CV134" s="103"/>
      <c r="CW134" s="103"/>
      <c r="CX134" s="103"/>
      <c r="CY134" s="103"/>
      <c r="CZ134" s="103"/>
      <c r="DA134" s="103"/>
      <c r="DB134" s="103"/>
      <c r="DC134" s="103"/>
      <c r="DD134" s="103"/>
      <c r="DE134" s="103"/>
      <c r="DF134" s="103"/>
      <c r="DG134" s="103"/>
      <c r="DH134" s="103"/>
      <c r="DI134" s="103"/>
      <c r="DJ134" s="103"/>
      <c r="DK134" s="103"/>
      <c r="DL134" s="103"/>
      <c r="DM134" s="103"/>
      <c r="DN134" s="103"/>
      <c r="DO134" s="103"/>
      <c r="DP134" s="103"/>
      <c r="DQ134" s="103"/>
      <c r="DR134" s="103"/>
      <c r="DS134" s="104"/>
      <c r="DT134" s="30">
        <f>SUM(F134:DR134)</f>
        <v>1</v>
      </c>
    </row>
    <row r="135" spans="2:124" x14ac:dyDescent="0.3">
      <c r="B135" s="74">
        <f>'6.1Personnel List'!B136</f>
        <v>123</v>
      </c>
      <c r="C135" s="73" t="s">
        <v>230</v>
      </c>
      <c r="D135" s="73" t="s">
        <v>265</v>
      </c>
      <c r="E135" s="31" t="str">
        <f>'6.1Personnel List'!H136</f>
        <v>FT</v>
      </c>
      <c r="G135" s="103"/>
      <c r="H135" s="103"/>
      <c r="I135" s="103"/>
      <c r="J135" s="103"/>
      <c r="K135" s="103"/>
      <c r="L135" s="103"/>
      <c r="M135" s="103"/>
      <c r="N135" s="103"/>
      <c r="O135" s="103"/>
      <c r="P135" s="103">
        <v>1</v>
      </c>
      <c r="Q135" s="103"/>
      <c r="R135" s="103"/>
      <c r="S135" s="103"/>
      <c r="T135" s="103"/>
      <c r="U135" s="103"/>
      <c r="V135" s="103"/>
      <c r="W135" s="103"/>
      <c r="X135" s="103"/>
      <c r="Y135" s="103"/>
      <c r="Z135" s="103"/>
      <c r="AA135" s="103"/>
      <c r="AB135" s="103"/>
      <c r="AC135" s="103"/>
      <c r="AD135" s="103"/>
      <c r="AE135" s="103"/>
      <c r="AF135" s="103"/>
      <c r="AG135" s="103"/>
      <c r="AH135" s="103"/>
      <c r="AI135" s="103"/>
      <c r="AJ135" s="103"/>
      <c r="AK135" s="103"/>
      <c r="AL135" s="103"/>
      <c r="AM135" s="103"/>
      <c r="AN135" s="103"/>
      <c r="AO135" s="103"/>
      <c r="AP135" s="103"/>
      <c r="AQ135" s="103"/>
      <c r="AR135" s="103"/>
      <c r="AS135" s="103"/>
      <c r="AT135" s="103"/>
      <c r="AU135" s="103"/>
      <c r="AV135" s="103"/>
      <c r="AW135" s="103"/>
      <c r="AX135" s="103"/>
      <c r="AY135" s="103"/>
      <c r="AZ135" s="103"/>
      <c r="BA135" s="103"/>
      <c r="BB135" s="103"/>
      <c r="BC135" s="103"/>
      <c r="BD135" s="103"/>
      <c r="BE135" s="103"/>
      <c r="BF135" s="103"/>
      <c r="BG135" s="103"/>
      <c r="BH135" s="103"/>
      <c r="BI135" s="102"/>
      <c r="BJ135" s="103"/>
      <c r="BK135" s="103"/>
      <c r="BL135" s="103"/>
      <c r="BM135" s="103"/>
      <c r="BN135" s="103"/>
      <c r="BO135" s="103"/>
      <c r="BP135" s="103"/>
      <c r="BQ135" s="103"/>
      <c r="BR135" s="103"/>
      <c r="BS135" s="103"/>
      <c r="BT135" s="103"/>
      <c r="BU135" s="103"/>
      <c r="BV135" s="103"/>
      <c r="BW135" s="103"/>
      <c r="BX135" s="103"/>
      <c r="BY135" s="103"/>
      <c r="BZ135" s="103"/>
      <c r="CA135" s="103"/>
      <c r="CB135" s="103"/>
      <c r="CC135" s="103"/>
      <c r="CD135" s="103"/>
      <c r="CE135" s="103"/>
      <c r="CF135" s="103"/>
      <c r="CG135" s="103"/>
      <c r="CH135" s="103"/>
      <c r="CI135" s="103"/>
      <c r="CJ135" s="103"/>
      <c r="CK135" s="103"/>
      <c r="CL135" s="103"/>
      <c r="CM135" s="103"/>
      <c r="CN135" s="103"/>
      <c r="CO135" s="103"/>
      <c r="CP135" s="103"/>
      <c r="CQ135" s="103"/>
      <c r="CR135" s="103"/>
      <c r="CS135" s="103"/>
      <c r="CT135" s="103"/>
      <c r="CU135" s="103"/>
      <c r="CV135" s="103"/>
      <c r="CW135" s="103"/>
      <c r="CX135" s="103"/>
      <c r="CY135" s="103"/>
      <c r="CZ135" s="103"/>
      <c r="DA135" s="103"/>
      <c r="DB135" s="103"/>
      <c r="DC135" s="103"/>
      <c r="DD135" s="103"/>
      <c r="DE135" s="103"/>
      <c r="DF135" s="103"/>
      <c r="DG135" s="103"/>
      <c r="DH135" s="103"/>
      <c r="DI135" s="103"/>
      <c r="DJ135" s="103"/>
      <c r="DK135" s="103"/>
      <c r="DL135" s="103"/>
      <c r="DM135" s="103"/>
      <c r="DN135" s="103"/>
      <c r="DO135" s="103"/>
      <c r="DP135" s="103"/>
      <c r="DQ135" s="103"/>
      <c r="DR135" s="103"/>
      <c r="DS135" s="104"/>
      <c r="DT135" s="30">
        <f>SUM(F135:DR135)</f>
        <v>1</v>
      </c>
    </row>
    <row r="136" spans="2:124" x14ac:dyDescent="0.3">
      <c r="B136" s="74">
        <f>'6.1Personnel List'!B137</f>
        <v>124</v>
      </c>
      <c r="C136" s="73" t="s">
        <v>231</v>
      </c>
      <c r="D136" s="73" t="s">
        <v>244</v>
      </c>
      <c r="E136" s="31" t="str">
        <f>'6.1Personnel List'!H137</f>
        <v>FT</v>
      </c>
      <c r="G136" s="103"/>
      <c r="H136" s="103"/>
      <c r="I136" s="103"/>
      <c r="J136" s="103"/>
      <c r="K136" s="103"/>
      <c r="L136" s="103"/>
      <c r="M136" s="103"/>
      <c r="N136" s="103"/>
      <c r="O136" s="103"/>
      <c r="P136" s="103"/>
      <c r="Q136" s="103"/>
      <c r="R136" s="103"/>
      <c r="S136" s="103"/>
      <c r="T136" s="103"/>
      <c r="U136" s="103"/>
      <c r="V136" s="103"/>
      <c r="W136" s="103"/>
      <c r="X136" s="103"/>
      <c r="Y136" s="103"/>
      <c r="Z136" s="103"/>
      <c r="AA136" s="103"/>
      <c r="AB136" s="103"/>
      <c r="AC136" s="103"/>
      <c r="AD136" s="103"/>
      <c r="AE136" s="103"/>
      <c r="AF136" s="103"/>
      <c r="AG136" s="103"/>
      <c r="AH136" s="103"/>
      <c r="AI136" s="103"/>
      <c r="AJ136" s="103"/>
      <c r="AK136" s="103"/>
      <c r="AL136" s="103"/>
      <c r="AM136" s="103"/>
      <c r="AN136" s="103"/>
      <c r="AO136" s="103"/>
      <c r="AP136" s="103"/>
      <c r="AQ136" s="103">
        <v>1</v>
      </c>
      <c r="AR136" s="103"/>
      <c r="AS136" s="103"/>
      <c r="AT136" s="103"/>
      <c r="AU136" s="103"/>
      <c r="AV136" s="103"/>
      <c r="AW136" s="103"/>
      <c r="AX136" s="103"/>
      <c r="AY136" s="103"/>
      <c r="AZ136" s="103"/>
      <c r="BA136" s="103"/>
      <c r="BB136" s="103"/>
      <c r="BC136" s="103"/>
      <c r="BD136" s="103"/>
      <c r="BE136" s="103"/>
      <c r="BF136" s="103"/>
      <c r="BG136" s="103"/>
      <c r="BH136" s="103"/>
      <c r="BI136" s="102"/>
      <c r="BJ136" s="103"/>
      <c r="BK136" s="103"/>
      <c r="BL136" s="103"/>
      <c r="BM136" s="103"/>
      <c r="BN136" s="103"/>
      <c r="BO136" s="103"/>
      <c r="BP136" s="103"/>
      <c r="BQ136" s="103"/>
      <c r="BR136" s="103"/>
      <c r="BS136" s="103"/>
      <c r="BT136" s="103"/>
      <c r="BU136" s="103"/>
      <c r="BV136" s="103"/>
      <c r="BW136" s="103"/>
      <c r="BX136" s="103"/>
      <c r="BY136" s="103"/>
      <c r="BZ136" s="103"/>
      <c r="CA136" s="103"/>
      <c r="CB136" s="103"/>
      <c r="CC136" s="103"/>
      <c r="CD136" s="103"/>
      <c r="CE136" s="103"/>
      <c r="CF136" s="103"/>
      <c r="CG136" s="103"/>
      <c r="CH136" s="103"/>
      <c r="CI136" s="103"/>
      <c r="CJ136" s="103"/>
      <c r="CK136" s="103"/>
      <c r="CL136" s="103"/>
      <c r="CM136" s="103"/>
      <c r="CN136" s="103"/>
      <c r="CO136" s="103"/>
      <c r="CP136" s="103"/>
      <c r="CQ136" s="103"/>
      <c r="CR136" s="103"/>
      <c r="CS136" s="103"/>
      <c r="CT136" s="103"/>
      <c r="CU136" s="103"/>
      <c r="CV136" s="103"/>
      <c r="CW136" s="103"/>
      <c r="CX136" s="103"/>
      <c r="CY136" s="103"/>
      <c r="CZ136" s="103"/>
      <c r="DA136" s="103"/>
      <c r="DB136" s="103"/>
      <c r="DC136" s="103"/>
      <c r="DD136" s="103"/>
      <c r="DE136" s="103"/>
      <c r="DF136" s="103"/>
      <c r="DG136" s="103"/>
      <c r="DH136" s="103"/>
      <c r="DI136" s="103"/>
      <c r="DJ136" s="103"/>
      <c r="DK136" s="103"/>
      <c r="DL136" s="103"/>
      <c r="DM136" s="103"/>
      <c r="DN136" s="103"/>
      <c r="DO136" s="103"/>
      <c r="DP136" s="103"/>
      <c r="DQ136" s="103"/>
      <c r="DR136" s="103"/>
      <c r="DS136" s="104"/>
      <c r="DT136" s="30">
        <f>SUM(F136:DR136)</f>
        <v>1</v>
      </c>
    </row>
    <row r="137" spans="2:124" x14ac:dyDescent="0.3">
      <c r="B137" s="74">
        <f>'6.1Personnel List'!B138</f>
        <v>125</v>
      </c>
      <c r="C137" s="73" t="s">
        <v>232</v>
      </c>
      <c r="D137" s="73" t="s">
        <v>254</v>
      </c>
      <c r="E137" s="31" t="str">
        <f>'6.1Personnel List'!H138</f>
        <v>FT</v>
      </c>
      <c r="G137" s="103"/>
      <c r="H137" s="103"/>
      <c r="I137" s="103"/>
      <c r="J137" s="103"/>
      <c r="K137" s="103"/>
      <c r="L137" s="103"/>
      <c r="M137" s="103"/>
      <c r="N137" s="103"/>
      <c r="O137" s="103"/>
      <c r="P137" s="103"/>
      <c r="Q137" s="103"/>
      <c r="R137" s="103"/>
      <c r="S137" s="103"/>
      <c r="T137" s="103"/>
      <c r="U137" s="103"/>
      <c r="V137" s="103"/>
      <c r="W137" s="103"/>
      <c r="X137" s="103"/>
      <c r="Y137" s="103"/>
      <c r="Z137" s="103"/>
      <c r="AA137" s="103"/>
      <c r="AB137" s="103"/>
      <c r="AC137" s="103"/>
      <c r="AD137" s="103"/>
      <c r="AE137" s="103"/>
      <c r="AF137" s="103"/>
      <c r="AG137" s="103"/>
      <c r="AH137" s="103"/>
      <c r="AI137" s="103"/>
      <c r="AJ137" s="103"/>
      <c r="AK137" s="103"/>
      <c r="AL137" s="103"/>
      <c r="AM137" s="103"/>
      <c r="AN137" s="103"/>
      <c r="AO137" s="103"/>
      <c r="AP137" s="103"/>
      <c r="AQ137" s="103">
        <v>1</v>
      </c>
      <c r="AR137" s="103"/>
      <c r="AS137" s="103"/>
      <c r="AT137" s="103"/>
      <c r="AU137" s="103"/>
      <c r="AV137" s="103"/>
      <c r="AW137" s="103"/>
      <c r="AX137" s="103"/>
      <c r="AY137" s="103"/>
      <c r="AZ137" s="103"/>
      <c r="BA137" s="103"/>
      <c r="BB137" s="103"/>
      <c r="BC137" s="103"/>
      <c r="BD137" s="103"/>
      <c r="BE137" s="103"/>
      <c r="BF137" s="103"/>
      <c r="BG137" s="103"/>
      <c r="BH137" s="103"/>
      <c r="BI137" s="102"/>
      <c r="BJ137" s="103"/>
      <c r="BK137" s="103"/>
      <c r="BL137" s="103"/>
      <c r="BM137" s="103"/>
      <c r="BN137" s="103"/>
      <c r="BO137" s="103"/>
      <c r="BP137" s="103"/>
      <c r="BQ137" s="103"/>
      <c r="BR137" s="103"/>
      <c r="BS137" s="103"/>
      <c r="BT137" s="103"/>
      <c r="BU137" s="103"/>
      <c r="BV137" s="103"/>
      <c r="BW137" s="103"/>
      <c r="BX137" s="103"/>
      <c r="BY137" s="103"/>
      <c r="BZ137" s="103"/>
      <c r="CA137" s="103"/>
      <c r="CB137" s="103"/>
      <c r="CC137" s="103"/>
      <c r="CD137" s="103"/>
      <c r="CE137" s="103"/>
      <c r="CF137" s="103"/>
      <c r="CG137" s="103"/>
      <c r="CH137" s="103"/>
      <c r="CI137" s="103"/>
      <c r="CJ137" s="103"/>
      <c r="CK137" s="103"/>
      <c r="CL137" s="103"/>
      <c r="CM137" s="103"/>
      <c r="CN137" s="103"/>
      <c r="CO137" s="103"/>
      <c r="CP137" s="103"/>
      <c r="CQ137" s="103"/>
      <c r="CR137" s="103"/>
      <c r="CS137" s="103"/>
      <c r="CT137" s="103"/>
      <c r="CU137" s="103"/>
      <c r="CV137" s="103"/>
      <c r="CW137" s="103"/>
      <c r="CX137" s="103"/>
      <c r="CY137" s="103"/>
      <c r="CZ137" s="103"/>
      <c r="DA137" s="103"/>
      <c r="DB137" s="103"/>
      <c r="DC137" s="103"/>
      <c r="DD137" s="103"/>
      <c r="DE137" s="103"/>
      <c r="DF137" s="103"/>
      <c r="DG137" s="103"/>
      <c r="DH137" s="103"/>
      <c r="DI137" s="103"/>
      <c r="DJ137" s="103"/>
      <c r="DK137" s="103"/>
      <c r="DL137" s="103"/>
      <c r="DM137" s="103"/>
      <c r="DN137" s="103"/>
      <c r="DO137" s="103"/>
      <c r="DP137" s="103"/>
      <c r="DQ137" s="103"/>
      <c r="DR137" s="103"/>
      <c r="DS137" s="104"/>
      <c r="DT137" s="30">
        <f>SUM(F137:DR137)</f>
        <v>1</v>
      </c>
    </row>
    <row r="138" spans="2:124" x14ac:dyDescent="0.3">
      <c r="B138" s="74">
        <f>'6.1Personnel List'!B139</f>
        <v>126</v>
      </c>
      <c r="C138" s="73" t="s">
        <v>233</v>
      </c>
      <c r="D138" s="73" t="s">
        <v>244</v>
      </c>
      <c r="E138" s="31" t="str">
        <f>'6.1Personnel List'!H139</f>
        <v>FT</v>
      </c>
      <c r="G138" s="103"/>
      <c r="H138" s="103"/>
      <c r="I138" s="103"/>
      <c r="J138" s="103"/>
      <c r="K138" s="103"/>
      <c r="L138" s="103"/>
      <c r="M138" s="103"/>
      <c r="N138" s="103"/>
      <c r="O138" s="103"/>
      <c r="P138" s="103"/>
      <c r="Q138" s="103"/>
      <c r="R138" s="103"/>
      <c r="S138" s="103"/>
      <c r="T138" s="103"/>
      <c r="U138" s="103"/>
      <c r="V138" s="103"/>
      <c r="W138" s="103"/>
      <c r="X138" s="103"/>
      <c r="Y138" s="103"/>
      <c r="Z138" s="103"/>
      <c r="AA138" s="103"/>
      <c r="AB138" s="103"/>
      <c r="AC138" s="103"/>
      <c r="AD138" s="103"/>
      <c r="AE138" s="103"/>
      <c r="AF138" s="103"/>
      <c r="AG138" s="103">
        <v>1</v>
      </c>
      <c r="AH138" s="103"/>
      <c r="AI138" s="103"/>
      <c r="AJ138" s="103"/>
      <c r="AK138" s="103"/>
      <c r="AL138" s="103"/>
      <c r="AM138" s="103"/>
      <c r="AN138" s="103"/>
      <c r="AO138" s="103"/>
      <c r="AP138" s="103"/>
      <c r="AQ138" s="103"/>
      <c r="AR138" s="103"/>
      <c r="AS138" s="103"/>
      <c r="AT138" s="103"/>
      <c r="AU138" s="103"/>
      <c r="AV138" s="103"/>
      <c r="AW138" s="103"/>
      <c r="AX138" s="103"/>
      <c r="AY138" s="103"/>
      <c r="AZ138" s="103"/>
      <c r="BA138" s="103"/>
      <c r="BB138" s="103"/>
      <c r="BC138" s="103"/>
      <c r="BD138" s="103"/>
      <c r="BE138" s="103"/>
      <c r="BF138" s="103"/>
      <c r="BG138" s="103"/>
      <c r="BH138" s="103"/>
      <c r="BI138" s="102"/>
      <c r="BJ138" s="103"/>
      <c r="BK138" s="103"/>
      <c r="BL138" s="103"/>
      <c r="BM138" s="103"/>
      <c r="BN138" s="103"/>
      <c r="BO138" s="103"/>
      <c r="BP138" s="103"/>
      <c r="BQ138" s="103"/>
      <c r="BR138" s="103"/>
      <c r="BS138" s="103"/>
      <c r="BT138" s="103"/>
      <c r="BU138" s="103"/>
      <c r="BV138" s="103"/>
      <c r="BW138" s="103"/>
      <c r="BX138" s="103"/>
      <c r="BY138" s="103"/>
      <c r="BZ138" s="103"/>
      <c r="CA138" s="103"/>
      <c r="CB138" s="103"/>
      <c r="CC138" s="103"/>
      <c r="CD138" s="103"/>
      <c r="CE138" s="103"/>
      <c r="CF138" s="103"/>
      <c r="CG138" s="103"/>
      <c r="CH138" s="103"/>
      <c r="CI138" s="103"/>
      <c r="CJ138" s="103"/>
      <c r="CK138" s="103"/>
      <c r="CL138" s="103"/>
      <c r="CM138" s="103"/>
      <c r="CN138" s="103"/>
      <c r="CO138" s="103"/>
      <c r="CP138" s="103"/>
      <c r="CQ138" s="103"/>
      <c r="CR138" s="103"/>
      <c r="CS138" s="103"/>
      <c r="CT138" s="103"/>
      <c r="CU138" s="103"/>
      <c r="CV138" s="103"/>
      <c r="CW138" s="103"/>
      <c r="CX138" s="103"/>
      <c r="CY138" s="103"/>
      <c r="CZ138" s="103"/>
      <c r="DA138" s="103"/>
      <c r="DB138" s="103"/>
      <c r="DC138" s="103"/>
      <c r="DD138" s="103"/>
      <c r="DE138" s="103"/>
      <c r="DF138" s="103"/>
      <c r="DG138" s="103"/>
      <c r="DH138" s="103"/>
      <c r="DI138" s="103"/>
      <c r="DJ138" s="103"/>
      <c r="DK138" s="103"/>
      <c r="DL138" s="103"/>
      <c r="DM138" s="103"/>
      <c r="DN138" s="103"/>
      <c r="DO138" s="103"/>
      <c r="DP138" s="103"/>
      <c r="DQ138" s="103"/>
      <c r="DR138" s="103"/>
      <c r="DS138" s="104"/>
      <c r="DT138" s="30">
        <f>SUM(F138:DR138)</f>
        <v>1</v>
      </c>
    </row>
    <row r="139" spans="2:124" x14ac:dyDescent="0.3">
      <c r="B139" s="74">
        <f>'6.1Personnel List'!B140</f>
        <v>127</v>
      </c>
      <c r="C139" s="73" t="s">
        <v>234</v>
      </c>
      <c r="D139" s="73" t="s">
        <v>266</v>
      </c>
      <c r="E139" s="31" t="str">
        <f>'6.1Personnel List'!H140</f>
        <v>FT</v>
      </c>
      <c r="G139" s="103"/>
      <c r="H139" s="103"/>
      <c r="I139" s="103"/>
      <c r="J139" s="103"/>
      <c r="K139" s="103"/>
      <c r="L139" s="103"/>
      <c r="M139" s="103"/>
      <c r="N139" s="103"/>
      <c r="O139" s="103"/>
      <c r="P139" s="103"/>
      <c r="Q139" s="103"/>
      <c r="R139" s="103"/>
      <c r="S139" s="103"/>
      <c r="T139" s="103"/>
      <c r="U139" s="103"/>
      <c r="V139" s="103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3"/>
      <c r="AS139" s="103"/>
      <c r="AT139" s="103"/>
      <c r="AU139" s="103"/>
      <c r="AV139" s="103"/>
      <c r="AW139" s="103"/>
      <c r="AX139" s="103"/>
      <c r="AY139" s="103"/>
      <c r="AZ139" s="103"/>
      <c r="BA139" s="103"/>
      <c r="BB139" s="103"/>
      <c r="BC139" s="103">
        <v>1</v>
      </c>
      <c r="BD139" s="103"/>
      <c r="BE139" s="103"/>
      <c r="BF139" s="103"/>
      <c r="BG139" s="103"/>
      <c r="BH139" s="103"/>
      <c r="BI139" s="102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  <c r="CJ139" s="103"/>
      <c r="CK139" s="103"/>
      <c r="CL139" s="103"/>
      <c r="CM139" s="103"/>
      <c r="CN139" s="103"/>
      <c r="CO139" s="103"/>
      <c r="CP139" s="103"/>
      <c r="CQ139" s="103"/>
      <c r="CR139" s="103"/>
      <c r="CS139" s="103"/>
      <c r="CT139" s="103"/>
      <c r="CU139" s="103"/>
      <c r="CV139" s="103"/>
      <c r="CW139" s="103"/>
      <c r="CX139" s="103"/>
      <c r="CY139" s="103"/>
      <c r="CZ139" s="103"/>
      <c r="DA139" s="103"/>
      <c r="DB139" s="103"/>
      <c r="DC139" s="103"/>
      <c r="DD139" s="103"/>
      <c r="DE139" s="103"/>
      <c r="DF139" s="103"/>
      <c r="DG139" s="103"/>
      <c r="DH139" s="103"/>
      <c r="DI139" s="103"/>
      <c r="DJ139" s="103"/>
      <c r="DK139" s="103"/>
      <c r="DL139" s="103"/>
      <c r="DM139" s="103"/>
      <c r="DN139" s="103"/>
      <c r="DO139" s="103"/>
      <c r="DP139" s="103"/>
      <c r="DQ139" s="103"/>
      <c r="DR139" s="103"/>
      <c r="DS139" s="104"/>
      <c r="DT139" s="30">
        <f>SUM(F139:DR139)</f>
        <v>1</v>
      </c>
    </row>
    <row r="140" spans="2:124" x14ac:dyDescent="0.3">
      <c r="B140" s="74">
        <f>'6.1Personnel List'!B141</f>
        <v>128</v>
      </c>
      <c r="C140" s="73" t="s">
        <v>235</v>
      </c>
      <c r="D140" s="73" t="s">
        <v>242</v>
      </c>
      <c r="E140" s="31" t="str">
        <f>'6.1Personnel List'!H141</f>
        <v>FT</v>
      </c>
      <c r="G140" s="103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  <c r="R140" s="103"/>
      <c r="S140" s="103">
        <v>1</v>
      </c>
      <c r="T140" s="103"/>
      <c r="U140" s="103"/>
      <c r="V140" s="103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3"/>
      <c r="AS140" s="103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3"/>
      <c r="BD140" s="103"/>
      <c r="BE140" s="103"/>
      <c r="BF140" s="103"/>
      <c r="BG140" s="103"/>
      <c r="BH140" s="103"/>
      <c r="BI140" s="102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  <c r="CJ140" s="103"/>
      <c r="CK140" s="103"/>
      <c r="CL140" s="103"/>
      <c r="CM140" s="103"/>
      <c r="CN140" s="103"/>
      <c r="CO140" s="103"/>
      <c r="CP140" s="103"/>
      <c r="CQ140" s="103"/>
      <c r="CR140" s="103"/>
      <c r="CS140" s="103"/>
      <c r="CT140" s="103"/>
      <c r="CU140" s="103"/>
      <c r="CV140" s="103"/>
      <c r="CW140" s="103"/>
      <c r="CX140" s="103"/>
      <c r="CY140" s="103"/>
      <c r="CZ140" s="103"/>
      <c r="DA140" s="103"/>
      <c r="DB140" s="103"/>
      <c r="DC140" s="103"/>
      <c r="DD140" s="103"/>
      <c r="DE140" s="103"/>
      <c r="DF140" s="103"/>
      <c r="DG140" s="103"/>
      <c r="DH140" s="103"/>
      <c r="DI140" s="103"/>
      <c r="DJ140" s="103"/>
      <c r="DK140" s="103"/>
      <c r="DL140" s="103"/>
      <c r="DM140" s="103"/>
      <c r="DN140" s="103"/>
      <c r="DO140" s="103"/>
      <c r="DP140" s="103"/>
      <c r="DQ140" s="103"/>
      <c r="DR140" s="103"/>
      <c r="DS140" s="104"/>
      <c r="DT140" s="30">
        <f t="shared" ref="DT140" si="0">SUM(F140:DR140)</f>
        <v>1</v>
      </c>
    </row>
    <row r="141" spans="2:124" x14ac:dyDescent="0.3">
      <c r="C141" s="4"/>
      <c r="D141" s="4"/>
      <c r="E141" s="5"/>
    </row>
    <row r="142" spans="2:124" x14ac:dyDescent="0.3">
      <c r="C142" s="4"/>
      <c r="D142" s="4"/>
      <c r="E142" s="5"/>
    </row>
    <row r="143" spans="2:124" x14ac:dyDescent="0.3">
      <c r="C143" s="3"/>
      <c r="D143" s="3"/>
      <c r="E143" s="5"/>
    </row>
    <row r="144" spans="2:124" x14ac:dyDescent="0.3">
      <c r="C144" s="4"/>
      <c r="D144" s="4"/>
      <c r="E144" s="5"/>
    </row>
    <row r="145" spans="3:5" x14ac:dyDescent="0.3">
      <c r="C145" s="4"/>
      <c r="D145" s="4"/>
      <c r="E145" s="5"/>
    </row>
    <row r="146" spans="3:5" x14ac:dyDescent="0.3">
      <c r="C146" s="3"/>
      <c r="D146" s="3"/>
      <c r="E146" s="5"/>
    </row>
    <row r="147" spans="3:5" x14ac:dyDescent="0.3">
      <c r="C147" s="4"/>
      <c r="D147" s="4"/>
      <c r="E147" s="5"/>
    </row>
    <row r="148" spans="3:5" x14ac:dyDescent="0.3">
      <c r="C148" s="4"/>
      <c r="D148" s="4"/>
      <c r="E148" s="5"/>
    </row>
    <row r="149" spans="3:5" x14ac:dyDescent="0.3">
      <c r="C149" s="3"/>
      <c r="D149" s="3"/>
      <c r="E149" s="5"/>
    </row>
    <row r="150" spans="3:5" x14ac:dyDescent="0.3">
      <c r="C150" s="4"/>
      <c r="D150" s="4"/>
      <c r="E150" s="5"/>
    </row>
    <row r="151" spans="3:5" x14ac:dyDescent="0.3">
      <c r="C151" s="4"/>
      <c r="D151" s="4"/>
      <c r="E151" s="5"/>
    </row>
    <row r="152" spans="3:5" x14ac:dyDescent="0.3">
      <c r="C152" s="3"/>
      <c r="D152" s="3"/>
      <c r="E152" s="5"/>
    </row>
    <row r="153" spans="3:5" x14ac:dyDescent="0.3">
      <c r="C153" s="4"/>
      <c r="D153" s="4"/>
      <c r="E153" s="5"/>
    </row>
    <row r="154" spans="3:5" x14ac:dyDescent="0.3">
      <c r="C154" s="4"/>
      <c r="D154" s="4"/>
      <c r="E154" s="5"/>
    </row>
    <row r="155" spans="3:5" x14ac:dyDescent="0.3">
      <c r="C155" s="2"/>
      <c r="D155" s="3"/>
      <c r="E155" s="5"/>
    </row>
    <row r="156" spans="3:5" x14ac:dyDescent="0.3">
      <c r="C156" s="4"/>
      <c r="D156" s="4"/>
      <c r="E156" s="5"/>
    </row>
    <row r="157" spans="3:5" x14ac:dyDescent="0.3">
      <c r="C157" s="4"/>
      <c r="D157" s="4"/>
      <c r="E157" s="5"/>
    </row>
    <row r="158" spans="3:5" x14ac:dyDescent="0.3">
      <c r="C158" s="2"/>
      <c r="D158" s="6"/>
      <c r="E158" s="7"/>
    </row>
    <row r="159" spans="3:5" x14ac:dyDescent="0.3">
      <c r="C159" s="6"/>
      <c r="D159" s="6"/>
      <c r="E159" s="7"/>
    </row>
    <row r="160" spans="3:5" x14ac:dyDescent="0.3">
      <c r="C160" s="4"/>
      <c r="D160" s="4"/>
      <c r="E160" s="5"/>
    </row>
    <row r="161" spans="3:5" x14ac:dyDescent="0.3">
      <c r="C161" s="4"/>
      <c r="D161" s="4"/>
      <c r="E161" s="5"/>
    </row>
    <row r="162" spans="3:5" x14ac:dyDescent="0.3">
      <c r="C162" s="6"/>
      <c r="D162" s="6"/>
      <c r="E162" s="7"/>
    </row>
    <row r="163" spans="3:5" x14ac:dyDescent="0.3">
      <c r="C163" s="4"/>
      <c r="D163" s="4"/>
      <c r="E163" s="5"/>
    </row>
    <row r="164" spans="3:5" x14ac:dyDescent="0.3">
      <c r="C164" s="4"/>
      <c r="D164" s="4"/>
      <c r="E164" s="5"/>
    </row>
    <row r="165" spans="3:5" x14ac:dyDescent="0.3">
      <c r="C165" s="6"/>
      <c r="D165" s="6"/>
      <c r="E165" s="7"/>
    </row>
    <row r="166" spans="3:5" x14ac:dyDescent="0.3">
      <c r="C166" s="4"/>
      <c r="D166" s="4"/>
      <c r="E166" s="5"/>
    </row>
    <row r="167" spans="3:5" x14ac:dyDescent="0.3">
      <c r="C167" s="4"/>
      <c r="D167" s="4"/>
      <c r="E167" s="5"/>
    </row>
    <row r="168" spans="3:5" x14ac:dyDescent="0.3">
      <c r="C168" s="2"/>
      <c r="D168" s="2"/>
      <c r="E168" s="8"/>
    </row>
    <row r="169" spans="3:5" x14ac:dyDescent="0.3">
      <c r="C169" s="6"/>
      <c r="D169" s="6"/>
      <c r="E169" s="7"/>
    </row>
    <row r="170" spans="3:5" x14ac:dyDescent="0.3">
      <c r="C170" s="4"/>
      <c r="D170" s="4"/>
      <c r="E170" s="9"/>
    </row>
    <row r="171" spans="3:5" x14ac:dyDescent="0.3">
      <c r="C171" s="4"/>
      <c r="D171" s="4"/>
      <c r="E171" s="9"/>
    </row>
    <row r="172" spans="3:5" x14ac:dyDescent="0.3">
      <c r="C172" s="6"/>
      <c r="D172" s="6"/>
      <c r="E172" s="7"/>
    </row>
    <row r="173" spans="3:5" x14ac:dyDescent="0.3">
      <c r="C173" s="4"/>
      <c r="D173" s="4"/>
      <c r="E173" s="9"/>
    </row>
    <row r="174" spans="3:5" x14ac:dyDescent="0.3">
      <c r="C174" s="4"/>
      <c r="D174" s="4"/>
      <c r="E174" s="9"/>
    </row>
    <row r="175" spans="3:5" x14ac:dyDescent="0.3">
      <c r="C175" s="6"/>
      <c r="D175" s="6"/>
      <c r="E175" s="7"/>
    </row>
    <row r="176" spans="3:5" x14ac:dyDescent="0.3">
      <c r="C176" s="4"/>
      <c r="D176" s="4"/>
      <c r="E176" s="9"/>
    </row>
    <row r="177" spans="3:5" x14ac:dyDescent="0.3">
      <c r="C177" s="4"/>
      <c r="D177" s="4"/>
      <c r="E177" s="9"/>
    </row>
    <row r="178" spans="3:5" x14ac:dyDescent="0.3">
      <c r="C178" s="4"/>
      <c r="D178" s="4"/>
      <c r="E178" s="9"/>
    </row>
    <row r="179" spans="3:5" x14ac:dyDescent="0.3">
      <c r="C179" s="2"/>
      <c r="D179" s="2"/>
      <c r="E179" s="8"/>
    </row>
    <row r="180" spans="3:5" x14ac:dyDescent="0.3">
      <c r="C180" s="4"/>
      <c r="D180" s="4"/>
      <c r="E180" s="9"/>
    </row>
    <row r="181" spans="3:5" x14ac:dyDescent="0.3">
      <c r="C181" s="4"/>
      <c r="D181" s="4"/>
      <c r="E181" s="9"/>
    </row>
    <row r="182" spans="3:5" x14ac:dyDescent="0.3">
      <c r="C182" s="4"/>
      <c r="D182" s="4"/>
      <c r="E182" s="9"/>
    </row>
    <row r="183" spans="3:5" x14ac:dyDescent="0.3">
      <c r="C183" s="4"/>
      <c r="D183" s="4"/>
      <c r="E183" s="9"/>
    </row>
    <row r="184" spans="3:5" x14ac:dyDescent="0.3">
      <c r="C184" s="4"/>
      <c r="D184" s="4"/>
      <c r="E184" s="9"/>
    </row>
    <row r="185" spans="3:5" x14ac:dyDescent="0.3">
      <c r="C185" s="4"/>
      <c r="D185" s="4"/>
      <c r="E185" s="9"/>
    </row>
  </sheetData>
  <sheetProtection formatColumns="0" formatRows="0" sort="0" autoFilter="0"/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160:E167 E169:E178 E180:E185 E141:E157">
      <formula1>0</formula1>
      <formula2>1</formula2>
    </dataValidation>
    <dataValidation type="decimal" operator="greaterThanOrEqual" allowBlank="1" showInputMessage="1" showErrorMessage="1" sqref="BJ13:DR140 G13:BH14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7"/>
  <sheetViews>
    <sheetView topLeftCell="A36" workbookViewId="0">
      <selection activeCell="B2" sqref="B2:B67"/>
    </sheetView>
  </sheetViews>
  <sheetFormatPr defaultColWidth="9.140625" defaultRowHeight="15" x14ac:dyDescent="0.25"/>
  <cols>
    <col min="1" max="1" width="9.140625" style="63"/>
    <col min="2" max="2" width="58.140625" style="63" bestFit="1" customWidth="1"/>
    <col min="3" max="16384" width="9.140625" style="63"/>
  </cols>
  <sheetData>
    <row r="1" spans="1:2" x14ac:dyDescent="0.25">
      <c r="B1" s="64" t="s">
        <v>99</v>
      </c>
    </row>
    <row r="2" spans="1:2" x14ac:dyDescent="0.25">
      <c r="A2" s="63">
        <v>1</v>
      </c>
      <c r="B2" s="63" t="str">
        <f>IF('6.1Personnel List'!$D$4="Level I",'Level I_Departments'!C4,'Level IIandIII_Departments'!C4)</f>
        <v>Administrative/Overhead services -&gt; Office of the Medical Center Chief</v>
      </c>
    </row>
    <row r="3" spans="1:2" x14ac:dyDescent="0.25">
      <c r="A3" s="63">
        <f t="shared" ref="A3:A34" si="0">A2+1</f>
        <v>2</v>
      </c>
      <c r="B3" s="63" t="str">
        <f>IF('6.1Personnel List'!$D$4="Level I",'Level I_Departments'!C5,'Level IIandIII_Departments'!C5)</f>
        <v>Administrative/Overhead services -&gt; IT Department</v>
      </c>
    </row>
    <row r="4" spans="1:2" x14ac:dyDescent="0.25">
      <c r="A4" s="63">
        <f t="shared" si="0"/>
        <v>3</v>
      </c>
      <c r="B4" s="63" t="str">
        <f>IF('6.1Personnel List'!$D$4="Level I",'Level I_Departments'!C6,'Level IIandIII_Departments'!C6)</f>
        <v>Administrative/Overhead services -&gt; Office of the Administrative Officer</v>
      </c>
    </row>
    <row r="5" spans="1:2" x14ac:dyDescent="0.25">
      <c r="A5" s="63">
        <f t="shared" si="0"/>
        <v>4</v>
      </c>
      <c r="B5" s="63" t="str">
        <f>IF('6.1Personnel List'!$D$4="Level I",'Level I_Departments'!C7,'Level IIandIII_Departments'!C7)</f>
        <v>Administrative/Overhead services -&gt; Human Resource Management</v>
      </c>
    </row>
    <row r="6" spans="1:2" x14ac:dyDescent="0.25">
      <c r="A6" s="63">
        <f t="shared" si="0"/>
        <v>5</v>
      </c>
      <c r="B6" s="63" t="str">
        <f>IF('6.1Personnel List'!$D$4="Level I",'Level I_Departments'!C8,'Level IIandIII_Departments'!C8)</f>
        <v>Administrative/Overhead services -&gt; Procurement</v>
      </c>
    </row>
    <row r="7" spans="1:2" x14ac:dyDescent="0.25">
      <c r="A7" s="63">
        <f t="shared" si="0"/>
        <v>6</v>
      </c>
      <c r="B7" s="63" t="str">
        <f>IF('6.1Personnel List'!$D$4="Level I",'Level I_Departments'!C9,'Level IIandIII_Departments'!C9)</f>
        <v>Administrative/Overhead services -&gt; Materials Management</v>
      </c>
    </row>
    <row r="8" spans="1:2" x14ac:dyDescent="0.25">
      <c r="A8" s="63">
        <f t="shared" si="0"/>
        <v>7</v>
      </c>
      <c r="B8" s="63" t="str">
        <f>IF('6.1Personnel List'!$D$4="Level I",'Level I_Departments'!C10,'Level IIandIII_Departments'!C10)</f>
        <v>Administrative/Overhead services -&gt; Engineering and Facilities Management</v>
      </c>
    </row>
    <row r="9" spans="1:2" x14ac:dyDescent="0.25">
      <c r="A9" s="63">
        <f t="shared" si="0"/>
        <v>8</v>
      </c>
      <c r="B9" s="63" t="str">
        <f>IF('6.1Personnel List'!$D$4="Level I",'Level I_Departments'!C11,'Level IIandIII_Departments'!C11)</f>
        <v xml:space="preserve">Administrative/Overhead services -&gt; Housekeeping </v>
      </c>
    </row>
    <row r="10" spans="1:2" x14ac:dyDescent="0.25">
      <c r="A10" s="63">
        <f t="shared" si="0"/>
        <v>9</v>
      </c>
      <c r="B10" s="63" t="str">
        <f>IF('6.1Personnel List'!$D$4="Level I",'Level I_Departments'!C12,'Level IIandIII_Departments'!C12)</f>
        <v>Administrative/Overhead services -&gt; Budget and Accounting</v>
      </c>
    </row>
    <row r="11" spans="1:2" x14ac:dyDescent="0.25">
      <c r="A11" s="63">
        <f t="shared" si="0"/>
        <v>10</v>
      </c>
      <c r="B11" s="63" t="str">
        <f>IF('6.1Personnel List'!$D$4="Level I",'Level I_Departments'!C13,'Level IIandIII_Departments'!C13)</f>
        <v>Administrative/Overhead services -&gt; Medical Social Work</v>
      </c>
    </row>
    <row r="12" spans="1:2" x14ac:dyDescent="0.25">
      <c r="A12" s="63">
        <f t="shared" si="0"/>
        <v>11</v>
      </c>
      <c r="B12" s="63" t="str">
        <f>IF('6.1Personnel List'!$D$4="Level I",'Level I_Departments'!C14,'Level IIandIII_Departments'!C14)</f>
        <v>Administrative/Overhead services -&gt; Office of the Chief Nurse</v>
      </c>
    </row>
    <row r="13" spans="1:2" x14ac:dyDescent="0.25">
      <c r="A13" s="63">
        <f t="shared" si="0"/>
        <v>12</v>
      </c>
      <c r="B13" s="63" t="str">
        <f>IF('6.1Personnel List'!$D$4="Level I",'Level I_Departments'!C15,'Level IIandIII_Departments'!C15)</f>
        <v>Administrative/Overhead services -&gt; Health Info Mgt (Admitting)</v>
      </c>
    </row>
    <row r="14" spans="1:2" x14ac:dyDescent="0.25">
      <c r="A14" s="63">
        <f t="shared" si="0"/>
        <v>13</v>
      </c>
      <c r="B14" s="63" t="str">
        <f>IF('6.1Personnel List'!$D$4="Level I",'Level I_Departments'!C16,'Level IIandIII_Departments'!C16)</f>
        <v>Administrative/Overhead services -&gt; Central Supply Office</v>
      </c>
    </row>
    <row r="15" spans="1:2" x14ac:dyDescent="0.25">
      <c r="A15" s="63">
        <f t="shared" si="0"/>
        <v>14</v>
      </c>
      <c r="B15" s="63" t="str">
        <f>IF('6.1Personnel List'!$D$4="Level I",'Level I_Departments'!C17,'Level IIandIII_Departments'!C17)</f>
        <v>Administrative/Overhead services -&gt; Billing and Claims</v>
      </c>
    </row>
    <row r="16" spans="1:2" x14ac:dyDescent="0.25">
      <c r="A16" s="63">
        <f t="shared" si="0"/>
        <v>15</v>
      </c>
      <c r="B16" s="63" t="str">
        <f>IF('6.1Personnel List'!$D$4="Level I",'Level I_Departments'!C18,'Level IIandIII_Departments'!C18)</f>
        <v>Administrative/Overhead services -&gt; Cash Operations</v>
      </c>
    </row>
    <row r="17" spans="1:2" x14ac:dyDescent="0.25">
      <c r="A17" s="63">
        <f t="shared" si="0"/>
        <v>16</v>
      </c>
      <c r="B17" s="63" t="str">
        <f>IF('6.1Personnel List'!$D$4="Level I",'Level I_Departments'!C19,'Level IIandIII_Departments'!C19)</f>
        <v>Administrative/Overhead services -&gt; Security</v>
      </c>
    </row>
    <row r="18" spans="1:2" x14ac:dyDescent="0.25">
      <c r="A18" s="63">
        <f t="shared" si="0"/>
        <v>17</v>
      </c>
      <c r="B18" s="63" t="str">
        <f>IF('6.1Personnel List'!$D$4="Level I",'Level I_Departments'!C20,'Level IIandIII_Departments'!C20)</f>
        <v>Administrative/Overhead services -&gt; Office of the Chief of Medical Professional Staff / Chief of Clinics</v>
      </c>
    </row>
    <row r="19" spans="1:2" x14ac:dyDescent="0.25">
      <c r="A19" s="63">
        <f t="shared" si="0"/>
        <v>18</v>
      </c>
      <c r="B19" s="63" t="str">
        <f>IF('6.1Personnel List'!$D$4="Level I",'Level I_Departments'!C21,'Level IIandIII_Departments'!C21)</f>
        <v>Administrative/Overhead services -&gt; Others</v>
      </c>
    </row>
    <row r="20" spans="1:2" x14ac:dyDescent="0.25">
      <c r="A20" s="63">
        <f t="shared" si="0"/>
        <v>19</v>
      </c>
      <c r="B20" s="63" t="str">
        <f>IF('6.1Personnel List'!$D$4="Level I",'Level I_Departments'!C22,'Level IIandIII_Departments'!C22)</f>
        <v>Ancillary services/Support services -&gt; Laundry</v>
      </c>
    </row>
    <row r="21" spans="1:2" x14ac:dyDescent="0.25">
      <c r="A21" s="63">
        <f t="shared" si="0"/>
        <v>20</v>
      </c>
      <c r="B21" s="63" t="str">
        <f>IF('6.1Personnel List'!$D$4="Level I",'Level I_Departments'!C23,'Level IIandIII_Departments'!C23)</f>
        <v>Ancillary services/Support services -&gt; Nutrition and Dietetics</v>
      </c>
    </row>
    <row r="22" spans="1:2" x14ac:dyDescent="0.25">
      <c r="A22" s="63">
        <f t="shared" si="0"/>
        <v>21</v>
      </c>
      <c r="B22" s="63" t="str">
        <f>IF('6.1Personnel List'!$D$4="Level I",'Level I_Departments'!C24,'Level IIandIII_Departments'!C24)</f>
        <v>Ancillary services/Support services -&gt; Sterilization</v>
      </c>
    </row>
    <row r="23" spans="1:2" x14ac:dyDescent="0.25">
      <c r="A23" s="63">
        <f t="shared" si="0"/>
        <v>22</v>
      </c>
      <c r="B23" s="63" t="str">
        <f>IF('6.1Personnel List'!$D$4="Level I",'Level I_Departments'!C25,'Level IIandIII_Departments'!C25)</f>
        <v>Ancillary services/Support services -&gt; Pharmacy</v>
      </c>
    </row>
    <row r="24" spans="1:2" x14ac:dyDescent="0.25">
      <c r="A24" s="63">
        <f t="shared" si="0"/>
        <v>23</v>
      </c>
      <c r="B24" s="63" t="str">
        <f>IF('6.1Personnel List'!$D$4="Level I",'Level I_Departments'!C26,'Level IIandIII_Departments'!C26)</f>
        <v>Ancillary services/Support services -&gt; Blood Bank</v>
      </c>
    </row>
    <row r="25" spans="1:2" x14ac:dyDescent="0.25">
      <c r="A25" s="63">
        <f t="shared" si="0"/>
        <v>24</v>
      </c>
      <c r="B25" s="63" t="str">
        <f>IF('6.1Personnel List'!$D$4="Level I",'Level I_Departments'!C27,'Level IIandIII_Departments'!C27)</f>
        <v>Ancillary services/Support services -&gt; Laboratory</v>
      </c>
    </row>
    <row r="26" spans="1:2" x14ac:dyDescent="0.25">
      <c r="A26" s="63">
        <f t="shared" si="0"/>
        <v>25</v>
      </c>
      <c r="B26" s="63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 x14ac:dyDescent="0.25">
      <c r="A27" s="63">
        <f t="shared" si="0"/>
        <v>26</v>
      </c>
      <c r="B27" s="63" t="str">
        <f>IF('6.1Personnel List'!$D$4="Level I",'Level I_Departments'!C29,'Level IIandIII_Departments'!C29)</f>
        <v>Ancillary services/Support services -&gt; Heart Station</v>
      </c>
    </row>
    <row r="28" spans="1:2" x14ac:dyDescent="0.25">
      <c r="A28" s="63">
        <f t="shared" si="0"/>
        <v>27</v>
      </c>
      <c r="B28" s="63" t="str">
        <f>IF('6.1Personnel List'!$D$4="Level I",'Level I_Departments'!C30,'Level IIandIII_Departments'!C30)</f>
        <v>Ancillary services/Support services -&gt; Physiotherapy / Rehabilitation</v>
      </c>
    </row>
    <row r="29" spans="1:2" x14ac:dyDescent="0.25">
      <c r="A29" s="63">
        <f t="shared" si="0"/>
        <v>28</v>
      </c>
      <c r="B29" s="63" t="str">
        <f>IF('6.1Personnel List'!$D$4="Level I",'Level I_Departments'!C31,'Level IIandIII_Departments'!C31)</f>
        <v>Ancillary services/Support services -&gt; Delivery Room</v>
      </c>
    </row>
    <row r="30" spans="1:2" x14ac:dyDescent="0.25">
      <c r="A30" s="63">
        <f t="shared" si="0"/>
        <v>29</v>
      </c>
      <c r="B30" s="63" t="str">
        <f>IF('6.1Personnel List'!$D$4="Level I",'Level I_Departments'!C32,'Level IIandIII_Departments'!C32)</f>
        <v>Ancillary services/Support services -&gt; Operating Room / Aneasthesiology / PACU / Recovery Room</v>
      </c>
    </row>
    <row r="31" spans="1:2" x14ac:dyDescent="0.25">
      <c r="A31" s="63">
        <f t="shared" si="0"/>
        <v>30</v>
      </c>
      <c r="B31" s="63" t="str">
        <f>IF('6.1Personnel List'!$D$4="Level I",'Level I_Departments'!C33,'Level IIandIII_Departments'!C33)</f>
        <v>Ancillary services/Support services -&gt; Respiratory Unit</v>
      </c>
    </row>
    <row r="32" spans="1:2" x14ac:dyDescent="0.25">
      <c r="A32" s="63">
        <f t="shared" si="0"/>
        <v>31</v>
      </c>
      <c r="B32" s="63" t="str">
        <f>IF('6.1Personnel List'!$D$4="Level I",'Level I_Departments'!C34,'Level IIandIII_Departments'!C34)</f>
        <v>Ancillary services/Support services -&gt; Medical ICU</v>
      </c>
    </row>
    <row r="33" spans="1:2" x14ac:dyDescent="0.25">
      <c r="A33" s="63">
        <f t="shared" si="0"/>
        <v>32</v>
      </c>
      <c r="B33" s="63" t="str">
        <f>IF('6.1Personnel List'!$D$4="Level I",'Level I_Departments'!C35,'Level IIandIII_Departments'!C35)</f>
        <v>Ancillary services/Support services -&gt; Neonatal ICU*</v>
      </c>
    </row>
    <row r="34" spans="1:2" x14ac:dyDescent="0.25">
      <c r="A34" s="63">
        <f t="shared" si="0"/>
        <v>33</v>
      </c>
      <c r="B34" s="63" t="str">
        <f>IF('6.1Personnel List'!$D$4="Level I",'Level I_Departments'!C36,'Level IIandIII_Departments'!C36)</f>
        <v>Ancillary services/Support services -&gt; Surgical ICU*</v>
      </c>
    </row>
    <row r="35" spans="1:2" x14ac:dyDescent="0.25">
      <c r="A35" s="63">
        <f t="shared" ref="A35:A67" si="1">A34+1</f>
        <v>34</v>
      </c>
      <c r="B35" s="63" t="str">
        <f>IF('6.1Personnel List'!$D$4="Level I",'Level I_Departments'!C37,'Level IIandIII_Departments'!C37)</f>
        <v>Ancillary services/Support services -&gt; Pediatric ICU*</v>
      </c>
    </row>
    <row r="36" spans="1:2" x14ac:dyDescent="0.25">
      <c r="A36" s="63">
        <f t="shared" si="1"/>
        <v>35</v>
      </c>
      <c r="B36" s="63" t="str">
        <f>IF('6.1Personnel List'!$D$4="Level I",'Level I_Departments'!C38,'Level IIandIII_Departments'!C38)</f>
        <v>Ancillary services/Support services -&gt; Burn Unit</v>
      </c>
    </row>
    <row r="37" spans="1:2" x14ac:dyDescent="0.25">
      <c r="A37" s="63">
        <f t="shared" si="1"/>
        <v>36</v>
      </c>
      <c r="B37" s="63" t="str">
        <f>IF('6.1Personnel List'!$D$4="Level I",'Level I_Departments'!C39,'Level IIandIII_Departments'!C39)</f>
        <v>Ancillary services/Support services -&gt; Morgue</v>
      </c>
    </row>
    <row r="38" spans="1:2" x14ac:dyDescent="0.25">
      <c r="A38" s="63">
        <f t="shared" si="1"/>
        <v>37</v>
      </c>
      <c r="B38" s="63" t="str">
        <f>IF('6.1Personnel List'!$D$4="Level I",'Level I_Departments'!C40,'Level IIandIII_Departments'!C40)</f>
        <v>Ancillary services/Support services -&gt; Others</v>
      </c>
    </row>
    <row r="39" spans="1:2" x14ac:dyDescent="0.25">
      <c r="A39" s="63">
        <f t="shared" si="1"/>
        <v>38</v>
      </c>
      <c r="B39" s="63" t="str">
        <f>IF('6.1Personnel List'!$D$4="Level I",'Level I_Departments'!C41,'Level IIandIII_Departments'!C41)</f>
        <v>Clinical/Medical services -&gt; Outpatient Department</v>
      </c>
    </row>
    <row r="40" spans="1:2" x14ac:dyDescent="0.25">
      <c r="A40" s="63">
        <f t="shared" si="1"/>
        <v>39</v>
      </c>
      <c r="B40" s="63" t="str">
        <f>IF('6.1Personnel List'!$D$4="Level I",'Level I_Departments'!C42,'Level IIandIII_Departments'!C42)</f>
        <v>Clinical/Medical services -&gt; Animal Bite Center</v>
      </c>
    </row>
    <row r="41" spans="1:2" x14ac:dyDescent="0.25">
      <c r="A41" s="63">
        <f t="shared" si="1"/>
        <v>40</v>
      </c>
      <c r="B41" s="63" t="str">
        <f>IF('6.1Personnel List'!$D$4="Level I",'Level I_Departments'!C43,'Level IIandIII_Departments'!C43)</f>
        <v>Clinical/Medical services -&gt; TB Dots</v>
      </c>
    </row>
    <row r="42" spans="1:2" x14ac:dyDescent="0.25">
      <c r="A42" s="63">
        <f t="shared" si="1"/>
        <v>41</v>
      </c>
      <c r="B42" s="63" t="str">
        <f>IF('6.1Personnel List'!$D$4="Level I",'Level I_Departments'!C44,'Level IIandIII_Departments'!C44)</f>
        <v>Clinical/Medical services -&gt; HIV Aids</v>
      </c>
    </row>
    <row r="43" spans="1:2" x14ac:dyDescent="0.25">
      <c r="A43" s="63">
        <f t="shared" si="1"/>
        <v>42</v>
      </c>
      <c r="B43" s="63" t="str">
        <f>IF('6.1Personnel List'!$D$4="Level I",'Level I_Departments'!C45,'Level IIandIII_Departments'!C45)</f>
        <v>Clinical/Medical services -&gt; Family Planning Unit</v>
      </c>
    </row>
    <row r="44" spans="1:2" x14ac:dyDescent="0.25">
      <c r="A44" s="63">
        <f t="shared" si="1"/>
        <v>43</v>
      </c>
      <c r="B44" s="63" t="str">
        <f>IF('6.1Personnel List'!$D$4="Level I",'Level I_Departments'!C46,'Level IIandIII_Departments'!C46)</f>
        <v>Clinical/Medical services -&gt; Smoking Cessation</v>
      </c>
    </row>
    <row r="45" spans="1:2" x14ac:dyDescent="0.25">
      <c r="A45" s="63">
        <f t="shared" si="1"/>
        <v>44</v>
      </c>
      <c r="B45" s="63" t="str">
        <f>IF('6.1Personnel List'!$D$4="Level I",'Level I_Departments'!C47,'Level IIandIII_Departments'!C47)</f>
        <v>Clinical/Medical services -&gt; Malaria</v>
      </c>
    </row>
    <row r="46" spans="1:2" x14ac:dyDescent="0.25">
      <c r="A46" s="63">
        <f t="shared" si="1"/>
        <v>45</v>
      </c>
      <c r="B46" s="63" t="str">
        <f>IF('6.1Personnel List'!$D$4="Level I",'Level I_Departments'!C48,'Level IIandIII_Departments'!C48)</f>
        <v>Clinical/Medical services -&gt; Diabetes MAP</v>
      </c>
    </row>
    <row r="47" spans="1:2" x14ac:dyDescent="0.25">
      <c r="A47" s="63">
        <f t="shared" si="1"/>
        <v>46</v>
      </c>
      <c r="B47" s="63" t="str">
        <f>IF('6.1Personnel List'!$D$4="Level I",'Level I_Departments'!C49,'Level IIandIII_Departments'!C49)</f>
        <v>Clinical/Medical services -&gt; Hypertension MAP</v>
      </c>
    </row>
    <row r="48" spans="1:2" x14ac:dyDescent="0.25">
      <c r="A48" s="63">
        <f t="shared" si="1"/>
        <v>47</v>
      </c>
      <c r="B48" s="63" t="str">
        <f>IF('6.1Personnel List'!$D$4="Level I",'Level I_Departments'!C50,'Level IIandIII_Departments'!C50)</f>
        <v>Clinical/Medical services -&gt; Emergency Medicine Department</v>
      </c>
    </row>
    <row r="49" spans="1:2" x14ac:dyDescent="0.25">
      <c r="A49" s="63">
        <f t="shared" si="1"/>
        <v>48</v>
      </c>
      <c r="B49" s="63" t="str">
        <f>IF('6.1Personnel List'!$D$4="Level I",'Level I_Departments'!C51,'Level IIandIII_Departments'!C51)</f>
        <v>Clinical/Medical services -&gt; Dialysis Unit</v>
      </c>
    </row>
    <row r="50" spans="1:2" x14ac:dyDescent="0.25">
      <c r="A50" s="63">
        <f t="shared" si="1"/>
        <v>49</v>
      </c>
      <c r="B50" s="63" t="str">
        <f>IF('6.1Personnel List'!$D$4="Level I",'Level I_Departments'!C52,'Level IIandIII_Departments'!C52)</f>
        <v>Clinical/Medical services -&gt; Nuclear Medicine</v>
      </c>
    </row>
    <row r="51" spans="1:2" x14ac:dyDescent="0.25">
      <c r="A51" s="63">
        <f t="shared" si="1"/>
        <v>50</v>
      </c>
      <c r="B51" s="63" t="str">
        <f>IF('6.1Personnel List'!$D$4="Level I",'Level I_Departments'!C53,'Level IIandIII_Departments'!C53)</f>
        <v>Clinical/Medical services -&gt; Radiation Oncology Unit*</v>
      </c>
    </row>
    <row r="52" spans="1:2" x14ac:dyDescent="0.25">
      <c r="A52" s="63">
        <f t="shared" si="1"/>
        <v>51</v>
      </c>
      <c r="B52" s="63" t="str">
        <f>IF('6.1Personnel List'!$D$4="Level I",'Level I_Departments'!C54,'Level IIandIII_Departments'!C54)</f>
        <v>Clinical/Medical services -&gt; Endoscopy Unit</v>
      </c>
    </row>
    <row r="53" spans="1:2" x14ac:dyDescent="0.25">
      <c r="A53" s="63">
        <f t="shared" si="1"/>
        <v>52</v>
      </c>
      <c r="B53" s="63" t="str">
        <f>IF('6.1Personnel List'!$D$4="Level I",'Level I_Departments'!C55,'Level IIandIII_Departments'!C55)</f>
        <v>Clinical/Medical services -&gt; Dental</v>
      </c>
    </row>
    <row r="54" spans="1:2" x14ac:dyDescent="0.25">
      <c r="A54" s="63">
        <f t="shared" si="1"/>
        <v>53</v>
      </c>
      <c r="B54" s="63" t="str">
        <f>IF('6.1Personnel List'!$D$4="Level I",'Level I_Departments'!C56,'Level IIandIII_Departments'!C56)</f>
        <v>Clinical/Medical services -&gt; Internal Medicine Ward</v>
      </c>
    </row>
    <row r="55" spans="1:2" x14ac:dyDescent="0.25">
      <c r="A55" s="63">
        <f t="shared" si="1"/>
        <v>54</v>
      </c>
      <c r="B55" s="63" t="str">
        <f>IF('6.1Personnel List'!$D$4="Level I",'Level I_Departments'!C57,'Level IIandIII_Departments'!C57)</f>
        <v>Clinical/Medical services -&gt; Pediatric Ward</v>
      </c>
    </row>
    <row r="56" spans="1:2" x14ac:dyDescent="0.25">
      <c r="A56" s="63">
        <f t="shared" si="1"/>
        <v>55</v>
      </c>
      <c r="B56" s="63" t="str">
        <f>IF('6.1Personnel List'!$D$4="Level I",'Level I_Departments'!C58,'Level IIandIII_Departments'!C58)</f>
        <v>Clinical/Medical services -&gt; Surgical Ward</v>
      </c>
    </row>
    <row r="57" spans="1:2" x14ac:dyDescent="0.25">
      <c r="A57" s="63">
        <f t="shared" si="1"/>
        <v>56</v>
      </c>
      <c r="B57" s="63" t="str">
        <f>IF('6.1Personnel List'!$D$4="Level I",'Level I_Departments'!C59,'Level IIandIII_Departments'!C59)</f>
        <v>Clinical/Medical services -&gt; Ob/Gyne Ward</v>
      </c>
    </row>
    <row r="58" spans="1:2" x14ac:dyDescent="0.25">
      <c r="A58" s="63">
        <f t="shared" si="1"/>
        <v>57</v>
      </c>
      <c r="B58" s="63" t="str">
        <f>IF('6.1Personnel List'!$D$4="Level I",'Level I_Departments'!C60,'Level IIandIII_Departments'!C60)</f>
        <v>Clinical/Medical services -&gt; Private Ward</v>
      </c>
    </row>
    <row r="59" spans="1:2" x14ac:dyDescent="0.25">
      <c r="A59" s="63">
        <f t="shared" si="1"/>
        <v>58</v>
      </c>
      <c r="B59" s="63" t="str">
        <f>IF('6.1Personnel List'!$D$4="Level I",'Level I_Departments'!C61,'Level IIandIII_Departments'!C61)</f>
        <v>Clinical/Medical services -&gt; Neurosurgery Ward*</v>
      </c>
    </row>
    <row r="60" spans="1:2" x14ac:dyDescent="0.25">
      <c r="A60" s="63">
        <f t="shared" si="1"/>
        <v>59</v>
      </c>
      <c r="B60" s="63" t="str">
        <f>IF('6.1Personnel List'!$D$4="Level I",'Level I_Departments'!C62,'Level IIandIII_Departments'!C62)</f>
        <v>Clinical/Medical services -&gt; Orthopedic Ward*</v>
      </c>
    </row>
    <row r="61" spans="1:2" x14ac:dyDescent="0.25">
      <c r="A61" s="63">
        <f t="shared" si="1"/>
        <v>60</v>
      </c>
      <c r="B61" s="63" t="str">
        <f>IF('6.1Personnel List'!$D$4="Level I",'Level I_Departments'!C63,'Level IIandIII_Departments'!C63)</f>
        <v>Clinical/Medical services -&gt; Psychiatric Ward*</v>
      </c>
    </row>
    <row r="62" spans="1:2" x14ac:dyDescent="0.25">
      <c r="A62" s="63">
        <f t="shared" si="1"/>
        <v>61</v>
      </c>
      <c r="B62" s="63" t="str">
        <f>IF('6.1Personnel List'!$D$4="Level I",'Level I_Departments'!C64,'Level IIandIII_Departments'!C64)</f>
        <v>Clinical/Medical services -&gt; ENT Ward*</v>
      </c>
    </row>
    <row r="63" spans="1:2" x14ac:dyDescent="0.25">
      <c r="A63" s="63">
        <f t="shared" si="1"/>
        <v>62</v>
      </c>
      <c r="B63" s="63">
        <f>IF('6.1Personnel List'!$D$4="Level I",'Level I_Departments'!C65,'Level IIandIII_Departments'!C65)</f>
        <v>0</v>
      </c>
    </row>
    <row r="64" spans="1:2" x14ac:dyDescent="0.25">
      <c r="A64" s="63">
        <f t="shared" si="1"/>
        <v>63</v>
      </c>
      <c r="B64" s="63">
        <f>IF('6.1Personnel List'!$D$4="Level I",'Level I_Departments'!C66,'Level IIandIII_Departments'!C66)</f>
        <v>0</v>
      </c>
    </row>
    <row r="65" spans="1:2" x14ac:dyDescent="0.25">
      <c r="A65" s="63">
        <f t="shared" si="1"/>
        <v>64</v>
      </c>
      <c r="B65" s="63">
        <f>IF('6.1Personnel List'!$D$4="Level I",'Level I_Departments'!C67,'Level IIandIII_Departments'!C67)</f>
        <v>0</v>
      </c>
    </row>
    <row r="66" spans="1:2" x14ac:dyDescent="0.25">
      <c r="A66" s="63">
        <f t="shared" si="1"/>
        <v>65</v>
      </c>
      <c r="B66" s="63">
        <f>IF('6.1Personnel List'!$D$4="Level I",'Level I_Departments'!C68,'Level IIandIII_Departments'!C68)</f>
        <v>0</v>
      </c>
    </row>
    <row r="67" spans="1:2" x14ac:dyDescent="0.25">
      <c r="A67" s="63">
        <f t="shared" si="1"/>
        <v>66</v>
      </c>
      <c r="B67" s="63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2578125" defaultRowHeight="15" customHeight="1" x14ac:dyDescent="0.25"/>
  <cols>
    <col min="1" max="1" width="39.5703125" style="32" customWidth="1"/>
    <col min="2" max="2" width="65.7109375" style="32" customWidth="1"/>
    <col min="3" max="3" width="86.5703125" style="32" bestFit="1" customWidth="1"/>
    <col min="4" max="16384" width="14.42578125" style="32"/>
  </cols>
  <sheetData>
    <row r="1" spans="1:3" ht="15" customHeight="1" x14ac:dyDescent="0.3">
      <c r="A1" s="62" t="s">
        <v>98</v>
      </c>
      <c r="B1" s="35"/>
    </row>
    <row r="2" spans="1:3" ht="15" customHeight="1" x14ac:dyDescent="0.3">
      <c r="A2" s="35"/>
      <c r="B2" s="35"/>
    </row>
    <row r="3" spans="1:3" ht="15" customHeight="1" x14ac:dyDescent="0.3">
      <c r="A3" s="61" t="s">
        <v>97</v>
      </c>
      <c r="B3" s="60" t="s">
        <v>96</v>
      </c>
    </row>
    <row r="4" spans="1:3" ht="15" customHeight="1" x14ac:dyDescent="0.3">
      <c r="A4" s="56" t="s">
        <v>21</v>
      </c>
      <c r="B4" s="60" t="s">
        <v>22</v>
      </c>
      <c r="C4" s="33" t="str">
        <f t="shared" ref="C4:C35" si="0">CONCATENATE(A4, " -&gt; ",B4)</f>
        <v>Administrative/Overhead services -&gt; Office of the Medical Center Chief</v>
      </c>
    </row>
    <row r="5" spans="1:3" ht="15" customHeight="1" x14ac:dyDescent="0.3">
      <c r="A5" s="56" t="s">
        <v>21</v>
      </c>
      <c r="B5" s="59" t="s">
        <v>85</v>
      </c>
      <c r="C5" s="33" t="str">
        <f t="shared" si="0"/>
        <v>Administrative/Overhead services -&gt; IT Departments</v>
      </c>
    </row>
    <row r="6" spans="1:3" ht="15" customHeight="1" x14ac:dyDescent="0.3">
      <c r="A6" s="56" t="s">
        <v>21</v>
      </c>
      <c r="B6" s="59" t="s">
        <v>23</v>
      </c>
      <c r="C6" s="33" t="str">
        <f t="shared" si="0"/>
        <v>Administrative/Overhead services -&gt; Office of the Administrative Officer</v>
      </c>
    </row>
    <row r="7" spans="1:3" ht="15" customHeight="1" x14ac:dyDescent="0.3">
      <c r="A7" s="56" t="s">
        <v>21</v>
      </c>
      <c r="B7" s="59" t="s">
        <v>24</v>
      </c>
      <c r="C7" s="33" t="str">
        <f t="shared" si="0"/>
        <v>Administrative/Overhead services -&gt; Human Resource Management</v>
      </c>
    </row>
    <row r="8" spans="1:3" ht="15" customHeight="1" x14ac:dyDescent="0.3">
      <c r="A8" s="56" t="s">
        <v>21</v>
      </c>
      <c r="B8" s="59" t="s">
        <v>25</v>
      </c>
      <c r="C8" s="33" t="str">
        <f t="shared" si="0"/>
        <v>Administrative/Overhead services -&gt; Procurement</v>
      </c>
    </row>
    <row r="9" spans="1:3" ht="15" customHeight="1" x14ac:dyDescent="0.3">
      <c r="A9" s="56" t="s">
        <v>21</v>
      </c>
      <c r="B9" s="59" t="s">
        <v>26</v>
      </c>
      <c r="C9" s="33" t="str">
        <f t="shared" si="0"/>
        <v>Administrative/Overhead services -&gt; Materials Management</v>
      </c>
    </row>
    <row r="10" spans="1:3" ht="15" customHeight="1" x14ac:dyDescent="0.3">
      <c r="A10" s="56" t="s">
        <v>21</v>
      </c>
      <c r="B10" s="59" t="s">
        <v>27</v>
      </c>
      <c r="C10" s="33" t="str">
        <f t="shared" si="0"/>
        <v>Administrative/Overhead services -&gt; Engineering and Facilities Management</v>
      </c>
    </row>
    <row r="11" spans="1:3" ht="15" customHeight="1" x14ac:dyDescent="0.3">
      <c r="A11" s="56" t="s">
        <v>21</v>
      </c>
      <c r="B11" s="59" t="s">
        <v>86</v>
      </c>
      <c r="C11" s="33" t="str">
        <f t="shared" si="0"/>
        <v>Administrative/Overhead services -&gt; Housekeeping</v>
      </c>
    </row>
    <row r="12" spans="1:3" ht="15" customHeight="1" x14ac:dyDescent="0.3">
      <c r="A12" s="56" t="s">
        <v>21</v>
      </c>
      <c r="B12" s="59" t="s">
        <v>28</v>
      </c>
      <c r="C12" s="33" t="str">
        <f t="shared" si="0"/>
        <v>Administrative/Overhead services -&gt; Budget and Accounting</v>
      </c>
    </row>
    <row r="13" spans="1:3" ht="15" customHeight="1" x14ac:dyDescent="0.3">
      <c r="A13" s="56" t="s">
        <v>21</v>
      </c>
      <c r="B13" s="59" t="s">
        <v>29</v>
      </c>
      <c r="C13" s="33" t="str">
        <f t="shared" si="0"/>
        <v>Administrative/Overhead services -&gt; Medical Social Work</v>
      </c>
    </row>
    <row r="14" spans="1:3" ht="15" customHeight="1" x14ac:dyDescent="0.3">
      <c r="A14" s="56" t="s">
        <v>21</v>
      </c>
      <c r="B14" s="59" t="s">
        <v>30</v>
      </c>
      <c r="C14" s="33" t="str">
        <f t="shared" si="0"/>
        <v>Administrative/Overhead services -&gt; Office of the Chief Nurse</v>
      </c>
    </row>
    <row r="15" spans="1:3" ht="15" customHeight="1" x14ac:dyDescent="0.3">
      <c r="A15" s="56" t="s">
        <v>21</v>
      </c>
      <c r="B15" s="59" t="s">
        <v>31</v>
      </c>
      <c r="C15" s="33" t="str">
        <f t="shared" si="0"/>
        <v>Administrative/Overhead services -&gt; Health Info Mgt (Admitting)</v>
      </c>
    </row>
    <row r="16" spans="1:3" ht="15" customHeight="1" x14ac:dyDescent="0.3">
      <c r="A16" s="56" t="s">
        <v>21</v>
      </c>
      <c r="B16" s="59" t="s">
        <v>32</v>
      </c>
      <c r="C16" s="33" t="str">
        <f t="shared" si="0"/>
        <v>Administrative/Overhead services -&gt; Central Supply Office</v>
      </c>
    </row>
    <row r="17" spans="1:3" ht="15" customHeight="1" x14ac:dyDescent="0.3">
      <c r="A17" s="56" t="s">
        <v>21</v>
      </c>
      <c r="B17" s="59" t="s">
        <v>33</v>
      </c>
      <c r="C17" s="33" t="str">
        <f t="shared" si="0"/>
        <v>Administrative/Overhead services -&gt; Billing and Claims</v>
      </c>
    </row>
    <row r="18" spans="1:3" ht="15" customHeight="1" x14ac:dyDescent="0.3">
      <c r="A18" s="56" t="s">
        <v>21</v>
      </c>
      <c r="B18" s="59" t="s">
        <v>34</v>
      </c>
      <c r="C18" s="33" t="str">
        <f t="shared" si="0"/>
        <v>Administrative/Overhead services -&gt; Cash Operations</v>
      </c>
    </row>
    <row r="19" spans="1:3" ht="15" customHeight="1" x14ac:dyDescent="0.3">
      <c r="A19" s="56" t="s">
        <v>21</v>
      </c>
      <c r="B19" s="59" t="s">
        <v>35</v>
      </c>
      <c r="C19" s="33" t="str">
        <f t="shared" si="0"/>
        <v>Administrative/Overhead services -&gt; Security</v>
      </c>
    </row>
    <row r="20" spans="1:3" ht="15" customHeight="1" x14ac:dyDescent="0.3">
      <c r="A20" s="56" t="s">
        <v>21</v>
      </c>
      <c r="B20" s="59" t="s">
        <v>36</v>
      </c>
      <c r="C20" s="33" t="str">
        <f t="shared" si="0"/>
        <v>Administrative/Overhead services -&gt; Office of the Chief of Medical Professional Staff</v>
      </c>
    </row>
    <row r="21" spans="1:3" ht="15" customHeight="1" x14ac:dyDescent="0.3">
      <c r="A21" s="56" t="s">
        <v>21</v>
      </c>
      <c r="B21" s="56" t="s">
        <v>66</v>
      </c>
      <c r="C21" s="33" t="str">
        <f t="shared" si="0"/>
        <v>Administrative/Overhead services -&gt; Others</v>
      </c>
    </row>
    <row r="22" spans="1:3" ht="15" customHeight="1" x14ac:dyDescent="0.3">
      <c r="A22" s="53" t="s">
        <v>37</v>
      </c>
      <c r="B22" s="53" t="s">
        <v>38</v>
      </c>
      <c r="C22" s="33" t="str">
        <f t="shared" si="0"/>
        <v>Ancillary services/Support services -&gt; Laundry</v>
      </c>
    </row>
    <row r="23" spans="1:3" ht="15" customHeight="1" x14ac:dyDescent="0.3">
      <c r="A23" s="53" t="s">
        <v>37</v>
      </c>
      <c r="B23" s="53" t="s">
        <v>41</v>
      </c>
      <c r="C23" s="33" t="str">
        <f t="shared" si="0"/>
        <v>Ancillary services/Support services -&gt; Nutrition and Dietetics</v>
      </c>
    </row>
    <row r="24" spans="1:3" ht="15" customHeight="1" x14ac:dyDescent="0.3">
      <c r="A24" s="53" t="s">
        <v>37</v>
      </c>
      <c r="B24" s="55" t="s">
        <v>67</v>
      </c>
      <c r="C24" s="33" t="str">
        <f t="shared" si="0"/>
        <v>Ancillary services/Support services -&gt; Sterilization</v>
      </c>
    </row>
    <row r="25" spans="1:3" ht="15" customHeight="1" x14ac:dyDescent="0.3">
      <c r="A25" s="53" t="s">
        <v>37</v>
      </c>
      <c r="B25" s="53" t="s">
        <v>40</v>
      </c>
      <c r="C25" s="33" t="str">
        <f t="shared" si="0"/>
        <v>Ancillary services/Support services -&gt; Pharmacy</v>
      </c>
    </row>
    <row r="26" spans="1:3" ht="16.5" x14ac:dyDescent="0.3">
      <c r="A26" s="53" t="s">
        <v>37</v>
      </c>
      <c r="B26" s="55" t="s">
        <v>39</v>
      </c>
      <c r="C26" s="33" t="str">
        <f t="shared" si="0"/>
        <v>Ancillary services/Support services -&gt; Blood Bank</v>
      </c>
    </row>
    <row r="27" spans="1:3" ht="16.5" x14ac:dyDescent="0.3">
      <c r="A27" s="53" t="s">
        <v>37</v>
      </c>
      <c r="B27" s="53" t="s">
        <v>68</v>
      </c>
      <c r="C27" s="33" t="str">
        <f t="shared" si="0"/>
        <v>Ancillary services/Support services -&gt; Laboratory</v>
      </c>
    </row>
    <row r="28" spans="1:3" ht="16.5" x14ac:dyDescent="0.3">
      <c r="A28" s="53" t="s">
        <v>37</v>
      </c>
      <c r="B28" s="53" t="s">
        <v>69</v>
      </c>
      <c r="C28" s="33" t="str">
        <f t="shared" si="0"/>
        <v>Ancillary services/Support services -&gt; Radiology / Diagnostic Imaging (CT Scan, MRI, ECG, Mammography, Endoscopy)</v>
      </c>
    </row>
    <row r="29" spans="1:3" ht="16.5" x14ac:dyDescent="0.3">
      <c r="A29" s="53" t="s">
        <v>37</v>
      </c>
      <c r="B29" s="53" t="s">
        <v>71</v>
      </c>
      <c r="C29" s="33" t="str">
        <f t="shared" si="0"/>
        <v>Ancillary services/Support services -&gt; Physiotherapy / Rehabilitation</v>
      </c>
    </row>
    <row r="30" spans="1:3" ht="16.5" x14ac:dyDescent="0.3">
      <c r="A30" s="53" t="s">
        <v>37</v>
      </c>
      <c r="B30" s="53" t="s">
        <v>5</v>
      </c>
      <c r="C30" s="33" t="str">
        <f t="shared" si="0"/>
        <v>Ancillary services/Support services -&gt; Delivery Room</v>
      </c>
    </row>
    <row r="31" spans="1:3" ht="16.5" x14ac:dyDescent="0.3">
      <c r="A31" s="53" t="s">
        <v>37</v>
      </c>
      <c r="B31" s="58" t="s">
        <v>42</v>
      </c>
      <c r="C31" s="33" t="str">
        <f t="shared" si="0"/>
        <v>Ancillary services/Support services -&gt; Operating Room / Aneasthesiology / PACU / Recovery Room</v>
      </c>
    </row>
    <row r="32" spans="1:3" ht="16.5" x14ac:dyDescent="0.3">
      <c r="A32" s="53" t="s">
        <v>37</v>
      </c>
      <c r="B32" s="53" t="s">
        <v>72</v>
      </c>
      <c r="C32" s="33" t="str">
        <f t="shared" si="0"/>
        <v>Ancillary services/Support services -&gt; Respiratory Unit</v>
      </c>
    </row>
    <row r="33" spans="1:3" ht="16.5" x14ac:dyDescent="0.3">
      <c r="A33" s="53" t="s">
        <v>37</v>
      </c>
      <c r="B33" s="58" t="s">
        <v>43</v>
      </c>
      <c r="C33" s="33" t="str">
        <f t="shared" si="0"/>
        <v>Ancillary services/Support services -&gt; Medical ICU</v>
      </c>
    </row>
    <row r="34" spans="1:3" ht="16.5" x14ac:dyDescent="0.3">
      <c r="A34" s="53" t="s">
        <v>37</v>
      </c>
      <c r="B34" s="58" t="s">
        <v>44</v>
      </c>
      <c r="C34" s="33" t="str">
        <f t="shared" si="0"/>
        <v>Ancillary services/Support services -&gt; Neonatal ICU*</v>
      </c>
    </row>
    <row r="35" spans="1:3" ht="16.5" x14ac:dyDescent="0.3">
      <c r="A35" s="53" t="s">
        <v>37</v>
      </c>
      <c r="B35" s="58" t="s">
        <v>45</v>
      </c>
      <c r="C35" s="33" t="str">
        <f t="shared" si="0"/>
        <v>Ancillary services/Support services -&gt; Surgical ICU*</v>
      </c>
    </row>
    <row r="36" spans="1:3" ht="16.5" x14ac:dyDescent="0.3">
      <c r="A36" s="53" t="s">
        <v>37</v>
      </c>
      <c r="B36" s="58" t="s">
        <v>46</v>
      </c>
      <c r="C36" s="33" t="str">
        <f t="shared" ref="C36:C57" si="1">CONCATENATE(A36, " -&gt; ",B36)</f>
        <v>Ancillary services/Support services -&gt; Pediatric ICU*</v>
      </c>
    </row>
    <row r="37" spans="1:3" ht="16.5" x14ac:dyDescent="0.3">
      <c r="A37" s="53" t="s">
        <v>37</v>
      </c>
      <c r="B37" s="55" t="s">
        <v>73</v>
      </c>
      <c r="C37" s="33" t="str">
        <f t="shared" si="1"/>
        <v>Ancillary services/Support services -&gt; Burn Unit</v>
      </c>
    </row>
    <row r="38" spans="1:3" ht="16.5" x14ac:dyDescent="0.3">
      <c r="A38" s="53" t="s">
        <v>37</v>
      </c>
      <c r="B38" s="55" t="s">
        <v>74</v>
      </c>
      <c r="C38" s="33" t="str">
        <f t="shared" si="1"/>
        <v>Ancillary services/Support services -&gt; Morgue</v>
      </c>
    </row>
    <row r="39" spans="1:3" ht="16.5" x14ac:dyDescent="0.3">
      <c r="A39" s="53" t="s">
        <v>37</v>
      </c>
      <c r="B39" s="57" t="s">
        <v>66</v>
      </c>
      <c r="C39" s="33" t="str">
        <f t="shared" si="1"/>
        <v>Ancillary services/Support services -&gt; Others</v>
      </c>
    </row>
    <row r="40" spans="1:3" ht="16.5" x14ac:dyDescent="0.3">
      <c r="A40" s="54" t="s">
        <v>48</v>
      </c>
      <c r="B40" s="56" t="s">
        <v>87</v>
      </c>
      <c r="C40" s="33" t="str">
        <f t="shared" si="1"/>
        <v>Clinical/Medical services -&gt; Outpatient Department (general)</v>
      </c>
    </row>
    <row r="41" spans="1:3" ht="16.5" x14ac:dyDescent="0.3">
      <c r="A41" s="54" t="s">
        <v>48</v>
      </c>
      <c r="B41" s="53" t="s">
        <v>75</v>
      </c>
      <c r="C41" s="33" t="str">
        <f t="shared" si="1"/>
        <v>Clinical/Medical services -&gt; Animal Bite Center</v>
      </c>
    </row>
    <row r="42" spans="1:3" ht="16.5" x14ac:dyDescent="0.3">
      <c r="A42" s="54" t="s">
        <v>48</v>
      </c>
      <c r="B42" s="53" t="s">
        <v>76</v>
      </c>
      <c r="C42" s="33" t="str">
        <f t="shared" si="1"/>
        <v>Clinical/Medical services -&gt; TB Dots</v>
      </c>
    </row>
    <row r="43" spans="1:3" ht="16.5" x14ac:dyDescent="0.3">
      <c r="A43" s="54" t="s">
        <v>48</v>
      </c>
      <c r="B43" s="53" t="s">
        <v>77</v>
      </c>
      <c r="C43" s="33" t="str">
        <f t="shared" si="1"/>
        <v>Clinical/Medical services -&gt; HIV Aids</v>
      </c>
    </row>
    <row r="44" spans="1:3" ht="16.5" x14ac:dyDescent="0.3">
      <c r="A44" s="54" t="s">
        <v>48</v>
      </c>
      <c r="B44" s="53" t="s">
        <v>78</v>
      </c>
      <c r="C44" s="33" t="str">
        <f t="shared" si="1"/>
        <v>Clinical/Medical services -&gt; Family Planning Unit</v>
      </c>
    </row>
    <row r="45" spans="1:3" ht="16.5" x14ac:dyDescent="0.3">
      <c r="A45" s="54" t="s">
        <v>48</v>
      </c>
      <c r="B45" s="53" t="s">
        <v>79</v>
      </c>
      <c r="C45" s="33" t="str">
        <f t="shared" si="1"/>
        <v>Clinical/Medical services -&gt; Smoking Cessation</v>
      </c>
    </row>
    <row r="46" spans="1:3" ht="16.5" x14ac:dyDescent="0.3">
      <c r="A46" s="54" t="s">
        <v>48</v>
      </c>
      <c r="B46" s="53" t="s">
        <v>80</v>
      </c>
      <c r="C46" s="33" t="str">
        <f t="shared" si="1"/>
        <v>Clinical/Medical services -&gt; Malaria</v>
      </c>
    </row>
    <row r="47" spans="1:3" ht="16.5" x14ac:dyDescent="0.3">
      <c r="A47" s="54" t="s">
        <v>48</v>
      </c>
      <c r="B47" s="55" t="s">
        <v>88</v>
      </c>
      <c r="C47" s="33" t="str">
        <f t="shared" si="1"/>
        <v xml:space="preserve">Clinical/Medical services -&gt; Diabetes </v>
      </c>
    </row>
    <row r="48" spans="1:3" ht="16.5" x14ac:dyDescent="0.3">
      <c r="A48" s="54" t="s">
        <v>48</v>
      </c>
      <c r="B48" s="53" t="s">
        <v>89</v>
      </c>
      <c r="C48" s="33" t="str">
        <f t="shared" si="1"/>
        <v>Clinical/Medical services -&gt; Hypertension</v>
      </c>
    </row>
    <row r="49" spans="1:3" ht="16.5" x14ac:dyDescent="0.3">
      <c r="A49" s="54" t="s">
        <v>48</v>
      </c>
      <c r="B49" s="53" t="s">
        <v>50</v>
      </c>
      <c r="C49" s="33" t="str">
        <f t="shared" si="1"/>
        <v>Clinical/Medical services -&gt; Emergency Medicine Department</v>
      </c>
    </row>
    <row r="50" spans="1:3" ht="16.5" x14ac:dyDescent="0.3">
      <c r="A50" s="54" t="s">
        <v>48</v>
      </c>
      <c r="B50" s="53" t="s">
        <v>6</v>
      </c>
      <c r="C50" s="33" t="str">
        <f t="shared" si="1"/>
        <v>Clinical/Medical services -&gt; Dialysis Unit</v>
      </c>
    </row>
    <row r="51" spans="1:3" ht="16.5" x14ac:dyDescent="0.3">
      <c r="A51" s="54" t="s">
        <v>48</v>
      </c>
      <c r="B51" s="53" t="s">
        <v>47</v>
      </c>
      <c r="C51" s="33" t="str">
        <f t="shared" si="1"/>
        <v>Clinical/Medical services -&gt; Radiation Oncology Unit*</v>
      </c>
    </row>
    <row r="52" spans="1:3" ht="16.5" x14ac:dyDescent="0.3">
      <c r="A52" s="54" t="s">
        <v>48</v>
      </c>
      <c r="B52" s="53" t="s">
        <v>51</v>
      </c>
      <c r="C52" s="33" t="str">
        <f t="shared" si="1"/>
        <v>Clinical/Medical services -&gt; Dental</v>
      </c>
    </row>
    <row r="53" spans="1:3" ht="16.5" x14ac:dyDescent="0.3">
      <c r="A53" s="54" t="s">
        <v>48</v>
      </c>
      <c r="B53" s="53" t="s">
        <v>52</v>
      </c>
      <c r="C53" s="33" t="str">
        <f t="shared" si="1"/>
        <v>Clinical/Medical services -&gt; Internal Medicine Ward</v>
      </c>
    </row>
    <row r="54" spans="1:3" ht="16.5" x14ac:dyDescent="0.3">
      <c r="A54" s="54" t="s">
        <v>48</v>
      </c>
      <c r="B54" s="53" t="s">
        <v>53</v>
      </c>
      <c r="C54" s="33" t="str">
        <f t="shared" si="1"/>
        <v>Clinical/Medical services -&gt; Pediatric Ward</v>
      </c>
    </row>
    <row r="55" spans="1:3" ht="16.5" x14ac:dyDescent="0.3">
      <c r="A55" s="54" t="s">
        <v>48</v>
      </c>
      <c r="B55" s="53" t="s">
        <v>54</v>
      </c>
      <c r="C55" s="33" t="str">
        <f t="shared" si="1"/>
        <v>Clinical/Medical services -&gt; Surgical Ward</v>
      </c>
    </row>
    <row r="56" spans="1:3" ht="16.5" x14ac:dyDescent="0.3">
      <c r="A56" s="54" t="s">
        <v>48</v>
      </c>
      <c r="B56" s="53" t="s">
        <v>55</v>
      </c>
      <c r="C56" s="33" t="str">
        <f t="shared" si="1"/>
        <v>Clinical/Medical services -&gt; Ob/Gyne Ward</v>
      </c>
    </row>
    <row r="57" spans="1:3" ht="16.5" x14ac:dyDescent="0.3">
      <c r="A57" s="54" t="s">
        <v>48</v>
      </c>
      <c r="B57" s="53" t="s">
        <v>56</v>
      </c>
      <c r="C57" s="33" t="str">
        <f t="shared" si="1"/>
        <v>Clinical/Medical services -&gt; Private Ward</v>
      </c>
    </row>
    <row r="58" spans="1:3" ht="16.5" x14ac:dyDescent="0.3">
      <c r="A58" s="35"/>
      <c r="B58" s="35"/>
    </row>
    <row r="59" spans="1:3" ht="16.5" x14ac:dyDescent="0.3">
      <c r="A59" s="35"/>
      <c r="B59" s="35"/>
    </row>
    <row r="60" spans="1:3" ht="16.5" x14ac:dyDescent="0.3">
      <c r="A60" s="35"/>
      <c r="B60" s="35"/>
    </row>
    <row r="61" spans="1:3" ht="16.5" x14ac:dyDescent="0.3">
      <c r="A61" s="35"/>
      <c r="B61" s="35"/>
    </row>
    <row r="62" spans="1:3" ht="16.5" x14ac:dyDescent="0.3">
      <c r="A62" s="35" t="s">
        <v>95</v>
      </c>
      <c r="B62" s="52" t="s">
        <v>94</v>
      </c>
    </row>
    <row r="63" spans="1:3" ht="16.5" x14ac:dyDescent="0.3">
      <c r="A63" s="35"/>
      <c r="B63" s="52" t="s">
        <v>93</v>
      </c>
    </row>
    <row r="64" spans="1:3" ht="16.5" x14ac:dyDescent="0.3">
      <c r="A64" s="51"/>
      <c r="B64" s="51"/>
    </row>
    <row r="65" spans="1:2" ht="16.5" x14ac:dyDescent="0.3">
      <c r="A65" s="51"/>
      <c r="B65" s="51"/>
    </row>
    <row r="66" spans="1:2" ht="16.5" x14ac:dyDescent="0.3">
      <c r="A66" s="51"/>
      <c r="B66" s="51"/>
    </row>
    <row r="67" spans="1:2" ht="16.5" x14ac:dyDescent="0.3">
      <c r="A67" s="51"/>
      <c r="B67" s="51"/>
    </row>
    <row r="68" spans="1:2" ht="16.5" x14ac:dyDescent="0.3">
      <c r="A68" s="51"/>
      <c r="B68" s="51"/>
    </row>
    <row r="69" spans="1:2" ht="16.5" x14ac:dyDescent="0.3">
      <c r="A69" s="51"/>
      <c r="B69" s="51"/>
    </row>
    <row r="70" spans="1:2" ht="16.5" x14ac:dyDescent="0.3">
      <c r="A70" s="51"/>
      <c r="B70" s="51"/>
    </row>
    <row r="71" spans="1:2" ht="16.5" x14ac:dyDescent="0.3">
      <c r="A71" s="51"/>
      <c r="B71" s="51"/>
    </row>
    <row r="72" spans="1:2" ht="16.5" x14ac:dyDescent="0.3">
      <c r="A72" s="51"/>
      <c r="B72" s="51"/>
    </row>
    <row r="73" spans="1:2" ht="16.5" x14ac:dyDescent="0.3">
      <c r="A73" s="51"/>
      <c r="B73" s="51"/>
    </row>
    <row r="74" spans="1:2" ht="16.5" x14ac:dyDescent="0.3">
      <c r="A74" s="51"/>
      <c r="B74" s="51"/>
    </row>
    <row r="75" spans="1:2" ht="16.5" x14ac:dyDescent="0.3">
      <c r="A75" s="51"/>
      <c r="B75" s="51"/>
    </row>
    <row r="76" spans="1:2" ht="16.5" x14ac:dyDescent="0.3">
      <c r="A76" s="51"/>
      <c r="B76" s="51"/>
    </row>
    <row r="77" spans="1:2" ht="16.5" x14ac:dyDescent="0.3">
      <c r="A77" s="51"/>
      <c r="B77" s="51"/>
    </row>
    <row r="78" spans="1:2" ht="16.5" x14ac:dyDescent="0.3">
      <c r="A78" s="51"/>
      <c r="B78" s="51"/>
    </row>
    <row r="79" spans="1:2" ht="16.5" x14ac:dyDescent="0.3">
      <c r="A79" s="51"/>
      <c r="B79" s="51"/>
    </row>
    <row r="80" spans="1:2" ht="16.5" x14ac:dyDescent="0.3">
      <c r="A80" s="51"/>
      <c r="B80" s="51"/>
    </row>
    <row r="81" spans="1:2" ht="16.5" x14ac:dyDescent="0.3">
      <c r="A81" s="51"/>
      <c r="B81" s="51"/>
    </row>
    <row r="82" spans="1:2" ht="16.5" x14ac:dyDescent="0.3">
      <c r="A82" s="51"/>
      <c r="B82" s="51"/>
    </row>
    <row r="83" spans="1:2" ht="16.5" x14ac:dyDescent="0.3">
      <c r="A83" s="51"/>
      <c r="B83" s="51"/>
    </row>
    <row r="84" spans="1:2" ht="16.5" x14ac:dyDescent="0.3">
      <c r="A84" s="51"/>
      <c r="B84" s="51"/>
    </row>
    <row r="85" spans="1:2" ht="16.5" x14ac:dyDescent="0.3">
      <c r="A85" s="51"/>
      <c r="B85" s="51"/>
    </row>
    <row r="86" spans="1:2" ht="16.5" x14ac:dyDescent="0.3">
      <c r="A86" s="51"/>
      <c r="B86" s="51"/>
    </row>
    <row r="87" spans="1:2" ht="16.5" x14ac:dyDescent="0.3">
      <c r="A87" s="51"/>
      <c r="B87" s="51"/>
    </row>
    <row r="88" spans="1:2" ht="16.5" x14ac:dyDescent="0.3">
      <c r="A88" s="51"/>
      <c r="B88" s="51"/>
    </row>
    <row r="89" spans="1:2" ht="16.5" x14ac:dyDescent="0.3">
      <c r="A89" s="51"/>
      <c r="B89" s="51"/>
    </row>
    <row r="90" spans="1:2" ht="16.5" x14ac:dyDescent="0.3">
      <c r="A90" s="51"/>
      <c r="B90" s="51"/>
    </row>
    <row r="91" spans="1:2" ht="16.5" x14ac:dyDescent="0.3">
      <c r="A91" s="51"/>
      <c r="B91" s="51"/>
    </row>
    <row r="92" spans="1:2" ht="16.5" x14ac:dyDescent="0.3">
      <c r="A92" s="51"/>
      <c r="B92" s="51"/>
    </row>
    <row r="93" spans="1:2" ht="16.5" x14ac:dyDescent="0.3">
      <c r="A93" s="51"/>
      <c r="B93" s="51"/>
    </row>
    <row r="94" spans="1:2" ht="16.5" x14ac:dyDescent="0.3">
      <c r="A94" s="51"/>
      <c r="B94" s="51"/>
    </row>
    <row r="95" spans="1:2" ht="16.5" x14ac:dyDescent="0.3">
      <c r="A95" s="51"/>
      <c r="B95" s="51"/>
    </row>
    <row r="96" spans="1:2" ht="16.5" x14ac:dyDescent="0.3">
      <c r="A96" s="51"/>
      <c r="B96" s="51"/>
    </row>
    <row r="97" spans="1:2" ht="16.5" x14ac:dyDescent="0.3">
      <c r="A97" s="51"/>
      <c r="B97" s="51"/>
    </row>
    <row r="98" spans="1:2" ht="16.5" x14ac:dyDescent="0.3">
      <c r="A98" s="51"/>
      <c r="B98" s="51"/>
    </row>
    <row r="99" spans="1:2" ht="16.5" x14ac:dyDescent="0.3">
      <c r="A99" s="51"/>
      <c r="B99" s="51"/>
    </row>
    <row r="100" spans="1:2" ht="16.5" x14ac:dyDescent="0.3">
      <c r="A100" s="51"/>
      <c r="B100" s="51"/>
    </row>
    <row r="101" spans="1:2" ht="16.5" x14ac:dyDescent="0.3">
      <c r="A101" s="51"/>
      <c r="B101" s="51"/>
    </row>
    <row r="102" spans="1:2" ht="16.5" x14ac:dyDescent="0.3">
      <c r="A102" s="51"/>
      <c r="B102" s="51"/>
    </row>
    <row r="103" spans="1:2" ht="16.5" x14ac:dyDescent="0.3">
      <c r="A103" s="51"/>
      <c r="B103" s="51"/>
    </row>
    <row r="104" spans="1:2" ht="16.5" x14ac:dyDescent="0.3">
      <c r="A104" s="51"/>
      <c r="B104" s="51"/>
    </row>
    <row r="105" spans="1:2" ht="16.5" x14ac:dyDescent="0.3">
      <c r="A105" s="51"/>
      <c r="B105" s="51"/>
    </row>
    <row r="106" spans="1:2" ht="16.5" x14ac:dyDescent="0.3">
      <c r="A106" s="51"/>
      <c r="B106" s="51"/>
    </row>
    <row r="107" spans="1:2" ht="16.5" x14ac:dyDescent="0.3">
      <c r="A107" s="51"/>
      <c r="B107" s="51"/>
    </row>
    <row r="108" spans="1:2" ht="16.5" x14ac:dyDescent="0.3">
      <c r="A108" s="51"/>
      <c r="B108" s="51"/>
    </row>
    <row r="109" spans="1:2" ht="16.5" x14ac:dyDescent="0.3">
      <c r="A109" s="51"/>
      <c r="B109" s="51"/>
    </row>
    <row r="110" spans="1:2" ht="16.5" x14ac:dyDescent="0.3">
      <c r="A110" s="51"/>
      <c r="B110" s="51"/>
    </row>
    <row r="111" spans="1:2" ht="16.5" x14ac:dyDescent="0.3">
      <c r="A111" s="51"/>
      <c r="B111" s="51"/>
    </row>
    <row r="112" spans="1:2" ht="16.5" x14ac:dyDescent="0.3">
      <c r="A112" s="51"/>
      <c r="B112" s="51"/>
    </row>
    <row r="113" spans="1:2" ht="16.5" x14ac:dyDescent="0.3">
      <c r="A113" s="51"/>
      <c r="B113" s="51"/>
    </row>
    <row r="114" spans="1:2" ht="16.5" x14ac:dyDescent="0.3">
      <c r="A114" s="51"/>
      <c r="B114" s="51"/>
    </row>
    <row r="115" spans="1:2" ht="16.5" x14ac:dyDescent="0.3">
      <c r="A115" s="51"/>
      <c r="B115" s="51"/>
    </row>
    <row r="116" spans="1:2" ht="16.5" x14ac:dyDescent="0.3">
      <c r="A116" s="51"/>
      <c r="B116" s="51"/>
    </row>
    <row r="117" spans="1:2" ht="16.5" x14ac:dyDescent="0.3">
      <c r="A117" s="51"/>
      <c r="B117" s="51"/>
    </row>
    <row r="118" spans="1:2" ht="16.5" x14ac:dyDescent="0.3">
      <c r="A118" s="51"/>
      <c r="B118" s="51"/>
    </row>
    <row r="119" spans="1:2" ht="16.5" x14ac:dyDescent="0.3">
      <c r="A119" s="51"/>
      <c r="B119" s="51"/>
    </row>
    <row r="120" spans="1:2" ht="16.5" x14ac:dyDescent="0.3">
      <c r="A120" s="51"/>
      <c r="B120" s="51"/>
    </row>
    <row r="121" spans="1:2" ht="16.5" x14ac:dyDescent="0.3">
      <c r="A121" s="51"/>
      <c r="B121" s="51"/>
    </row>
    <row r="122" spans="1:2" ht="16.5" x14ac:dyDescent="0.3">
      <c r="A122" s="51"/>
      <c r="B122" s="51"/>
    </row>
    <row r="123" spans="1:2" ht="16.5" x14ac:dyDescent="0.3">
      <c r="A123" s="51"/>
      <c r="B123" s="51"/>
    </row>
    <row r="124" spans="1:2" ht="16.5" x14ac:dyDescent="0.3">
      <c r="A124" s="51"/>
      <c r="B124" s="51"/>
    </row>
    <row r="125" spans="1:2" ht="16.5" x14ac:dyDescent="0.3">
      <c r="A125" s="51"/>
      <c r="B125" s="51"/>
    </row>
    <row r="126" spans="1:2" ht="16.5" x14ac:dyDescent="0.3">
      <c r="A126" s="51"/>
      <c r="B126" s="51"/>
    </row>
    <row r="127" spans="1:2" ht="16.5" x14ac:dyDescent="0.3">
      <c r="A127" s="51"/>
      <c r="B127" s="51"/>
    </row>
    <row r="128" spans="1:2" ht="16.5" x14ac:dyDescent="0.3">
      <c r="A128" s="51"/>
      <c r="B128" s="51"/>
    </row>
    <row r="129" spans="1:2" ht="16.5" x14ac:dyDescent="0.3">
      <c r="A129" s="51"/>
      <c r="B129" s="51"/>
    </row>
    <row r="130" spans="1:2" ht="16.5" x14ac:dyDescent="0.3">
      <c r="A130" s="51"/>
      <c r="B130" s="51"/>
    </row>
    <row r="131" spans="1:2" ht="16.5" x14ac:dyDescent="0.3">
      <c r="A131" s="51"/>
      <c r="B131" s="51"/>
    </row>
    <row r="132" spans="1:2" ht="16.5" x14ac:dyDescent="0.3">
      <c r="A132" s="51"/>
      <c r="B132" s="51"/>
    </row>
    <row r="133" spans="1:2" ht="16.5" x14ac:dyDescent="0.3">
      <c r="A133" s="51"/>
      <c r="B133" s="51"/>
    </row>
    <row r="134" spans="1:2" ht="16.5" x14ac:dyDescent="0.3">
      <c r="A134" s="51"/>
      <c r="B134" s="51"/>
    </row>
    <row r="135" spans="1:2" ht="16.5" x14ac:dyDescent="0.3">
      <c r="A135" s="51"/>
      <c r="B135" s="51"/>
    </row>
    <row r="136" spans="1:2" ht="16.5" x14ac:dyDescent="0.3">
      <c r="A136" s="51"/>
      <c r="B136" s="51"/>
    </row>
    <row r="137" spans="1:2" ht="16.5" x14ac:dyDescent="0.3">
      <c r="A137" s="51"/>
      <c r="B137" s="51"/>
    </row>
    <row r="138" spans="1:2" ht="16.5" x14ac:dyDescent="0.3">
      <c r="A138" s="51"/>
      <c r="B138" s="51"/>
    </row>
    <row r="139" spans="1:2" ht="16.5" x14ac:dyDescent="0.3">
      <c r="A139" s="51"/>
      <c r="B139" s="51"/>
    </row>
    <row r="140" spans="1:2" ht="16.5" x14ac:dyDescent="0.3">
      <c r="A140" s="51"/>
      <c r="B140" s="51"/>
    </row>
    <row r="141" spans="1:2" ht="16.5" x14ac:dyDescent="0.3">
      <c r="A141" s="51"/>
      <c r="B141" s="51"/>
    </row>
    <row r="142" spans="1:2" ht="16.5" x14ac:dyDescent="0.3">
      <c r="A142" s="51"/>
      <c r="B142" s="51"/>
    </row>
    <row r="143" spans="1:2" ht="16.5" x14ac:dyDescent="0.3">
      <c r="A143" s="51"/>
      <c r="B143" s="51"/>
    </row>
    <row r="144" spans="1:2" ht="16.5" x14ac:dyDescent="0.3">
      <c r="A144" s="51"/>
      <c r="B144" s="51"/>
    </row>
    <row r="145" spans="1:2" ht="16.5" x14ac:dyDescent="0.3">
      <c r="A145" s="51"/>
      <c r="B145" s="51"/>
    </row>
    <row r="146" spans="1:2" ht="16.5" x14ac:dyDescent="0.3">
      <c r="A146" s="51"/>
      <c r="B146" s="51"/>
    </row>
    <row r="147" spans="1:2" ht="16.5" x14ac:dyDescent="0.3">
      <c r="A147" s="51"/>
      <c r="B147" s="51"/>
    </row>
    <row r="148" spans="1:2" ht="16.5" x14ac:dyDescent="0.3">
      <c r="A148" s="51"/>
      <c r="B148" s="51"/>
    </row>
    <row r="149" spans="1:2" ht="16.5" x14ac:dyDescent="0.3">
      <c r="A149" s="51"/>
      <c r="B149" s="51"/>
    </row>
    <row r="150" spans="1:2" ht="16.5" x14ac:dyDescent="0.3">
      <c r="A150" s="51"/>
      <c r="B150" s="51"/>
    </row>
    <row r="151" spans="1:2" ht="16.5" x14ac:dyDescent="0.3">
      <c r="A151" s="51"/>
      <c r="B151" s="51"/>
    </row>
    <row r="152" spans="1:2" ht="16.5" x14ac:dyDescent="0.3">
      <c r="A152" s="51"/>
      <c r="B152" s="51"/>
    </row>
    <row r="153" spans="1:2" ht="16.5" x14ac:dyDescent="0.3">
      <c r="A153" s="51"/>
      <c r="B153" s="51"/>
    </row>
    <row r="154" spans="1:2" ht="16.5" x14ac:dyDescent="0.3">
      <c r="A154" s="51"/>
      <c r="B154" s="51"/>
    </row>
    <row r="155" spans="1:2" ht="16.5" x14ac:dyDescent="0.3">
      <c r="A155" s="51"/>
      <c r="B155" s="51"/>
    </row>
    <row r="156" spans="1:2" ht="16.5" x14ac:dyDescent="0.3">
      <c r="A156" s="51"/>
      <c r="B156" s="51"/>
    </row>
    <row r="157" spans="1:2" ht="16.5" x14ac:dyDescent="0.3">
      <c r="A157" s="51"/>
      <c r="B157" s="51"/>
    </row>
    <row r="158" spans="1:2" ht="16.5" x14ac:dyDescent="0.3">
      <c r="A158" s="51"/>
      <c r="B158" s="51"/>
    </row>
    <row r="159" spans="1:2" ht="16.5" x14ac:dyDescent="0.3">
      <c r="A159" s="51"/>
      <c r="B159" s="51"/>
    </row>
    <row r="160" spans="1:2" ht="16.5" x14ac:dyDescent="0.3">
      <c r="A160" s="51"/>
      <c r="B160" s="51"/>
    </row>
    <row r="161" spans="1:2" ht="16.5" x14ac:dyDescent="0.3">
      <c r="A161" s="51"/>
      <c r="B161" s="51"/>
    </row>
    <row r="162" spans="1:2" ht="16.5" x14ac:dyDescent="0.3">
      <c r="A162" s="51"/>
      <c r="B162" s="51"/>
    </row>
    <row r="163" spans="1:2" ht="16.5" x14ac:dyDescent="0.3">
      <c r="A163" s="51"/>
      <c r="B163" s="51"/>
    </row>
    <row r="164" spans="1:2" ht="16.5" x14ac:dyDescent="0.3">
      <c r="A164" s="51"/>
      <c r="B164" s="51"/>
    </row>
    <row r="165" spans="1:2" ht="16.5" x14ac:dyDescent="0.3">
      <c r="A165" s="51"/>
      <c r="B165" s="51"/>
    </row>
    <row r="166" spans="1:2" ht="16.5" x14ac:dyDescent="0.3">
      <c r="A166" s="51"/>
      <c r="B166" s="51"/>
    </row>
    <row r="167" spans="1:2" ht="16.5" x14ac:dyDescent="0.3">
      <c r="A167" s="51"/>
      <c r="B167" s="51"/>
    </row>
    <row r="168" spans="1:2" ht="16.5" x14ac:dyDescent="0.3">
      <c r="A168" s="51"/>
      <c r="B168" s="51"/>
    </row>
    <row r="169" spans="1:2" ht="16.5" x14ac:dyDescent="0.3">
      <c r="A169" s="51"/>
      <c r="B169" s="51"/>
    </row>
    <row r="170" spans="1:2" ht="16.5" x14ac:dyDescent="0.3">
      <c r="A170" s="51"/>
      <c r="B170" s="51"/>
    </row>
    <row r="171" spans="1:2" ht="16.5" x14ac:dyDescent="0.3">
      <c r="A171" s="51"/>
      <c r="B171" s="51"/>
    </row>
    <row r="172" spans="1:2" ht="16.5" x14ac:dyDescent="0.3">
      <c r="A172" s="51"/>
      <c r="B172" s="51"/>
    </row>
    <row r="173" spans="1:2" ht="16.5" x14ac:dyDescent="0.3">
      <c r="A173" s="51"/>
      <c r="B173" s="51"/>
    </row>
    <row r="174" spans="1:2" ht="16.5" x14ac:dyDescent="0.3">
      <c r="A174" s="51"/>
      <c r="B174" s="51"/>
    </row>
    <row r="175" spans="1:2" ht="16.5" x14ac:dyDescent="0.3">
      <c r="A175" s="51"/>
      <c r="B175" s="51"/>
    </row>
    <row r="176" spans="1:2" ht="16.5" x14ac:dyDescent="0.3">
      <c r="A176" s="51"/>
      <c r="B176" s="51"/>
    </row>
    <row r="177" spans="1:2" ht="16.5" x14ac:dyDescent="0.3">
      <c r="A177" s="51"/>
      <c r="B177" s="51"/>
    </row>
    <row r="178" spans="1:2" ht="16.5" x14ac:dyDescent="0.3">
      <c r="A178" s="51"/>
      <c r="B178" s="51"/>
    </row>
    <row r="179" spans="1:2" ht="16.5" x14ac:dyDescent="0.3">
      <c r="A179" s="51"/>
      <c r="B179" s="51"/>
    </row>
    <row r="180" spans="1:2" ht="16.5" x14ac:dyDescent="0.3">
      <c r="A180" s="51"/>
      <c r="B180" s="51"/>
    </row>
    <row r="181" spans="1:2" ht="16.5" x14ac:dyDescent="0.3">
      <c r="A181" s="51"/>
      <c r="B181" s="51"/>
    </row>
    <row r="182" spans="1:2" ht="16.5" x14ac:dyDescent="0.3">
      <c r="A182" s="51"/>
      <c r="B182" s="51"/>
    </row>
    <row r="183" spans="1:2" ht="16.5" x14ac:dyDescent="0.3">
      <c r="A183" s="51"/>
      <c r="B183" s="51"/>
    </row>
    <row r="184" spans="1:2" ht="16.5" x14ac:dyDescent="0.3">
      <c r="A184" s="51"/>
      <c r="B184" s="51"/>
    </row>
    <row r="185" spans="1:2" ht="16.5" x14ac:dyDescent="0.3">
      <c r="A185" s="51"/>
      <c r="B185" s="51"/>
    </row>
    <row r="186" spans="1:2" ht="16.5" x14ac:dyDescent="0.3">
      <c r="A186" s="51"/>
      <c r="B186" s="51"/>
    </row>
    <row r="187" spans="1:2" ht="16.5" x14ac:dyDescent="0.3">
      <c r="A187" s="51"/>
      <c r="B187" s="51"/>
    </row>
    <row r="188" spans="1:2" ht="16.5" x14ac:dyDescent="0.3">
      <c r="A188" s="51"/>
      <c r="B188" s="51"/>
    </row>
    <row r="189" spans="1:2" ht="16.5" x14ac:dyDescent="0.3">
      <c r="A189" s="51"/>
      <c r="B189" s="51"/>
    </row>
    <row r="190" spans="1:2" ht="16.5" x14ac:dyDescent="0.3">
      <c r="A190" s="51"/>
      <c r="B190" s="51"/>
    </row>
    <row r="191" spans="1:2" ht="16.5" x14ac:dyDescent="0.3">
      <c r="A191" s="51"/>
      <c r="B191" s="51"/>
    </row>
    <row r="192" spans="1:2" ht="16.5" x14ac:dyDescent="0.3">
      <c r="A192" s="51"/>
      <c r="B192" s="51"/>
    </row>
    <row r="193" spans="1:2" ht="16.5" x14ac:dyDescent="0.3">
      <c r="A193" s="51"/>
      <c r="B193" s="51"/>
    </row>
    <row r="194" spans="1:2" ht="16.5" x14ac:dyDescent="0.3">
      <c r="A194" s="51"/>
      <c r="B194" s="51"/>
    </row>
    <row r="195" spans="1:2" ht="16.5" x14ac:dyDescent="0.3">
      <c r="A195" s="51"/>
      <c r="B195" s="51"/>
    </row>
    <row r="196" spans="1:2" ht="16.5" x14ac:dyDescent="0.3">
      <c r="A196" s="51"/>
      <c r="B196" s="51"/>
    </row>
    <row r="197" spans="1:2" ht="16.5" x14ac:dyDescent="0.3">
      <c r="A197" s="51"/>
      <c r="B197" s="51"/>
    </row>
    <row r="198" spans="1:2" ht="16.5" x14ac:dyDescent="0.3">
      <c r="A198" s="51"/>
      <c r="B198" s="51"/>
    </row>
    <row r="199" spans="1:2" ht="16.5" x14ac:dyDescent="0.3">
      <c r="A199" s="51"/>
      <c r="B199" s="51"/>
    </row>
    <row r="200" spans="1:2" ht="16.5" x14ac:dyDescent="0.3">
      <c r="A200" s="51"/>
      <c r="B200" s="51"/>
    </row>
    <row r="201" spans="1:2" ht="16.5" x14ac:dyDescent="0.3">
      <c r="A201" s="51"/>
      <c r="B201" s="51"/>
    </row>
    <row r="202" spans="1:2" ht="16.5" x14ac:dyDescent="0.3">
      <c r="A202" s="51"/>
      <c r="B202" s="51"/>
    </row>
    <row r="203" spans="1:2" ht="16.5" x14ac:dyDescent="0.3">
      <c r="A203" s="51"/>
      <c r="B203" s="51"/>
    </row>
    <row r="204" spans="1:2" ht="16.5" x14ac:dyDescent="0.3">
      <c r="A204" s="51"/>
      <c r="B204" s="51"/>
    </row>
    <row r="205" spans="1:2" ht="16.5" x14ac:dyDescent="0.3">
      <c r="A205" s="51"/>
      <c r="B205" s="51"/>
    </row>
    <row r="206" spans="1:2" ht="16.5" x14ac:dyDescent="0.3">
      <c r="A206" s="51"/>
      <c r="B206" s="51"/>
    </row>
    <row r="207" spans="1:2" ht="16.5" x14ac:dyDescent="0.3">
      <c r="A207" s="51"/>
      <c r="B207" s="51"/>
    </row>
    <row r="208" spans="1:2" ht="16.5" x14ac:dyDescent="0.3">
      <c r="A208" s="51"/>
      <c r="B208" s="51"/>
    </row>
    <row r="209" spans="1:2" ht="16.5" x14ac:dyDescent="0.3">
      <c r="A209" s="51"/>
      <c r="B209" s="51"/>
    </row>
    <row r="210" spans="1:2" ht="16.5" x14ac:dyDescent="0.3">
      <c r="A210" s="51"/>
      <c r="B210" s="51"/>
    </row>
    <row r="211" spans="1:2" ht="16.5" x14ac:dyDescent="0.3">
      <c r="A211" s="51"/>
      <c r="B211" s="51"/>
    </row>
    <row r="212" spans="1:2" ht="16.5" x14ac:dyDescent="0.3">
      <c r="A212" s="51"/>
      <c r="B212" s="51"/>
    </row>
    <row r="213" spans="1:2" ht="16.5" x14ac:dyDescent="0.3">
      <c r="A213" s="51"/>
      <c r="B213" s="51"/>
    </row>
    <row r="214" spans="1:2" ht="16.5" x14ac:dyDescent="0.3">
      <c r="A214" s="51"/>
      <c r="B214" s="51"/>
    </row>
    <row r="215" spans="1:2" ht="16.5" x14ac:dyDescent="0.3">
      <c r="A215" s="51"/>
      <c r="B215" s="51"/>
    </row>
    <row r="216" spans="1:2" ht="16.5" x14ac:dyDescent="0.3">
      <c r="A216" s="51"/>
      <c r="B216" s="51"/>
    </row>
    <row r="217" spans="1:2" ht="16.5" x14ac:dyDescent="0.3">
      <c r="A217" s="51"/>
      <c r="B217" s="51"/>
    </row>
    <row r="218" spans="1:2" ht="16.5" x14ac:dyDescent="0.3">
      <c r="A218" s="51"/>
      <c r="B218" s="51"/>
    </row>
    <row r="219" spans="1:2" ht="16.5" x14ac:dyDescent="0.3">
      <c r="A219" s="51"/>
      <c r="B219" s="51"/>
    </row>
    <row r="220" spans="1:2" ht="16.5" x14ac:dyDescent="0.3">
      <c r="A220" s="51"/>
      <c r="B220" s="51"/>
    </row>
    <row r="221" spans="1:2" ht="16.5" x14ac:dyDescent="0.3">
      <c r="A221" s="51"/>
      <c r="B221" s="51"/>
    </row>
    <row r="222" spans="1:2" ht="16.5" x14ac:dyDescent="0.3">
      <c r="A222" s="51"/>
      <c r="B222" s="51"/>
    </row>
    <row r="223" spans="1:2" ht="16.5" x14ac:dyDescent="0.3">
      <c r="A223" s="51"/>
      <c r="B223" s="51"/>
    </row>
    <row r="224" spans="1:2" ht="16.5" x14ac:dyDescent="0.3">
      <c r="A224" s="51"/>
      <c r="B224" s="51"/>
    </row>
    <row r="225" spans="1:2" ht="16.5" x14ac:dyDescent="0.3">
      <c r="A225" s="51"/>
      <c r="B225" s="51"/>
    </row>
    <row r="226" spans="1:2" ht="16.5" x14ac:dyDescent="0.3">
      <c r="A226" s="51"/>
      <c r="B226" s="51"/>
    </row>
    <row r="227" spans="1:2" ht="16.5" x14ac:dyDescent="0.3">
      <c r="A227" s="51"/>
      <c r="B227" s="51"/>
    </row>
    <row r="228" spans="1:2" ht="16.5" x14ac:dyDescent="0.3">
      <c r="A228" s="51"/>
      <c r="B228" s="51"/>
    </row>
    <row r="229" spans="1:2" ht="16.5" x14ac:dyDescent="0.3">
      <c r="A229" s="51"/>
      <c r="B229" s="51"/>
    </row>
    <row r="230" spans="1:2" ht="16.5" x14ac:dyDescent="0.3">
      <c r="A230" s="51"/>
      <c r="B230" s="51"/>
    </row>
    <row r="231" spans="1:2" ht="16.5" x14ac:dyDescent="0.3">
      <c r="A231" s="51"/>
      <c r="B231" s="51"/>
    </row>
    <row r="232" spans="1:2" ht="16.5" x14ac:dyDescent="0.3">
      <c r="A232" s="51"/>
      <c r="B232" s="51"/>
    </row>
    <row r="233" spans="1:2" ht="16.5" x14ac:dyDescent="0.3">
      <c r="A233" s="51"/>
      <c r="B233" s="51"/>
    </row>
    <row r="234" spans="1:2" ht="16.5" x14ac:dyDescent="0.3">
      <c r="A234" s="51"/>
      <c r="B234" s="51"/>
    </row>
    <row r="235" spans="1:2" ht="16.5" x14ac:dyDescent="0.3">
      <c r="A235" s="51"/>
      <c r="B235" s="51"/>
    </row>
    <row r="236" spans="1:2" ht="16.5" x14ac:dyDescent="0.3">
      <c r="A236" s="51"/>
      <c r="B236" s="51"/>
    </row>
    <row r="237" spans="1:2" ht="16.5" x14ac:dyDescent="0.3">
      <c r="A237" s="51"/>
      <c r="B237" s="51"/>
    </row>
    <row r="238" spans="1:2" ht="16.5" x14ac:dyDescent="0.3">
      <c r="A238" s="51"/>
      <c r="B238" s="51"/>
    </row>
    <row r="239" spans="1:2" ht="16.5" x14ac:dyDescent="0.3">
      <c r="A239" s="51"/>
      <c r="B239" s="51"/>
    </row>
    <row r="240" spans="1:2" ht="16.5" x14ac:dyDescent="0.3">
      <c r="A240" s="51"/>
      <c r="B240" s="51"/>
    </row>
    <row r="241" spans="1:2" ht="16.5" x14ac:dyDescent="0.3">
      <c r="A241" s="51"/>
      <c r="B241" s="51"/>
    </row>
    <row r="242" spans="1:2" ht="16.5" x14ac:dyDescent="0.3">
      <c r="A242" s="51"/>
      <c r="B242" s="51"/>
    </row>
    <row r="243" spans="1:2" ht="16.5" x14ac:dyDescent="0.3">
      <c r="A243" s="51"/>
      <c r="B243" s="51"/>
    </row>
    <row r="244" spans="1:2" ht="16.5" x14ac:dyDescent="0.3">
      <c r="A244" s="51"/>
      <c r="B244" s="51"/>
    </row>
    <row r="245" spans="1:2" ht="16.5" x14ac:dyDescent="0.3">
      <c r="A245" s="51"/>
      <c r="B245" s="51"/>
    </row>
    <row r="246" spans="1:2" ht="16.5" x14ac:dyDescent="0.3">
      <c r="A246" s="51"/>
      <c r="B246" s="51"/>
    </row>
    <row r="247" spans="1:2" ht="16.5" x14ac:dyDescent="0.3">
      <c r="A247" s="51"/>
      <c r="B247" s="51"/>
    </row>
    <row r="248" spans="1:2" ht="16.5" x14ac:dyDescent="0.3">
      <c r="A248" s="51"/>
      <c r="B248" s="51"/>
    </row>
    <row r="249" spans="1:2" ht="16.5" x14ac:dyDescent="0.3">
      <c r="A249" s="51"/>
      <c r="B249" s="51"/>
    </row>
    <row r="250" spans="1:2" ht="16.5" x14ac:dyDescent="0.3">
      <c r="A250" s="51"/>
      <c r="B250" s="51"/>
    </row>
    <row r="251" spans="1:2" ht="16.5" x14ac:dyDescent="0.3">
      <c r="A251" s="51"/>
      <c r="B251" s="51"/>
    </row>
    <row r="252" spans="1:2" ht="16.5" x14ac:dyDescent="0.3">
      <c r="A252" s="51"/>
      <c r="B252" s="51"/>
    </row>
    <row r="253" spans="1:2" ht="16.5" x14ac:dyDescent="0.3">
      <c r="A253" s="51"/>
      <c r="B253" s="51"/>
    </row>
    <row r="254" spans="1:2" ht="16.5" x14ac:dyDescent="0.3">
      <c r="A254" s="51"/>
      <c r="B254" s="51"/>
    </row>
    <row r="255" spans="1:2" ht="16.5" x14ac:dyDescent="0.3">
      <c r="A255" s="51"/>
      <c r="B255" s="51"/>
    </row>
    <row r="256" spans="1:2" ht="16.5" x14ac:dyDescent="0.3">
      <c r="A256" s="51"/>
      <c r="B256" s="51"/>
    </row>
    <row r="257" spans="1:2" ht="16.5" x14ac:dyDescent="0.3">
      <c r="A257" s="51"/>
      <c r="B257" s="51"/>
    </row>
    <row r="258" spans="1:2" ht="16.5" x14ac:dyDescent="0.3">
      <c r="A258" s="51"/>
      <c r="B258" s="51"/>
    </row>
    <row r="259" spans="1:2" ht="16.5" x14ac:dyDescent="0.3">
      <c r="A259" s="51"/>
      <c r="B259" s="51"/>
    </row>
    <row r="260" spans="1:2" ht="16.5" x14ac:dyDescent="0.3">
      <c r="A260" s="51"/>
      <c r="B260" s="51"/>
    </row>
    <row r="261" spans="1:2" ht="16.5" x14ac:dyDescent="0.3">
      <c r="A261" s="51"/>
      <c r="B261" s="51"/>
    </row>
    <row r="262" spans="1:2" ht="16.5" x14ac:dyDescent="0.3">
      <c r="A262" s="51"/>
      <c r="B262" s="51"/>
    </row>
    <row r="263" spans="1:2" ht="16.5" x14ac:dyDescent="0.3">
      <c r="A263" s="51"/>
      <c r="B263" s="51"/>
    </row>
    <row r="264" spans="1:2" ht="16.5" x14ac:dyDescent="0.3">
      <c r="A264" s="51"/>
      <c r="B264" s="51"/>
    </row>
    <row r="265" spans="1:2" ht="16.5" x14ac:dyDescent="0.3">
      <c r="A265" s="51"/>
      <c r="B265" s="51"/>
    </row>
    <row r="266" spans="1:2" ht="16.5" x14ac:dyDescent="0.3">
      <c r="A266" s="51"/>
      <c r="B266" s="51"/>
    </row>
    <row r="267" spans="1:2" ht="16.5" x14ac:dyDescent="0.3">
      <c r="A267" s="51"/>
      <c r="B267" s="51"/>
    </row>
    <row r="268" spans="1:2" ht="16.5" x14ac:dyDescent="0.3">
      <c r="A268" s="51"/>
      <c r="B268" s="51"/>
    </row>
    <row r="269" spans="1:2" ht="16.5" x14ac:dyDescent="0.3">
      <c r="A269" s="51"/>
      <c r="B269" s="51"/>
    </row>
    <row r="270" spans="1:2" ht="16.5" x14ac:dyDescent="0.3">
      <c r="A270" s="51"/>
      <c r="B270" s="51"/>
    </row>
    <row r="271" spans="1:2" ht="16.5" x14ac:dyDescent="0.3">
      <c r="A271" s="51"/>
      <c r="B271" s="51"/>
    </row>
    <row r="272" spans="1:2" ht="16.5" x14ac:dyDescent="0.3">
      <c r="A272" s="51"/>
      <c r="B272" s="51"/>
    </row>
    <row r="273" spans="1:2" ht="16.5" x14ac:dyDescent="0.3">
      <c r="A273" s="51"/>
      <c r="B273" s="51"/>
    </row>
    <row r="274" spans="1:2" ht="16.5" x14ac:dyDescent="0.3">
      <c r="A274" s="51"/>
      <c r="B274" s="51"/>
    </row>
    <row r="275" spans="1:2" ht="16.5" x14ac:dyDescent="0.3">
      <c r="A275" s="51"/>
      <c r="B275" s="51"/>
    </row>
    <row r="276" spans="1:2" ht="16.5" x14ac:dyDescent="0.3">
      <c r="A276" s="51"/>
      <c r="B276" s="51"/>
    </row>
    <row r="277" spans="1:2" ht="16.5" x14ac:dyDescent="0.3">
      <c r="A277" s="51"/>
      <c r="B277" s="51"/>
    </row>
    <row r="278" spans="1:2" ht="16.5" x14ac:dyDescent="0.3">
      <c r="A278" s="51"/>
      <c r="B278" s="51"/>
    </row>
    <row r="279" spans="1:2" ht="16.5" x14ac:dyDescent="0.3">
      <c r="A279" s="51"/>
      <c r="B279" s="51"/>
    </row>
    <row r="280" spans="1:2" ht="16.5" x14ac:dyDescent="0.3">
      <c r="A280" s="51"/>
      <c r="B280" s="51"/>
    </row>
    <row r="281" spans="1:2" ht="16.5" x14ac:dyDescent="0.3">
      <c r="A281" s="51"/>
      <c r="B281" s="51"/>
    </row>
    <row r="282" spans="1:2" ht="16.5" x14ac:dyDescent="0.3">
      <c r="A282" s="51"/>
      <c r="B282" s="51"/>
    </row>
    <row r="283" spans="1:2" ht="16.5" x14ac:dyDescent="0.3">
      <c r="A283" s="51"/>
      <c r="B283" s="51"/>
    </row>
    <row r="284" spans="1:2" ht="16.5" x14ac:dyDescent="0.3">
      <c r="A284" s="51"/>
      <c r="B284" s="51"/>
    </row>
    <row r="285" spans="1:2" ht="16.5" x14ac:dyDescent="0.3">
      <c r="A285" s="51"/>
      <c r="B285" s="51"/>
    </row>
    <row r="286" spans="1:2" ht="16.5" x14ac:dyDescent="0.3">
      <c r="A286" s="51"/>
      <c r="B286" s="51"/>
    </row>
    <row r="287" spans="1:2" ht="16.5" x14ac:dyDescent="0.3">
      <c r="A287" s="51"/>
      <c r="B287" s="51"/>
    </row>
    <row r="288" spans="1:2" ht="16.5" x14ac:dyDescent="0.3">
      <c r="A288" s="51"/>
      <c r="B288" s="51"/>
    </row>
    <row r="289" spans="1:2" ht="16.5" x14ac:dyDescent="0.3">
      <c r="A289" s="51"/>
      <c r="B289" s="51"/>
    </row>
    <row r="290" spans="1:2" ht="16.5" x14ac:dyDescent="0.3">
      <c r="A290" s="51"/>
      <c r="B290" s="51"/>
    </row>
    <row r="291" spans="1:2" ht="16.5" x14ac:dyDescent="0.3">
      <c r="A291" s="51"/>
      <c r="B291" s="51"/>
    </row>
    <row r="292" spans="1:2" ht="16.5" x14ac:dyDescent="0.3">
      <c r="A292" s="51"/>
      <c r="B292" s="51"/>
    </row>
    <row r="293" spans="1:2" ht="16.5" x14ac:dyDescent="0.3">
      <c r="A293" s="51"/>
      <c r="B293" s="51"/>
    </row>
    <row r="294" spans="1:2" ht="16.5" x14ac:dyDescent="0.3">
      <c r="A294" s="51"/>
      <c r="B294" s="51"/>
    </row>
    <row r="295" spans="1:2" ht="16.5" x14ac:dyDescent="0.3">
      <c r="A295" s="51"/>
      <c r="B295" s="51"/>
    </row>
    <row r="296" spans="1:2" ht="16.5" x14ac:dyDescent="0.3">
      <c r="A296" s="51"/>
      <c r="B296" s="51"/>
    </row>
    <row r="297" spans="1:2" ht="16.5" x14ac:dyDescent="0.3">
      <c r="A297" s="51"/>
      <c r="B297" s="51"/>
    </row>
    <row r="298" spans="1:2" ht="16.5" x14ac:dyDescent="0.3">
      <c r="A298" s="51"/>
      <c r="B298" s="51"/>
    </row>
    <row r="299" spans="1:2" ht="16.5" x14ac:dyDescent="0.3">
      <c r="A299" s="51"/>
      <c r="B299" s="51"/>
    </row>
    <row r="300" spans="1:2" ht="16.5" x14ac:dyDescent="0.3">
      <c r="A300" s="51"/>
      <c r="B300" s="51"/>
    </row>
    <row r="301" spans="1:2" ht="16.5" x14ac:dyDescent="0.3">
      <c r="A301" s="51"/>
      <c r="B301" s="51"/>
    </row>
    <row r="302" spans="1:2" ht="16.5" x14ac:dyDescent="0.3">
      <c r="A302" s="51"/>
      <c r="B302" s="51"/>
    </row>
    <row r="303" spans="1:2" ht="16.5" x14ac:dyDescent="0.3">
      <c r="A303" s="51"/>
      <c r="B303" s="51"/>
    </row>
    <row r="304" spans="1:2" ht="16.5" x14ac:dyDescent="0.3">
      <c r="A304" s="51"/>
      <c r="B304" s="51"/>
    </row>
    <row r="305" spans="1:2" ht="16.5" x14ac:dyDescent="0.3">
      <c r="A305" s="51"/>
      <c r="B305" s="51"/>
    </row>
    <row r="306" spans="1:2" ht="16.5" x14ac:dyDescent="0.3">
      <c r="A306" s="51"/>
      <c r="B306" s="51"/>
    </row>
    <row r="307" spans="1:2" ht="16.5" x14ac:dyDescent="0.3">
      <c r="A307" s="51"/>
      <c r="B307" s="51"/>
    </row>
    <row r="308" spans="1:2" ht="16.5" x14ac:dyDescent="0.3">
      <c r="A308" s="51"/>
      <c r="B308" s="51"/>
    </row>
    <row r="309" spans="1:2" ht="16.5" x14ac:dyDescent="0.3">
      <c r="A309" s="51"/>
      <c r="B309" s="51"/>
    </row>
    <row r="310" spans="1:2" ht="16.5" x14ac:dyDescent="0.3">
      <c r="A310" s="51"/>
      <c r="B310" s="51"/>
    </row>
    <row r="311" spans="1:2" ht="16.5" x14ac:dyDescent="0.3">
      <c r="A311" s="51"/>
      <c r="B311" s="51"/>
    </row>
    <row r="312" spans="1:2" ht="16.5" x14ac:dyDescent="0.3">
      <c r="A312" s="51"/>
      <c r="B312" s="51"/>
    </row>
    <row r="313" spans="1:2" ht="16.5" x14ac:dyDescent="0.3">
      <c r="A313" s="51"/>
      <c r="B313" s="51"/>
    </row>
    <row r="314" spans="1:2" ht="16.5" x14ac:dyDescent="0.3">
      <c r="A314" s="51"/>
      <c r="B314" s="51"/>
    </row>
    <row r="315" spans="1:2" ht="16.5" x14ac:dyDescent="0.3">
      <c r="A315" s="51"/>
      <c r="B315" s="51"/>
    </row>
    <row r="316" spans="1:2" ht="16.5" x14ac:dyDescent="0.3">
      <c r="A316" s="51"/>
      <c r="B316" s="51"/>
    </row>
    <row r="317" spans="1:2" ht="16.5" x14ac:dyDescent="0.3">
      <c r="A317" s="51"/>
      <c r="B317" s="51"/>
    </row>
    <row r="318" spans="1:2" ht="16.5" x14ac:dyDescent="0.3">
      <c r="A318" s="51"/>
      <c r="B318" s="51"/>
    </row>
    <row r="319" spans="1:2" ht="16.5" x14ac:dyDescent="0.3">
      <c r="A319" s="51"/>
      <c r="B319" s="51"/>
    </row>
    <row r="320" spans="1:2" ht="16.5" x14ac:dyDescent="0.3">
      <c r="A320" s="51"/>
      <c r="B320" s="51"/>
    </row>
    <row r="321" spans="1:2" ht="16.5" x14ac:dyDescent="0.3">
      <c r="A321" s="51"/>
      <c r="B321" s="51"/>
    </row>
    <row r="322" spans="1:2" ht="16.5" x14ac:dyDescent="0.3">
      <c r="A322" s="51"/>
      <c r="B322" s="51"/>
    </row>
    <row r="323" spans="1:2" ht="16.5" x14ac:dyDescent="0.3">
      <c r="A323" s="51"/>
      <c r="B323" s="51"/>
    </row>
    <row r="324" spans="1:2" ht="16.5" x14ac:dyDescent="0.3">
      <c r="A324" s="51"/>
      <c r="B324" s="51"/>
    </row>
    <row r="325" spans="1:2" ht="16.5" x14ac:dyDescent="0.3">
      <c r="A325" s="51"/>
      <c r="B325" s="51"/>
    </row>
    <row r="326" spans="1:2" ht="16.5" x14ac:dyDescent="0.3">
      <c r="A326" s="51"/>
      <c r="B326" s="51"/>
    </row>
    <row r="327" spans="1:2" ht="16.5" x14ac:dyDescent="0.3">
      <c r="A327" s="51"/>
      <c r="B327" s="51"/>
    </row>
    <row r="328" spans="1:2" ht="16.5" x14ac:dyDescent="0.3">
      <c r="A328" s="51"/>
      <c r="B328" s="51"/>
    </row>
    <row r="329" spans="1:2" ht="16.5" x14ac:dyDescent="0.3">
      <c r="A329" s="51"/>
      <c r="B329" s="51"/>
    </row>
    <row r="330" spans="1:2" ht="16.5" x14ac:dyDescent="0.3">
      <c r="A330" s="51"/>
      <c r="B330" s="51"/>
    </row>
    <row r="331" spans="1:2" ht="16.5" x14ac:dyDescent="0.3">
      <c r="A331" s="51"/>
      <c r="B331" s="51"/>
    </row>
    <row r="332" spans="1:2" ht="16.5" x14ac:dyDescent="0.3">
      <c r="A332" s="51"/>
      <c r="B332" s="51"/>
    </row>
    <row r="333" spans="1:2" ht="16.5" x14ac:dyDescent="0.3">
      <c r="A333" s="51"/>
      <c r="B333" s="51"/>
    </row>
    <row r="334" spans="1:2" ht="16.5" x14ac:dyDescent="0.3">
      <c r="A334" s="51"/>
      <c r="B334" s="51"/>
    </row>
    <row r="335" spans="1:2" ht="16.5" x14ac:dyDescent="0.3">
      <c r="A335" s="51"/>
      <c r="B335" s="51"/>
    </row>
    <row r="336" spans="1:2" ht="16.5" x14ac:dyDescent="0.3">
      <c r="A336" s="51"/>
      <c r="B336" s="51"/>
    </row>
    <row r="337" spans="1:2" ht="16.5" x14ac:dyDescent="0.3">
      <c r="A337" s="51"/>
      <c r="B337" s="51"/>
    </row>
    <row r="338" spans="1:2" ht="16.5" x14ac:dyDescent="0.3">
      <c r="A338" s="51"/>
      <c r="B338" s="51"/>
    </row>
    <row r="339" spans="1:2" ht="16.5" x14ac:dyDescent="0.3">
      <c r="A339" s="51"/>
      <c r="B339" s="51"/>
    </row>
    <row r="340" spans="1:2" ht="16.5" x14ac:dyDescent="0.3">
      <c r="A340" s="51"/>
      <c r="B340" s="51"/>
    </row>
    <row r="341" spans="1:2" ht="16.5" x14ac:dyDescent="0.3">
      <c r="A341" s="51"/>
      <c r="B341" s="51"/>
    </row>
    <row r="342" spans="1:2" ht="16.5" x14ac:dyDescent="0.3">
      <c r="A342" s="51"/>
      <c r="B342" s="51"/>
    </row>
    <row r="343" spans="1:2" ht="16.5" x14ac:dyDescent="0.3">
      <c r="A343" s="51"/>
      <c r="B343" s="51"/>
    </row>
    <row r="344" spans="1:2" ht="16.5" x14ac:dyDescent="0.3">
      <c r="A344" s="51"/>
      <c r="B344" s="51"/>
    </row>
    <row r="345" spans="1:2" ht="16.5" x14ac:dyDescent="0.3">
      <c r="A345" s="51"/>
      <c r="B345" s="51"/>
    </row>
    <row r="346" spans="1:2" ht="16.5" x14ac:dyDescent="0.3">
      <c r="A346" s="51"/>
      <c r="B346" s="51"/>
    </row>
    <row r="347" spans="1:2" ht="16.5" x14ac:dyDescent="0.3">
      <c r="A347" s="51"/>
      <c r="B347" s="51"/>
    </row>
    <row r="348" spans="1:2" ht="16.5" x14ac:dyDescent="0.3">
      <c r="A348" s="51"/>
      <c r="B348" s="51"/>
    </row>
    <row r="349" spans="1:2" ht="16.5" x14ac:dyDescent="0.3">
      <c r="A349" s="51"/>
      <c r="B349" s="51"/>
    </row>
    <row r="350" spans="1:2" ht="16.5" x14ac:dyDescent="0.3">
      <c r="A350" s="51"/>
      <c r="B350" s="51"/>
    </row>
    <row r="351" spans="1:2" ht="16.5" x14ac:dyDescent="0.3">
      <c r="A351" s="51"/>
      <c r="B351" s="51"/>
    </row>
    <row r="352" spans="1:2" ht="16.5" x14ac:dyDescent="0.3">
      <c r="A352" s="51"/>
      <c r="B352" s="51"/>
    </row>
    <row r="353" spans="1:2" ht="16.5" x14ac:dyDescent="0.3">
      <c r="A353" s="51"/>
      <c r="B353" s="51"/>
    </row>
    <row r="354" spans="1:2" ht="16.5" x14ac:dyDescent="0.3">
      <c r="A354" s="51"/>
      <c r="B354" s="51"/>
    </row>
    <row r="355" spans="1:2" ht="16.5" x14ac:dyDescent="0.3">
      <c r="A355" s="51"/>
      <c r="B355" s="51"/>
    </row>
    <row r="356" spans="1:2" ht="16.5" x14ac:dyDescent="0.3">
      <c r="A356" s="51"/>
      <c r="B356" s="51"/>
    </row>
    <row r="357" spans="1:2" ht="16.5" x14ac:dyDescent="0.3">
      <c r="A357" s="51"/>
      <c r="B357" s="51"/>
    </row>
    <row r="358" spans="1:2" ht="16.5" x14ac:dyDescent="0.3">
      <c r="A358" s="51"/>
      <c r="B358" s="51"/>
    </row>
    <row r="359" spans="1:2" ht="16.5" x14ac:dyDescent="0.3">
      <c r="A359" s="51"/>
      <c r="B359" s="51"/>
    </row>
    <row r="360" spans="1:2" ht="16.5" x14ac:dyDescent="0.3">
      <c r="A360" s="51"/>
      <c r="B360" s="51"/>
    </row>
    <row r="361" spans="1:2" ht="16.5" x14ac:dyDescent="0.3">
      <c r="A361" s="51"/>
      <c r="B361" s="51"/>
    </row>
    <row r="362" spans="1:2" ht="16.5" x14ac:dyDescent="0.3">
      <c r="A362" s="51"/>
      <c r="B362" s="51"/>
    </row>
    <row r="363" spans="1:2" ht="16.5" x14ac:dyDescent="0.3">
      <c r="A363" s="51"/>
      <c r="B363" s="51"/>
    </row>
    <row r="364" spans="1:2" ht="16.5" x14ac:dyDescent="0.3">
      <c r="A364" s="51"/>
      <c r="B364" s="51"/>
    </row>
    <row r="365" spans="1:2" ht="16.5" x14ac:dyDescent="0.3">
      <c r="A365" s="51"/>
      <c r="B365" s="51"/>
    </row>
    <row r="366" spans="1:2" ht="16.5" x14ac:dyDescent="0.3">
      <c r="A366" s="51"/>
      <c r="B366" s="51"/>
    </row>
    <row r="367" spans="1:2" ht="16.5" x14ac:dyDescent="0.3">
      <c r="A367" s="51"/>
      <c r="B367" s="51"/>
    </row>
    <row r="368" spans="1:2" ht="16.5" x14ac:dyDescent="0.3">
      <c r="A368" s="51"/>
      <c r="B368" s="51"/>
    </row>
    <row r="369" spans="1:2" ht="16.5" x14ac:dyDescent="0.3">
      <c r="A369" s="51"/>
      <c r="B369" s="51"/>
    </row>
    <row r="370" spans="1:2" ht="16.5" x14ac:dyDescent="0.3">
      <c r="A370" s="51"/>
      <c r="B370" s="51"/>
    </row>
    <row r="371" spans="1:2" ht="16.5" x14ac:dyDescent="0.3">
      <c r="A371" s="51"/>
      <c r="B371" s="51"/>
    </row>
    <row r="372" spans="1:2" ht="16.5" x14ac:dyDescent="0.3">
      <c r="A372" s="51"/>
      <c r="B372" s="51"/>
    </row>
    <row r="373" spans="1:2" ht="16.5" x14ac:dyDescent="0.3">
      <c r="A373" s="51"/>
      <c r="B373" s="51"/>
    </row>
    <row r="374" spans="1:2" ht="16.5" x14ac:dyDescent="0.3">
      <c r="A374" s="51"/>
      <c r="B374" s="51"/>
    </row>
    <row r="375" spans="1:2" ht="16.5" x14ac:dyDescent="0.3">
      <c r="A375" s="51"/>
      <c r="B375" s="51"/>
    </row>
    <row r="376" spans="1:2" ht="16.5" x14ac:dyDescent="0.3">
      <c r="A376" s="51"/>
      <c r="B376" s="51"/>
    </row>
    <row r="377" spans="1:2" ht="16.5" x14ac:dyDescent="0.3">
      <c r="A377" s="51"/>
      <c r="B377" s="51"/>
    </row>
    <row r="378" spans="1:2" ht="16.5" x14ac:dyDescent="0.3">
      <c r="A378" s="51"/>
      <c r="B378" s="51"/>
    </row>
    <row r="379" spans="1:2" ht="16.5" x14ac:dyDescent="0.3">
      <c r="A379" s="51"/>
      <c r="B379" s="51"/>
    </row>
    <row r="380" spans="1:2" ht="16.5" x14ac:dyDescent="0.3">
      <c r="A380" s="51"/>
      <c r="B380" s="51"/>
    </row>
    <row r="381" spans="1:2" ht="16.5" x14ac:dyDescent="0.3">
      <c r="A381" s="51"/>
      <c r="B381" s="51"/>
    </row>
    <row r="382" spans="1:2" ht="16.5" x14ac:dyDescent="0.3">
      <c r="A382" s="51"/>
      <c r="B382" s="51"/>
    </row>
    <row r="383" spans="1:2" ht="16.5" x14ac:dyDescent="0.3">
      <c r="A383" s="51"/>
      <c r="B383" s="51"/>
    </row>
    <row r="384" spans="1:2" ht="16.5" x14ac:dyDescent="0.3">
      <c r="A384" s="51"/>
      <c r="B384" s="51"/>
    </row>
    <row r="385" spans="1:2" ht="16.5" x14ac:dyDescent="0.3">
      <c r="A385" s="51"/>
      <c r="B385" s="51"/>
    </row>
    <row r="386" spans="1:2" ht="16.5" x14ac:dyDescent="0.3">
      <c r="A386" s="51"/>
      <c r="B386" s="51"/>
    </row>
    <row r="387" spans="1:2" ht="16.5" x14ac:dyDescent="0.3">
      <c r="A387" s="51"/>
      <c r="B387" s="51"/>
    </row>
    <row r="388" spans="1:2" ht="16.5" x14ac:dyDescent="0.3">
      <c r="A388" s="51"/>
      <c r="B388" s="51"/>
    </row>
    <row r="389" spans="1:2" ht="16.5" x14ac:dyDescent="0.3">
      <c r="A389" s="51"/>
      <c r="B389" s="51"/>
    </row>
    <row r="390" spans="1:2" ht="16.5" x14ac:dyDescent="0.3">
      <c r="A390" s="51"/>
      <c r="B390" s="51"/>
    </row>
    <row r="391" spans="1:2" ht="16.5" x14ac:dyDescent="0.3">
      <c r="A391" s="51"/>
      <c r="B391" s="51"/>
    </row>
    <row r="392" spans="1:2" ht="16.5" x14ac:dyDescent="0.3">
      <c r="A392" s="51"/>
      <c r="B392" s="51"/>
    </row>
    <row r="393" spans="1:2" ht="16.5" x14ac:dyDescent="0.3">
      <c r="A393" s="51"/>
      <c r="B393" s="51"/>
    </row>
    <row r="394" spans="1:2" ht="16.5" x14ac:dyDescent="0.3">
      <c r="A394" s="51"/>
      <c r="B394" s="51"/>
    </row>
    <row r="395" spans="1:2" ht="16.5" x14ac:dyDescent="0.3">
      <c r="A395" s="51"/>
      <c r="B395" s="51"/>
    </row>
    <row r="396" spans="1:2" ht="16.5" x14ac:dyDescent="0.3">
      <c r="A396" s="51"/>
      <c r="B396" s="51"/>
    </row>
    <row r="397" spans="1:2" ht="16.5" x14ac:dyDescent="0.3">
      <c r="A397" s="51"/>
      <c r="B397" s="51"/>
    </row>
    <row r="398" spans="1:2" ht="16.5" x14ac:dyDescent="0.3">
      <c r="A398" s="51"/>
      <c r="B398" s="51"/>
    </row>
    <row r="399" spans="1:2" ht="16.5" x14ac:dyDescent="0.3">
      <c r="A399" s="51"/>
      <c r="B399" s="51"/>
    </row>
    <row r="400" spans="1:2" ht="16.5" x14ac:dyDescent="0.3">
      <c r="A400" s="51"/>
      <c r="B400" s="51"/>
    </row>
    <row r="401" spans="1:2" ht="16.5" x14ac:dyDescent="0.3">
      <c r="A401" s="51"/>
      <c r="B401" s="51"/>
    </row>
    <row r="402" spans="1:2" ht="16.5" x14ac:dyDescent="0.3">
      <c r="A402" s="51"/>
      <c r="B402" s="51"/>
    </row>
    <row r="403" spans="1:2" ht="16.5" x14ac:dyDescent="0.3">
      <c r="A403" s="51"/>
      <c r="B403" s="51"/>
    </row>
    <row r="404" spans="1:2" ht="16.5" x14ac:dyDescent="0.3">
      <c r="A404" s="51"/>
      <c r="B404" s="51"/>
    </row>
    <row r="405" spans="1:2" ht="16.5" x14ac:dyDescent="0.3">
      <c r="A405" s="51"/>
      <c r="B405" s="51"/>
    </row>
    <row r="406" spans="1:2" ht="16.5" x14ac:dyDescent="0.3">
      <c r="A406" s="51"/>
      <c r="B406" s="51"/>
    </row>
    <row r="407" spans="1:2" ht="16.5" x14ac:dyDescent="0.3">
      <c r="A407" s="51"/>
      <c r="B407" s="51"/>
    </row>
    <row r="408" spans="1:2" ht="16.5" x14ac:dyDescent="0.3">
      <c r="A408" s="51"/>
      <c r="B408" s="51"/>
    </row>
    <row r="409" spans="1:2" ht="16.5" x14ac:dyDescent="0.3">
      <c r="A409" s="51"/>
      <c r="B409" s="51"/>
    </row>
    <row r="410" spans="1:2" ht="16.5" x14ac:dyDescent="0.3">
      <c r="A410" s="51"/>
      <c r="B410" s="51"/>
    </row>
    <row r="411" spans="1:2" ht="16.5" x14ac:dyDescent="0.3">
      <c r="A411" s="51"/>
      <c r="B411" s="51"/>
    </row>
    <row r="412" spans="1:2" ht="16.5" x14ac:dyDescent="0.3">
      <c r="A412" s="51"/>
      <c r="B412" s="51"/>
    </row>
    <row r="413" spans="1:2" ht="16.5" x14ac:dyDescent="0.3">
      <c r="A413" s="51"/>
      <c r="B413" s="51"/>
    </row>
    <row r="414" spans="1:2" ht="16.5" x14ac:dyDescent="0.3">
      <c r="A414" s="51"/>
      <c r="B414" s="51"/>
    </row>
    <row r="415" spans="1:2" ht="16.5" x14ac:dyDescent="0.3">
      <c r="A415" s="51"/>
      <c r="B415" s="51"/>
    </row>
    <row r="416" spans="1:2" ht="16.5" x14ac:dyDescent="0.3">
      <c r="A416" s="51"/>
      <c r="B416" s="51"/>
    </row>
    <row r="417" spans="1:2" ht="16.5" x14ac:dyDescent="0.3">
      <c r="A417" s="51"/>
      <c r="B417" s="51"/>
    </row>
    <row r="418" spans="1:2" ht="16.5" x14ac:dyDescent="0.3">
      <c r="A418" s="51"/>
      <c r="B418" s="51"/>
    </row>
    <row r="419" spans="1:2" ht="16.5" x14ac:dyDescent="0.3">
      <c r="A419" s="51"/>
      <c r="B419" s="51"/>
    </row>
    <row r="420" spans="1:2" ht="16.5" x14ac:dyDescent="0.3">
      <c r="A420" s="51"/>
      <c r="B420" s="51"/>
    </row>
    <row r="421" spans="1:2" ht="16.5" x14ac:dyDescent="0.3">
      <c r="A421" s="51"/>
      <c r="B421" s="51"/>
    </row>
    <row r="422" spans="1:2" ht="16.5" x14ac:dyDescent="0.3">
      <c r="A422" s="51"/>
      <c r="B422" s="51"/>
    </row>
    <row r="423" spans="1:2" ht="16.5" x14ac:dyDescent="0.3">
      <c r="A423" s="51"/>
      <c r="B423" s="51"/>
    </row>
    <row r="424" spans="1:2" ht="16.5" x14ac:dyDescent="0.3">
      <c r="A424" s="51"/>
      <c r="B424" s="51"/>
    </row>
    <row r="425" spans="1:2" ht="16.5" x14ac:dyDescent="0.3">
      <c r="A425" s="51"/>
      <c r="B425" s="51"/>
    </row>
    <row r="426" spans="1:2" ht="16.5" x14ac:dyDescent="0.3">
      <c r="A426" s="51"/>
      <c r="B426" s="51"/>
    </row>
    <row r="427" spans="1:2" ht="16.5" x14ac:dyDescent="0.3">
      <c r="A427" s="51"/>
      <c r="B427" s="51"/>
    </row>
    <row r="428" spans="1:2" ht="16.5" x14ac:dyDescent="0.3">
      <c r="A428" s="51"/>
      <c r="B428" s="51"/>
    </row>
    <row r="429" spans="1:2" ht="16.5" x14ac:dyDescent="0.3">
      <c r="A429" s="51"/>
      <c r="B429" s="51"/>
    </row>
    <row r="430" spans="1:2" ht="16.5" x14ac:dyDescent="0.3">
      <c r="A430" s="51"/>
      <c r="B430" s="51"/>
    </row>
    <row r="431" spans="1:2" ht="16.5" x14ac:dyDescent="0.3">
      <c r="A431" s="51"/>
      <c r="B431" s="51"/>
    </row>
    <row r="432" spans="1:2" ht="16.5" x14ac:dyDescent="0.3">
      <c r="A432" s="51"/>
      <c r="B432" s="51"/>
    </row>
    <row r="433" spans="1:2" ht="16.5" x14ac:dyDescent="0.3">
      <c r="A433" s="51"/>
      <c r="B433" s="51"/>
    </row>
    <row r="434" spans="1:2" ht="16.5" x14ac:dyDescent="0.3">
      <c r="A434" s="51"/>
      <c r="B434" s="51"/>
    </row>
    <row r="435" spans="1:2" ht="16.5" x14ac:dyDescent="0.3">
      <c r="A435" s="51"/>
      <c r="B435" s="51"/>
    </row>
    <row r="436" spans="1:2" ht="16.5" x14ac:dyDescent="0.3">
      <c r="A436" s="51"/>
      <c r="B436" s="51"/>
    </row>
    <row r="437" spans="1:2" ht="16.5" x14ac:dyDescent="0.3">
      <c r="A437" s="51"/>
      <c r="B437" s="51"/>
    </row>
    <row r="438" spans="1:2" ht="16.5" x14ac:dyDescent="0.3">
      <c r="A438" s="51"/>
      <c r="B438" s="51"/>
    </row>
    <row r="439" spans="1:2" ht="16.5" x14ac:dyDescent="0.3">
      <c r="A439" s="51"/>
      <c r="B439" s="51"/>
    </row>
    <row r="440" spans="1:2" ht="16.5" x14ac:dyDescent="0.3">
      <c r="A440" s="51"/>
      <c r="B440" s="51"/>
    </row>
    <row r="441" spans="1:2" ht="16.5" x14ac:dyDescent="0.3">
      <c r="A441" s="51"/>
      <c r="B441" s="51"/>
    </row>
    <row r="442" spans="1:2" ht="16.5" x14ac:dyDescent="0.3">
      <c r="A442" s="51"/>
      <c r="B442" s="51"/>
    </row>
    <row r="443" spans="1:2" ht="16.5" x14ac:dyDescent="0.3">
      <c r="A443" s="51"/>
      <c r="B443" s="51"/>
    </row>
    <row r="444" spans="1:2" ht="16.5" x14ac:dyDescent="0.3">
      <c r="A444" s="51"/>
      <c r="B444" s="51"/>
    </row>
    <row r="445" spans="1:2" ht="16.5" x14ac:dyDescent="0.3">
      <c r="A445" s="51"/>
      <c r="B445" s="51"/>
    </row>
    <row r="446" spans="1:2" ht="16.5" x14ac:dyDescent="0.3">
      <c r="A446" s="51"/>
      <c r="B446" s="51"/>
    </row>
    <row r="447" spans="1:2" ht="16.5" x14ac:dyDescent="0.3">
      <c r="A447" s="51"/>
      <c r="B447" s="51"/>
    </row>
    <row r="448" spans="1:2" ht="16.5" x14ac:dyDescent="0.3">
      <c r="A448" s="51"/>
      <c r="B448" s="51"/>
    </row>
    <row r="449" spans="1:2" ht="16.5" x14ac:dyDescent="0.3">
      <c r="A449" s="51"/>
      <c r="B449" s="51"/>
    </row>
    <row r="450" spans="1:2" ht="16.5" x14ac:dyDescent="0.3">
      <c r="A450" s="51"/>
      <c r="B450" s="51"/>
    </row>
    <row r="451" spans="1:2" ht="16.5" x14ac:dyDescent="0.3">
      <c r="A451" s="51"/>
      <c r="B451" s="51"/>
    </row>
    <row r="452" spans="1:2" ht="16.5" x14ac:dyDescent="0.3">
      <c r="A452" s="51"/>
      <c r="B452" s="51"/>
    </row>
    <row r="453" spans="1:2" ht="16.5" x14ac:dyDescent="0.3">
      <c r="A453" s="51"/>
      <c r="B453" s="51"/>
    </row>
    <row r="454" spans="1:2" ht="16.5" x14ac:dyDescent="0.3">
      <c r="A454" s="51"/>
      <c r="B454" s="51"/>
    </row>
    <row r="455" spans="1:2" ht="16.5" x14ac:dyDescent="0.3">
      <c r="A455" s="51"/>
      <c r="B455" s="51"/>
    </row>
    <row r="456" spans="1:2" ht="16.5" x14ac:dyDescent="0.3">
      <c r="A456" s="51"/>
      <c r="B456" s="51"/>
    </row>
    <row r="457" spans="1:2" ht="16.5" x14ac:dyDescent="0.3">
      <c r="A457" s="51"/>
      <c r="B457" s="51"/>
    </row>
    <row r="458" spans="1:2" ht="16.5" x14ac:dyDescent="0.3">
      <c r="A458" s="51"/>
      <c r="B458" s="51"/>
    </row>
    <row r="459" spans="1:2" ht="16.5" x14ac:dyDescent="0.3">
      <c r="A459" s="51"/>
      <c r="B459" s="51"/>
    </row>
    <row r="460" spans="1:2" ht="16.5" x14ac:dyDescent="0.3">
      <c r="A460" s="51"/>
      <c r="B460" s="51"/>
    </row>
    <row r="461" spans="1:2" ht="16.5" x14ac:dyDescent="0.3">
      <c r="A461" s="51"/>
      <c r="B461" s="51"/>
    </row>
    <row r="462" spans="1:2" ht="16.5" x14ac:dyDescent="0.3">
      <c r="A462" s="51"/>
      <c r="B462" s="51"/>
    </row>
    <row r="463" spans="1:2" ht="16.5" x14ac:dyDescent="0.3">
      <c r="A463" s="51"/>
      <c r="B463" s="51"/>
    </row>
    <row r="464" spans="1:2" ht="16.5" x14ac:dyDescent="0.3">
      <c r="A464" s="51"/>
      <c r="B464" s="51"/>
    </row>
    <row r="465" spans="1:2" ht="16.5" x14ac:dyDescent="0.3">
      <c r="A465" s="51"/>
      <c r="B465" s="51"/>
    </row>
    <row r="466" spans="1:2" ht="16.5" x14ac:dyDescent="0.3">
      <c r="A466" s="51"/>
      <c r="B466" s="51"/>
    </row>
    <row r="467" spans="1:2" ht="16.5" x14ac:dyDescent="0.3">
      <c r="A467" s="51"/>
      <c r="B467" s="51"/>
    </row>
    <row r="468" spans="1:2" ht="16.5" x14ac:dyDescent="0.3">
      <c r="A468" s="51"/>
      <c r="B468" s="51"/>
    </row>
    <row r="469" spans="1:2" ht="16.5" x14ac:dyDescent="0.3">
      <c r="A469" s="51"/>
      <c r="B469" s="51"/>
    </row>
    <row r="470" spans="1:2" ht="16.5" x14ac:dyDescent="0.3">
      <c r="A470" s="51"/>
      <c r="B470" s="51"/>
    </row>
    <row r="471" spans="1:2" ht="16.5" x14ac:dyDescent="0.3">
      <c r="A471" s="51"/>
      <c r="B471" s="51"/>
    </row>
    <row r="472" spans="1:2" ht="16.5" x14ac:dyDescent="0.3">
      <c r="A472" s="51"/>
      <c r="B472" s="51"/>
    </row>
    <row r="473" spans="1:2" ht="16.5" x14ac:dyDescent="0.3">
      <c r="A473" s="51"/>
      <c r="B473" s="51"/>
    </row>
    <row r="474" spans="1:2" ht="16.5" x14ac:dyDescent="0.3">
      <c r="A474" s="51"/>
      <c r="B474" s="51"/>
    </row>
    <row r="475" spans="1:2" ht="16.5" x14ac:dyDescent="0.3">
      <c r="A475" s="51"/>
      <c r="B475" s="51"/>
    </row>
    <row r="476" spans="1:2" ht="16.5" x14ac:dyDescent="0.3">
      <c r="A476" s="51"/>
      <c r="B476" s="51"/>
    </row>
    <row r="477" spans="1:2" ht="16.5" x14ac:dyDescent="0.3">
      <c r="A477" s="51"/>
      <c r="B477" s="51"/>
    </row>
    <row r="478" spans="1:2" ht="16.5" x14ac:dyDescent="0.3">
      <c r="A478" s="51"/>
      <c r="B478" s="51"/>
    </row>
    <row r="479" spans="1:2" ht="16.5" x14ac:dyDescent="0.3">
      <c r="A479" s="51"/>
      <c r="B479" s="51"/>
    </row>
    <row r="480" spans="1:2" ht="16.5" x14ac:dyDescent="0.3">
      <c r="A480" s="51"/>
      <c r="B480" s="51"/>
    </row>
    <row r="481" spans="1:2" ht="16.5" x14ac:dyDescent="0.3">
      <c r="A481" s="51"/>
      <c r="B481" s="51"/>
    </row>
    <row r="482" spans="1:2" ht="16.5" x14ac:dyDescent="0.3">
      <c r="A482" s="51"/>
      <c r="B482" s="51"/>
    </row>
    <row r="483" spans="1:2" ht="16.5" x14ac:dyDescent="0.3">
      <c r="A483" s="51"/>
      <c r="B483" s="51"/>
    </row>
    <row r="484" spans="1:2" ht="16.5" x14ac:dyDescent="0.3">
      <c r="A484" s="51"/>
      <c r="B484" s="51"/>
    </row>
    <row r="485" spans="1:2" ht="16.5" x14ac:dyDescent="0.3">
      <c r="A485" s="51"/>
      <c r="B485" s="51"/>
    </row>
    <row r="486" spans="1:2" ht="16.5" x14ac:dyDescent="0.3">
      <c r="A486" s="51"/>
      <c r="B486" s="51"/>
    </row>
    <row r="487" spans="1:2" ht="16.5" x14ac:dyDescent="0.3">
      <c r="A487" s="51"/>
      <c r="B487" s="51"/>
    </row>
    <row r="488" spans="1:2" ht="16.5" x14ac:dyDescent="0.3">
      <c r="A488" s="51"/>
      <c r="B488" s="51"/>
    </row>
    <row r="489" spans="1:2" ht="16.5" x14ac:dyDescent="0.3">
      <c r="A489" s="51"/>
      <c r="B489" s="51"/>
    </row>
    <row r="490" spans="1:2" ht="16.5" x14ac:dyDescent="0.3">
      <c r="A490" s="51"/>
      <c r="B490" s="51"/>
    </row>
    <row r="491" spans="1:2" ht="16.5" x14ac:dyDescent="0.3">
      <c r="A491" s="51"/>
      <c r="B491" s="51"/>
    </row>
    <row r="492" spans="1:2" ht="16.5" x14ac:dyDescent="0.3">
      <c r="A492" s="51"/>
      <c r="B492" s="51"/>
    </row>
    <row r="493" spans="1:2" ht="16.5" x14ac:dyDescent="0.3">
      <c r="A493" s="51"/>
      <c r="B493" s="51"/>
    </row>
    <row r="494" spans="1:2" ht="16.5" x14ac:dyDescent="0.3">
      <c r="A494" s="51"/>
      <c r="B494" s="51"/>
    </row>
    <row r="495" spans="1:2" ht="16.5" x14ac:dyDescent="0.3">
      <c r="A495" s="51"/>
      <c r="B495" s="51"/>
    </row>
    <row r="496" spans="1:2" ht="16.5" x14ac:dyDescent="0.3">
      <c r="A496" s="51"/>
      <c r="B496" s="51"/>
    </row>
    <row r="497" spans="1:2" ht="16.5" x14ac:dyDescent="0.3">
      <c r="A497" s="51"/>
      <c r="B497" s="51"/>
    </row>
    <row r="498" spans="1:2" ht="16.5" x14ac:dyDescent="0.3">
      <c r="A498" s="51"/>
      <c r="B498" s="51"/>
    </row>
    <row r="499" spans="1:2" ht="16.5" x14ac:dyDescent="0.3">
      <c r="A499" s="51"/>
      <c r="B499" s="51"/>
    </row>
    <row r="500" spans="1:2" ht="16.5" x14ac:dyDescent="0.3">
      <c r="A500" s="51"/>
      <c r="B500" s="51"/>
    </row>
    <row r="501" spans="1:2" ht="16.5" x14ac:dyDescent="0.3">
      <c r="A501" s="51"/>
      <c r="B501" s="51"/>
    </row>
    <row r="502" spans="1:2" ht="16.5" x14ac:dyDescent="0.3">
      <c r="A502" s="51"/>
      <c r="B502" s="51"/>
    </row>
    <row r="503" spans="1:2" ht="16.5" x14ac:dyDescent="0.3">
      <c r="A503" s="51"/>
      <c r="B503" s="51"/>
    </row>
    <row r="504" spans="1:2" ht="16.5" x14ac:dyDescent="0.3">
      <c r="A504" s="51"/>
      <c r="B504" s="51"/>
    </row>
    <row r="505" spans="1:2" ht="16.5" x14ac:dyDescent="0.3">
      <c r="A505" s="51"/>
      <c r="B505" s="51"/>
    </row>
    <row r="506" spans="1:2" ht="16.5" x14ac:dyDescent="0.3">
      <c r="A506" s="51"/>
      <c r="B506" s="51"/>
    </row>
    <row r="507" spans="1:2" ht="16.5" x14ac:dyDescent="0.3">
      <c r="A507" s="51"/>
      <c r="B507" s="51"/>
    </row>
    <row r="508" spans="1:2" ht="16.5" x14ac:dyDescent="0.3">
      <c r="A508" s="51"/>
      <c r="B508" s="51"/>
    </row>
    <row r="509" spans="1:2" ht="16.5" x14ac:dyDescent="0.3">
      <c r="A509" s="51"/>
      <c r="B509" s="51"/>
    </row>
    <row r="510" spans="1:2" ht="16.5" x14ac:dyDescent="0.3">
      <c r="A510" s="51"/>
      <c r="B510" s="51"/>
    </row>
    <row r="511" spans="1:2" ht="16.5" x14ac:dyDescent="0.3">
      <c r="A511" s="51"/>
      <c r="B511" s="51"/>
    </row>
    <row r="512" spans="1:2" ht="16.5" x14ac:dyDescent="0.3">
      <c r="A512" s="51"/>
      <c r="B512" s="51"/>
    </row>
    <row r="513" spans="1:2" ht="16.5" x14ac:dyDescent="0.3">
      <c r="A513" s="51"/>
      <c r="B513" s="51"/>
    </row>
    <row r="514" spans="1:2" ht="16.5" x14ac:dyDescent="0.3">
      <c r="A514" s="51"/>
      <c r="B514" s="51"/>
    </row>
    <row r="515" spans="1:2" ht="16.5" x14ac:dyDescent="0.3">
      <c r="A515" s="51"/>
      <c r="B515" s="51"/>
    </row>
    <row r="516" spans="1:2" ht="16.5" x14ac:dyDescent="0.3">
      <c r="A516" s="51"/>
      <c r="B516" s="51"/>
    </row>
    <row r="517" spans="1:2" ht="16.5" x14ac:dyDescent="0.3">
      <c r="A517" s="51"/>
      <c r="B517" s="51"/>
    </row>
    <row r="518" spans="1:2" ht="16.5" x14ac:dyDescent="0.3">
      <c r="A518" s="51"/>
      <c r="B518" s="51"/>
    </row>
    <row r="519" spans="1:2" ht="16.5" x14ac:dyDescent="0.3">
      <c r="A519" s="51"/>
      <c r="B519" s="51"/>
    </row>
    <row r="520" spans="1:2" ht="16.5" x14ac:dyDescent="0.3">
      <c r="A520" s="51"/>
      <c r="B520" s="51"/>
    </row>
    <row r="521" spans="1:2" ht="16.5" x14ac:dyDescent="0.3">
      <c r="A521" s="51"/>
      <c r="B521" s="51"/>
    </row>
    <row r="522" spans="1:2" ht="16.5" x14ac:dyDescent="0.3">
      <c r="A522" s="51"/>
      <c r="B522" s="51"/>
    </row>
    <row r="523" spans="1:2" ht="16.5" x14ac:dyDescent="0.3">
      <c r="A523" s="51"/>
      <c r="B523" s="51"/>
    </row>
    <row r="524" spans="1:2" ht="16.5" x14ac:dyDescent="0.3">
      <c r="A524" s="51"/>
      <c r="B524" s="51"/>
    </row>
    <row r="525" spans="1:2" ht="16.5" x14ac:dyDescent="0.3">
      <c r="A525" s="51"/>
      <c r="B525" s="51"/>
    </row>
    <row r="526" spans="1:2" ht="16.5" x14ac:dyDescent="0.3">
      <c r="A526" s="51"/>
      <c r="B526" s="51"/>
    </row>
    <row r="527" spans="1:2" ht="16.5" x14ac:dyDescent="0.3">
      <c r="A527" s="51"/>
      <c r="B527" s="51"/>
    </row>
    <row r="528" spans="1:2" ht="16.5" x14ac:dyDescent="0.3">
      <c r="A528" s="51"/>
      <c r="B528" s="51"/>
    </row>
    <row r="529" spans="1:2" ht="16.5" x14ac:dyDescent="0.3">
      <c r="A529" s="51"/>
      <c r="B529" s="51"/>
    </row>
    <row r="530" spans="1:2" ht="16.5" x14ac:dyDescent="0.3">
      <c r="A530" s="51"/>
      <c r="B530" s="51"/>
    </row>
    <row r="531" spans="1:2" ht="16.5" x14ac:dyDescent="0.3">
      <c r="A531" s="51"/>
      <c r="B531" s="51"/>
    </row>
    <row r="532" spans="1:2" ht="16.5" x14ac:dyDescent="0.3">
      <c r="A532" s="51"/>
      <c r="B532" s="51"/>
    </row>
    <row r="533" spans="1:2" ht="16.5" x14ac:dyDescent="0.3">
      <c r="A533" s="51"/>
      <c r="B533" s="51"/>
    </row>
    <row r="534" spans="1:2" ht="16.5" x14ac:dyDescent="0.3">
      <c r="A534" s="51"/>
      <c r="B534" s="51"/>
    </row>
    <row r="535" spans="1:2" ht="16.5" x14ac:dyDescent="0.3">
      <c r="A535" s="51"/>
      <c r="B535" s="51"/>
    </row>
    <row r="536" spans="1:2" ht="16.5" x14ac:dyDescent="0.3">
      <c r="A536" s="51"/>
      <c r="B536" s="51"/>
    </row>
    <row r="537" spans="1:2" ht="16.5" x14ac:dyDescent="0.3">
      <c r="A537" s="51"/>
      <c r="B537" s="51"/>
    </row>
    <row r="538" spans="1:2" ht="16.5" x14ac:dyDescent="0.3">
      <c r="A538" s="51"/>
      <c r="B538" s="51"/>
    </row>
    <row r="539" spans="1:2" ht="16.5" x14ac:dyDescent="0.3">
      <c r="A539" s="51"/>
      <c r="B539" s="51"/>
    </row>
    <row r="540" spans="1:2" ht="16.5" x14ac:dyDescent="0.3">
      <c r="A540" s="51"/>
      <c r="B540" s="51"/>
    </row>
    <row r="541" spans="1:2" ht="16.5" x14ac:dyDescent="0.3">
      <c r="A541" s="51"/>
      <c r="B541" s="51"/>
    </row>
    <row r="542" spans="1:2" ht="16.5" x14ac:dyDescent="0.3">
      <c r="A542" s="51"/>
      <c r="B542" s="51"/>
    </row>
    <row r="543" spans="1:2" ht="16.5" x14ac:dyDescent="0.3">
      <c r="A543" s="51"/>
      <c r="B543" s="51"/>
    </row>
    <row r="544" spans="1:2" ht="16.5" x14ac:dyDescent="0.3">
      <c r="A544" s="51"/>
      <c r="B544" s="51"/>
    </row>
    <row r="545" spans="1:2" ht="16.5" x14ac:dyDescent="0.3">
      <c r="A545" s="51"/>
      <c r="B545" s="51"/>
    </row>
    <row r="546" spans="1:2" ht="16.5" x14ac:dyDescent="0.3">
      <c r="A546" s="51"/>
      <c r="B546" s="51"/>
    </row>
    <row r="547" spans="1:2" ht="16.5" x14ac:dyDescent="0.3">
      <c r="A547" s="51"/>
      <c r="B547" s="51"/>
    </row>
    <row r="548" spans="1:2" ht="16.5" x14ac:dyDescent="0.3">
      <c r="A548" s="51"/>
      <c r="B548" s="51"/>
    </row>
    <row r="549" spans="1:2" ht="16.5" x14ac:dyDescent="0.3">
      <c r="A549" s="51"/>
      <c r="B549" s="51"/>
    </row>
    <row r="550" spans="1:2" ht="16.5" x14ac:dyDescent="0.3">
      <c r="A550" s="51"/>
      <c r="B550" s="51"/>
    </row>
    <row r="551" spans="1:2" ht="16.5" x14ac:dyDescent="0.3">
      <c r="A551" s="51"/>
      <c r="B551" s="51"/>
    </row>
    <row r="552" spans="1:2" ht="16.5" x14ac:dyDescent="0.3">
      <c r="A552" s="51"/>
      <c r="B552" s="51"/>
    </row>
    <row r="553" spans="1:2" ht="16.5" x14ac:dyDescent="0.3">
      <c r="A553" s="51"/>
      <c r="B553" s="51"/>
    </row>
    <row r="554" spans="1:2" ht="16.5" x14ac:dyDescent="0.3">
      <c r="A554" s="51"/>
      <c r="B554" s="51"/>
    </row>
    <row r="555" spans="1:2" ht="16.5" x14ac:dyDescent="0.3">
      <c r="A555" s="51"/>
      <c r="B555" s="51"/>
    </row>
    <row r="556" spans="1:2" ht="16.5" x14ac:dyDescent="0.3">
      <c r="A556" s="51"/>
      <c r="B556" s="51"/>
    </row>
    <row r="557" spans="1:2" ht="16.5" x14ac:dyDescent="0.3">
      <c r="A557" s="51"/>
      <c r="B557" s="51"/>
    </row>
    <row r="558" spans="1:2" ht="16.5" x14ac:dyDescent="0.3">
      <c r="A558" s="51"/>
      <c r="B558" s="51"/>
    </row>
    <row r="559" spans="1:2" ht="16.5" x14ac:dyDescent="0.3">
      <c r="A559" s="51"/>
      <c r="B559" s="51"/>
    </row>
    <row r="560" spans="1:2" ht="16.5" x14ac:dyDescent="0.3">
      <c r="A560" s="51"/>
      <c r="B560" s="51"/>
    </row>
    <row r="561" spans="1:2" ht="16.5" x14ac:dyDescent="0.3">
      <c r="A561" s="51"/>
      <c r="B561" s="51"/>
    </row>
    <row r="562" spans="1:2" ht="16.5" x14ac:dyDescent="0.3">
      <c r="A562" s="51"/>
      <c r="B562" s="51"/>
    </row>
    <row r="563" spans="1:2" ht="16.5" x14ac:dyDescent="0.3">
      <c r="A563" s="51"/>
      <c r="B563" s="51"/>
    </row>
    <row r="564" spans="1:2" ht="16.5" x14ac:dyDescent="0.3">
      <c r="A564" s="51"/>
      <c r="B564" s="51"/>
    </row>
    <row r="565" spans="1:2" ht="16.5" x14ac:dyDescent="0.3">
      <c r="A565" s="51"/>
      <c r="B565" s="51"/>
    </row>
    <row r="566" spans="1:2" ht="16.5" x14ac:dyDescent="0.3">
      <c r="A566" s="51"/>
      <c r="B566" s="51"/>
    </row>
    <row r="567" spans="1:2" ht="16.5" x14ac:dyDescent="0.3">
      <c r="A567" s="51"/>
      <c r="B567" s="51"/>
    </row>
    <row r="568" spans="1:2" ht="16.5" x14ac:dyDescent="0.3">
      <c r="A568" s="51"/>
      <c r="B568" s="51"/>
    </row>
    <row r="569" spans="1:2" ht="16.5" x14ac:dyDescent="0.3">
      <c r="A569" s="51"/>
      <c r="B569" s="51"/>
    </row>
    <row r="570" spans="1:2" ht="16.5" x14ac:dyDescent="0.3">
      <c r="A570" s="51"/>
      <c r="B570" s="51"/>
    </row>
    <row r="571" spans="1:2" ht="16.5" x14ac:dyDescent="0.3">
      <c r="A571" s="51"/>
      <c r="B571" s="51"/>
    </row>
    <row r="572" spans="1:2" ht="16.5" x14ac:dyDescent="0.3">
      <c r="A572" s="51"/>
      <c r="B572" s="51"/>
    </row>
    <row r="573" spans="1:2" ht="16.5" x14ac:dyDescent="0.3">
      <c r="A573" s="51"/>
      <c r="B573" s="51"/>
    </row>
    <row r="574" spans="1:2" ht="16.5" x14ac:dyDescent="0.3">
      <c r="A574" s="51"/>
      <c r="B574" s="51"/>
    </row>
    <row r="575" spans="1:2" ht="16.5" x14ac:dyDescent="0.3">
      <c r="A575" s="51"/>
      <c r="B575" s="51"/>
    </row>
    <row r="576" spans="1:2" ht="16.5" x14ac:dyDescent="0.3">
      <c r="A576" s="51"/>
      <c r="B576" s="51"/>
    </row>
    <row r="577" spans="1:2" ht="16.5" x14ac:dyDescent="0.3">
      <c r="A577" s="51"/>
      <c r="B577" s="51"/>
    </row>
    <row r="578" spans="1:2" ht="16.5" x14ac:dyDescent="0.3">
      <c r="A578" s="51"/>
      <c r="B578" s="51"/>
    </row>
    <row r="579" spans="1:2" ht="16.5" x14ac:dyDescent="0.3">
      <c r="A579" s="51"/>
      <c r="B579" s="51"/>
    </row>
    <row r="580" spans="1:2" ht="16.5" x14ac:dyDescent="0.3">
      <c r="A580" s="51"/>
      <c r="B580" s="51"/>
    </row>
    <row r="581" spans="1:2" ht="16.5" x14ac:dyDescent="0.3">
      <c r="A581" s="51"/>
      <c r="B581" s="51"/>
    </row>
    <row r="582" spans="1:2" ht="16.5" x14ac:dyDescent="0.3">
      <c r="A582" s="51"/>
      <c r="B582" s="51"/>
    </row>
    <row r="583" spans="1:2" ht="16.5" x14ac:dyDescent="0.3">
      <c r="A583" s="51"/>
      <c r="B583" s="51"/>
    </row>
    <row r="584" spans="1:2" ht="16.5" x14ac:dyDescent="0.3">
      <c r="A584" s="51"/>
      <c r="B584" s="51"/>
    </row>
    <row r="585" spans="1:2" ht="16.5" x14ac:dyDescent="0.3">
      <c r="A585" s="51"/>
      <c r="B585" s="51"/>
    </row>
    <row r="586" spans="1:2" ht="16.5" x14ac:dyDescent="0.3">
      <c r="A586" s="51"/>
      <c r="B586" s="51"/>
    </row>
    <row r="587" spans="1:2" ht="16.5" x14ac:dyDescent="0.3">
      <c r="A587" s="51"/>
      <c r="B587" s="51"/>
    </row>
    <row r="588" spans="1:2" ht="16.5" x14ac:dyDescent="0.3">
      <c r="A588" s="51"/>
      <c r="B588" s="51"/>
    </row>
    <row r="589" spans="1:2" ht="16.5" x14ac:dyDescent="0.3">
      <c r="A589" s="51"/>
      <c r="B589" s="51"/>
    </row>
    <row r="590" spans="1:2" ht="16.5" x14ac:dyDescent="0.3">
      <c r="A590" s="51"/>
      <c r="B590" s="51"/>
    </row>
    <row r="591" spans="1:2" ht="16.5" x14ac:dyDescent="0.3">
      <c r="A591" s="51"/>
      <c r="B591" s="51"/>
    </row>
    <row r="592" spans="1:2" ht="16.5" x14ac:dyDescent="0.3">
      <c r="A592" s="51"/>
      <c r="B592" s="51"/>
    </row>
    <row r="593" spans="1:2" ht="16.5" x14ac:dyDescent="0.3">
      <c r="A593" s="51"/>
      <c r="B593" s="51"/>
    </row>
    <row r="594" spans="1:2" ht="16.5" x14ac:dyDescent="0.3">
      <c r="A594" s="51"/>
      <c r="B594" s="51"/>
    </row>
    <row r="595" spans="1:2" ht="16.5" x14ac:dyDescent="0.3">
      <c r="A595" s="51"/>
      <c r="B595" s="51"/>
    </row>
    <row r="596" spans="1:2" ht="16.5" x14ac:dyDescent="0.3">
      <c r="A596" s="51"/>
      <c r="B596" s="51"/>
    </row>
    <row r="597" spans="1:2" ht="16.5" x14ac:dyDescent="0.3">
      <c r="A597" s="51"/>
      <c r="B597" s="51"/>
    </row>
    <row r="598" spans="1:2" ht="16.5" x14ac:dyDescent="0.3">
      <c r="A598" s="51"/>
      <c r="B598" s="51"/>
    </row>
    <row r="599" spans="1:2" ht="16.5" x14ac:dyDescent="0.3">
      <c r="A599" s="51"/>
      <c r="B599" s="51"/>
    </row>
    <row r="600" spans="1:2" ht="16.5" x14ac:dyDescent="0.3">
      <c r="A600" s="51"/>
      <c r="B600" s="51"/>
    </row>
    <row r="601" spans="1:2" ht="16.5" x14ac:dyDescent="0.3">
      <c r="A601" s="51"/>
      <c r="B601" s="51"/>
    </row>
    <row r="602" spans="1:2" ht="16.5" x14ac:dyDescent="0.3">
      <c r="A602" s="51"/>
      <c r="B602" s="51"/>
    </row>
    <row r="603" spans="1:2" ht="16.5" x14ac:dyDescent="0.3">
      <c r="A603" s="51"/>
      <c r="B603" s="51"/>
    </row>
    <row r="604" spans="1:2" ht="16.5" x14ac:dyDescent="0.3">
      <c r="A604" s="51"/>
      <c r="B604" s="51"/>
    </row>
    <row r="605" spans="1:2" ht="16.5" x14ac:dyDescent="0.3">
      <c r="A605" s="51"/>
      <c r="B605" s="51"/>
    </row>
    <row r="606" spans="1:2" ht="16.5" x14ac:dyDescent="0.3">
      <c r="A606" s="51"/>
      <c r="B606" s="51"/>
    </row>
    <row r="607" spans="1:2" ht="16.5" x14ac:dyDescent="0.3">
      <c r="A607" s="51"/>
      <c r="B607" s="51"/>
    </row>
    <row r="608" spans="1:2" ht="16.5" x14ac:dyDescent="0.3">
      <c r="A608" s="51"/>
      <c r="B608" s="51"/>
    </row>
    <row r="609" spans="1:2" ht="16.5" x14ac:dyDescent="0.3">
      <c r="A609" s="51"/>
      <c r="B609" s="51"/>
    </row>
    <row r="610" spans="1:2" ht="16.5" x14ac:dyDescent="0.3">
      <c r="A610" s="51"/>
      <c r="B610" s="51"/>
    </row>
    <row r="611" spans="1:2" ht="16.5" x14ac:dyDescent="0.3">
      <c r="A611" s="51"/>
      <c r="B611" s="51"/>
    </row>
    <row r="612" spans="1:2" ht="16.5" x14ac:dyDescent="0.3">
      <c r="A612" s="51"/>
      <c r="B612" s="51"/>
    </row>
    <row r="613" spans="1:2" ht="16.5" x14ac:dyDescent="0.3">
      <c r="A613" s="51"/>
      <c r="B613" s="51"/>
    </row>
    <row r="614" spans="1:2" ht="16.5" x14ac:dyDescent="0.3">
      <c r="A614" s="51"/>
      <c r="B614" s="51"/>
    </row>
    <row r="615" spans="1:2" ht="16.5" x14ac:dyDescent="0.3">
      <c r="A615" s="51"/>
      <c r="B615" s="51"/>
    </row>
    <row r="616" spans="1:2" ht="16.5" x14ac:dyDescent="0.3">
      <c r="A616" s="51"/>
      <c r="B616" s="51"/>
    </row>
    <row r="617" spans="1:2" ht="16.5" x14ac:dyDescent="0.3">
      <c r="A617" s="51"/>
      <c r="B617" s="51"/>
    </row>
    <row r="618" spans="1:2" ht="16.5" x14ac:dyDescent="0.3">
      <c r="A618" s="51"/>
      <c r="B618" s="51"/>
    </row>
    <row r="619" spans="1:2" ht="16.5" x14ac:dyDescent="0.3">
      <c r="A619" s="51"/>
      <c r="B619" s="51"/>
    </row>
    <row r="620" spans="1:2" ht="16.5" x14ac:dyDescent="0.3">
      <c r="A620" s="51"/>
      <c r="B620" s="51"/>
    </row>
    <row r="621" spans="1:2" ht="16.5" x14ac:dyDescent="0.3">
      <c r="A621" s="51"/>
      <c r="B621" s="51"/>
    </row>
    <row r="622" spans="1:2" ht="16.5" x14ac:dyDescent="0.3">
      <c r="A622" s="51"/>
      <c r="B622" s="51"/>
    </row>
    <row r="623" spans="1:2" ht="16.5" x14ac:dyDescent="0.3">
      <c r="A623" s="51"/>
      <c r="B623" s="51"/>
    </row>
    <row r="624" spans="1:2" ht="16.5" x14ac:dyDescent="0.3">
      <c r="A624" s="51"/>
      <c r="B624" s="51"/>
    </row>
    <row r="625" spans="1:2" ht="16.5" x14ac:dyDescent="0.3">
      <c r="A625" s="51"/>
      <c r="B625" s="51"/>
    </row>
    <row r="626" spans="1:2" ht="16.5" x14ac:dyDescent="0.3">
      <c r="A626" s="51"/>
      <c r="B626" s="51"/>
    </row>
    <row r="627" spans="1:2" ht="16.5" x14ac:dyDescent="0.3">
      <c r="A627" s="51"/>
      <c r="B627" s="51"/>
    </row>
    <row r="628" spans="1:2" ht="16.5" x14ac:dyDescent="0.3">
      <c r="A628" s="51"/>
      <c r="B628" s="51"/>
    </row>
    <row r="629" spans="1:2" ht="16.5" x14ac:dyDescent="0.3">
      <c r="A629" s="51"/>
      <c r="B629" s="51"/>
    </row>
    <row r="630" spans="1:2" ht="16.5" x14ac:dyDescent="0.3">
      <c r="A630" s="51"/>
      <c r="B630" s="51"/>
    </row>
    <row r="631" spans="1:2" ht="16.5" x14ac:dyDescent="0.3">
      <c r="A631" s="51"/>
      <c r="B631" s="51"/>
    </row>
    <row r="632" spans="1:2" ht="16.5" x14ac:dyDescent="0.3">
      <c r="A632" s="51"/>
      <c r="B632" s="51"/>
    </row>
    <row r="633" spans="1:2" ht="16.5" x14ac:dyDescent="0.3">
      <c r="A633" s="51"/>
      <c r="B633" s="51"/>
    </row>
    <row r="634" spans="1:2" ht="16.5" x14ac:dyDescent="0.3">
      <c r="A634" s="51"/>
      <c r="B634" s="51"/>
    </row>
    <row r="635" spans="1:2" ht="16.5" x14ac:dyDescent="0.3">
      <c r="A635" s="51"/>
      <c r="B635" s="51"/>
    </row>
    <row r="636" spans="1:2" ht="16.5" x14ac:dyDescent="0.3">
      <c r="A636" s="51"/>
      <c r="B636" s="51"/>
    </row>
    <row r="637" spans="1:2" ht="16.5" x14ac:dyDescent="0.3">
      <c r="A637" s="51"/>
      <c r="B637" s="51"/>
    </row>
    <row r="638" spans="1:2" ht="16.5" x14ac:dyDescent="0.3">
      <c r="A638" s="51"/>
      <c r="B638" s="51"/>
    </row>
    <row r="639" spans="1:2" ht="16.5" x14ac:dyDescent="0.3">
      <c r="A639" s="51"/>
      <c r="B639" s="51"/>
    </row>
    <row r="640" spans="1:2" ht="16.5" x14ac:dyDescent="0.3">
      <c r="A640" s="51"/>
      <c r="B640" s="51"/>
    </row>
    <row r="641" spans="1:2" ht="16.5" x14ac:dyDescent="0.3">
      <c r="A641" s="51"/>
      <c r="B641" s="51"/>
    </row>
    <row r="642" spans="1:2" ht="16.5" x14ac:dyDescent="0.3">
      <c r="A642" s="51"/>
      <c r="B642" s="51"/>
    </row>
    <row r="643" spans="1:2" ht="16.5" x14ac:dyDescent="0.3">
      <c r="A643" s="51"/>
      <c r="B643" s="51"/>
    </row>
    <row r="644" spans="1:2" ht="16.5" x14ac:dyDescent="0.3">
      <c r="A644" s="51"/>
      <c r="B644" s="51"/>
    </row>
    <row r="645" spans="1:2" ht="16.5" x14ac:dyDescent="0.3">
      <c r="A645" s="51"/>
      <c r="B645" s="51"/>
    </row>
    <row r="646" spans="1:2" ht="16.5" x14ac:dyDescent="0.3">
      <c r="A646" s="51"/>
      <c r="B646" s="51"/>
    </row>
    <row r="647" spans="1:2" ht="16.5" x14ac:dyDescent="0.3">
      <c r="A647" s="51"/>
      <c r="B647" s="51"/>
    </row>
    <row r="648" spans="1:2" ht="16.5" x14ac:dyDescent="0.3">
      <c r="A648" s="51"/>
      <c r="B648" s="51"/>
    </row>
    <row r="649" spans="1:2" ht="16.5" x14ac:dyDescent="0.3">
      <c r="A649" s="51"/>
      <c r="B649" s="51"/>
    </row>
    <row r="650" spans="1:2" ht="16.5" x14ac:dyDescent="0.3">
      <c r="A650" s="51"/>
      <c r="B650" s="51"/>
    </row>
    <row r="651" spans="1:2" ht="16.5" x14ac:dyDescent="0.3">
      <c r="A651" s="51"/>
      <c r="B651" s="51"/>
    </row>
    <row r="652" spans="1:2" ht="16.5" x14ac:dyDescent="0.3">
      <c r="A652" s="51"/>
      <c r="B652" s="51"/>
    </row>
    <row r="653" spans="1:2" ht="16.5" x14ac:dyDescent="0.3">
      <c r="A653" s="51"/>
      <c r="B653" s="51"/>
    </row>
    <row r="654" spans="1:2" ht="16.5" x14ac:dyDescent="0.3">
      <c r="A654" s="51"/>
      <c r="B654" s="51"/>
    </row>
    <row r="655" spans="1:2" ht="16.5" x14ac:dyDescent="0.3">
      <c r="A655" s="51"/>
      <c r="B655" s="51"/>
    </row>
    <row r="656" spans="1:2" ht="16.5" x14ac:dyDescent="0.3">
      <c r="A656" s="51"/>
      <c r="B656" s="51"/>
    </row>
    <row r="657" spans="1:2" ht="16.5" x14ac:dyDescent="0.3">
      <c r="A657" s="51"/>
      <c r="B657" s="51"/>
    </row>
    <row r="658" spans="1:2" ht="16.5" x14ac:dyDescent="0.3">
      <c r="A658" s="51"/>
      <c r="B658" s="51"/>
    </row>
    <row r="659" spans="1:2" ht="16.5" x14ac:dyDescent="0.3">
      <c r="A659" s="51"/>
      <c r="B659" s="51"/>
    </row>
    <row r="660" spans="1:2" ht="16.5" x14ac:dyDescent="0.3">
      <c r="A660" s="51"/>
      <c r="B660" s="51"/>
    </row>
    <row r="661" spans="1:2" ht="16.5" x14ac:dyDescent="0.3">
      <c r="A661" s="51"/>
      <c r="B661" s="51"/>
    </row>
    <row r="662" spans="1:2" ht="16.5" x14ac:dyDescent="0.3">
      <c r="A662" s="51"/>
      <c r="B662" s="51"/>
    </row>
    <row r="663" spans="1:2" ht="16.5" x14ac:dyDescent="0.3">
      <c r="A663" s="51"/>
      <c r="B663" s="51"/>
    </row>
    <row r="664" spans="1:2" ht="16.5" x14ac:dyDescent="0.3">
      <c r="A664" s="51"/>
      <c r="B664" s="51"/>
    </row>
    <row r="665" spans="1:2" ht="16.5" x14ac:dyDescent="0.3">
      <c r="A665" s="51"/>
      <c r="B665" s="51"/>
    </row>
    <row r="666" spans="1:2" ht="16.5" x14ac:dyDescent="0.3">
      <c r="A666" s="51"/>
      <c r="B666" s="51"/>
    </row>
    <row r="667" spans="1:2" ht="16.5" x14ac:dyDescent="0.3">
      <c r="A667" s="51"/>
      <c r="B667" s="51"/>
    </row>
    <row r="668" spans="1:2" ht="16.5" x14ac:dyDescent="0.3">
      <c r="A668" s="51"/>
      <c r="B668" s="51"/>
    </row>
    <row r="669" spans="1:2" ht="16.5" x14ac:dyDescent="0.3">
      <c r="A669" s="51"/>
      <c r="B669" s="51"/>
    </row>
    <row r="670" spans="1:2" ht="16.5" x14ac:dyDescent="0.3">
      <c r="A670" s="51"/>
      <c r="B670" s="51"/>
    </row>
    <row r="671" spans="1:2" ht="16.5" x14ac:dyDescent="0.3">
      <c r="A671" s="51"/>
      <c r="B671" s="51"/>
    </row>
    <row r="672" spans="1:2" ht="16.5" x14ac:dyDescent="0.3">
      <c r="A672" s="51"/>
      <c r="B672" s="51"/>
    </row>
    <row r="673" spans="1:2" ht="16.5" x14ac:dyDescent="0.3">
      <c r="A673" s="51"/>
      <c r="B673" s="51"/>
    </row>
    <row r="674" spans="1:2" ht="16.5" x14ac:dyDescent="0.3">
      <c r="A674" s="51"/>
      <c r="B674" s="51"/>
    </row>
    <row r="675" spans="1:2" ht="16.5" x14ac:dyDescent="0.3">
      <c r="A675" s="51"/>
      <c r="B675" s="51"/>
    </row>
    <row r="676" spans="1:2" ht="16.5" x14ac:dyDescent="0.3">
      <c r="A676" s="51"/>
      <c r="B676" s="51"/>
    </row>
    <row r="677" spans="1:2" ht="16.5" x14ac:dyDescent="0.3">
      <c r="A677" s="51"/>
      <c r="B677" s="51"/>
    </row>
    <row r="678" spans="1:2" ht="16.5" x14ac:dyDescent="0.3">
      <c r="A678" s="51"/>
      <c r="B678" s="51"/>
    </row>
    <row r="679" spans="1:2" ht="16.5" x14ac:dyDescent="0.3">
      <c r="A679" s="51"/>
      <c r="B679" s="51"/>
    </row>
    <row r="680" spans="1:2" ht="16.5" x14ac:dyDescent="0.3">
      <c r="A680" s="51"/>
      <c r="B680" s="51"/>
    </row>
    <row r="681" spans="1:2" ht="16.5" x14ac:dyDescent="0.3">
      <c r="A681" s="51"/>
      <c r="B681" s="51"/>
    </row>
    <row r="682" spans="1:2" ht="16.5" x14ac:dyDescent="0.3">
      <c r="A682" s="51"/>
      <c r="B682" s="51"/>
    </row>
    <row r="683" spans="1:2" ht="16.5" x14ac:dyDescent="0.3">
      <c r="A683" s="51"/>
      <c r="B683" s="51"/>
    </row>
    <row r="684" spans="1:2" ht="16.5" x14ac:dyDescent="0.3">
      <c r="A684" s="51"/>
      <c r="B684" s="51"/>
    </row>
    <row r="685" spans="1:2" ht="16.5" x14ac:dyDescent="0.3">
      <c r="A685" s="51"/>
      <c r="B685" s="51"/>
    </row>
    <row r="686" spans="1:2" ht="16.5" x14ac:dyDescent="0.3">
      <c r="A686" s="51"/>
      <c r="B686" s="51"/>
    </row>
    <row r="687" spans="1:2" ht="16.5" x14ac:dyDescent="0.3">
      <c r="A687" s="51"/>
      <c r="B687" s="51"/>
    </row>
    <row r="688" spans="1:2" ht="16.5" x14ac:dyDescent="0.3">
      <c r="A688" s="51"/>
      <c r="B688" s="51"/>
    </row>
    <row r="689" spans="1:2" ht="16.5" x14ac:dyDescent="0.3">
      <c r="A689" s="51"/>
      <c r="B689" s="51"/>
    </row>
    <row r="690" spans="1:2" ht="16.5" x14ac:dyDescent="0.3">
      <c r="A690" s="51"/>
      <c r="B690" s="51"/>
    </row>
    <row r="691" spans="1:2" ht="16.5" x14ac:dyDescent="0.3">
      <c r="A691" s="51"/>
      <c r="B691" s="51"/>
    </row>
    <row r="692" spans="1:2" ht="16.5" x14ac:dyDescent="0.3">
      <c r="A692" s="51"/>
      <c r="B692" s="51"/>
    </row>
    <row r="693" spans="1:2" ht="16.5" x14ac:dyDescent="0.3">
      <c r="A693" s="51"/>
      <c r="B693" s="51"/>
    </row>
    <row r="694" spans="1:2" ht="16.5" x14ac:dyDescent="0.3">
      <c r="A694" s="51"/>
      <c r="B694" s="51"/>
    </row>
    <row r="695" spans="1:2" ht="16.5" x14ac:dyDescent="0.3">
      <c r="A695" s="51"/>
      <c r="B695" s="51"/>
    </row>
    <row r="696" spans="1:2" ht="16.5" x14ac:dyDescent="0.3">
      <c r="A696" s="51"/>
      <c r="B696" s="51"/>
    </row>
    <row r="697" spans="1:2" ht="16.5" x14ac:dyDescent="0.3">
      <c r="A697" s="51"/>
      <c r="B697" s="51"/>
    </row>
    <row r="698" spans="1:2" ht="16.5" x14ac:dyDescent="0.3">
      <c r="A698" s="51"/>
      <c r="B698" s="51"/>
    </row>
    <row r="699" spans="1:2" ht="16.5" x14ac:dyDescent="0.3">
      <c r="A699" s="51"/>
      <c r="B699" s="51"/>
    </row>
    <row r="700" spans="1:2" ht="16.5" x14ac:dyDescent="0.3">
      <c r="A700" s="51"/>
      <c r="B700" s="51"/>
    </row>
    <row r="701" spans="1:2" ht="16.5" x14ac:dyDescent="0.3">
      <c r="A701" s="51"/>
      <c r="B701" s="51"/>
    </row>
    <row r="702" spans="1:2" ht="16.5" x14ac:dyDescent="0.3">
      <c r="A702" s="51"/>
      <c r="B702" s="51"/>
    </row>
    <row r="703" spans="1:2" ht="16.5" x14ac:dyDescent="0.3">
      <c r="A703" s="51"/>
      <c r="B703" s="51"/>
    </row>
    <row r="704" spans="1:2" ht="16.5" x14ac:dyDescent="0.3">
      <c r="A704" s="51"/>
      <c r="B704" s="51"/>
    </row>
    <row r="705" spans="1:2" ht="16.5" x14ac:dyDescent="0.3">
      <c r="A705" s="51"/>
      <c r="B705" s="51"/>
    </row>
    <row r="706" spans="1:2" ht="16.5" x14ac:dyDescent="0.3">
      <c r="A706" s="51"/>
      <c r="B706" s="51"/>
    </row>
    <row r="707" spans="1:2" ht="16.5" x14ac:dyDescent="0.3">
      <c r="A707" s="51"/>
      <c r="B707" s="51"/>
    </row>
    <row r="708" spans="1:2" ht="16.5" x14ac:dyDescent="0.3">
      <c r="A708" s="51"/>
      <c r="B708" s="51"/>
    </row>
    <row r="709" spans="1:2" ht="16.5" x14ac:dyDescent="0.3">
      <c r="A709" s="51"/>
      <c r="B709" s="51"/>
    </row>
    <row r="710" spans="1:2" ht="16.5" x14ac:dyDescent="0.3">
      <c r="A710" s="51"/>
      <c r="B710" s="51"/>
    </row>
    <row r="711" spans="1:2" ht="16.5" x14ac:dyDescent="0.3">
      <c r="A711" s="51"/>
      <c r="B711" s="51"/>
    </row>
    <row r="712" spans="1:2" ht="16.5" x14ac:dyDescent="0.3">
      <c r="A712" s="51"/>
      <c r="B712" s="51"/>
    </row>
    <row r="713" spans="1:2" ht="16.5" x14ac:dyDescent="0.3">
      <c r="A713" s="51"/>
      <c r="B713" s="51"/>
    </row>
    <row r="714" spans="1:2" ht="16.5" x14ac:dyDescent="0.3">
      <c r="A714" s="51"/>
      <c r="B714" s="51"/>
    </row>
    <row r="715" spans="1:2" ht="16.5" x14ac:dyDescent="0.3">
      <c r="A715" s="51"/>
      <c r="B715" s="51"/>
    </row>
    <row r="716" spans="1:2" ht="16.5" x14ac:dyDescent="0.3">
      <c r="A716" s="51"/>
      <c r="B716" s="51"/>
    </row>
    <row r="717" spans="1:2" ht="16.5" x14ac:dyDescent="0.3">
      <c r="A717" s="51"/>
      <c r="B717" s="51"/>
    </row>
    <row r="718" spans="1:2" ht="16.5" x14ac:dyDescent="0.3">
      <c r="A718" s="51"/>
      <c r="B718" s="51"/>
    </row>
    <row r="719" spans="1:2" ht="16.5" x14ac:dyDescent="0.3">
      <c r="A719" s="51"/>
      <c r="B719" s="51"/>
    </row>
    <row r="720" spans="1:2" ht="16.5" x14ac:dyDescent="0.3">
      <c r="A720" s="51"/>
      <c r="B720" s="51"/>
    </row>
    <row r="721" spans="1:2" ht="16.5" x14ac:dyDescent="0.3">
      <c r="A721" s="51"/>
      <c r="B721" s="51"/>
    </row>
    <row r="722" spans="1:2" ht="16.5" x14ac:dyDescent="0.3">
      <c r="A722" s="51"/>
      <c r="B722" s="51"/>
    </row>
    <row r="723" spans="1:2" ht="16.5" x14ac:dyDescent="0.3">
      <c r="A723" s="51"/>
      <c r="B723" s="51"/>
    </row>
    <row r="724" spans="1:2" ht="16.5" x14ac:dyDescent="0.3">
      <c r="A724" s="51"/>
      <c r="B724" s="51"/>
    </row>
    <row r="725" spans="1:2" ht="16.5" x14ac:dyDescent="0.3">
      <c r="A725" s="51"/>
      <c r="B725" s="51"/>
    </row>
    <row r="726" spans="1:2" ht="16.5" x14ac:dyDescent="0.3">
      <c r="A726" s="51"/>
      <c r="B726" s="51"/>
    </row>
    <row r="727" spans="1:2" ht="16.5" x14ac:dyDescent="0.3">
      <c r="A727" s="51"/>
      <c r="B727" s="51"/>
    </row>
    <row r="728" spans="1:2" ht="16.5" x14ac:dyDescent="0.3">
      <c r="A728" s="51"/>
      <c r="B728" s="51"/>
    </row>
    <row r="729" spans="1:2" ht="16.5" x14ac:dyDescent="0.3">
      <c r="A729" s="51"/>
      <c r="B729" s="51"/>
    </row>
    <row r="730" spans="1:2" ht="16.5" x14ac:dyDescent="0.3">
      <c r="A730" s="51"/>
      <c r="B730" s="51"/>
    </row>
    <row r="731" spans="1:2" ht="16.5" x14ac:dyDescent="0.3">
      <c r="A731" s="51"/>
      <c r="B731" s="51"/>
    </row>
    <row r="732" spans="1:2" ht="16.5" x14ac:dyDescent="0.3">
      <c r="A732" s="51"/>
      <c r="B732" s="51"/>
    </row>
    <row r="733" spans="1:2" ht="16.5" x14ac:dyDescent="0.3">
      <c r="A733" s="51"/>
      <c r="B733" s="51"/>
    </row>
    <row r="734" spans="1:2" ht="16.5" x14ac:dyDescent="0.3">
      <c r="A734" s="51"/>
      <c r="B734" s="51"/>
    </row>
    <row r="735" spans="1:2" ht="16.5" x14ac:dyDescent="0.3">
      <c r="A735" s="51"/>
      <c r="B735" s="51"/>
    </row>
    <row r="736" spans="1:2" ht="16.5" x14ac:dyDescent="0.3">
      <c r="A736" s="51"/>
      <c r="B736" s="51"/>
    </row>
    <row r="737" spans="1:2" ht="16.5" x14ac:dyDescent="0.3">
      <c r="A737" s="51"/>
      <c r="B737" s="51"/>
    </row>
    <row r="738" spans="1:2" ht="16.5" x14ac:dyDescent="0.3">
      <c r="A738" s="51"/>
      <c r="B738" s="51"/>
    </row>
    <row r="739" spans="1:2" ht="16.5" x14ac:dyDescent="0.3">
      <c r="A739" s="51"/>
      <c r="B739" s="51"/>
    </row>
    <row r="740" spans="1:2" ht="16.5" x14ac:dyDescent="0.3">
      <c r="A740" s="51"/>
      <c r="B740" s="51"/>
    </row>
    <row r="741" spans="1:2" ht="16.5" x14ac:dyDescent="0.3">
      <c r="A741" s="51"/>
      <c r="B741" s="51"/>
    </row>
    <row r="742" spans="1:2" ht="16.5" x14ac:dyDescent="0.3">
      <c r="A742" s="51"/>
      <c r="B742" s="51"/>
    </row>
    <row r="743" spans="1:2" ht="16.5" x14ac:dyDescent="0.3">
      <c r="A743" s="51"/>
      <c r="B743" s="51"/>
    </row>
    <row r="744" spans="1:2" ht="16.5" x14ac:dyDescent="0.3">
      <c r="A744" s="51"/>
      <c r="B744" s="51"/>
    </row>
    <row r="745" spans="1:2" ht="16.5" x14ac:dyDescent="0.3">
      <c r="A745" s="51"/>
      <c r="B745" s="51"/>
    </row>
    <row r="746" spans="1:2" ht="16.5" x14ac:dyDescent="0.3">
      <c r="A746" s="51"/>
      <c r="B746" s="51"/>
    </row>
    <row r="747" spans="1:2" ht="16.5" x14ac:dyDescent="0.3">
      <c r="A747" s="51"/>
      <c r="B747" s="51"/>
    </row>
    <row r="748" spans="1:2" ht="16.5" x14ac:dyDescent="0.3">
      <c r="A748" s="51"/>
      <c r="B748" s="51"/>
    </row>
    <row r="749" spans="1:2" ht="16.5" x14ac:dyDescent="0.3">
      <c r="A749" s="51"/>
      <c r="B749" s="51"/>
    </row>
    <row r="750" spans="1:2" ht="16.5" x14ac:dyDescent="0.3">
      <c r="A750" s="51"/>
      <c r="B750" s="51"/>
    </row>
    <row r="751" spans="1:2" ht="16.5" x14ac:dyDescent="0.3">
      <c r="A751" s="51"/>
      <c r="B751" s="51"/>
    </row>
    <row r="752" spans="1:2" ht="16.5" x14ac:dyDescent="0.3">
      <c r="A752" s="51"/>
      <c r="B752" s="51"/>
    </row>
    <row r="753" spans="1:2" ht="16.5" x14ac:dyDescent="0.3">
      <c r="A753" s="51"/>
      <c r="B753" s="51"/>
    </row>
    <row r="754" spans="1:2" ht="16.5" x14ac:dyDescent="0.3">
      <c r="A754" s="51"/>
      <c r="B754" s="51"/>
    </row>
    <row r="755" spans="1:2" ht="16.5" x14ac:dyDescent="0.3">
      <c r="A755" s="51"/>
      <c r="B755" s="51"/>
    </row>
    <row r="756" spans="1:2" ht="16.5" x14ac:dyDescent="0.3">
      <c r="A756" s="51"/>
      <c r="B756" s="51"/>
    </row>
    <row r="757" spans="1:2" ht="16.5" x14ac:dyDescent="0.3">
      <c r="A757" s="51"/>
      <c r="B757" s="51"/>
    </row>
    <row r="758" spans="1:2" ht="16.5" x14ac:dyDescent="0.3">
      <c r="A758" s="51"/>
      <c r="B758" s="51"/>
    </row>
    <row r="759" spans="1:2" ht="16.5" x14ac:dyDescent="0.3">
      <c r="A759" s="51"/>
      <c r="B759" s="51"/>
    </row>
    <row r="760" spans="1:2" ht="16.5" x14ac:dyDescent="0.3">
      <c r="A760" s="51"/>
      <c r="B760" s="51"/>
    </row>
    <row r="761" spans="1:2" ht="16.5" x14ac:dyDescent="0.3">
      <c r="A761" s="51"/>
      <c r="B761" s="51"/>
    </row>
    <row r="762" spans="1:2" ht="16.5" x14ac:dyDescent="0.3">
      <c r="A762" s="51"/>
      <c r="B762" s="51"/>
    </row>
    <row r="763" spans="1:2" ht="16.5" x14ac:dyDescent="0.3">
      <c r="A763" s="51"/>
      <c r="B763" s="51"/>
    </row>
    <row r="764" spans="1:2" ht="16.5" x14ac:dyDescent="0.3">
      <c r="A764" s="51"/>
      <c r="B764" s="51"/>
    </row>
    <row r="765" spans="1:2" ht="16.5" x14ac:dyDescent="0.3">
      <c r="A765" s="51"/>
      <c r="B765" s="51"/>
    </row>
    <row r="766" spans="1:2" ht="16.5" x14ac:dyDescent="0.3">
      <c r="A766" s="51"/>
      <c r="B766" s="51"/>
    </row>
    <row r="767" spans="1:2" ht="16.5" x14ac:dyDescent="0.3">
      <c r="A767" s="51"/>
      <c r="B767" s="51"/>
    </row>
    <row r="768" spans="1:2" ht="16.5" x14ac:dyDescent="0.3">
      <c r="A768" s="51"/>
      <c r="B768" s="51"/>
    </row>
    <row r="769" spans="1:2" ht="16.5" x14ac:dyDescent="0.3">
      <c r="A769" s="51"/>
      <c r="B769" s="51"/>
    </row>
    <row r="770" spans="1:2" ht="16.5" x14ac:dyDescent="0.3">
      <c r="A770" s="51"/>
      <c r="B770" s="51"/>
    </row>
    <row r="771" spans="1:2" ht="16.5" x14ac:dyDescent="0.3">
      <c r="A771" s="51"/>
      <c r="B771" s="51"/>
    </row>
    <row r="772" spans="1:2" ht="16.5" x14ac:dyDescent="0.3">
      <c r="A772" s="51"/>
      <c r="B772" s="51"/>
    </row>
    <row r="773" spans="1:2" ht="16.5" x14ac:dyDescent="0.3">
      <c r="A773" s="51"/>
      <c r="B773" s="51"/>
    </row>
    <row r="774" spans="1:2" ht="16.5" x14ac:dyDescent="0.3">
      <c r="A774" s="51"/>
      <c r="B774" s="51"/>
    </row>
    <row r="775" spans="1:2" ht="16.5" x14ac:dyDescent="0.3">
      <c r="A775" s="51"/>
      <c r="B775" s="51"/>
    </row>
    <row r="776" spans="1:2" ht="16.5" x14ac:dyDescent="0.3">
      <c r="A776" s="51"/>
      <c r="B776" s="51"/>
    </row>
    <row r="777" spans="1:2" ht="16.5" x14ac:dyDescent="0.3">
      <c r="A777" s="51"/>
      <c r="B777" s="51"/>
    </row>
    <row r="778" spans="1:2" ht="16.5" x14ac:dyDescent="0.3">
      <c r="A778" s="51"/>
      <c r="B778" s="51"/>
    </row>
    <row r="779" spans="1:2" ht="16.5" x14ac:dyDescent="0.3">
      <c r="A779" s="51"/>
      <c r="B779" s="51"/>
    </row>
    <row r="780" spans="1:2" ht="16.5" x14ac:dyDescent="0.3">
      <c r="A780" s="51"/>
      <c r="B780" s="51"/>
    </row>
    <row r="781" spans="1:2" ht="16.5" x14ac:dyDescent="0.3">
      <c r="A781" s="51"/>
      <c r="B781" s="51"/>
    </row>
    <row r="782" spans="1:2" ht="16.5" x14ac:dyDescent="0.3">
      <c r="A782" s="51"/>
      <c r="B782" s="51"/>
    </row>
    <row r="783" spans="1:2" ht="16.5" x14ac:dyDescent="0.3">
      <c r="A783" s="51"/>
      <c r="B783" s="51"/>
    </row>
    <row r="784" spans="1:2" ht="16.5" x14ac:dyDescent="0.3">
      <c r="A784" s="51"/>
      <c r="B784" s="51"/>
    </row>
    <row r="785" spans="1:2" ht="16.5" x14ac:dyDescent="0.3">
      <c r="A785" s="51"/>
      <c r="B785" s="51"/>
    </row>
    <row r="786" spans="1:2" ht="16.5" x14ac:dyDescent="0.3">
      <c r="A786" s="51"/>
      <c r="B786" s="51"/>
    </row>
    <row r="787" spans="1:2" ht="16.5" x14ac:dyDescent="0.3">
      <c r="A787" s="51"/>
      <c r="B787" s="51"/>
    </row>
    <row r="788" spans="1:2" ht="16.5" x14ac:dyDescent="0.3">
      <c r="A788" s="51"/>
      <c r="B788" s="51"/>
    </row>
    <row r="789" spans="1:2" ht="16.5" x14ac:dyDescent="0.3">
      <c r="A789" s="51"/>
      <c r="B789" s="51"/>
    </row>
    <row r="790" spans="1:2" ht="16.5" x14ac:dyDescent="0.3">
      <c r="A790" s="51"/>
      <c r="B790" s="51"/>
    </row>
    <row r="791" spans="1:2" ht="16.5" x14ac:dyDescent="0.3">
      <c r="A791" s="51"/>
      <c r="B791" s="51"/>
    </row>
    <row r="792" spans="1:2" ht="16.5" x14ac:dyDescent="0.3">
      <c r="A792" s="51"/>
      <c r="B792" s="51"/>
    </row>
    <row r="793" spans="1:2" ht="16.5" x14ac:dyDescent="0.3">
      <c r="A793" s="51"/>
      <c r="B793" s="51"/>
    </row>
    <row r="794" spans="1:2" ht="16.5" x14ac:dyDescent="0.3">
      <c r="A794" s="51"/>
      <c r="B794" s="51"/>
    </row>
    <row r="795" spans="1:2" ht="16.5" x14ac:dyDescent="0.3">
      <c r="A795" s="51"/>
      <c r="B795" s="51"/>
    </row>
    <row r="796" spans="1:2" ht="16.5" x14ac:dyDescent="0.3">
      <c r="A796" s="51"/>
      <c r="B796" s="51"/>
    </row>
    <row r="797" spans="1:2" ht="16.5" x14ac:dyDescent="0.3">
      <c r="A797" s="51"/>
      <c r="B797" s="51"/>
    </row>
    <row r="798" spans="1:2" ht="16.5" x14ac:dyDescent="0.3">
      <c r="A798" s="51"/>
      <c r="B798" s="51"/>
    </row>
    <row r="799" spans="1:2" ht="16.5" x14ac:dyDescent="0.3">
      <c r="A799" s="51"/>
      <c r="B799" s="51"/>
    </row>
    <row r="800" spans="1:2" ht="16.5" x14ac:dyDescent="0.3">
      <c r="A800" s="51"/>
      <c r="B800" s="51"/>
    </row>
    <row r="801" spans="1:2" ht="16.5" x14ac:dyDescent="0.3">
      <c r="A801" s="51"/>
      <c r="B801" s="51"/>
    </row>
    <row r="802" spans="1:2" ht="16.5" x14ac:dyDescent="0.3">
      <c r="A802" s="51"/>
      <c r="B802" s="51"/>
    </row>
    <row r="803" spans="1:2" ht="16.5" x14ac:dyDescent="0.3">
      <c r="A803" s="51"/>
      <c r="B803" s="51"/>
    </row>
    <row r="804" spans="1:2" ht="16.5" x14ac:dyDescent="0.3">
      <c r="A804" s="51"/>
      <c r="B804" s="51"/>
    </row>
    <row r="805" spans="1:2" ht="16.5" x14ac:dyDescent="0.3">
      <c r="A805" s="51"/>
      <c r="B805" s="51"/>
    </row>
    <row r="806" spans="1:2" ht="16.5" x14ac:dyDescent="0.3">
      <c r="A806" s="51"/>
      <c r="B806" s="51"/>
    </row>
    <row r="807" spans="1:2" ht="16.5" x14ac:dyDescent="0.3">
      <c r="A807" s="51"/>
      <c r="B807" s="51"/>
    </row>
    <row r="808" spans="1:2" ht="16.5" x14ac:dyDescent="0.3">
      <c r="A808" s="51"/>
      <c r="B808" s="51"/>
    </row>
    <row r="809" spans="1:2" ht="16.5" x14ac:dyDescent="0.3">
      <c r="A809" s="51"/>
      <c r="B809" s="51"/>
    </row>
    <row r="810" spans="1:2" ht="16.5" x14ac:dyDescent="0.3">
      <c r="A810" s="51"/>
      <c r="B810" s="51"/>
    </row>
    <row r="811" spans="1:2" ht="16.5" x14ac:dyDescent="0.3">
      <c r="A811" s="51"/>
      <c r="B811" s="51"/>
    </row>
    <row r="812" spans="1:2" ht="16.5" x14ac:dyDescent="0.3">
      <c r="A812" s="51"/>
      <c r="B812" s="51"/>
    </row>
    <row r="813" spans="1:2" ht="16.5" x14ac:dyDescent="0.3">
      <c r="A813" s="51"/>
      <c r="B813" s="51"/>
    </row>
    <row r="814" spans="1:2" ht="16.5" x14ac:dyDescent="0.3">
      <c r="A814" s="51"/>
      <c r="B814" s="51"/>
    </row>
    <row r="815" spans="1:2" ht="16.5" x14ac:dyDescent="0.3">
      <c r="A815" s="51"/>
      <c r="B815" s="51"/>
    </row>
    <row r="816" spans="1:2" ht="16.5" x14ac:dyDescent="0.3">
      <c r="A816" s="51"/>
      <c r="B816" s="51"/>
    </row>
    <row r="817" spans="1:2" ht="16.5" x14ac:dyDescent="0.3">
      <c r="A817" s="51"/>
      <c r="B817" s="51"/>
    </row>
    <row r="818" spans="1:2" ht="16.5" x14ac:dyDescent="0.3">
      <c r="A818" s="51"/>
      <c r="B818" s="51"/>
    </row>
    <row r="819" spans="1:2" ht="16.5" x14ac:dyDescent="0.3">
      <c r="A819" s="51"/>
      <c r="B819" s="51"/>
    </row>
    <row r="820" spans="1:2" ht="16.5" x14ac:dyDescent="0.3">
      <c r="A820" s="51"/>
      <c r="B820" s="51"/>
    </row>
    <row r="821" spans="1:2" ht="16.5" x14ac:dyDescent="0.3">
      <c r="A821" s="51"/>
      <c r="B821" s="51"/>
    </row>
    <row r="822" spans="1:2" ht="16.5" x14ac:dyDescent="0.3">
      <c r="A822" s="51"/>
      <c r="B822" s="51"/>
    </row>
    <row r="823" spans="1:2" ht="16.5" x14ac:dyDescent="0.3">
      <c r="A823" s="51"/>
      <c r="B823" s="51"/>
    </row>
    <row r="824" spans="1:2" ht="16.5" x14ac:dyDescent="0.3">
      <c r="A824" s="51"/>
      <c r="B824" s="51"/>
    </row>
    <row r="825" spans="1:2" ht="16.5" x14ac:dyDescent="0.3">
      <c r="A825" s="51"/>
      <c r="B825" s="51"/>
    </row>
    <row r="826" spans="1:2" ht="16.5" x14ac:dyDescent="0.3">
      <c r="A826" s="51"/>
      <c r="B826" s="51"/>
    </row>
    <row r="827" spans="1:2" ht="16.5" x14ac:dyDescent="0.3">
      <c r="A827" s="51"/>
      <c r="B827" s="51"/>
    </row>
    <row r="828" spans="1:2" ht="16.5" x14ac:dyDescent="0.3">
      <c r="A828" s="51"/>
      <c r="B828" s="51"/>
    </row>
    <row r="829" spans="1:2" ht="16.5" x14ac:dyDescent="0.3">
      <c r="A829" s="51"/>
      <c r="B829" s="51"/>
    </row>
    <row r="830" spans="1:2" ht="16.5" x14ac:dyDescent="0.3">
      <c r="A830" s="51"/>
      <c r="B830" s="51"/>
    </row>
    <row r="831" spans="1:2" ht="16.5" x14ac:dyDescent="0.3">
      <c r="A831" s="51"/>
      <c r="B831" s="51"/>
    </row>
    <row r="832" spans="1:2" ht="16.5" x14ac:dyDescent="0.3">
      <c r="A832" s="51"/>
      <c r="B832" s="51"/>
    </row>
    <row r="833" spans="1:2" ht="16.5" x14ac:dyDescent="0.3">
      <c r="A833" s="51"/>
      <c r="B833" s="51"/>
    </row>
    <row r="834" spans="1:2" ht="16.5" x14ac:dyDescent="0.3">
      <c r="A834" s="51"/>
      <c r="B834" s="51"/>
    </row>
    <row r="835" spans="1:2" ht="16.5" x14ac:dyDescent="0.3">
      <c r="A835" s="51"/>
      <c r="B835" s="51"/>
    </row>
    <row r="836" spans="1:2" ht="16.5" x14ac:dyDescent="0.3">
      <c r="A836" s="51"/>
      <c r="B836" s="51"/>
    </row>
    <row r="837" spans="1:2" ht="16.5" x14ac:dyDescent="0.3">
      <c r="A837" s="51"/>
      <c r="B837" s="51"/>
    </row>
    <row r="838" spans="1:2" ht="16.5" x14ac:dyDescent="0.3">
      <c r="A838" s="51"/>
      <c r="B838" s="51"/>
    </row>
    <row r="839" spans="1:2" ht="16.5" x14ac:dyDescent="0.3">
      <c r="A839" s="51"/>
      <c r="B839" s="51"/>
    </row>
    <row r="840" spans="1:2" ht="16.5" x14ac:dyDescent="0.3">
      <c r="A840" s="51"/>
      <c r="B840" s="51"/>
    </row>
    <row r="841" spans="1:2" ht="16.5" x14ac:dyDescent="0.3">
      <c r="A841" s="51"/>
      <c r="B841" s="51"/>
    </row>
    <row r="842" spans="1:2" ht="16.5" x14ac:dyDescent="0.3">
      <c r="A842" s="51"/>
      <c r="B842" s="51"/>
    </row>
    <row r="843" spans="1:2" ht="16.5" x14ac:dyDescent="0.3">
      <c r="A843" s="51"/>
      <c r="B843" s="51"/>
    </row>
    <row r="844" spans="1:2" ht="16.5" x14ac:dyDescent="0.3">
      <c r="A844" s="51"/>
      <c r="B844" s="51"/>
    </row>
    <row r="845" spans="1:2" ht="16.5" x14ac:dyDescent="0.3">
      <c r="A845" s="51"/>
      <c r="B845" s="51"/>
    </row>
    <row r="846" spans="1:2" ht="16.5" x14ac:dyDescent="0.3">
      <c r="A846" s="51"/>
      <c r="B846" s="51"/>
    </row>
    <row r="847" spans="1:2" ht="16.5" x14ac:dyDescent="0.3">
      <c r="A847" s="51"/>
      <c r="B847" s="51"/>
    </row>
    <row r="848" spans="1:2" ht="16.5" x14ac:dyDescent="0.3">
      <c r="A848" s="51"/>
      <c r="B848" s="51"/>
    </row>
    <row r="849" spans="1:2" ht="16.5" x14ac:dyDescent="0.3">
      <c r="A849" s="51"/>
      <c r="B849" s="51"/>
    </row>
    <row r="850" spans="1:2" ht="16.5" x14ac:dyDescent="0.3">
      <c r="A850" s="51"/>
      <c r="B850" s="51"/>
    </row>
    <row r="851" spans="1:2" ht="16.5" x14ac:dyDescent="0.3">
      <c r="A851" s="51"/>
      <c r="B851" s="51"/>
    </row>
    <row r="852" spans="1:2" ht="16.5" x14ac:dyDescent="0.3">
      <c r="A852" s="51"/>
      <c r="B852" s="51"/>
    </row>
    <row r="853" spans="1:2" ht="16.5" x14ac:dyDescent="0.3">
      <c r="A853" s="51"/>
      <c r="B853" s="51"/>
    </row>
    <row r="854" spans="1:2" ht="16.5" x14ac:dyDescent="0.3">
      <c r="A854" s="51"/>
      <c r="B854" s="51"/>
    </row>
    <row r="855" spans="1:2" ht="16.5" x14ac:dyDescent="0.3">
      <c r="A855" s="51"/>
      <c r="B855" s="51"/>
    </row>
    <row r="856" spans="1:2" ht="16.5" x14ac:dyDescent="0.3">
      <c r="A856" s="51"/>
      <c r="B856" s="51"/>
    </row>
    <row r="857" spans="1:2" ht="16.5" x14ac:dyDescent="0.3">
      <c r="A857" s="51"/>
      <c r="B857" s="51"/>
    </row>
    <row r="858" spans="1:2" ht="16.5" x14ac:dyDescent="0.3">
      <c r="A858" s="51"/>
      <c r="B858" s="51"/>
    </row>
    <row r="859" spans="1:2" ht="16.5" x14ac:dyDescent="0.3">
      <c r="A859" s="51"/>
      <c r="B859" s="51"/>
    </row>
    <row r="860" spans="1:2" ht="16.5" x14ac:dyDescent="0.3">
      <c r="A860" s="51"/>
      <c r="B860" s="51"/>
    </row>
    <row r="861" spans="1:2" ht="16.5" x14ac:dyDescent="0.3">
      <c r="A861" s="51"/>
      <c r="B861" s="51"/>
    </row>
    <row r="862" spans="1:2" ht="16.5" x14ac:dyDescent="0.3">
      <c r="A862" s="51"/>
      <c r="B862" s="51"/>
    </row>
    <row r="863" spans="1:2" ht="16.5" x14ac:dyDescent="0.3">
      <c r="A863" s="51"/>
      <c r="B863" s="51"/>
    </row>
    <row r="864" spans="1:2" ht="16.5" x14ac:dyDescent="0.3">
      <c r="A864" s="51"/>
      <c r="B864" s="51"/>
    </row>
    <row r="865" spans="1:2" ht="16.5" x14ac:dyDescent="0.3">
      <c r="A865" s="51"/>
      <c r="B865" s="51"/>
    </row>
    <row r="866" spans="1:2" ht="16.5" x14ac:dyDescent="0.3">
      <c r="A866" s="51"/>
      <c r="B866" s="51"/>
    </row>
    <row r="867" spans="1:2" ht="16.5" x14ac:dyDescent="0.3">
      <c r="A867" s="51"/>
      <c r="B867" s="51"/>
    </row>
    <row r="868" spans="1:2" ht="16.5" x14ac:dyDescent="0.3">
      <c r="A868" s="51"/>
      <c r="B868" s="51"/>
    </row>
    <row r="869" spans="1:2" ht="16.5" x14ac:dyDescent="0.3">
      <c r="A869" s="51"/>
      <c r="B869" s="51"/>
    </row>
    <row r="870" spans="1:2" ht="16.5" x14ac:dyDescent="0.3">
      <c r="A870" s="51"/>
      <c r="B870" s="51"/>
    </row>
    <row r="871" spans="1:2" ht="16.5" x14ac:dyDescent="0.3">
      <c r="A871" s="51"/>
      <c r="B871" s="51"/>
    </row>
    <row r="872" spans="1:2" ht="16.5" x14ac:dyDescent="0.3">
      <c r="A872" s="51"/>
      <c r="B872" s="51"/>
    </row>
    <row r="873" spans="1:2" ht="16.5" x14ac:dyDescent="0.3">
      <c r="A873" s="51"/>
      <c r="B873" s="51"/>
    </row>
    <row r="874" spans="1:2" ht="16.5" x14ac:dyDescent="0.3">
      <c r="A874" s="51"/>
      <c r="B874" s="51"/>
    </row>
    <row r="875" spans="1:2" ht="16.5" x14ac:dyDescent="0.3">
      <c r="A875" s="51"/>
      <c r="B875" s="51"/>
    </row>
    <row r="876" spans="1:2" ht="16.5" x14ac:dyDescent="0.3">
      <c r="A876" s="51"/>
      <c r="B876" s="51"/>
    </row>
    <row r="877" spans="1:2" ht="16.5" x14ac:dyDescent="0.3">
      <c r="A877" s="51"/>
      <c r="B877" s="51"/>
    </row>
    <row r="878" spans="1:2" ht="16.5" x14ac:dyDescent="0.3">
      <c r="A878" s="51"/>
      <c r="B878" s="51"/>
    </row>
    <row r="879" spans="1:2" ht="16.5" x14ac:dyDescent="0.3">
      <c r="A879" s="51"/>
      <c r="B879" s="51"/>
    </row>
    <row r="880" spans="1:2" ht="16.5" x14ac:dyDescent="0.3">
      <c r="A880" s="51"/>
      <c r="B880" s="51"/>
    </row>
    <row r="881" spans="1:2" ht="16.5" x14ac:dyDescent="0.3">
      <c r="A881" s="51"/>
      <c r="B881" s="51"/>
    </row>
    <row r="882" spans="1:2" ht="16.5" x14ac:dyDescent="0.3">
      <c r="A882" s="51"/>
      <c r="B882" s="51"/>
    </row>
    <row r="883" spans="1:2" ht="16.5" x14ac:dyDescent="0.3">
      <c r="A883" s="51"/>
      <c r="B883" s="51"/>
    </row>
    <row r="884" spans="1:2" ht="16.5" x14ac:dyDescent="0.3">
      <c r="A884" s="51"/>
      <c r="B884" s="51"/>
    </row>
    <row r="885" spans="1:2" ht="16.5" x14ac:dyDescent="0.3">
      <c r="A885" s="51"/>
      <c r="B885" s="51"/>
    </row>
    <row r="886" spans="1:2" ht="16.5" x14ac:dyDescent="0.3">
      <c r="A886" s="51"/>
      <c r="B886" s="51"/>
    </row>
    <row r="887" spans="1:2" ht="16.5" x14ac:dyDescent="0.3">
      <c r="A887" s="51"/>
      <c r="B887" s="51"/>
    </row>
    <row r="888" spans="1:2" ht="16.5" x14ac:dyDescent="0.3">
      <c r="A888" s="51"/>
      <c r="B888" s="51"/>
    </row>
    <row r="889" spans="1:2" ht="16.5" x14ac:dyDescent="0.3">
      <c r="A889" s="51"/>
      <c r="B889" s="51"/>
    </row>
    <row r="890" spans="1:2" ht="16.5" x14ac:dyDescent="0.3">
      <c r="A890" s="51"/>
      <c r="B890" s="51"/>
    </row>
    <row r="891" spans="1:2" ht="16.5" x14ac:dyDescent="0.3">
      <c r="A891" s="51"/>
      <c r="B891" s="51"/>
    </row>
    <row r="892" spans="1:2" ht="16.5" x14ac:dyDescent="0.3">
      <c r="A892" s="51"/>
      <c r="B892" s="51"/>
    </row>
    <row r="893" spans="1:2" ht="16.5" x14ac:dyDescent="0.3">
      <c r="A893" s="51"/>
      <c r="B893" s="51"/>
    </row>
    <row r="894" spans="1:2" ht="16.5" x14ac:dyDescent="0.3">
      <c r="A894" s="51"/>
      <c r="B894" s="51"/>
    </row>
    <row r="895" spans="1:2" ht="16.5" x14ac:dyDescent="0.3">
      <c r="A895" s="51"/>
      <c r="B895" s="51"/>
    </row>
    <row r="896" spans="1:2" ht="16.5" x14ac:dyDescent="0.3">
      <c r="A896" s="51"/>
      <c r="B896" s="51"/>
    </row>
    <row r="897" spans="1:2" ht="16.5" x14ac:dyDescent="0.3">
      <c r="A897" s="51"/>
      <c r="B897" s="51"/>
    </row>
    <row r="898" spans="1:2" ht="16.5" x14ac:dyDescent="0.3">
      <c r="A898" s="51"/>
      <c r="B898" s="51"/>
    </row>
    <row r="899" spans="1:2" ht="16.5" x14ac:dyDescent="0.3">
      <c r="A899" s="51"/>
      <c r="B899" s="51"/>
    </row>
    <row r="900" spans="1:2" ht="16.5" x14ac:dyDescent="0.3">
      <c r="A900" s="51"/>
      <c r="B900" s="51"/>
    </row>
    <row r="901" spans="1:2" ht="16.5" x14ac:dyDescent="0.3">
      <c r="A901" s="51"/>
      <c r="B901" s="51"/>
    </row>
    <row r="902" spans="1:2" ht="16.5" x14ac:dyDescent="0.3">
      <c r="A902" s="51"/>
      <c r="B902" s="51"/>
    </row>
    <row r="903" spans="1:2" ht="16.5" x14ac:dyDescent="0.3">
      <c r="A903" s="51"/>
      <c r="B903" s="51"/>
    </row>
    <row r="904" spans="1:2" ht="16.5" x14ac:dyDescent="0.3">
      <c r="A904" s="51"/>
      <c r="B904" s="51"/>
    </row>
    <row r="905" spans="1:2" ht="16.5" x14ac:dyDescent="0.3">
      <c r="A905" s="51"/>
      <c r="B905" s="51"/>
    </row>
    <row r="906" spans="1:2" ht="16.5" x14ac:dyDescent="0.3">
      <c r="A906" s="51"/>
      <c r="B906" s="51"/>
    </row>
    <row r="907" spans="1:2" ht="16.5" x14ac:dyDescent="0.3">
      <c r="A907" s="51"/>
      <c r="B907" s="51"/>
    </row>
    <row r="908" spans="1:2" ht="16.5" x14ac:dyDescent="0.3">
      <c r="A908" s="51"/>
      <c r="B908" s="51"/>
    </row>
    <row r="909" spans="1:2" ht="16.5" x14ac:dyDescent="0.3">
      <c r="A909" s="51"/>
      <c r="B909" s="51"/>
    </row>
    <row r="910" spans="1:2" ht="16.5" x14ac:dyDescent="0.3">
      <c r="A910" s="51"/>
      <c r="B910" s="51"/>
    </row>
    <row r="911" spans="1:2" ht="16.5" x14ac:dyDescent="0.3">
      <c r="A911" s="51"/>
      <c r="B911" s="51"/>
    </row>
    <row r="912" spans="1:2" ht="16.5" x14ac:dyDescent="0.3">
      <c r="A912" s="51"/>
      <c r="B912" s="51"/>
    </row>
    <row r="913" spans="1:2" ht="16.5" x14ac:dyDescent="0.3">
      <c r="A913" s="51"/>
      <c r="B913" s="51"/>
    </row>
    <row r="914" spans="1:2" ht="16.5" x14ac:dyDescent="0.3">
      <c r="A914" s="51"/>
      <c r="B914" s="51"/>
    </row>
    <row r="915" spans="1:2" ht="16.5" x14ac:dyDescent="0.3">
      <c r="A915" s="51"/>
      <c r="B915" s="51"/>
    </row>
    <row r="916" spans="1:2" ht="16.5" x14ac:dyDescent="0.3">
      <c r="A916" s="51"/>
      <c r="B916" s="51"/>
    </row>
    <row r="917" spans="1:2" ht="16.5" x14ac:dyDescent="0.3">
      <c r="A917" s="51"/>
      <c r="B917" s="51"/>
    </row>
    <row r="918" spans="1:2" ht="16.5" x14ac:dyDescent="0.3">
      <c r="A918" s="51"/>
      <c r="B918" s="51"/>
    </row>
    <row r="919" spans="1:2" ht="16.5" x14ac:dyDescent="0.3">
      <c r="A919" s="51"/>
      <c r="B919" s="51"/>
    </row>
    <row r="920" spans="1:2" ht="16.5" x14ac:dyDescent="0.3">
      <c r="A920" s="51"/>
      <c r="B920" s="51"/>
    </row>
    <row r="921" spans="1:2" ht="16.5" x14ac:dyDescent="0.3">
      <c r="A921" s="51"/>
      <c r="B921" s="51"/>
    </row>
    <row r="922" spans="1:2" ht="16.5" x14ac:dyDescent="0.3">
      <c r="A922" s="51"/>
      <c r="B922" s="51"/>
    </row>
    <row r="923" spans="1:2" ht="16.5" x14ac:dyDescent="0.3">
      <c r="A923" s="51"/>
      <c r="B923" s="51"/>
    </row>
    <row r="924" spans="1:2" ht="16.5" x14ac:dyDescent="0.3">
      <c r="A924" s="51"/>
      <c r="B924" s="51"/>
    </row>
    <row r="925" spans="1:2" ht="16.5" x14ac:dyDescent="0.3">
      <c r="A925" s="51"/>
      <c r="B925" s="51"/>
    </row>
    <row r="926" spans="1:2" ht="16.5" x14ac:dyDescent="0.3">
      <c r="A926" s="51"/>
      <c r="B926" s="51"/>
    </row>
    <row r="927" spans="1:2" ht="16.5" x14ac:dyDescent="0.3">
      <c r="A927" s="51"/>
      <c r="B927" s="51"/>
    </row>
    <row r="928" spans="1:2" ht="16.5" x14ac:dyDescent="0.3">
      <c r="A928" s="51"/>
      <c r="B928" s="51"/>
    </row>
    <row r="929" spans="1:2" ht="16.5" x14ac:dyDescent="0.3">
      <c r="A929" s="51"/>
      <c r="B929" s="51"/>
    </row>
    <row r="930" spans="1:2" ht="16.5" x14ac:dyDescent="0.3">
      <c r="A930" s="51"/>
      <c r="B930" s="51"/>
    </row>
    <row r="931" spans="1:2" ht="16.5" x14ac:dyDescent="0.3">
      <c r="A931" s="51"/>
      <c r="B931" s="51"/>
    </row>
    <row r="932" spans="1:2" ht="16.5" x14ac:dyDescent="0.3">
      <c r="A932" s="51"/>
      <c r="B932" s="51"/>
    </row>
    <row r="933" spans="1:2" ht="16.5" x14ac:dyDescent="0.3">
      <c r="A933" s="51"/>
      <c r="B933" s="51"/>
    </row>
    <row r="934" spans="1:2" ht="16.5" x14ac:dyDescent="0.3">
      <c r="A934" s="51"/>
      <c r="B934" s="51"/>
    </row>
    <row r="935" spans="1:2" ht="16.5" x14ac:dyDescent="0.3">
      <c r="A935" s="51"/>
      <c r="B935" s="51"/>
    </row>
    <row r="936" spans="1:2" ht="16.5" x14ac:dyDescent="0.3">
      <c r="A936" s="51"/>
      <c r="B936" s="51"/>
    </row>
    <row r="937" spans="1:2" ht="16.5" x14ac:dyDescent="0.3">
      <c r="A937" s="51"/>
      <c r="B937" s="51"/>
    </row>
    <row r="938" spans="1:2" ht="16.5" x14ac:dyDescent="0.3">
      <c r="A938" s="51"/>
      <c r="B938" s="51"/>
    </row>
    <row r="939" spans="1:2" ht="16.5" x14ac:dyDescent="0.3">
      <c r="A939" s="51"/>
      <c r="B939" s="51"/>
    </row>
    <row r="940" spans="1:2" ht="16.5" x14ac:dyDescent="0.3">
      <c r="A940" s="51"/>
      <c r="B940" s="51"/>
    </row>
    <row r="941" spans="1:2" ht="16.5" x14ac:dyDescent="0.3">
      <c r="A941" s="51"/>
      <c r="B941" s="51"/>
    </row>
    <row r="942" spans="1:2" ht="16.5" x14ac:dyDescent="0.3">
      <c r="A942" s="51"/>
      <c r="B942" s="51"/>
    </row>
    <row r="943" spans="1:2" ht="16.5" x14ac:dyDescent="0.3">
      <c r="A943" s="51"/>
      <c r="B943" s="51"/>
    </row>
    <row r="944" spans="1:2" ht="16.5" x14ac:dyDescent="0.3">
      <c r="A944" s="51"/>
      <c r="B944" s="51"/>
    </row>
    <row r="945" spans="1:2" ht="16.5" x14ac:dyDescent="0.3">
      <c r="A945" s="51"/>
      <c r="B945" s="51"/>
    </row>
    <row r="946" spans="1:2" ht="16.5" x14ac:dyDescent="0.3">
      <c r="A946" s="51"/>
      <c r="B946" s="51"/>
    </row>
    <row r="947" spans="1:2" ht="16.5" x14ac:dyDescent="0.3">
      <c r="A947" s="51"/>
      <c r="B947" s="51"/>
    </row>
    <row r="948" spans="1:2" ht="16.5" x14ac:dyDescent="0.3">
      <c r="A948" s="51"/>
      <c r="B948" s="51"/>
    </row>
    <row r="949" spans="1:2" ht="16.5" x14ac:dyDescent="0.3">
      <c r="A949" s="51"/>
      <c r="B949" s="51"/>
    </row>
    <row r="950" spans="1:2" ht="16.5" x14ac:dyDescent="0.3">
      <c r="A950" s="51"/>
      <c r="B950" s="51"/>
    </row>
    <row r="951" spans="1:2" ht="16.5" x14ac:dyDescent="0.3">
      <c r="A951" s="51"/>
      <c r="B951" s="51"/>
    </row>
    <row r="952" spans="1:2" ht="16.5" x14ac:dyDescent="0.3">
      <c r="A952" s="51"/>
      <c r="B952" s="51"/>
    </row>
    <row r="953" spans="1:2" ht="16.5" x14ac:dyDescent="0.3">
      <c r="A953" s="51"/>
      <c r="B953" s="51"/>
    </row>
    <row r="954" spans="1:2" ht="16.5" x14ac:dyDescent="0.3">
      <c r="A954" s="51"/>
      <c r="B954" s="51"/>
    </row>
    <row r="955" spans="1:2" ht="16.5" x14ac:dyDescent="0.3">
      <c r="A955" s="51"/>
      <c r="B955" s="51"/>
    </row>
    <row r="956" spans="1:2" ht="16.5" x14ac:dyDescent="0.3">
      <c r="A956" s="51"/>
      <c r="B956" s="51"/>
    </row>
    <row r="957" spans="1:2" ht="16.5" x14ac:dyDescent="0.3">
      <c r="A957" s="51"/>
      <c r="B957" s="51"/>
    </row>
    <row r="958" spans="1:2" ht="16.5" x14ac:dyDescent="0.3">
      <c r="A958" s="51"/>
      <c r="B958" s="51"/>
    </row>
    <row r="959" spans="1:2" ht="16.5" x14ac:dyDescent="0.3">
      <c r="A959" s="51"/>
      <c r="B959" s="51"/>
    </row>
    <row r="960" spans="1:2" ht="16.5" x14ac:dyDescent="0.3">
      <c r="A960" s="51"/>
      <c r="B960" s="51"/>
    </row>
    <row r="961" spans="1:2" ht="16.5" x14ac:dyDescent="0.3">
      <c r="A961" s="51"/>
      <c r="B961" s="51"/>
    </row>
    <row r="962" spans="1:2" ht="16.5" x14ac:dyDescent="0.3">
      <c r="A962" s="51"/>
      <c r="B962" s="51"/>
    </row>
    <row r="963" spans="1:2" ht="16.5" x14ac:dyDescent="0.3">
      <c r="A963" s="51"/>
      <c r="B963" s="51"/>
    </row>
    <row r="964" spans="1:2" ht="16.5" x14ac:dyDescent="0.3">
      <c r="A964" s="51"/>
      <c r="B964" s="51"/>
    </row>
    <row r="965" spans="1:2" ht="16.5" x14ac:dyDescent="0.3">
      <c r="A965" s="51"/>
      <c r="B965" s="51"/>
    </row>
    <row r="966" spans="1:2" ht="16.5" x14ac:dyDescent="0.3">
      <c r="A966" s="51"/>
      <c r="B966" s="51"/>
    </row>
    <row r="967" spans="1:2" ht="16.5" x14ac:dyDescent="0.3">
      <c r="A967" s="51"/>
      <c r="B967" s="51"/>
    </row>
    <row r="968" spans="1:2" ht="16.5" x14ac:dyDescent="0.3">
      <c r="A968" s="51"/>
      <c r="B968" s="51"/>
    </row>
    <row r="969" spans="1:2" ht="16.5" x14ac:dyDescent="0.3">
      <c r="A969" s="51"/>
      <c r="B969" s="51"/>
    </row>
    <row r="970" spans="1:2" ht="16.5" x14ac:dyDescent="0.3">
      <c r="A970" s="51"/>
      <c r="B970" s="51"/>
    </row>
    <row r="971" spans="1:2" ht="16.5" x14ac:dyDescent="0.3">
      <c r="A971" s="51"/>
      <c r="B971" s="51"/>
    </row>
    <row r="972" spans="1:2" ht="16.5" x14ac:dyDescent="0.3">
      <c r="A972" s="51"/>
      <c r="B972" s="51"/>
    </row>
    <row r="973" spans="1:2" ht="16.5" x14ac:dyDescent="0.3">
      <c r="A973" s="51"/>
      <c r="B973" s="51"/>
    </row>
    <row r="974" spans="1:2" ht="16.5" x14ac:dyDescent="0.3">
      <c r="A974" s="51"/>
      <c r="B974" s="51"/>
    </row>
    <row r="975" spans="1:2" ht="16.5" x14ac:dyDescent="0.3">
      <c r="A975" s="51"/>
      <c r="B975" s="51"/>
    </row>
    <row r="976" spans="1:2" ht="16.5" x14ac:dyDescent="0.3">
      <c r="A976" s="51"/>
      <c r="B976" s="51"/>
    </row>
    <row r="977" spans="1:2" ht="16.5" x14ac:dyDescent="0.3">
      <c r="A977" s="51"/>
      <c r="B977" s="51"/>
    </row>
    <row r="978" spans="1:2" ht="16.5" x14ac:dyDescent="0.3">
      <c r="A978" s="51"/>
      <c r="B978" s="51"/>
    </row>
    <row r="979" spans="1:2" ht="16.5" x14ac:dyDescent="0.3">
      <c r="A979" s="51"/>
      <c r="B979" s="51"/>
    </row>
    <row r="980" spans="1:2" ht="16.5" x14ac:dyDescent="0.3">
      <c r="A980" s="51"/>
      <c r="B980" s="51"/>
    </row>
    <row r="981" spans="1:2" ht="16.5" x14ac:dyDescent="0.3">
      <c r="A981" s="51"/>
      <c r="B981" s="51"/>
    </row>
    <row r="982" spans="1:2" ht="16.5" x14ac:dyDescent="0.3">
      <c r="A982" s="51"/>
      <c r="B982" s="51"/>
    </row>
    <row r="983" spans="1:2" ht="16.5" x14ac:dyDescent="0.3">
      <c r="A983" s="51"/>
      <c r="B983" s="51"/>
    </row>
    <row r="984" spans="1:2" ht="16.5" x14ac:dyDescent="0.3">
      <c r="A984" s="51"/>
      <c r="B984" s="51"/>
    </row>
    <row r="985" spans="1:2" ht="16.5" x14ac:dyDescent="0.3">
      <c r="A985" s="51"/>
      <c r="B985" s="51"/>
    </row>
    <row r="986" spans="1:2" ht="16.5" x14ac:dyDescent="0.3">
      <c r="A986" s="51"/>
      <c r="B986" s="51"/>
    </row>
    <row r="987" spans="1:2" ht="16.5" x14ac:dyDescent="0.3">
      <c r="A987" s="51"/>
      <c r="B987" s="51"/>
    </row>
    <row r="988" spans="1:2" ht="16.5" x14ac:dyDescent="0.3">
      <c r="A988" s="51"/>
      <c r="B988" s="51"/>
    </row>
    <row r="989" spans="1:2" ht="16.5" x14ac:dyDescent="0.3">
      <c r="A989" s="51"/>
      <c r="B989" s="51"/>
    </row>
    <row r="990" spans="1:2" ht="16.5" x14ac:dyDescent="0.3">
      <c r="A990" s="51"/>
      <c r="B990" s="51"/>
    </row>
    <row r="991" spans="1:2" ht="16.5" x14ac:dyDescent="0.3">
      <c r="A991" s="51"/>
      <c r="B991" s="51"/>
    </row>
    <row r="992" spans="1:2" ht="16.5" x14ac:dyDescent="0.3">
      <c r="A992" s="51"/>
      <c r="B992" s="51"/>
    </row>
    <row r="993" spans="1:2" ht="16.5" x14ac:dyDescent="0.3">
      <c r="A993" s="51"/>
      <c r="B993" s="51"/>
    </row>
    <row r="994" spans="1:2" ht="16.5" x14ac:dyDescent="0.3">
      <c r="A994" s="51"/>
      <c r="B994" s="51"/>
    </row>
    <row r="995" spans="1:2" ht="16.5" x14ac:dyDescent="0.3">
      <c r="A995" s="51"/>
      <c r="B995" s="51"/>
    </row>
    <row r="996" spans="1:2" ht="16.5" x14ac:dyDescent="0.3">
      <c r="A996" s="51"/>
      <c r="B996" s="51"/>
    </row>
    <row r="997" spans="1:2" ht="16.5" x14ac:dyDescent="0.3">
      <c r="A997" s="51"/>
      <c r="B997" s="51"/>
    </row>
    <row r="998" spans="1:2" ht="16.5" x14ac:dyDescent="0.3">
      <c r="A998" s="51"/>
      <c r="B998" s="51"/>
    </row>
    <row r="999" spans="1:2" ht="16.5" x14ac:dyDescent="0.3">
      <c r="A999" s="51"/>
      <c r="B999" s="51"/>
    </row>
    <row r="1000" spans="1:2" ht="16.5" x14ac:dyDescent="0.3">
      <c r="A1000" s="51"/>
      <c r="B1000" s="51"/>
    </row>
    <row r="1001" spans="1:2" ht="16.5" x14ac:dyDescent="0.3">
      <c r="A1001" s="51"/>
      <c r="B1001" s="51"/>
    </row>
    <row r="1002" spans="1:2" ht="16.5" x14ac:dyDescent="0.3">
      <c r="A1002" s="51"/>
      <c r="B1002" s="51"/>
    </row>
    <row r="1003" spans="1:2" ht="16.5" x14ac:dyDescent="0.3">
      <c r="A1003" s="51"/>
      <c r="B1003" s="51"/>
    </row>
    <row r="1004" spans="1:2" ht="16.5" x14ac:dyDescent="0.3">
      <c r="A1004" s="51"/>
      <c r="B1004" s="51"/>
    </row>
  </sheetData>
  <hyperlinks>
    <hyperlink ref="B62" r:id="rId1"/>
    <hyperlink ref="B63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12"/>
  <sheetViews>
    <sheetView topLeftCell="B2" workbookViewId="0">
      <selection activeCell="C19" sqref="C19"/>
    </sheetView>
  </sheetViews>
  <sheetFormatPr defaultColWidth="14.42578125" defaultRowHeight="15" customHeight="1" x14ac:dyDescent="0.25"/>
  <cols>
    <col min="1" max="1" width="41.42578125" style="32" customWidth="1"/>
    <col min="2" max="2" width="62" style="32" customWidth="1"/>
    <col min="3" max="3" width="78" style="32" customWidth="1"/>
    <col min="4" max="26" width="8.7109375" style="32" customWidth="1"/>
    <col min="27" max="16384" width="14.42578125" style="32"/>
  </cols>
  <sheetData>
    <row r="1" spans="1:26" ht="13.5" customHeight="1" x14ac:dyDescent="0.3">
      <c r="A1" s="50" t="s">
        <v>98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ht="13.5" customHeight="1" thickBo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</row>
    <row r="3" spans="1:26" ht="13.5" customHeight="1" thickBot="1" x14ac:dyDescent="0.35">
      <c r="A3" s="49" t="s">
        <v>97</v>
      </c>
      <c r="B3" s="48" t="s">
        <v>96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26" ht="13.5" customHeight="1" thickBot="1" x14ac:dyDescent="0.35">
      <c r="A4" s="46" t="s">
        <v>21</v>
      </c>
      <c r="B4" s="48" t="s">
        <v>22</v>
      </c>
      <c r="C4" s="33" t="str">
        <f t="shared" ref="C4:C35" si="0">CONCATENATE(A4, " -&gt; ",B4)</f>
        <v>Administrative/Overhead services -&gt; Office of the Medical Center Chief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1:26" ht="13.5" customHeight="1" thickBot="1" x14ac:dyDescent="0.35">
      <c r="A5" s="46" t="s">
        <v>21</v>
      </c>
      <c r="B5" s="45" t="s">
        <v>63</v>
      </c>
      <c r="C5" s="33" t="str">
        <f t="shared" si="0"/>
        <v>Administrative/Overhead services -&gt; IT Department</v>
      </c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13.5" customHeight="1" thickBot="1" x14ac:dyDescent="0.35">
      <c r="A6" s="46" t="s">
        <v>21</v>
      </c>
      <c r="B6" s="47" t="s">
        <v>23</v>
      </c>
      <c r="C6" s="33" t="str">
        <f t="shared" si="0"/>
        <v>Administrative/Overhead services -&gt; Office of the Administrative Officer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ht="13.5" customHeight="1" thickBot="1" x14ac:dyDescent="0.35">
      <c r="A7" s="46" t="s">
        <v>21</v>
      </c>
      <c r="B7" s="47" t="s">
        <v>24</v>
      </c>
      <c r="C7" s="33" t="str">
        <f t="shared" si="0"/>
        <v>Administrative/Overhead services -&gt; Human Resource Management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1:26" ht="13.5" customHeight="1" thickBot="1" x14ac:dyDescent="0.35">
      <c r="A8" s="46" t="s">
        <v>21</v>
      </c>
      <c r="B8" s="47" t="s">
        <v>25</v>
      </c>
      <c r="C8" s="33" t="str">
        <f t="shared" si="0"/>
        <v>Administrative/Overhead services -&gt; Procurement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</row>
    <row r="9" spans="1:26" ht="13.5" customHeight="1" thickBot="1" x14ac:dyDescent="0.35">
      <c r="A9" s="46" t="s">
        <v>21</v>
      </c>
      <c r="B9" s="47" t="s">
        <v>26</v>
      </c>
      <c r="C9" s="33" t="str">
        <f t="shared" si="0"/>
        <v>Administrative/Overhead services -&gt; Materials Management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0" spans="1:26" ht="13.5" customHeight="1" thickBot="1" x14ac:dyDescent="0.35">
      <c r="A10" s="46" t="s">
        <v>21</v>
      </c>
      <c r="B10" s="47" t="s">
        <v>27</v>
      </c>
      <c r="C10" s="33" t="str">
        <f t="shared" si="0"/>
        <v>Administrative/Overhead services -&gt; Engineering and Facilities Management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</row>
    <row r="11" spans="1:26" ht="13.5" customHeight="1" thickBot="1" x14ac:dyDescent="0.35">
      <c r="A11" s="46" t="s">
        <v>21</v>
      </c>
      <c r="B11" s="45" t="s">
        <v>64</v>
      </c>
      <c r="C11" s="33" t="str">
        <f t="shared" si="0"/>
        <v xml:space="preserve">Administrative/Overhead services -&gt; Housekeeping 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</row>
    <row r="12" spans="1:26" ht="13.5" customHeight="1" thickBot="1" x14ac:dyDescent="0.35">
      <c r="A12" s="46" t="s">
        <v>21</v>
      </c>
      <c r="B12" s="47" t="s">
        <v>28</v>
      </c>
      <c r="C12" s="33" t="str">
        <f t="shared" si="0"/>
        <v>Administrative/Overhead services -&gt; Budget and Accounting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</row>
    <row r="13" spans="1:26" ht="13.5" customHeight="1" thickBot="1" x14ac:dyDescent="0.35">
      <c r="A13" s="46" t="s">
        <v>21</v>
      </c>
      <c r="B13" s="47" t="s">
        <v>29</v>
      </c>
      <c r="C13" s="33" t="str">
        <f t="shared" si="0"/>
        <v>Administrative/Overhead services -&gt; Medical Social Work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3.5" customHeight="1" thickBot="1" x14ac:dyDescent="0.35">
      <c r="A14" s="46" t="s">
        <v>21</v>
      </c>
      <c r="B14" s="47" t="s">
        <v>30</v>
      </c>
      <c r="C14" s="33" t="str">
        <f t="shared" si="0"/>
        <v>Administrative/Overhead services -&gt; Office of the Chief Nurse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</row>
    <row r="15" spans="1:26" ht="13.5" customHeight="1" thickBot="1" x14ac:dyDescent="0.35">
      <c r="A15" s="46" t="s">
        <v>21</v>
      </c>
      <c r="B15" s="47" t="s">
        <v>31</v>
      </c>
      <c r="C15" s="33" t="str">
        <f t="shared" si="0"/>
        <v>Administrative/Overhead services -&gt; Health Info Mgt (Admitting)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</row>
    <row r="16" spans="1:26" ht="13.5" customHeight="1" thickBot="1" x14ac:dyDescent="0.35">
      <c r="A16" s="46" t="s">
        <v>21</v>
      </c>
      <c r="B16" s="47" t="s">
        <v>32</v>
      </c>
      <c r="C16" s="33" t="str">
        <f t="shared" si="0"/>
        <v>Administrative/Overhead services -&gt; Central Supply Office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</row>
    <row r="17" spans="1:26" ht="13.5" customHeight="1" thickBot="1" x14ac:dyDescent="0.35">
      <c r="A17" s="46" t="s">
        <v>21</v>
      </c>
      <c r="B17" s="47" t="s">
        <v>33</v>
      </c>
      <c r="C17" s="33" t="str">
        <f t="shared" si="0"/>
        <v>Administrative/Overhead services -&gt; Billing and Claims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</row>
    <row r="18" spans="1:26" ht="13.5" customHeight="1" thickBot="1" x14ac:dyDescent="0.35">
      <c r="A18" s="46" t="s">
        <v>21</v>
      </c>
      <c r="B18" s="47" t="s">
        <v>34</v>
      </c>
      <c r="C18" s="33" t="str">
        <f t="shared" si="0"/>
        <v>Administrative/Overhead services -&gt; Cash Operations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</row>
    <row r="19" spans="1:26" ht="13.5" customHeight="1" thickBot="1" x14ac:dyDescent="0.35">
      <c r="A19" s="46" t="s">
        <v>21</v>
      </c>
      <c r="B19" s="47" t="s">
        <v>35</v>
      </c>
      <c r="C19" s="33" t="str">
        <f t="shared" si="0"/>
        <v>Administrative/Overhead services -&gt; Security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</row>
    <row r="20" spans="1:26" ht="13.5" customHeight="1" thickBot="1" x14ac:dyDescent="0.35">
      <c r="A20" s="46" t="s">
        <v>21</v>
      </c>
      <c r="B20" s="45" t="s">
        <v>65</v>
      </c>
      <c r="C20" s="33" t="str">
        <f t="shared" si="0"/>
        <v>Administrative/Overhead services -&gt; Office of the Chief of Medical Professional Staff / Chief of Clinics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</row>
    <row r="21" spans="1:26" ht="13.5" customHeight="1" thickBot="1" x14ac:dyDescent="0.35">
      <c r="A21" s="46" t="s">
        <v>21</v>
      </c>
      <c r="B21" s="45" t="s">
        <v>66</v>
      </c>
      <c r="C21" s="33" t="str">
        <f t="shared" si="0"/>
        <v>Administrative/Overhead services -&gt; Others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</row>
    <row r="22" spans="1:26" ht="13.5" customHeight="1" thickBot="1" x14ac:dyDescent="0.35">
      <c r="A22" s="38" t="s">
        <v>37</v>
      </c>
      <c r="B22" s="44" t="s">
        <v>38</v>
      </c>
      <c r="C22" s="33" t="str">
        <f t="shared" si="0"/>
        <v>Ancillary services/Support services -&gt; Laundry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</row>
    <row r="23" spans="1:26" ht="14.25" customHeight="1" thickBot="1" x14ac:dyDescent="0.35">
      <c r="A23" s="38" t="s">
        <v>37</v>
      </c>
      <c r="B23" s="40" t="s">
        <v>41</v>
      </c>
      <c r="C23" s="33" t="str">
        <f t="shared" si="0"/>
        <v>Ancillary services/Support services -&gt; Nutrition and Dietetics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</row>
    <row r="24" spans="1:26" ht="14.25" customHeight="1" thickBot="1" x14ac:dyDescent="0.35">
      <c r="A24" s="38" t="s">
        <v>37</v>
      </c>
      <c r="B24" s="40" t="s">
        <v>67</v>
      </c>
      <c r="C24" s="33" t="str">
        <f t="shared" si="0"/>
        <v>Ancillary services/Support services -&gt; Sterilization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</row>
    <row r="25" spans="1:26" ht="14.25" customHeight="1" thickBot="1" x14ac:dyDescent="0.35">
      <c r="A25" s="38" t="s">
        <v>37</v>
      </c>
      <c r="B25" s="40" t="s">
        <v>40</v>
      </c>
      <c r="C25" s="33" t="str">
        <f t="shared" si="0"/>
        <v>Ancillary services/Support services -&gt; Pharmacy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</row>
    <row r="26" spans="1:26" ht="14.25" customHeight="1" thickBot="1" x14ac:dyDescent="0.35">
      <c r="A26" s="38" t="s">
        <v>37</v>
      </c>
      <c r="B26" s="40" t="s">
        <v>39</v>
      </c>
      <c r="C26" s="33" t="str">
        <f t="shared" si="0"/>
        <v>Ancillary services/Support services -&gt; Blood Bank</v>
      </c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</row>
    <row r="27" spans="1:26" ht="14.25" customHeight="1" thickBot="1" x14ac:dyDescent="0.35">
      <c r="A27" s="38" t="s">
        <v>37</v>
      </c>
      <c r="B27" s="40" t="s">
        <v>68</v>
      </c>
      <c r="C27" s="33" t="str">
        <f t="shared" si="0"/>
        <v>Ancillary services/Support services -&gt; Laboratory</v>
      </c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</row>
    <row r="28" spans="1:26" ht="14.25" customHeight="1" thickBot="1" x14ac:dyDescent="0.35">
      <c r="A28" s="38" t="s">
        <v>37</v>
      </c>
      <c r="B28" s="40" t="s">
        <v>69</v>
      </c>
      <c r="C28" s="33" t="str">
        <f t="shared" si="0"/>
        <v>Ancillary services/Support services -&gt; Radiology / Diagnostic Imaging (CT Scan, MRI, ECG, Mammography, Endoscopy)</v>
      </c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</row>
    <row r="29" spans="1:26" ht="14.25" customHeight="1" thickBot="1" x14ac:dyDescent="0.35">
      <c r="A29" s="38" t="s">
        <v>37</v>
      </c>
      <c r="B29" s="40" t="s">
        <v>70</v>
      </c>
      <c r="C29" s="33" t="str">
        <f t="shared" si="0"/>
        <v>Ancillary services/Support services -&gt; Heart Station</v>
      </c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</row>
    <row r="30" spans="1:26" ht="14.25" customHeight="1" thickBot="1" x14ac:dyDescent="0.35">
      <c r="A30" s="38" t="s">
        <v>37</v>
      </c>
      <c r="B30" s="40" t="s">
        <v>71</v>
      </c>
      <c r="C30" s="33" t="str">
        <f t="shared" si="0"/>
        <v>Ancillary services/Support services -&gt; Physiotherapy / Rehabilitation</v>
      </c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</row>
    <row r="31" spans="1:26" ht="14.25" customHeight="1" thickBot="1" x14ac:dyDescent="0.35">
      <c r="A31" s="38" t="s">
        <v>37</v>
      </c>
      <c r="B31" s="40" t="s">
        <v>5</v>
      </c>
      <c r="C31" s="33" t="str">
        <f t="shared" si="0"/>
        <v>Ancillary services/Support services -&gt; Delivery Room</v>
      </c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</row>
    <row r="32" spans="1:26" ht="14.25" customHeight="1" thickBot="1" x14ac:dyDescent="0.35">
      <c r="A32" s="38" t="s">
        <v>37</v>
      </c>
      <c r="B32" s="39" t="s">
        <v>42</v>
      </c>
      <c r="C32" s="33" t="str">
        <f t="shared" si="0"/>
        <v>Ancillary services/Support services -&gt; Operating Room / Aneasthesiology / PACU / Recovery Room</v>
      </c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</row>
    <row r="33" spans="1:26" ht="14.25" customHeight="1" thickBot="1" x14ac:dyDescent="0.35">
      <c r="A33" s="38" t="s">
        <v>37</v>
      </c>
      <c r="B33" s="40" t="s">
        <v>72</v>
      </c>
      <c r="C33" s="33" t="str">
        <f t="shared" si="0"/>
        <v>Ancillary services/Support services -&gt; Respiratory Unit</v>
      </c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</row>
    <row r="34" spans="1:26" ht="14.25" customHeight="1" thickBot="1" x14ac:dyDescent="0.35">
      <c r="A34" s="38" t="s">
        <v>37</v>
      </c>
      <c r="B34" s="39" t="s">
        <v>43</v>
      </c>
      <c r="C34" s="33" t="str">
        <f t="shared" si="0"/>
        <v>Ancillary services/Support services -&gt; Medical ICU</v>
      </c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</row>
    <row r="35" spans="1:26" ht="14.25" customHeight="1" thickBot="1" x14ac:dyDescent="0.35">
      <c r="A35" s="38" t="s">
        <v>37</v>
      </c>
      <c r="B35" s="39" t="s">
        <v>44</v>
      </c>
      <c r="C35" s="33" t="str">
        <f t="shared" si="0"/>
        <v>Ancillary services/Support services -&gt; Neonatal ICU*</v>
      </c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</row>
    <row r="36" spans="1:26" ht="14.25" customHeight="1" thickBot="1" x14ac:dyDescent="0.35">
      <c r="A36" s="38" t="s">
        <v>37</v>
      </c>
      <c r="B36" s="39" t="s">
        <v>45</v>
      </c>
      <c r="C36" s="33" t="str">
        <f t="shared" ref="C36:C64" si="1">CONCATENATE(A36, " -&gt; ",B36)</f>
        <v>Ancillary services/Support services -&gt; Surgical ICU*</v>
      </c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</row>
    <row r="37" spans="1:26" ht="14.25" customHeight="1" thickBot="1" x14ac:dyDescent="0.35">
      <c r="A37" s="38" t="s">
        <v>37</v>
      </c>
      <c r="B37" s="39" t="s">
        <v>46</v>
      </c>
      <c r="C37" s="33" t="str">
        <f t="shared" si="1"/>
        <v>Ancillary services/Support services -&gt; Pediatric ICU*</v>
      </c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</row>
    <row r="38" spans="1:26" ht="14.25" customHeight="1" thickBot="1" x14ac:dyDescent="0.35">
      <c r="A38" s="38" t="s">
        <v>37</v>
      </c>
      <c r="B38" s="39" t="s">
        <v>73</v>
      </c>
      <c r="C38" s="33" t="str">
        <f t="shared" si="1"/>
        <v>Ancillary services/Support services -&gt; Burn Unit</v>
      </c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</row>
    <row r="39" spans="1:26" ht="17.25" thickBot="1" x14ac:dyDescent="0.35">
      <c r="A39" s="38" t="s">
        <v>37</v>
      </c>
      <c r="B39" s="40" t="s">
        <v>74</v>
      </c>
      <c r="C39" s="33" t="str">
        <f t="shared" si="1"/>
        <v>Ancillary services/Support services -&gt; Morgue</v>
      </c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</row>
    <row r="40" spans="1:26" ht="17.25" thickBot="1" x14ac:dyDescent="0.35">
      <c r="A40" s="38" t="s">
        <v>37</v>
      </c>
      <c r="B40" s="43" t="s">
        <v>66</v>
      </c>
      <c r="C40" s="33" t="str">
        <f t="shared" si="1"/>
        <v>Ancillary services/Support services -&gt; Others</v>
      </c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</row>
    <row r="41" spans="1:26" ht="13.5" customHeight="1" thickBot="1" x14ac:dyDescent="0.35">
      <c r="A41" s="38" t="s">
        <v>48</v>
      </c>
      <c r="B41" s="42" t="s">
        <v>49</v>
      </c>
      <c r="C41" s="33" t="str">
        <f t="shared" si="1"/>
        <v>Clinical/Medical services -&gt; Outpatient Department</v>
      </c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</row>
    <row r="42" spans="1:26" ht="13.5" customHeight="1" thickBot="1" x14ac:dyDescent="0.35">
      <c r="A42" s="38" t="s">
        <v>48</v>
      </c>
      <c r="B42" s="40" t="s">
        <v>75</v>
      </c>
      <c r="C42" s="33" t="str">
        <f t="shared" si="1"/>
        <v>Clinical/Medical services -&gt; Animal Bite Center</v>
      </c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</row>
    <row r="43" spans="1:26" ht="13.5" customHeight="1" thickBot="1" x14ac:dyDescent="0.35">
      <c r="A43" s="38" t="s">
        <v>48</v>
      </c>
      <c r="B43" s="40" t="s">
        <v>76</v>
      </c>
      <c r="C43" s="33" t="str">
        <f t="shared" si="1"/>
        <v>Clinical/Medical services -&gt; TB Dots</v>
      </c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</row>
    <row r="44" spans="1:26" ht="13.5" customHeight="1" thickBot="1" x14ac:dyDescent="0.35">
      <c r="A44" s="38" t="s">
        <v>48</v>
      </c>
      <c r="B44" s="40" t="s">
        <v>77</v>
      </c>
      <c r="C44" s="33" t="str">
        <f t="shared" si="1"/>
        <v>Clinical/Medical services -&gt; HIV Aids</v>
      </c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</row>
    <row r="45" spans="1:26" ht="13.5" customHeight="1" thickBot="1" x14ac:dyDescent="0.35">
      <c r="A45" s="38" t="s">
        <v>48</v>
      </c>
      <c r="B45" s="40" t="s">
        <v>78</v>
      </c>
      <c r="C45" s="33" t="str">
        <f t="shared" si="1"/>
        <v>Clinical/Medical services -&gt; Family Planning Unit</v>
      </c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</row>
    <row r="46" spans="1:26" ht="13.5" customHeight="1" thickBot="1" x14ac:dyDescent="0.35">
      <c r="A46" s="38" t="s">
        <v>48</v>
      </c>
      <c r="B46" s="40" t="s">
        <v>79</v>
      </c>
      <c r="C46" s="33" t="str">
        <f t="shared" si="1"/>
        <v>Clinical/Medical services -&gt; Smoking Cessation</v>
      </c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</row>
    <row r="47" spans="1:26" ht="13.5" customHeight="1" thickBot="1" x14ac:dyDescent="0.35">
      <c r="A47" s="38" t="s">
        <v>48</v>
      </c>
      <c r="B47" s="40" t="s">
        <v>80</v>
      </c>
      <c r="C47" s="33" t="str">
        <f t="shared" si="1"/>
        <v>Clinical/Medical services -&gt; Malaria</v>
      </c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</row>
    <row r="48" spans="1:26" ht="13.5" customHeight="1" thickBot="1" x14ac:dyDescent="0.35">
      <c r="A48" s="38" t="s">
        <v>48</v>
      </c>
      <c r="B48" s="41" t="s">
        <v>81</v>
      </c>
      <c r="C48" s="33" t="str">
        <f t="shared" si="1"/>
        <v>Clinical/Medical services -&gt; Diabetes MAP</v>
      </c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</row>
    <row r="49" spans="1:26" ht="13.5" customHeight="1" thickBot="1" x14ac:dyDescent="0.35">
      <c r="A49" s="38" t="s">
        <v>48</v>
      </c>
      <c r="B49" s="40" t="s">
        <v>82</v>
      </c>
      <c r="C49" s="33" t="str">
        <f t="shared" si="1"/>
        <v>Clinical/Medical services -&gt; Hypertension MAP</v>
      </c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</row>
    <row r="50" spans="1:26" ht="14.25" customHeight="1" thickBot="1" x14ac:dyDescent="0.35">
      <c r="A50" s="38" t="s">
        <v>48</v>
      </c>
      <c r="B50" s="39" t="s">
        <v>50</v>
      </c>
      <c r="C50" s="33" t="str">
        <f t="shared" si="1"/>
        <v>Clinical/Medical services -&gt; Emergency Medicine Department</v>
      </c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</row>
    <row r="51" spans="1:26" ht="14.25" customHeight="1" thickBot="1" x14ac:dyDescent="0.35">
      <c r="A51" s="38" t="s">
        <v>48</v>
      </c>
      <c r="B51" s="39" t="s">
        <v>6</v>
      </c>
      <c r="C51" s="33" t="str">
        <f t="shared" si="1"/>
        <v>Clinical/Medical services -&gt; Dialysis Unit</v>
      </c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</row>
    <row r="52" spans="1:26" ht="14.25" customHeight="1" thickBot="1" x14ac:dyDescent="0.35">
      <c r="A52" s="38" t="s">
        <v>48</v>
      </c>
      <c r="B52" s="40" t="s">
        <v>83</v>
      </c>
      <c r="C52" s="33" t="str">
        <f t="shared" si="1"/>
        <v>Clinical/Medical services -&gt; Nuclear Medicine</v>
      </c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</row>
    <row r="53" spans="1:26" ht="14.25" customHeight="1" thickBot="1" x14ac:dyDescent="0.35">
      <c r="A53" s="38" t="s">
        <v>48</v>
      </c>
      <c r="B53" s="39" t="s">
        <v>47</v>
      </c>
      <c r="C53" s="33" t="str">
        <f t="shared" si="1"/>
        <v>Clinical/Medical services -&gt; Radiation Oncology Unit*</v>
      </c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</row>
    <row r="54" spans="1:26" ht="14.25" customHeight="1" thickBot="1" x14ac:dyDescent="0.35">
      <c r="A54" s="38" t="s">
        <v>48</v>
      </c>
      <c r="B54" s="40" t="s">
        <v>84</v>
      </c>
      <c r="C54" s="33" t="str">
        <f t="shared" si="1"/>
        <v>Clinical/Medical services -&gt; Endoscopy Unit</v>
      </c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</row>
    <row r="55" spans="1:26" ht="14.25" customHeight="1" thickBot="1" x14ac:dyDescent="0.35">
      <c r="A55" s="38" t="s">
        <v>48</v>
      </c>
      <c r="B55" s="39" t="s">
        <v>51</v>
      </c>
      <c r="C55" s="33" t="str">
        <f t="shared" si="1"/>
        <v>Clinical/Medical services -&gt; Dental</v>
      </c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</row>
    <row r="56" spans="1:26" ht="14.25" customHeight="1" thickBot="1" x14ac:dyDescent="0.35">
      <c r="A56" s="38" t="s">
        <v>48</v>
      </c>
      <c r="B56" s="39" t="s">
        <v>52</v>
      </c>
      <c r="C56" s="33" t="str">
        <f t="shared" si="1"/>
        <v>Clinical/Medical services -&gt; Internal Medicine Ward</v>
      </c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</row>
    <row r="57" spans="1:26" ht="14.25" customHeight="1" thickBot="1" x14ac:dyDescent="0.35">
      <c r="A57" s="38" t="s">
        <v>48</v>
      </c>
      <c r="B57" s="39" t="s">
        <v>53</v>
      </c>
      <c r="C57" s="33" t="str">
        <f t="shared" si="1"/>
        <v>Clinical/Medical services -&gt; Pediatric Ward</v>
      </c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</row>
    <row r="58" spans="1:26" ht="14.25" customHeight="1" thickBot="1" x14ac:dyDescent="0.35">
      <c r="A58" s="38" t="s">
        <v>48</v>
      </c>
      <c r="B58" s="39" t="s">
        <v>54</v>
      </c>
      <c r="C58" s="33" t="str">
        <f t="shared" si="1"/>
        <v>Clinical/Medical services -&gt; Surgical Ward</v>
      </c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</row>
    <row r="59" spans="1:26" ht="14.25" customHeight="1" thickBot="1" x14ac:dyDescent="0.35">
      <c r="A59" s="38" t="s">
        <v>48</v>
      </c>
      <c r="B59" s="39" t="s">
        <v>55</v>
      </c>
      <c r="C59" s="33" t="str">
        <f t="shared" si="1"/>
        <v>Clinical/Medical services -&gt; Ob/Gyne Ward</v>
      </c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</row>
    <row r="60" spans="1:26" ht="14.25" customHeight="1" thickBot="1" x14ac:dyDescent="0.35">
      <c r="A60" s="38" t="s">
        <v>48</v>
      </c>
      <c r="B60" s="39" t="s">
        <v>56</v>
      </c>
      <c r="C60" s="33" t="str">
        <f t="shared" si="1"/>
        <v>Clinical/Medical services -&gt; Private Ward</v>
      </c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</row>
    <row r="61" spans="1:26" ht="14.25" customHeight="1" thickBot="1" x14ac:dyDescent="0.35">
      <c r="A61" s="38" t="s">
        <v>48</v>
      </c>
      <c r="B61" s="39" t="s">
        <v>57</v>
      </c>
      <c r="C61" s="33" t="str">
        <f t="shared" si="1"/>
        <v>Clinical/Medical services -&gt; Neurosurgery Ward*</v>
      </c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</row>
    <row r="62" spans="1:26" ht="14.25" customHeight="1" thickBot="1" x14ac:dyDescent="0.35">
      <c r="A62" s="38" t="s">
        <v>48</v>
      </c>
      <c r="B62" s="39" t="s">
        <v>58</v>
      </c>
      <c r="C62" s="33" t="str">
        <f t="shared" si="1"/>
        <v>Clinical/Medical services -&gt; Orthopedic Ward*</v>
      </c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</row>
    <row r="63" spans="1:26" ht="17.25" thickBot="1" x14ac:dyDescent="0.35">
      <c r="A63" s="38" t="s">
        <v>48</v>
      </c>
      <c r="B63" s="39" t="s">
        <v>59</v>
      </c>
      <c r="C63" s="33" t="str">
        <f t="shared" si="1"/>
        <v>Clinical/Medical services -&gt; Psychiatric Ward*</v>
      </c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</row>
    <row r="64" spans="1:26" ht="13.5" customHeight="1" thickBot="1" x14ac:dyDescent="0.35">
      <c r="A64" s="38" t="s">
        <v>48</v>
      </c>
      <c r="B64" s="37" t="s">
        <v>60</v>
      </c>
      <c r="C64" s="33" t="str">
        <f t="shared" si="1"/>
        <v>Clinical/Medical services -&gt; ENT Ward*</v>
      </c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</row>
    <row r="65" spans="1:26" ht="13.5" customHeight="1" x14ac:dyDescent="0.3">
      <c r="A65" s="36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</row>
    <row r="66" spans="1:26" ht="13.5" customHeight="1" x14ac:dyDescent="0.3">
      <c r="A66" s="33"/>
      <c r="B66" s="35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</row>
    <row r="67" spans="1:26" ht="13.5" customHeight="1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</row>
    <row r="68" spans="1:26" ht="13.5" customHeight="1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</row>
    <row r="69" spans="1:26" ht="13.5" customHeight="1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</row>
    <row r="70" spans="1:26" ht="13.5" customHeight="1" x14ac:dyDescent="0.3">
      <c r="A70" s="33" t="s">
        <v>95</v>
      </c>
      <c r="B70" s="34" t="s">
        <v>94</v>
      </c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</row>
    <row r="71" spans="1:26" ht="13.5" customHeight="1" x14ac:dyDescent="0.3">
      <c r="A71" s="33"/>
      <c r="B71" s="34" t="s">
        <v>93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</row>
    <row r="72" spans="1:26" ht="13.5" customHeight="1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</row>
    <row r="73" spans="1:26" ht="13.5" customHeight="1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</row>
    <row r="74" spans="1:26" ht="13.5" customHeight="1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</row>
    <row r="75" spans="1:26" ht="13.5" customHeight="1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</row>
    <row r="76" spans="1:26" ht="13.5" customHeight="1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</row>
    <row r="77" spans="1:26" ht="13.5" customHeight="1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</row>
    <row r="78" spans="1:26" ht="13.5" customHeight="1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</row>
    <row r="79" spans="1:26" ht="13.5" customHeight="1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</row>
    <row r="80" spans="1:26" ht="13.5" customHeight="1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</row>
    <row r="81" spans="1:26" ht="13.5" customHeight="1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</row>
    <row r="82" spans="1:26" ht="13.5" customHeight="1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</row>
    <row r="83" spans="1:26" ht="13.5" customHeight="1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</row>
    <row r="84" spans="1:26" ht="13.5" customHeight="1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</row>
    <row r="85" spans="1:26" ht="13.5" customHeight="1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</row>
    <row r="86" spans="1:26" ht="13.5" customHeight="1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</row>
    <row r="87" spans="1:26" ht="13.5" customHeight="1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</row>
    <row r="88" spans="1:26" ht="13.5" customHeight="1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</row>
    <row r="89" spans="1:26" ht="13.5" customHeight="1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</row>
    <row r="90" spans="1:26" ht="13.5" customHeight="1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</row>
    <row r="91" spans="1:26" ht="13.5" customHeight="1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</row>
    <row r="92" spans="1:26" ht="13.5" customHeight="1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</row>
    <row r="93" spans="1:26" ht="13.5" customHeight="1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</row>
    <row r="94" spans="1:26" ht="13.5" customHeight="1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</row>
    <row r="95" spans="1:26" ht="13.5" customHeight="1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</row>
    <row r="96" spans="1:26" ht="13.5" customHeight="1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</row>
    <row r="97" spans="1:26" ht="13.5" customHeight="1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</row>
    <row r="98" spans="1:26" ht="13.5" customHeight="1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</row>
    <row r="99" spans="1:26" ht="13.5" customHeight="1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</row>
    <row r="100" spans="1:26" ht="13.5" customHeight="1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</row>
    <row r="101" spans="1:26" ht="13.5" customHeight="1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</row>
    <row r="102" spans="1:26" ht="13.5" customHeight="1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</row>
    <row r="103" spans="1:26" ht="13.5" customHeight="1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</row>
    <row r="104" spans="1:26" ht="13.5" customHeight="1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</row>
    <row r="105" spans="1:26" ht="13.5" customHeight="1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</row>
    <row r="106" spans="1:26" ht="13.5" customHeight="1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</row>
    <row r="107" spans="1:26" ht="13.5" customHeight="1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</row>
    <row r="108" spans="1:26" ht="13.5" customHeight="1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</row>
    <row r="109" spans="1:26" ht="13.5" customHeight="1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</row>
    <row r="110" spans="1:26" ht="13.5" customHeight="1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</row>
    <row r="111" spans="1:26" ht="13.5" customHeight="1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</row>
    <row r="112" spans="1:26" ht="13.5" customHeight="1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</row>
    <row r="113" spans="1:26" ht="13.5" customHeight="1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</row>
    <row r="114" spans="1:26" ht="13.5" customHeight="1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</row>
    <row r="115" spans="1:26" ht="13.5" customHeight="1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</row>
    <row r="116" spans="1:26" ht="13.5" customHeight="1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</row>
    <row r="117" spans="1:26" ht="13.5" customHeight="1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</row>
    <row r="118" spans="1:26" ht="13.5" customHeight="1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</row>
    <row r="119" spans="1:26" ht="13.5" customHeight="1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</row>
    <row r="120" spans="1:26" ht="13.5" customHeight="1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</row>
    <row r="121" spans="1:26" ht="13.5" customHeight="1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</row>
    <row r="122" spans="1:26" ht="13.5" customHeight="1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</row>
    <row r="123" spans="1:26" ht="13.5" customHeight="1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</row>
    <row r="124" spans="1:26" ht="13.5" customHeight="1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</row>
    <row r="125" spans="1:26" ht="13.5" customHeight="1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</row>
    <row r="126" spans="1:26" ht="13.5" customHeight="1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</row>
    <row r="127" spans="1:26" ht="13.5" customHeight="1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</row>
    <row r="128" spans="1:26" ht="13.5" customHeight="1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</row>
    <row r="129" spans="1:26" ht="13.5" customHeight="1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</row>
    <row r="130" spans="1:26" ht="13.5" customHeight="1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</row>
    <row r="131" spans="1:26" ht="13.5" customHeight="1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</row>
    <row r="132" spans="1:26" ht="13.5" customHeight="1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</row>
    <row r="133" spans="1:26" ht="13.5" customHeight="1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</row>
    <row r="134" spans="1:26" ht="13.5" customHeight="1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</row>
    <row r="135" spans="1:26" ht="13.5" customHeight="1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</row>
    <row r="136" spans="1:26" ht="13.5" customHeight="1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</row>
    <row r="137" spans="1:26" ht="13.5" customHeight="1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</row>
    <row r="138" spans="1:26" ht="13.5" customHeight="1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</row>
    <row r="139" spans="1:26" ht="13.5" customHeight="1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</row>
    <row r="140" spans="1:26" ht="13.5" customHeight="1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</row>
    <row r="141" spans="1:26" ht="13.5" customHeight="1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</row>
    <row r="142" spans="1:26" ht="13.5" customHeight="1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</row>
    <row r="143" spans="1:26" ht="13.5" customHeight="1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</row>
    <row r="144" spans="1:26" ht="13.5" customHeight="1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</row>
    <row r="145" spans="1:26" ht="13.5" customHeight="1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</row>
    <row r="146" spans="1:26" ht="13.5" customHeight="1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</row>
    <row r="147" spans="1:26" ht="13.5" customHeight="1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</row>
    <row r="148" spans="1:26" ht="13.5" customHeight="1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</row>
    <row r="149" spans="1:26" ht="13.5" customHeight="1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</row>
    <row r="150" spans="1:26" ht="13.5" customHeight="1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</row>
    <row r="151" spans="1:26" ht="13.5" customHeight="1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</row>
    <row r="152" spans="1:26" ht="13.5" customHeight="1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</row>
    <row r="153" spans="1:26" ht="13.5" customHeight="1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</row>
    <row r="154" spans="1:26" ht="13.5" customHeight="1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</row>
    <row r="155" spans="1:26" ht="13.5" customHeight="1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</row>
    <row r="156" spans="1:26" ht="13.5" customHeight="1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</row>
    <row r="157" spans="1:26" ht="13.5" customHeight="1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</row>
    <row r="158" spans="1:26" ht="13.5" customHeight="1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</row>
    <row r="159" spans="1:26" ht="13.5" customHeight="1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</row>
    <row r="160" spans="1:26" ht="13.5" customHeight="1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</row>
    <row r="161" spans="1:26" ht="13.5" customHeight="1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</row>
    <row r="162" spans="1:26" ht="13.5" customHeight="1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</row>
    <row r="163" spans="1:26" ht="13.5" customHeight="1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</row>
    <row r="164" spans="1:26" ht="13.5" customHeight="1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</row>
    <row r="165" spans="1:26" ht="13.5" customHeight="1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</row>
    <row r="166" spans="1:26" ht="13.5" customHeight="1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</row>
    <row r="167" spans="1:26" ht="13.5" customHeight="1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</row>
    <row r="168" spans="1:26" ht="13.5" customHeight="1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</row>
    <row r="169" spans="1:26" ht="13.5" customHeight="1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</row>
    <row r="170" spans="1:26" ht="13.5" customHeight="1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</row>
    <row r="171" spans="1:26" ht="13.5" customHeight="1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</row>
    <row r="172" spans="1:26" ht="13.5" customHeight="1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</row>
    <row r="173" spans="1:26" ht="13.5" customHeight="1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</row>
    <row r="174" spans="1:26" ht="13.5" customHeight="1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</row>
    <row r="175" spans="1:26" ht="13.5" customHeight="1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</row>
    <row r="176" spans="1:26" ht="13.5" customHeight="1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</row>
    <row r="177" spans="1:26" ht="13.5" customHeight="1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</row>
    <row r="178" spans="1:26" ht="13.5" customHeight="1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</row>
    <row r="179" spans="1:26" ht="13.5" customHeight="1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</row>
    <row r="180" spans="1:26" ht="13.5" customHeight="1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</row>
    <row r="181" spans="1:26" ht="13.5" customHeight="1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</row>
    <row r="182" spans="1:26" ht="13.5" customHeight="1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</row>
    <row r="183" spans="1:26" ht="13.5" customHeight="1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</row>
    <row r="184" spans="1:26" ht="13.5" customHeight="1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</row>
    <row r="185" spans="1:26" ht="13.5" customHeight="1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</row>
    <row r="186" spans="1:26" ht="13.5" customHeight="1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</row>
    <row r="187" spans="1:26" ht="13.5" customHeight="1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</row>
    <row r="188" spans="1:26" ht="13.5" customHeight="1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</row>
    <row r="189" spans="1:26" ht="13.5" customHeight="1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</row>
    <row r="190" spans="1:26" ht="13.5" customHeight="1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</row>
    <row r="191" spans="1:26" ht="13.5" customHeight="1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</row>
    <row r="192" spans="1:26" ht="13.5" customHeight="1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</row>
    <row r="193" spans="1:26" ht="13.5" customHeight="1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</row>
    <row r="194" spans="1:26" ht="13.5" customHeight="1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</row>
    <row r="195" spans="1:26" ht="13.5" customHeight="1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</row>
    <row r="196" spans="1:26" ht="13.5" customHeight="1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</row>
    <row r="197" spans="1:26" ht="13.5" customHeight="1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</row>
    <row r="198" spans="1:26" ht="13.5" customHeight="1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</row>
    <row r="199" spans="1:26" ht="13.5" customHeight="1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</row>
    <row r="200" spans="1:26" ht="13.5" customHeight="1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</row>
    <row r="201" spans="1:26" ht="13.5" customHeight="1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</row>
    <row r="202" spans="1:26" ht="13.5" customHeight="1" x14ac:dyDescent="0.3">
      <c r="A202" s="33"/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</row>
    <row r="203" spans="1:26" ht="13.5" customHeight="1" x14ac:dyDescent="0.3">
      <c r="A203" s="33"/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</row>
    <row r="204" spans="1:26" ht="13.5" customHeight="1" x14ac:dyDescent="0.3">
      <c r="A204" s="33"/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</row>
    <row r="205" spans="1:26" ht="13.5" customHeight="1" x14ac:dyDescent="0.3">
      <c r="A205" s="33"/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</row>
    <row r="206" spans="1:26" ht="13.5" customHeight="1" x14ac:dyDescent="0.3">
      <c r="A206" s="33"/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</row>
    <row r="207" spans="1:26" ht="13.5" customHeight="1" x14ac:dyDescent="0.3">
      <c r="A207" s="33"/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</row>
    <row r="208" spans="1:26" ht="13.5" customHeight="1" x14ac:dyDescent="0.3">
      <c r="A208" s="33"/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</row>
    <row r="209" spans="1:26" ht="13.5" customHeight="1" x14ac:dyDescent="0.3">
      <c r="A209" s="33"/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</row>
    <row r="210" spans="1:26" ht="13.5" customHeight="1" x14ac:dyDescent="0.3">
      <c r="A210" s="33"/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</row>
    <row r="211" spans="1:26" ht="13.5" customHeight="1" x14ac:dyDescent="0.3">
      <c r="A211" s="33"/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</row>
    <row r="212" spans="1:26" ht="13.5" customHeight="1" x14ac:dyDescent="0.3">
      <c r="A212" s="33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</row>
    <row r="213" spans="1:26" ht="13.5" customHeight="1" x14ac:dyDescent="0.3">
      <c r="A213" s="33"/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</row>
    <row r="214" spans="1:26" ht="13.5" customHeight="1" x14ac:dyDescent="0.3">
      <c r="A214" s="33"/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</row>
    <row r="215" spans="1:26" ht="13.5" customHeight="1" x14ac:dyDescent="0.3">
      <c r="A215" s="33"/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</row>
    <row r="216" spans="1:26" ht="13.5" customHeight="1" x14ac:dyDescent="0.3">
      <c r="A216" s="33"/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</row>
    <row r="217" spans="1:26" ht="13.5" customHeight="1" x14ac:dyDescent="0.3">
      <c r="A217" s="33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</row>
    <row r="218" spans="1:26" ht="13.5" customHeight="1" x14ac:dyDescent="0.3">
      <c r="A218" s="33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</row>
    <row r="219" spans="1:26" ht="13.5" customHeight="1" x14ac:dyDescent="0.3">
      <c r="A219" s="33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</row>
    <row r="220" spans="1:26" ht="13.5" customHeight="1" x14ac:dyDescent="0.3">
      <c r="A220" s="33"/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</row>
    <row r="221" spans="1:26" ht="13.5" customHeight="1" x14ac:dyDescent="0.3">
      <c r="A221" s="33"/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</row>
    <row r="222" spans="1:26" ht="13.5" customHeight="1" x14ac:dyDescent="0.3">
      <c r="A222" s="33"/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</row>
    <row r="223" spans="1:26" ht="13.5" customHeight="1" x14ac:dyDescent="0.3">
      <c r="A223" s="33"/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</row>
    <row r="224" spans="1:26" ht="13.5" customHeight="1" x14ac:dyDescent="0.3">
      <c r="A224" s="33"/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</row>
    <row r="225" spans="1:26" ht="13.5" customHeight="1" x14ac:dyDescent="0.3">
      <c r="A225" s="33"/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</row>
    <row r="226" spans="1:26" ht="13.5" customHeight="1" x14ac:dyDescent="0.3">
      <c r="A226" s="33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</row>
    <row r="227" spans="1:26" ht="13.5" customHeight="1" x14ac:dyDescent="0.3">
      <c r="A227" s="33"/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</row>
    <row r="228" spans="1:26" ht="13.5" customHeight="1" x14ac:dyDescent="0.3">
      <c r="A228" s="33"/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</row>
    <row r="229" spans="1:26" ht="13.5" customHeight="1" x14ac:dyDescent="0.3">
      <c r="A229" s="33"/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</row>
    <row r="230" spans="1:26" ht="13.5" customHeight="1" x14ac:dyDescent="0.3">
      <c r="A230" s="33"/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</row>
    <row r="231" spans="1:26" ht="13.5" customHeight="1" x14ac:dyDescent="0.3">
      <c r="A231" s="33"/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</row>
    <row r="232" spans="1:26" ht="13.5" customHeight="1" x14ac:dyDescent="0.3">
      <c r="A232" s="33"/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</row>
    <row r="233" spans="1:26" ht="13.5" customHeight="1" x14ac:dyDescent="0.3">
      <c r="A233" s="33"/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</row>
    <row r="234" spans="1:26" ht="13.5" customHeight="1" x14ac:dyDescent="0.3">
      <c r="A234" s="33"/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</row>
    <row r="235" spans="1:26" ht="13.5" customHeight="1" x14ac:dyDescent="0.3">
      <c r="A235" s="33"/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</row>
    <row r="236" spans="1:26" ht="13.5" customHeight="1" x14ac:dyDescent="0.3">
      <c r="A236" s="33"/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</row>
    <row r="237" spans="1:26" ht="13.5" customHeight="1" x14ac:dyDescent="0.3">
      <c r="A237" s="33"/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</row>
    <row r="238" spans="1:26" ht="13.5" customHeight="1" x14ac:dyDescent="0.3">
      <c r="A238" s="33"/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</row>
    <row r="239" spans="1:26" ht="13.5" customHeight="1" x14ac:dyDescent="0.3">
      <c r="A239" s="33"/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</row>
    <row r="240" spans="1:26" ht="13.5" customHeight="1" x14ac:dyDescent="0.3">
      <c r="A240" s="33"/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</row>
    <row r="241" spans="1:26" ht="13.5" customHeight="1" x14ac:dyDescent="0.3">
      <c r="A241" s="33"/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</row>
    <row r="242" spans="1:26" ht="13.5" customHeight="1" x14ac:dyDescent="0.3">
      <c r="A242" s="33"/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</row>
    <row r="243" spans="1:26" ht="13.5" customHeight="1" x14ac:dyDescent="0.3">
      <c r="A243" s="33"/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</row>
    <row r="244" spans="1:26" ht="13.5" customHeight="1" x14ac:dyDescent="0.3">
      <c r="A244" s="33"/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</row>
    <row r="245" spans="1:26" ht="13.5" customHeight="1" x14ac:dyDescent="0.3">
      <c r="A245" s="33"/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</row>
    <row r="246" spans="1:26" ht="13.5" customHeight="1" x14ac:dyDescent="0.3">
      <c r="A246" s="33"/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</row>
    <row r="247" spans="1:26" ht="13.5" customHeight="1" x14ac:dyDescent="0.3">
      <c r="A247" s="33"/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</row>
    <row r="248" spans="1:26" ht="13.5" customHeight="1" x14ac:dyDescent="0.3">
      <c r="A248" s="33"/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</row>
    <row r="249" spans="1:26" ht="13.5" customHeight="1" x14ac:dyDescent="0.3">
      <c r="A249" s="33"/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</row>
    <row r="250" spans="1:26" ht="13.5" customHeight="1" x14ac:dyDescent="0.3">
      <c r="A250" s="33"/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</row>
    <row r="251" spans="1:26" ht="13.5" customHeight="1" x14ac:dyDescent="0.3">
      <c r="A251" s="33"/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</row>
    <row r="252" spans="1:26" ht="13.5" customHeight="1" x14ac:dyDescent="0.3">
      <c r="A252" s="33"/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</row>
    <row r="253" spans="1:26" ht="13.5" customHeight="1" x14ac:dyDescent="0.3">
      <c r="A253" s="33"/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</row>
    <row r="254" spans="1:26" ht="13.5" customHeight="1" x14ac:dyDescent="0.3">
      <c r="A254" s="33"/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</row>
    <row r="255" spans="1:26" ht="13.5" customHeight="1" x14ac:dyDescent="0.3">
      <c r="A255" s="33"/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</row>
    <row r="256" spans="1:26" ht="13.5" customHeight="1" x14ac:dyDescent="0.3">
      <c r="A256" s="33"/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</row>
    <row r="257" spans="1:26" ht="13.5" customHeight="1" x14ac:dyDescent="0.3">
      <c r="A257" s="33"/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</row>
    <row r="258" spans="1:26" ht="13.5" customHeight="1" x14ac:dyDescent="0.3">
      <c r="A258" s="33"/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</row>
    <row r="259" spans="1:26" ht="13.5" customHeight="1" x14ac:dyDescent="0.3">
      <c r="A259" s="33"/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</row>
    <row r="260" spans="1:26" ht="13.5" customHeight="1" x14ac:dyDescent="0.3">
      <c r="A260" s="33"/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</row>
    <row r="261" spans="1:26" ht="13.5" customHeight="1" x14ac:dyDescent="0.3">
      <c r="A261" s="33"/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</row>
    <row r="262" spans="1:26" ht="13.5" customHeight="1" x14ac:dyDescent="0.3">
      <c r="A262" s="33"/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</row>
    <row r="263" spans="1:26" ht="13.5" customHeight="1" x14ac:dyDescent="0.3">
      <c r="A263" s="33"/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</row>
    <row r="264" spans="1:26" ht="13.5" customHeight="1" x14ac:dyDescent="0.3">
      <c r="A264" s="33"/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</row>
    <row r="265" spans="1:26" ht="13.5" customHeight="1" x14ac:dyDescent="0.3">
      <c r="A265" s="33"/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</row>
    <row r="266" spans="1:26" ht="13.5" customHeight="1" x14ac:dyDescent="0.3">
      <c r="A266" s="33"/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</row>
    <row r="267" spans="1:26" ht="13.5" customHeight="1" x14ac:dyDescent="0.3">
      <c r="A267" s="33"/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</row>
    <row r="268" spans="1:26" ht="13.5" customHeight="1" x14ac:dyDescent="0.3">
      <c r="A268" s="33"/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</row>
    <row r="269" spans="1:26" ht="13.5" customHeight="1" x14ac:dyDescent="0.3">
      <c r="A269" s="33"/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</row>
    <row r="270" spans="1:26" ht="13.5" customHeight="1" x14ac:dyDescent="0.3">
      <c r="A270" s="33"/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</row>
    <row r="271" spans="1:26" ht="13.5" customHeight="1" x14ac:dyDescent="0.3">
      <c r="A271" s="33"/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</row>
    <row r="272" spans="1:26" ht="13.5" customHeight="1" x14ac:dyDescent="0.3">
      <c r="A272" s="33"/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</row>
    <row r="273" spans="1:26" ht="13.5" customHeight="1" x14ac:dyDescent="0.3">
      <c r="A273" s="33"/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</row>
    <row r="274" spans="1:26" ht="13.5" customHeight="1" x14ac:dyDescent="0.3">
      <c r="A274" s="33"/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</row>
    <row r="275" spans="1:26" ht="13.5" customHeight="1" x14ac:dyDescent="0.3">
      <c r="A275" s="33"/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</row>
    <row r="276" spans="1:26" ht="13.5" customHeight="1" x14ac:dyDescent="0.3">
      <c r="A276" s="33"/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</row>
    <row r="277" spans="1:26" ht="13.5" customHeight="1" x14ac:dyDescent="0.3">
      <c r="A277" s="33"/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</row>
    <row r="278" spans="1:26" ht="13.5" customHeight="1" x14ac:dyDescent="0.3">
      <c r="A278" s="33"/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</row>
    <row r="279" spans="1:26" ht="13.5" customHeight="1" x14ac:dyDescent="0.3">
      <c r="A279" s="33"/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</row>
    <row r="280" spans="1:26" ht="13.5" customHeight="1" x14ac:dyDescent="0.3">
      <c r="A280" s="33"/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</row>
    <row r="281" spans="1:26" ht="13.5" customHeight="1" x14ac:dyDescent="0.3">
      <c r="A281" s="33"/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</row>
    <row r="282" spans="1:26" ht="13.5" customHeight="1" x14ac:dyDescent="0.3">
      <c r="A282" s="33"/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</row>
    <row r="283" spans="1:26" ht="13.5" customHeight="1" x14ac:dyDescent="0.3">
      <c r="A283" s="33"/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</row>
    <row r="284" spans="1:26" ht="13.5" customHeight="1" x14ac:dyDescent="0.3">
      <c r="A284" s="33"/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</row>
    <row r="285" spans="1:26" ht="13.5" customHeight="1" x14ac:dyDescent="0.3">
      <c r="A285" s="33"/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</row>
    <row r="286" spans="1:26" ht="13.5" customHeight="1" x14ac:dyDescent="0.3">
      <c r="A286" s="33"/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</row>
    <row r="287" spans="1:26" ht="13.5" customHeight="1" x14ac:dyDescent="0.3">
      <c r="A287" s="33"/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</row>
    <row r="288" spans="1:26" ht="13.5" customHeight="1" x14ac:dyDescent="0.3">
      <c r="A288" s="33"/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</row>
    <row r="289" spans="1:26" ht="13.5" customHeight="1" x14ac:dyDescent="0.3">
      <c r="A289" s="33"/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</row>
    <row r="290" spans="1:26" ht="13.5" customHeight="1" x14ac:dyDescent="0.3">
      <c r="A290" s="33"/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</row>
    <row r="291" spans="1:26" ht="13.5" customHeight="1" x14ac:dyDescent="0.3">
      <c r="A291" s="33"/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</row>
    <row r="292" spans="1:26" ht="13.5" customHeight="1" x14ac:dyDescent="0.3">
      <c r="A292" s="33"/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</row>
    <row r="293" spans="1:26" ht="13.5" customHeight="1" x14ac:dyDescent="0.3">
      <c r="A293" s="33"/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</row>
    <row r="294" spans="1:26" ht="13.5" customHeight="1" x14ac:dyDescent="0.3">
      <c r="A294" s="33"/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</row>
    <row r="295" spans="1:26" ht="13.5" customHeight="1" x14ac:dyDescent="0.3">
      <c r="A295" s="33"/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</row>
    <row r="296" spans="1:26" ht="13.5" customHeight="1" x14ac:dyDescent="0.3">
      <c r="A296" s="33"/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</row>
    <row r="297" spans="1:26" ht="13.5" customHeight="1" x14ac:dyDescent="0.3">
      <c r="A297" s="33"/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</row>
    <row r="298" spans="1:26" ht="13.5" customHeight="1" x14ac:dyDescent="0.3">
      <c r="A298" s="33"/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</row>
    <row r="299" spans="1:26" ht="13.5" customHeight="1" x14ac:dyDescent="0.3">
      <c r="A299" s="33"/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</row>
    <row r="300" spans="1:26" ht="13.5" customHeight="1" x14ac:dyDescent="0.3">
      <c r="A300" s="33"/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</row>
    <row r="301" spans="1:26" ht="13.5" customHeight="1" x14ac:dyDescent="0.3">
      <c r="A301" s="33"/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</row>
    <row r="302" spans="1:26" ht="13.5" customHeight="1" x14ac:dyDescent="0.3">
      <c r="A302" s="33"/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</row>
    <row r="303" spans="1:26" ht="13.5" customHeight="1" x14ac:dyDescent="0.3">
      <c r="A303" s="33"/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</row>
    <row r="304" spans="1:26" ht="13.5" customHeight="1" x14ac:dyDescent="0.3">
      <c r="A304" s="33"/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</row>
    <row r="305" spans="1:26" ht="13.5" customHeight="1" x14ac:dyDescent="0.3">
      <c r="A305" s="33"/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</row>
    <row r="306" spans="1:26" ht="13.5" customHeight="1" x14ac:dyDescent="0.3">
      <c r="A306" s="33"/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</row>
    <row r="307" spans="1:26" ht="13.5" customHeight="1" x14ac:dyDescent="0.3">
      <c r="A307" s="33"/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</row>
    <row r="308" spans="1:26" ht="13.5" customHeight="1" x14ac:dyDescent="0.3">
      <c r="A308" s="33"/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</row>
    <row r="309" spans="1:26" ht="13.5" customHeight="1" x14ac:dyDescent="0.3">
      <c r="A309" s="33"/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</row>
    <row r="310" spans="1:26" ht="13.5" customHeight="1" x14ac:dyDescent="0.3">
      <c r="A310" s="33"/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</row>
    <row r="311" spans="1:26" ht="13.5" customHeight="1" x14ac:dyDescent="0.3">
      <c r="A311" s="33"/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</row>
    <row r="312" spans="1:26" ht="13.5" customHeight="1" x14ac:dyDescent="0.3">
      <c r="A312" s="33"/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</row>
    <row r="313" spans="1:26" ht="13.5" customHeight="1" x14ac:dyDescent="0.3">
      <c r="A313" s="33"/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</row>
    <row r="314" spans="1:26" ht="13.5" customHeight="1" x14ac:dyDescent="0.3">
      <c r="A314" s="33"/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</row>
    <row r="315" spans="1:26" ht="13.5" customHeight="1" x14ac:dyDescent="0.3">
      <c r="A315" s="33"/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</row>
    <row r="316" spans="1:26" ht="13.5" customHeight="1" x14ac:dyDescent="0.3">
      <c r="A316" s="33"/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</row>
    <row r="317" spans="1:26" ht="13.5" customHeight="1" x14ac:dyDescent="0.3">
      <c r="A317" s="33"/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</row>
    <row r="318" spans="1:26" ht="13.5" customHeight="1" x14ac:dyDescent="0.3">
      <c r="A318" s="33"/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</row>
    <row r="319" spans="1:26" ht="13.5" customHeight="1" x14ac:dyDescent="0.3">
      <c r="A319" s="33"/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</row>
    <row r="320" spans="1:26" ht="13.5" customHeight="1" x14ac:dyDescent="0.3">
      <c r="A320" s="33"/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</row>
    <row r="321" spans="1:26" ht="13.5" customHeight="1" x14ac:dyDescent="0.3">
      <c r="A321" s="33"/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</row>
    <row r="322" spans="1:26" ht="13.5" customHeight="1" x14ac:dyDescent="0.3">
      <c r="A322" s="33"/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</row>
    <row r="323" spans="1:26" ht="13.5" customHeight="1" x14ac:dyDescent="0.3">
      <c r="A323" s="33"/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</row>
    <row r="324" spans="1:26" ht="13.5" customHeight="1" x14ac:dyDescent="0.3">
      <c r="A324" s="33"/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</row>
    <row r="325" spans="1:26" ht="13.5" customHeight="1" x14ac:dyDescent="0.3">
      <c r="A325" s="33"/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</row>
    <row r="326" spans="1:26" ht="13.5" customHeight="1" x14ac:dyDescent="0.3">
      <c r="A326" s="33"/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</row>
    <row r="327" spans="1:26" ht="13.5" customHeight="1" x14ac:dyDescent="0.3">
      <c r="A327" s="33"/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</row>
    <row r="328" spans="1:26" ht="13.5" customHeight="1" x14ac:dyDescent="0.3">
      <c r="A328" s="33"/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</row>
    <row r="329" spans="1:26" ht="13.5" customHeight="1" x14ac:dyDescent="0.3">
      <c r="A329" s="33"/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</row>
    <row r="330" spans="1:26" ht="13.5" customHeight="1" x14ac:dyDescent="0.3">
      <c r="A330" s="33"/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</row>
    <row r="331" spans="1:26" ht="13.5" customHeight="1" x14ac:dyDescent="0.3">
      <c r="A331" s="33"/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</row>
    <row r="332" spans="1:26" ht="13.5" customHeight="1" x14ac:dyDescent="0.3">
      <c r="A332" s="33"/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</row>
    <row r="333" spans="1:26" ht="13.5" customHeight="1" x14ac:dyDescent="0.3">
      <c r="A333" s="33"/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</row>
    <row r="334" spans="1:26" ht="13.5" customHeight="1" x14ac:dyDescent="0.3">
      <c r="A334" s="33"/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</row>
    <row r="335" spans="1:26" ht="13.5" customHeight="1" x14ac:dyDescent="0.3">
      <c r="A335" s="33"/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</row>
    <row r="336" spans="1:26" ht="13.5" customHeight="1" x14ac:dyDescent="0.3">
      <c r="A336" s="33"/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</row>
    <row r="337" spans="1:26" ht="13.5" customHeight="1" x14ac:dyDescent="0.3">
      <c r="A337" s="33"/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</row>
    <row r="338" spans="1:26" ht="13.5" customHeight="1" x14ac:dyDescent="0.3">
      <c r="A338" s="33"/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</row>
    <row r="339" spans="1:26" ht="13.5" customHeight="1" x14ac:dyDescent="0.3">
      <c r="A339" s="33"/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</row>
    <row r="340" spans="1:26" ht="13.5" customHeight="1" x14ac:dyDescent="0.3">
      <c r="A340" s="33"/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</row>
    <row r="341" spans="1:26" ht="13.5" customHeight="1" x14ac:dyDescent="0.3">
      <c r="A341" s="33"/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</row>
    <row r="342" spans="1:26" ht="13.5" customHeight="1" x14ac:dyDescent="0.3">
      <c r="A342" s="33"/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</row>
    <row r="343" spans="1:26" ht="13.5" customHeight="1" x14ac:dyDescent="0.3">
      <c r="A343" s="33"/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</row>
    <row r="344" spans="1:26" ht="13.5" customHeight="1" x14ac:dyDescent="0.3">
      <c r="A344" s="33"/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</row>
    <row r="345" spans="1:26" ht="13.5" customHeight="1" x14ac:dyDescent="0.3">
      <c r="A345" s="33"/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</row>
    <row r="346" spans="1:26" ht="13.5" customHeight="1" x14ac:dyDescent="0.3">
      <c r="A346" s="33"/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</row>
    <row r="347" spans="1:26" ht="13.5" customHeight="1" x14ac:dyDescent="0.3">
      <c r="A347" s="33"/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</row>
    <row r="348" spans="1:26" ht="13.5" customHeight="1" x14ac:dyDescent="0.3">
      <c r="A348" s="33"/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</row>
    <row r="349" spans="1:26" ht="13.5" customHeight="1" x14ac:dyDescent="0.3">
      <c r="A349" s="33"/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</row>
    <row r="350" spans="1:26" ht="13.5" customHeight="1" x14ac:dyDescent="0.3">
      <c r="A350" s="33"/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</row>
    <row r="351" spans="1:26" ht="13.5" customHeight="1" x14ac:dyDescent="0.3">
      <c r="A351" s="33"/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</row>
    <row r="352" spans="1:26" ht="13.5" customHeight="1" x14ac:dyDescent="0.3">
      <c r="A352" s="33"/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</row>
    <row r="353" spans="1:26" ht="13.5" customHeight="1" x14ac:dyDescent="0.3">
      <c r="A353" s="33"/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</row>
    <row r="354" spans="1:26" ht="13.5" customHeight="1" x14ac:dyDescent="0.3">
      <c r="A354" s="33"/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</row>
    <row r="355" spans="1:26" ht="13.5" customHeight="1" x14ac:dyDescent="0.3">
      <c r="A355" s="33"/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</row>
    <row r="356" spans="1:26" ht="13.5" customHeight="1" x14ac:dyDescent="0.3">
      <c r="A356" s="33"/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</row>
    <row r="357" spans="1:26" ht="13.5" customHeight="1" x14ac:dyDescent="0.3">
      <c r="A357" s="33"/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</row>
    <row r="358" spans="1:26" ht="13.5" customHeight="1" x14ac:dyDescent="0.3">
      <c r="A358" s="33"/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</row>
    <row r="359" spans="1:26" ht="13.5" customHeight="1" x14ac:dyDescent="0.3">
      <c r="A359" s="33"/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</row>
    <row r="360" spans="1:26" ht="13.5" customHeight="1" x14ac:dyDescent="0.3">
      <c r="A360" s="33"/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</row>
    <row r="361" spans="1:26" ht="13.5" customHeight="1" x14ac:dyDescent="0.3">
      <c r="A361" s="33"/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</row>
    <row r="362" spans="1:26" ht="13.5" customHeight="1" x14ac:dyDescent="0.3">
      <c r="A362" s="33"/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</row>
    <row r="363" spans="1:26" ht="13.5" customHeight="1" x14ac:dyDescent="0.3">
      <c r="A363" s="33"/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</row>
    <row r="364" spans="1:26" ht="13.5" customHeight="1" x14ac:dyDescent="0.3">
      <c r="A364" s="33"/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</row>
    <row r="365" spans="1:26" ht="13.5" customHeight="1" x14ac:dyDescent="0.3">
      <c r="A365" s="33"/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</row>
    <row r="366" spans="1:26" ht="13.5" customHeight="1" x14ac:dyDescent="0.3">
      <c r="A366" s="33"/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</row>
    <row r="367" spans="1:26" ht="13.5" customHeight="1" x14ac:dyDescent="0.3">
      <c r="A367" s="33"/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</row>
    <row r="368" spans="1:26" ht="13.5" customHeight="1" x14ac:dyDescent="0.3">
      <c r="A368" s="33"/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</row>
    <row r="369" spans="1:26" ht="13.5" customHeight="1" x14ac:dyDescent="0.3">
      <c r="A369" s="33"/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</row>
    <row r="370" spans="1:26" ht="13.5" customHeight="1" x14ac:dyDescent="0.3">
      <c r="A370" s="33"/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</row>
    <row r="371" spans="1:26" ht="13.5" customHeight="1" x14ac:dyDescent="0.3">
      <c r="A371" s="33"/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</row>
    <row r="372" spans="1:26" ht="13.5" customHeight="1" x14ac:dyDescent="0.3">
      <c r="A372" s="33"/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</row>
    <row r="373" spans="1:26" ht="13.5" customHeight="1" x14ac:dyDescent="0.3">
      <c r="A373" s="33"/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</row>
    <row r="374" spans="1:26" ht="13.5" customHeight="1" x14ac:dyDescent="0.3">
      <c r="A374" s="33"/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</row>
    <row r="375" spans="1:26" ht="13.5" customHeight="1" x14ac:dyDescent="0.3">
      <c r="A375" s="33"/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</row>
    <row r="376" spans="1:26" ht="13.5" customHeight="1" x14ac:dyDescent="0.3">
      <c r="A376" s="33"/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</row>
    <row r="377" spans="1:26" ht="13.5" customHeight="1" x14ac:dyDescent="0.3">
      <c r="A377" s="33"/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</row>
    <row r="378" spans="1:26" ht="13.5" customHeight="1" x14ac:dyDescent="0.3">
      <c r="A378" s="33"/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</row>
    <row r="379" spans="1:26" ht="13.5" customHeight="1" x14ac:dyDescent="0.3">
      <c r="A379" s="33"/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</row>
    <row r="380" spans="1:26" ht="13.5" customHeight="1" x14ac:dyDescent="0.3">
      <c r="A380" s="33"/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</row>
    <row r="381" spans="1:26" ht="13.5" customHeight="1" x14ac:dyDescent="0.3">
      <c r="A381" s="33"/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</row>
    <row r="382" spans="1:26" ht="13.5" customHeight="1" x14ac:dyDescent="0.3">
      <c r="A382" s="33"/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</row>
    <row r="383" spans="1:26" ht="13.5" customHeight="1" x14ac:dyDescent="0.3">
      <c r="A383" s="33"/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</row>
    <row r="384" spans="1:26" ht="13.5" customHeight="1" x14ac:dyDescent="0.3">
      <c r="A384" s="33"/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</row>
    <row r="385" spans="1:26" ht="13.5" customHeight="1" x14ac:dyDescent="0.3">
      <c r="A385" s="33"/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</row>
    <row r="386" spans="1:26" ht="13.5" customHeight="1" x14ac:dyDescent="0.3">
      <c r="A386" s="33"/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</row>
    <row r="387" spans="1:26" ht="13.5" customHeight="1" x14ac:dyDescent="0.3">
      <c r="A387" s="33"/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</row>
    <row r="388" spans="1:26" ht="13.5" customHeight="1" x14ac:dyDescent="0.3">
      <c r="A388" s="33"/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</row>
    <row r="389" spans="1:26" ht="13.5" customHeight="1" x14ac:dyDescent="0.3">
      <c r="A389" s="33"/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</row>
    <row r="390" spans="1:26" ht="13.5" customHeight="1" x14ac:dyDescent="0.3">
      <c r="A390" s="33"/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</row>
    <row r="391" spans="1:26" ht="13.5" customHeight="1" x14ac:dyDescent="0.3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</row>
    <row r="392" spans="1:26" ht="13.5" customHeight="1" x14ac:dyDescent="0.3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</row>
    <row r="393" spans="1:26" ht="13.5" customHeight="1" x14ac:dyDescent="0.3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</row>
    <row r="394" spans="1:26" ht="13.5" customHeight="1" x14ac:dyDescent="0.3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</row>
    <row r="395" spans="1:26" ht="13.5" customHeight="1" x14ac:dyDescent="0.3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</row>
    <row r="396" spans="1:26" ht="13.5" customHeight="1" x14ac:dyDescent="0.3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</row>
    <row r="397" spans="1:26" ht="13.5" customHeight="1" x14ac:dyDescent="0.3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</row>
    <row r="398" spans="1:26" ht="13.5" customHeight="1" x14ac:dyDescent="0.3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</row>
    <row r="399" spans="1:26" ht="13.5" customHeight="1" x14ac:dyDescent="0.3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</row>
    <row r="400" spans="1:26" ht="13.5" customHeight="1" x14ac:dyDescent="0.3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</row>
    <row r="401" spans="1:26" ht="13.5" customHeight="1" x14ac:dyDescent="0.3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</row>
    <row r="402" spans="1:26" ht="13.5" customHeight="1" x14ac:dyDescent="0.3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</row>
    <row r="403" spans="1:26" ht="13.5" customHeight="1" x14ac:dyDescent="0.3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</row>
    <row r="404" spans="1:26" ht="13.5" customHeight="1" x14ac:dyDescent="0.3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</row>
    <row r="405" spans="1:26" ht="13.5" customHeight="1" x14ac:dyDescent="0.3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</row>
    <row r="406" spans="1:26" ht="13.5" customHeight="1" x14ac:dyDescent="0.3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</row>
    <row r="407" spans="1:26" ht="13.5" customHeight="1" x14ac:dyDescent="0.3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</row>
    <row r="408" spans="1:26" ht="13.5" customHeight="1" x14ac:dyDescent="0.3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</row>
    <row r="409" spans="1:26" ht="13.5" customHeight="1" x14ac:dyDescent="0.3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</row>
    <row r="410" spans="1:26" ht="13.5" customHeight="1" x14ac:dyDescent="0.3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</row>
    <row r="411" spans="1:26" ht="13.5" customHeight="1" x14ac:dyDescent="0.3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</row>
    <row r="412" spans="1:26" ht="13.5" customHeight="1" x14ac:dyDescent="0.3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</row>
    <row r="413" spans="1:26" ht="13.5" customHeight="1" x14ac:dyDescent="0.3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</row>
    <row r="414" spans="1:26" ht="13.5" customHeight="1" x14ac:dyDescent="0.3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</row>
    <row r="415" spans="1:26" ht="13.5" customHeight="1" x14ac:dyDescent="0.3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</row>
    <row r="416" spans="1:26" ht="13.5" customHeight="1" x14ac:dyDescent="0.3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</row>
    <row r="417" spans="1:26" ht="13.5" customHeight="1" x14ac:dyDescent="0.3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</row>
    <row r="418" spans="1:26" ht="13.5" customHeight="1" x14ac:dyDescent="0.3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</row>
    <row r="419" spans="1:26" ht="13.5" customHeight="1" x14ac:dyDescent="0.3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</row>
    <row r="420" spans="1:26" ht="13.5" customHeight="1" x14ac:dyDescent="0.3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</row>
    <row r="421" spans="1:26" ht="13.5" customHeight="1" x14ac:dyDescent="0.3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</row>
    <row r="422" spans="1:26" ht="13.5" customHeight="1" x14ac:dyDescent="0.3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</row>
    <row r="423" spans="1:26" ht="13.5" customHeight="1" x14ac:dyDescent="0.3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</row>
    <row r="424" spans="1:26" ht="13.5" customHeight="1" x14ac:dyDescent="0.3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</row>
    <row r="425" spans="1:26" ht="13.5" customHeight="1" x14ac:dyDescent="0.3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</row>
    <row r="426" spans="1:26" ht="13.5" customHeight="1" x14ac:dyDescent="0.3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</row>
    <row r="427" spans="1:26" ht="13.5" customHeight="1" x14ac:dyDescent="0.3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</row>
    <row r="428" spans="1:26" ht="13.5" customHeight="1" x14ac:dyDescent="0.3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</row>
    <row r="429" spans="1:26" ht="13.5" customHeight="1" x14ac:dyDescent="0.3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</row>
    <row r="430" spans="1:26" ht="13.5" customHeight="1" x14ac:dyDescent="0.3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</row>
    <row r="431" spans="1:26" ht="13.5" customHeight="1" x14ac:dyDescent="0.3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</row>
    <row r="432" spans="1:26" ht="13.5" customHeight="1" x14ac:dyDescent="0.3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</row>
    <row r="433" spans="1:26" ht="13.5" customHeight="1" x14ac:dyDescent="0.3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</row>
    <row r="434" spans="1:26" ht="13.5" customHeight="1" x14ac:dyDescent="0.3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</row>
    <row r="435" spans="1:26" ht="13.5" customHeight="1" x14ac:dyDescent="0.3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</row>
    <row r="436" spans="1:26" ht="13.5" customHeight="1" x14ac:dyDescent="0.3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</row>
    <row r="437" spans="1:26" ht="13.5" customHeight="1" x14ac:dyDescent="0.3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</row>
    <row r="438" spans="1:26" ht="13.5" customHeight="1" x14ac:dyDescent="0.3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</row>
    <row r="439" spans="1:26" ht="13.5" customHeight="1" x14ac:dyDescent="0.3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</row>
    <row r="440" spans="1:26" ht="13.5" customHeight="1" x14ac:dyDescent="0.3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</row>
    <row r="441" spans="1:26" ht="13.5" customHeight="1" x14ac:dyDescent="0.3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</row>
    <row r="442" spans="1:26" ht="13.5" customHeight="1" x14ac:dyDescent="0.3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</row>
    <row r="443" spans="1:26" ht="13.5" customHeight="1" x14ac:dyDescent="0.3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</row>
    <row r="444" spans="1:26" ht="13.5" customHeight="1" x14ac:dyDescent="0.3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</row>
    <row r="445" spans="1:26" ht="13.5" customHeight="1" x14ac:dyDescent="0.3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</row>
    <row r="446" spans="1:26" ht="13.5" customHeight="1" x14ac:dyDescent="0.3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</row>
    <row r="447" spans="1:26" ht="13.5" customHeight="1" x14ac:dyDescent="0.3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</row>
    <row r="448" spans="1:26" ht="13.5" customHeight="1" x14ac:dyDescent="0.3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</row>
    <row r="449" spans="1:26" ht="13.5" customHeight="1" x14ac:dyDescent="0.3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</row>
    <row r="450" spans="1:26" ht="13.5" customHeight="1" x14ac:dyDescent="0.3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</row>
    <row r="451" spans="1:26" ht="13.5" customHeight="1" x14ac:dyDescent="0.3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</row>
    <row r="452" spans="1:26" ht="13.5" customHeight="1" x14ac:dyDescent="0.3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</row>
    <row r="453" spans="1:26" ht="13.5" customHeight="1" x14ac:dyDescent="0.3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</row>
    <row r="454" spans="1:26" ht="13.5" customHeight="1" x14ac:dyDescent="0.3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</row>
    <row r="455" spans="1:26" ht="13.5" customHeight="1" x14ac:dyDescent="0.3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</row>
    <row r="456" spans="1:26" ht="13.5" customHeight="1" x14ac:dyDescent="0.3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</row>
    <row r="457" spans="1:26" ht="13.5" customHeight="1" x14ac:dyDescent="0.3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</row>
    <row r="458" spans="1:26" ht="13.5" customHeight="1" x14ac:dyDescent="0.3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</row>
    <row r="459" spans="1:26" ht="13.5" customHeight="1" x14ac:dyDescent="0.3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</row>
    <row r="460" spans="1:26" ht="13.5" customHeight="1" x14ac:dyDescent="0.3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</row>
    <row r="461" spans="1:26" ht="13.5" customHeight="1" x14ac:dyDescent="0.3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</row>
    <row r="462" spans="1:26" ht="13.5" customHeight="1" x14ac:dyDescent="0.3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</row>
    <row r="463" spans="1:26" ht="13.5" customHeight="1" x14ac:dyDescent="0.3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</row>
    <row r="464" spans="1:26" ht="13.5" customHeight="1" x14ac:dyDescent="0.3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</row>
    <row r="465" spans="1:26" ht="13.5" customHeight="1" x14ac:dyDescent="0.3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</row>
    <row r="466" spans="1:26" ht="13.5" customHeight="1" x14ac:dyDescent="0.3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</row>
    <row r="467" spans="1:26" ht="13.5" customHeight="1" x14ac:dyDescent="0.3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</row>
    <row r="468" spans="1:26" ht="13.5" customHeight="1" x14ac:dyDescent="0.3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</row>
    <row r="469" spans="1:26" ht="13.5" customHeight="1" x14ac:dyDescent="0.3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</row>
    <row r="470" spans="1:26" ht="13.5" customHeight="1" x14ac:dyDescent="0.3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</row>
    <row r="471" spans="1:26" ht="13.5" customHeight="1" x14ac:dyDescent="0.3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</row>
    <row r="472" spans="1:26" ht="13.5" customHeight="1" x14ac:dyDescent="0.3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</row>
    <row r="473" spans="1:26" ht="13.5" customHeight="1" x14ac:dyDescent="0.3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</row>
    <row r="474" spans="1:26" ht="13.5" customHeight="1" x14ac:dyDescent="0.3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</row>
    <row r="475" spans="1:26" ht="13.5" customHeight="1" x14ac:dyDescent="0.3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</row>
    <row r="476" spans="1:26" ht="13.5" customHeight="1" x14ac:dyDescent="0.3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</row>
    <row r="477" spans="1:26" ht="13.5" customHeight="1" x14ac:dyDescent="0.3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</row>
    <row r="478" spans="1:26" ht="13.5" customHeight="1" x14ac:dyDescent="0.3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</row>
    <row r="479" spans="1:26" ht="13.5" customHeight="1" x14ac:dyDescent="0.3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</row>
    <row r="480" spans="1:26" ht="13.5" customHeight="1" x14ac:dyDescent="0.3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</row>
    <row r="481" spans="1:26" ht="13.5" customHeight="1" x14ac:dyDescent="0.3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</row>
    <row r="482" spans="1:26" ht="13.5" customHeight="1" x14ac:dyDescent="0.3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</row>
    <row r="483" spans="1:26" ht="13.5" customHeight="1" x14ac:dyDescent="0.3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</row>
    <row r="484" spans="1:26" ht="13.5" customHeight="1" x14ac:dyDescent="0.3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</row>
    <row r="485" spans="1:26" ht="13.5" customHeight="1" x14ac:dyDescent="0.3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</row>
    <row r="486" spans="1:26" ht="13.5" customHeight="1" x14ac:dyDescent="0.3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</row>
    <row r="487" spans="1:26" ht="13.5" customHeight="1" x14ac:dyDescent="0.3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</row>
    <row r="488" spans="1:26" ht="13.5" customHeight="1" x14ac:dyDescent="0.3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</row>
    <row r="489" spans="1:26" ht="13.5" customHeight="1" x14ac:dyDescent="0.3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</row>
    <row r="490" spans="1:26" ht="13.5" customHeight="1" x14ac:dyDescent="0.3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</row>
    <row r="491" spans="1:26" ht="13.5" customHeight="1" x14ac:dyDescent="0.3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</row>
    <row r="492" spans="1:26" ht="13.5" customHeight="1" x14ac:dyDescent="0.3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</row>
    <row r="493" spans="1:26" ht="13.5" customHeight="1" x14ac:dyDescent="0.3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</row>
    <row r="494" spans="1:26" ht="13.5" customHeight="1" x14ac:dyDescent="0.3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</row>
    <row r="495" spans="1:26" ht="13.5" customHeight="1" x14ac:dyDescent="0.3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</row>
    <row r="496" spans="1:26" ht="13.5" customHeight="1" x14ac:dyDescent="0.3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</row>
    <row r="497" spans="1:26" ht="13.5" customHeight="1" x14ac:dyDescent="0.3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</row>
    <row r="498" spans="1:26" ht="13.5" customHeight="1" x14ac:dyDescent="0.3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</row>
    <row r="499" spans="1:26" ht="13.5" customHeight="1" x14ac:dyDescent="0.3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</row>
    <row r="500" spans="1:26" ht="13.5" customHeight="1" x14ac:dyDescent="0.3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</row>
    <row r="501" spans="1:26" ht="13.5" customHeight="1" x14ac:dyDescent="0.3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</row>
    <row r="502" spans="1:26" ht="13.5" customHeight="1" x14ac:dyDescent="0.3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</row>
    <row r="503" spans="1:26" ht="13.5" customHeight="1" x14ac:dyDescent="0.3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</row>
    <row r="504" spans="1:26" ht="13.5" customHeight="1" x14ac:dyDescent="0.3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</row>
    <row r="505" spans="1:26" ht="13.5" customHeight="1" x14ac:dyDescent="0.3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</row>
    <row r="506" spans="1:26" ht="13.5" customHeight="1" x14ac:dyDescent="0.3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</row>
    <row r="507" spans="1:26" ht="13.5" customHeight="1" x14ac:dyDescent="0.3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</row>
    <row r="508" spans="1:26" ht="13.5" customHeight="1" x14ac:dyDescent="0.3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</row>
    <row r="509" spans="1:26" ht="13.5" customHeight="1" x14ac:dyDescent="0.3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</row>
    <row r="510" spans="1:26" ht="13.5" customHeight="1" x14ac:dyDescent="0.3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</row>
    <row r="511" spans="1:26" ht="13.5" customHeight="1" x14ac:dyDescent="0.3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</row>
    <row r="512" spans="1:26" ht="13.5" customHeight="1" x14ac:dyDescent="0.3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</row>
    <row r="513" spans="1:26" ht="13.5" customHeight="1" x14ac:dyDescent="0.3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</row>
    <row r="514" spans="1:26" ht="13.5" customHeight="1" x14ac:dyDescent="0.3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</row>
    <row r="515" spans="1:26" ht="13.5" customHeight="1" x14ac:dyDescent="0.3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</row>
    <row r="516" spans="1:26" ht="13.5" customHeight="1" x14ac:dyDescent="0.3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</row>
    <row r="517" spans="1:26" ht="13.5" customHeight="1" x14ac:dyDescent="0.3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</row>
    <row r="518" spans="1:26" ht="13.5" customHeight="1" x14ac:dyDescent="0.3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</row>
    <row r="519" spans="1:26" ht="13.5" customHeight="1" x14ac:dyDescent="0.3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</row>
    <row r="520" spans="1:26" ht="13.5" customHeight="1" x14ac:dyDescent="0.3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</row>
    <row r="521" spans="1:26" ht="13.5" customHeight="1" x14ac:dyDescent="0.3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</row>
    <row r="522" spans="1:26" ht="13.5" customHeight="1" x14ac:dyDescent="0.3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</row>
    <row r="523" spans="1:26" ht="13.5" customHeight="1" x14ac:dyDescent="0.3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</row>
    <row r="524" spans="1:26" ht="13.5" customHeight="1" x14ac:dyDescent="0.3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</row>
    <row r="525" spans="1:26" ht="13.5" customHeight="1" x14ac:dyDescent="0.3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</row>
    <row r="526" spans="1:26" ht="13.5" customHeight="1" x14ac:dyDescent="0.3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</row>
    <row r="527" spans="1:26" ht="13.5" customHeight="1" x14ac:dyDescent="0.3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</row>
    <row r="528" spans="1:26" ht="13.5" customHeight="1" x14ac:dyDescent="0.3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</row>
    <row r="529" spans="1:26" ht="13.5" customHeight="1" x14ac:dyDescent="0.3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</row>
    <row r="530" spans="1:26" ht="13.5" customHeight="1" x14ac:dyDescent="0.3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</row>
    <row r="531" spans="1:26" ht="13.5" customHeight="1" x14ac:dyDescent="0.3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</row>
    <row r="532" spans="1:26" ht="13.5" customHeight="1" x14ac:dyDescent="0.3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</row>
    <row r="533" spans="1:26" ht="13.5" customHeight="1" x14ac:dyDescent="0.3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</row>
    <row r="534" spans="1:26" ht="13.5" customHeight="1" x14ac:dyDescent="0.3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</row>
    <row r="535" spans="1:26" ht="13.5" customHeight="1" x14ac:dyDescent="0.3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</row>
    <row r="536" spans="1:26" ht="13.5" customHeight="1" x14ac:dyDescent="0.3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</row>
    <row r="537" spans="1:26" ht="13.5" customHeight="1" x14ac:dyDescent="0.3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</row>
    <row r="538" spans="1:26" ht="13.5" customHeight="1" x14ac:dyDescent="0.3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</row>
    <row r="539" spans="1:26" ht="13.5" customHeight="1" x14ac:dyDescent="0.3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</row>
    <row r="540" spans="1:26" ht="13.5" customHeight="1" x14ac:dyDescent="0.3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</row>
    <row r="541" spans="1:26" ht="13.5" customHeight="1" x14ac:dyDescent="0.3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</row>
    <row r="542" spans="1:26" ht="13.5" customHeight="1" x14ac:dyDescent="0.3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</row>
    <row r="543" spans="1:26" ht="13.5" customHeight="1" x14ac:dyDescent="0.3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</row>
    <row r="544" spans="1:26" ht="13.5" customHeight="1" x14ac:dyDescent="0.3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</row>
    <row r="545" spans="1:26" ht="13.5" customHeight="1" x14ac:dyDescent="0.3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</row>
    <row r="546" spans="1:26" ht="13.5" customHeight="1" x14ac:dyDescent="0.3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</row>
    <row r="547" spans="1:26" ht="13.5" customHeight="1" x14ac:dyDescent="0.3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</row>
    <row r="548" spans="1:26" ht="13.5" customHeight="1" x14ac:dyDescent="0.3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</row>
    <row r="549" spans="1:26" ht="13.5" customHeight="1" x14ac:dyDescent="0.3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</row>
    <row r="550" spans="1:26" ht="13.5" customHeight="1" x14ac:dyDescent="0.3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</row>
    <row r="551" spans="1:26" ht="13.5" customHeight="1" x14ac:dyDescent="0.3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</row>
    <row r="552" spans="1:26" ht="13.5" customHeight="1" x14ac:dyDescent="0.3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</row>
    <row r="553" spans="1:26" ht="13.5" customHeight="1" x14ac:dyDescent="0.3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</row>
    <row r="554" spans="1:26" ht="13.5" customHeight="1" x14ac:dyDescent="0.3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</row>
    <row r="555" spans="1:26" ht="13.5" customHeight="1" x14ac:dyDescent="0.3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</row>
    <row r="556" spans="1:26" ht="13.5" customHeight="1" x14ac:dyDescent="0.3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</row>
    <row r="557" spans="1:26" ht="13.5" customHeight="1" x14ac:dyDescent="0.3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</row>
    <row r="558" spans="1:26" ht="13.5" customHeight="1" x14ac:dyDescent="0.3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</row>
    <row r="559" spans="1:26" ht="13.5" customHeight="1" x14ac:dyDescent="0.3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</row>
    <row r="560" spans="1:26" ht="13.5" customHeight="1" x14ac:dyDescent="0.3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</row>
    <row r="561" spans="1:26" ht="13.5" customHeight="1" x14ac:dyDescent="0.3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</row>
    <row r="562" spans="1:26" ht="13.5" customHeight="1" x14ac:dyDescent="0.3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</row>
    <row r="563" spans="1:26" ht="13.5" customHeight="1" x14ac:dyDescent="0.3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</row>
    <row r="564" spans="1:26" ht="13.5" customHeight="1" x14ac:dyDescent="0.3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</row>
    <row r="565" spans="1:26" ht="13.5" customHeight="1" x14ac:dyDescent="0.3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</row>
    <row r="566" spans="1:26" ht="13.5" customHeight="1" x14ac:dyDescent="0.3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</row>
    <row r="567" spans="1:26" ht="13.5" customHeight="1" x14ac:dyDescent="0.3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</row>
    <row r="568" spans="1:26" ht="13.5" customHeight="1" x14ac:dyDescent="0.3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</row>
    <row r="569" spans="1:26" ht="13.5" customHeight="1" x14ac:dyDescent="0.3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</row>
    <row r="570" spans="1:26" ht="13.5" customHeight="1" x14ac:dyDescent="0.3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</row>
    <row r="571" spans="1:26" ht="13.5" customHeight="1" x14ac:dyDescent="0.3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</row>
    <row r="572" spans="1:26" ht="13.5" customHeight="1" x14ac:dyDescent="0.3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</row>
    <row r="573" spans="1:26" ht="13.5" customHeight="1" x14ac:dyDescent="0.3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</row>
    <row r="574" spans="1:26" ht="13.5" customHeight="1" x14ac:dyDescent="0.3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</row>
    <row r="575" spans="1:26" ht="13.5" customHeight="1" x14ac:dyDescent="0.3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</row>
    <row r="576" spans="1:26" ht="13.5" customHeight="1" x14ac:dyDescent="0.3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</row>
    <row r="577" spans="1:26" ht="13.5" customHeight="1" x14ac:dyDescent="0.3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</row>
    <row r="578" spans="1:26" ht="13.5" customHeight="1" x14ac:dyDescent="0.3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</row>
    <row r="579" spans="1:26" ht="13.5" customHeight="1" x14ac:dyDescent="0.3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</row>
    <row r="580" spans="1:26" ht="13.5" customHeight="1" x14ac:dyDescent="0.3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</row>
    <row r="581" spans="1:26" ht="13.5" customHeight="1" x14ac:dyDescent="0.3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</row>
    <row r="582" spans="1:26" ht="13.5" customHeight="1" x14ac:dyDescent="0.3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</row>
    <row r="583" spans="1:26" ht="13.5" customHeight="1" x14ac:dyDescent="0.3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</row>
    <row r="584" spans="1:26" ht="13.5" customHeight="1" x14ac:dyDescent="0.3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</row>
    <row r="585" spans="1:26" ht="13.5" customHeight="1" x14ac:dyDescent="0.3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</row>
    <row r="586" spans="1:26" ht="13.5" customHeight="1" x14ac:dyDescent="0.3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</row>
    <row r="587" spans="1:26" ht="13.5" customHeight="1" x14ac:dyDescent="0.3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</row>
    <row r="588" spans="1:26" ht="13.5" customHeight="1" x14ac:dyDescent="0.3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</row>
    <row r="589" spans="1:26" ht="13.5" customHeight="1" x14ac:dyDescent="0.3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</row>
    <row r="590" spans="1:26" ht="13.5" customHeight="1" x14ac:dyDescent="0.3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</row>
    <row r="591" spans="1:26" ht="13.5" customHeight="1" x14ac:dyDescent="0.3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</row>
    <row r="592" spans="1:26" ht="13.5" customHeight="1" x14ac:dyDescent="0.3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</row>
    <row r="593" spans="1:26" ht="13.5" customHeight="1" x14ac:dyDescent="0.3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</row>
    <row r="594" spans="1:26" ht="13.5" customHeight="1" x14ac:dyDescent="0.3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</row>
    <row r="595" spans="1:26" ht="13.5" customHeight="1" x14ac:dyDescent="0.3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</row>
    <row r="596" spans="1:26" ht="13.5" customHeight="1" x14ac:dyDescent="0.3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</row>
    <row r="597" spans="1:26" ht="13.5" customHeight="1" x14ac:dyDescent="0.3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</row>
    <row r="598" spans="1:26" ht="13.5" customHeight="1" x14ac:dyDescent="0.3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</row>
    <row r="599" spans="1:26" ht="13.5" customHeight="1" x14ac:dyDescent="0.3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</row>
    <row r="600" spans="1:26" ht="13.5" customHeight="1" x14ac:dyDescent="0.3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</row>
    <row r="601" spans="1:26" ht="13.5" customHeight="1" x14ac:dyDescent="0.3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</row>
    <row r="602" spans="1:26" ht="13.5" customHeight="1" x14ac:dyDescent="0.3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</row>
    <row r="603" spans="1:26" ht="13.5" customHeight="1" x14ac:dyDescent="0.3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</row>
    <row r="604" spans="1:26" ht="13.5" customHeight="1" x14ac:dyDescent="0.3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</row>
    <row r="605" spans="1:26" ht="13.5" customHeight="1" x14ac:dyDescent="0.3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</row>
    <row r="606" spans="1:26" ht="13.5" customHeight="1" x14ac:dyDescent="0.3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</row>
    <row r="607" spans="1:26" ht="13.5" customHeight="1" x14ac:dyDescent="0.3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</row>
    <row r="608" spans="1:26" ht="13.5" customHeight="1" x14ac:dyDescent="0.3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</row>
    <row r="609" spans="1:26" ht="13.5" customHeight="1" x14ac:dyDescent="0.3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</row>
    <row r="610" spans="1:26" ht="13.5" customHeight="1" x14ac:dyDescent="0.3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</row>
    <row r="611" spans="1:26" ht="13.5" customHeight="1" x14ac:dyDescent="0.3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</row>
    <row r="612" spans="1:26" ht="13.5" customHeight="1" x14ac:dyDescent="0.3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</row>
    <row r="613" spans="1:26" ht="13.5" customHeight="1" x14ac:dyDescent="0.3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</row>
    <row r="614" spans="1:26" ht="13.5" customHeight="1" x14ac:dyDescent="0.3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</row>
    <row r="615" spans="1:26" ht="13.5" customHeight="1" x14ac:dyDescent="0.3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</row>
    <row r="616" spans="1:26" ht="13.5" customHeight="1" x14ac:dyDescent="0.3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</row>
    <row r="617" spans="1:26" ht="13.5" customHeight="1" x14ac:dyDescent="0.3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</row>
    <row r="618" spans="1:26" ht="13.5" customHeight="1" x14ac:dyDescent="0.3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</row>
    <row r="619" spans="1:26" ht="13.5" customHeight="1" x14ac:dyDescent="0.3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</row>
    <row r="620" spans="1:26" ht="13.5" customHeight="1" x14ac:dyDescent="0.3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</row>
    <row r="621" spans="1:26" ht="13.5" customHeight="1" x14ac:dyDescent="0.3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</row>
    <row r="622" spans="1:26" ht="13.5" customHeight="1" x14ac:dyDescent="0.3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</row>
    <row r="623" spans="1:26" ht="13.5" customHeight="1" x14ac:dyDescent="0.3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</row>
    <row r="624" spans="1:26" ht="13.5" customHeight="1" x14ac:dyDescent="0.3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</row>
    <row r="625" spans="1:26" ht="13.5" customHeight="1" x14ac:dyDescent="0.3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</row>
    <row r="626" spans="1:26" ht="13.5" customHeight="1" x14ac:dyDescent="0.3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</row>
    <row r="627" spans="1:26" ht="13.5" customHeight="1" x14ac:dyDescent="0.3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</row>
    <row r="628" spans="1:26" ht="13.5" customHeight="1" x14ac:dyDescent="0.3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</row>
    <row r="629" spans="1:26" ht="13.5" customHeight="1" x14ac:dyDescent="0.3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</row>
    <row r="630" spans="1:26" ht="13.5" customHeight="1" x14ac:dyDescent="0.3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</row>
    <row r="631" spans="1:26" ht="13.5" customHeight="1" x14ac:dyDescent="0.3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</row>
    <row r="632" spans="1:26" ht="13.5" customHeight="1" x14ac:dyDescent="0.3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</row>
    <row r="633" spans="1:26" ht="13.5" customHeight="1" x14ac:dyDescent="0.3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</row>
    <row r="634" spans="1:26" ht="13.5" customHeight="1" x14ac:dyDescent="0.3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</row>
    <row r="635" spans="1:26" ht="13.5" customHeight="1" x14ac:dyDescent="0.3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</row>
    <row r="636" spans="1:26" ht="13.5" customHeight="1" x14ac:dyDescent="0.3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</row>
    <row r="637" spans="1:26" ht="13.5" customHeight="1" x14ac:dyDescent="0.3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</row>
    <row r="638" spans="1:26" ht="13.5" customHeight="1" x14ac:dyDescent="0.3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</row>
    <row r="639" spans="1:26" ht="13.5" customHeight="1" x14ac:dyDescent="0.3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</row>
    <row r="640" spans="1:26" ht="13.5" customHeight="1" x14ac:dyDescent="0.3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</row>
    <row r="641" spans="1:26" ht="13.5" customHeight="1" x14ac:dyDescent="0.3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</row>
    <row r="642" spans="1:26" ht="13.5" customHeight="1" x14ac:dyDescent="0.3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</row>
    <row r="643" spans="1:26" ht="13.5" customHeight="1" x14ac:dyDescent="0.3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</row>
    <row r="644" spans="1:26" ht="13.5" customHeight="1" x14ac:dyDescent="0.3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</row>
    <row r="645" spans="1:26" ht="13.5" customHeight="1" x14ac:dyDescent="0.3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</row>
    <row r="646" spans="1:26" ht="13.5" customHeight="1" x14ac:dyDescent="0.3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</row>
    <row r="647" spans="1:26" ht="13.5" customHeight="1" x14ac:dyDescent="0.3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</row>
    <row r="648" spans="1:26" ht="13.5" customHeight="1" x14ac:dyDescent="0.3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</row>
    <row r="649" spans="1:26" ht="13.5" customHeight="1" x14ac:dyDescent="0.3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</row>
    <row r="650" spans="1:26" ht="13.5" customHeight="1" x14ac:dyDescent="0.3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</row>
    <row r="651" spans="1:26" ht="13.5" customHeight="1" x14ac:dyDescent="0.3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</row>
    <row r="652" spans="1:26" ht="13.5" customHeight="1" x14ac:dyDescent="0.3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</row>
    <row r="653" spans="1:26" ht="13.5" customHeight="1" x14ac:dyDescent="0.3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</row>
    <row r="654" spans="1:26" ht="13.5" customHeight="1" x14ac:dyDescent="0.3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</row>
    <row r="655" spans="1:26" ht="13.5" customHeight="1" x14ac:dyDescent="0.3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</row>
    <row r="656" spans="1:26" ht="13.5" customHeight="1" x14ac:dyDescent="0.3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</row>
    <row r="657" spans="1:26" ht="13.5" customHeight="1" x14ac:dyDescent="0.3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</row>
    <row r="658" spans="1:26" ht="13.5" customHeight="1" x14ac:dyDescent="0.3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</row>
    <row r="659" spans="1:26" ht="13.5" customHeight="1" x14ac:dyDescent="0.3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</row>
    <row r="660" spans="1:26" ht="13.5" customHeight="1" x14ac:dyDescent="0.3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</row>
    <row r="661" spans="1:26" ht="13.5" customHeight="1" x14ac:dyDescent="0.3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</row>
    <row r="662" spans="1:26" ht="13.5" customHeight="1" x14ac:dyDescent="0.3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</row>
    <row r="663" spans="1:26" ht="13.5" customHeight="1" x14ac:dyDescent="0.3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</row>
    <row r="664" spans="1:26" ht="13.5" customHeight="1" x14ac:dyDescent="0.3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</row>
    <row r="665" spans="1:26" ht="13.5" customHeight="1" x14ac:dyDescent="0.3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</row>
    <row r="666" spans="1:26" ht="13.5" customHeight="1" x14ac:dyDescent="0.3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</row>
    <row r="667" spans="1:26" ht="13.5" customHeight="1" x14ac:dyDescent="0.3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</row>
    <row r="668" spans="1:26" ht="13.5" customHeight="1" x14ac:dyDescent="0.3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</row>
    <row r="669" spans="1:26" ht="13.5" customHeight="1" x14ac:dyDescent="0.3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</row>
    <row r="670" spans="1:26" ht="13.5" customHeight="1" x14ac:dyDescent="0.3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</row>
    <row r="671" spans="1:26" ht="13.5" customHeight="1" x14ac:dyDescent="0.3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</row>
    <row r="672" spans="1:26" ht="13.5" customHeight="1" x14ac:dyDescent="0.3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</row>
    <row r="673" spans="1:26" ht="13.5" customHeight="1" x14ac:dyDescent="0.3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</row>
    <row r="674" spans="1:26" ht="13.5" customHeight="1" x14ac:dyDescent="0.3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</row>
    <row r="675" spans="1:26" ht="13.5" customHeight="1" x14ac:dyDescent="0.3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</row>
    <row r="676" spans="1:26" ht="13.5" customHeight="1" x14ac:dyDescent="0.3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</row>
    <row r="677" spans="1:26" ht="13.5" customHeight="1" x14ac:dyDescent="0.3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</row>
    <row r="678" spans="1:26" ht="13.5" customHeight="1" x14ac:dyDescent="0.3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</row>
    <row r="679" spans="1:26" ht="13.5" customHeight="1" x14ac:dyDescent="0.3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</row>
    <row r="680" spans="1:26" ht="13.5" customHeight="1" x14ac:dyDescent="0.3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</row>
    <row r="681" spans="1:26" ht="13.5" customHeight="1" x14ac:dyDescent="0.3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</row>
    <row r="682" spans="1:26" ht="13.5" customHeight="1" x14ac:dyDescent="0.3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</row>
    <row r="683" spans="1:26" ht="13.5" customHeight="1" x14ac:dyDescent="0.3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</row>
    <row r="684" spans="1:26" ht="13.5" customHeight="1" x14ac:dyDescent="0.3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</row>
    <row r="685" spans="1:26" ht="13.5" customHeight="1" x14ac:dyDescent="0.3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</row>
    <row r="686" spans="1:26" ht="13.5" customHeight="1" x14ac:dyDescent="0.3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</row>
    <row r="687" spans="1:26" ht="13.5" customHeight="1" x14ac:dyDescent="0.3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</row>
    <row r="688" spans="1:26" ht="13.5" customHeight="1" x14ac:dyDescent="0.3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</row>
    <row r="689" spans="1:26" ht="13.5" customHeight="1" x14ac:dyDescent="0.3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</row>
    <row r="690" spans="1:26" ht="13.5" customHeight="1" x14ac:dyDescent="0.3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</row>
    <row r="691" spans="1:26" ht="13.5" customHeight="1" x14ac:dyDescent="0.3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</row>
    <row r="692" spans="1:26" ht="13.5" customHeight="1" x14ac:dyDescent="0.3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</row>
    <row r="693" spans="1:26" ht="13.5" customHeight="1" x14ac:dyDescent="0.3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</row>
    <row r="694" spans="1:26" ht="13.5" customHeight="1" x14ac:dyDescent="0.3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</row>
    <row r="695" spans="1:26" ht="13.5" customHeight="1" x14ac:dyDescent="0.3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</row>
    <row r="696" spans="1:26" ht="13.5" customHeight="1" x14ac:dyDescent="0.3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</row>
    <row r="697" spans="1:26" ht="13.5" customHeight="1" x14ac:dyDescent="0.3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</row>
    <row r="698" spans="1:26" ht="13.5" customHeight="1" x14ac:dyDescent="0.3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</row>
    <row r="699" spans="1:26" ht="13.5" customHeight="1" x14ac:dyDescent="0.3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</row>
    <row r="700" spans="1:26" ht="13.5" customHeight="1" x14ac:dyDescent="0.3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</row>
    <row r="701" spans="1:26" ht="13.5" customHeight="1" x14ac:dyDescent="0.3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</row>
    <row r="702" spans="1:26" ht="13.5" customHeight="1" x14ac:dyDescent="0.3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</row>
    <row r="703" spans="1:26" ht="13.5" customHeight="1" x14ac:dyDescent="0.3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</row>
    <row r="704" spans="1:26" ht="13.5" customHeight="1" x14ac:dyDescent="0.3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</row>
    <row r="705" spans="1:26" ht="13.5" customHeight="1" x14ac:dyDescent="0.3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</row>
    <row r="706" spans="1:26" ht="13.5" customHeight="1" x14ac:dyDescent="0.3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</row>
    <row r="707" spans="1:26" ht="13.5" customHeight="1" x14ac:dyDescent="0.3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</row>
    <row r="708" spans="1:26" ht="13.5" customHeight="1" x14ac:dyDescent="0.3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</row>
    <row r="709" spans="1:26" ht="13.5" customHeight="1" x14ac:dyDescent="0.3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</row>
    <row r="710" spans="1:26" ht="13.5" customHeight="1" x14ac:dyDescent="0.3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</row>
    <row r="711" spans="1:26" ht="13.5" customHeight="1" x14ac:dyDescent="0.3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</row>
    <row r="712" spans="1:26" ht="13.5" customHeight="1" x14ac:dyDescent="0.3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</row>
    <row r="713" spans="1:26" ht="13.5" customHeight="1" x14ac:dyDescent="0.3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</row>
    <row r="714" spans="1:26" ht="13.5" customHeight="1" x14ac:dyDescent="0.3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</row>
    <row r="715" spans="1:26" ht="13.5" customHeight="1" x14ac:dyDescent="0.3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</row>
    <row r="716" spans="1:26" ht="13.5" customHeight="1" x14ac:dyDescent="0.3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</row>
    <row r="717" spans="1:26" ht="13.5" customHeight="1" x14ac:dyDescent="0.3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</row>
    <row r="718" spans="1:26" ht="13.5" customHeight="1" x14ac:dyDescent="0.3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</row>
    <row r="719" spans="1:26" ht="13.5" customHeight="1" x14ac:dyDescent="0.3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</row>
    <row r="720" spans="1:26" ht="13.5" customHeight="1" x14ac:dyDescent="0.3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</row>
    <row r="721" spans="1:26" ht="13.5" customHeight="1" x14ac:dyDescent="0.3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</row>
    <row r="722" spans="1:26" ht="13.5" customHeight="1" x14ac:dyDescent="0.3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</row>
    <row r="723" spans="1:26" ht="13.5" customHeight="1" x14ac:dyDescent="0.3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</row>
    <row r="724" spans="1:26" ht="13.5" customHeight="1" x14ac:dyDescent="0.3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</row>
    <row r="725" spans="1:26" ht="13.5" customHeight="1" x14ac:dyDescent="0.3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</row>
    <row r="726" spans="1:26" ht="13.5" customHeight="1" x14ac:dyDescent="0.3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</row>
    <row r="727" spans="1:26" ht="13.5" customHeight="1" x14ac:dyDescent="0.3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</row>
    <row r="728" spans="1:26" ht="13.5" customHeight="1" x14ac:dyDescent="0.3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</row>
    <row r="729" spans="1:26" ht="13.5" customHeight="1" x14ac:dyDescent="0.3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</row>
    <row r="730" spans="1:26" ht="13.5" customHeight="1" x14ac:dyDescent="0.3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</row>
    <row r="731" spans="1:26" ht="13.5" customHeight="1" x14ac:dyDescent="0.3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</row>
    <row r="732" spans="1:26" ht="13.5" customHeight="1" x14ac:dyDescent="0.3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</row>
    <row r="733" spans="1:26" ht="13.5" customHeight="1" x14ac:dyDescent="0.3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</row>
    <row r="734" spans="1:26" ht="13.5" customHeight="1" x14ac:dyDescent="0.3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</row>
    <row r="735" spans="1:26" ht="13.5" customHeight="1" x14ac:dyDescent="0.3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</row>
    <row r="736" spans="1:26" ht="13.5" customHeight="1" x14ac:dyDescent="0.3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</row>
    <row r="737" spans="1:26" ht="13.5" customHeight="1" x14ac:dyDescent="0.3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</row>
    <row r="738" spans="1:26" ht="13.5" customHeight="1" x14ac:dyDescent="0.3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</row>
    <row r="739" spans="1:26" ht="13.5" customHeight="1" x14ac:dyDescent="0.3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</row>
    <row r="740" spans="1:26" ht="13.5" customHeight="1" x14ac:dyDescent="0.3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</row>
    <row r="741" spans="1:26" ht="13.5" customHeight="1" x14ac:dyDescent="0.3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</row>
    <row r="742" spans="1:26" ht="13.5" customHeight="1" x14ac:dyDescent="0.3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</row>
    <row r="743" spans="1:26" ht="13.5" customHeight="1" x14ac:dyDescent="0.3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</row>
    <row r="744" spans="1:26" ht="13.5" customHeight="1" x14ac:dyDescent="0.3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</row>
    <row r="745" spans="1:26" ht="13.5" customHeight="1" x14ac:dyDescent="0.3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</row>
    <row r="746" spans="1:26" ht="13.5" customHeight="1" x14ac:dyDescent="0.3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</row>
    <row r="747" spans="1:26" ht="13.5" customHeight="1" x14ac:dyDescent="0.3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</row>
    <row r="748" spans="1:26" ht="13.5" customHeight="1" x14ac:dyDescent="0.3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</row>
    <row r="749" spans="1:26" ht="13.5" customHeight="1" x14ac:dyDescent="0.3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</row>
    <row r="750" spans="1:26" ht="13.5" customHeight="1" x14ac:dyDescent="0.3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</row>
    <row r="751" spans="1:26" ht="13.5" customHeight="1" x14ac:dyDescent="0.3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</row>
    <row r="752" spans="1:26" ht="13.5" customHeight="1" x14ac:dyDescent="0.3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</row>
    <row r="753" spans="1:26" ht="13.5" customHeight="1" x14ac:dyDescent="0.3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</row>
    <row r="754" spans="1:26" ht="13.5" customHeight="1" x14ac:dyDescent="0.3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</row>
    <row r="755" spans="1:26" ht="13.5" customHeight="1" x14ac:dyDescent="0.3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</row>
    <row r="756" spans="1:26" ht="13.5" customHeight="1" x14ac:dyDescent="0.3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</row>
    <row r="757" spans="1:26" ht="13.5" customHeight="1" x14ac:dyDescent="0.3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</row>
    <row r="758" spans="1:26" ht="13.5" customHeight="1" x14ac:dyDescent="0.3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</row>
    <row r="759" spans="1:26" ht="13.5" customHeight="1" x14ac:dyDescent="0.3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</row>
    <row r="760" spans="1:26" ht="13.5" customHeight="1" x14ac:dyDescent="0.3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</row>
    <row r="761" spans="1:26" ht="13.5" customHeight="1" x14ac:dyDescent="0.3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</row>
    <row r="762" spans="1:26" ht="13.5" customHeight="1" x14ac:dyDescent="0.3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</row>
    <row r="763" spans="1:26" ht="13.5" customHeight="1" x14ac:dyDescent="0.3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</row>
    <row r="764" spans="1:26" ht="13.5" customHeight="1" x14ac:dyDescent="0.3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</row>
    <row r="765" spans="1:26" ht="13.5" customHeight="1" x14ac:dyDescent="0.3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</row>
    <row r="766" spans="1:26" ht="13.5" customHeight="1" x14ac:dyDescent="0.3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</row>
    <row r="767" spans="1:26" ht="13.5" customHeight="1" x14ac:dyDescent="0.3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</row>
    <row r="768" spans="1:26" ht="13.5" customHeight="1" x14ac:dyDescent="0.3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</row>
    <row r="769" spans="1:26" ht="13.5" customHeight="1" x14ac:dyDescent="0.3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</row>
    <row r="770" spans="1:26" ht="13.5" customHeight="1" x14ac:dyDescent="0.3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</row>
    <row r="771" spans="1:26" ht="13.5" customHeight="1" x14ac:dyDescent="0.3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</row>
    <row r="772" spans="1:26" ht="13.5" customHeight="1" x14ac:dyDescent="0.3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</row>
    <row r="773" spans="1:26" ht="13.5" customHeight="1" x14ac:dyDescent="0.3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</row>
    <row r="774" spans="1:26" ht="13.5" customHeight="1" x14ac:dyDescent="0.3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</row>
    <row r="775" spans="1:26" ht="13.5" customHeight="1" x14ac:dyDescent="0.3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</row>
    <row r="776" spans="1:26" ht="13.5" customHeight="1" x14ac:dyDescent="0.3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</row>
    <row r="777" spans="1:26" ht="13.5" customHeight="1" x14ac:dyDescent="0.3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</row>
    <row r="778" spans="1:26" ht="13.5" customHeight="1" x14ac:dyDescent="0.3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</row>
    <row r="779" spans="1:26" ht="13.5" customHeight="1" x14ac:dyDescent="0.3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</row>
    <row r="780" spans="1:26" ht="13.5" customHeight="1" x14ac:dyDescent="0.3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</row>
    <row r="781" spans="1:26" ht="13.5" customHeight="1" x14ac:dyDescent="0.3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</row>
    <row r="782" spans="1:26" ht="13.5" customHeight="1" x14ac:dyDescent="0.3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</row>
    <row r="783" spans="1:26" ht="13.5" customHeight="1" x14ac:dyDescent="0.3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</row>
    <row r="784" spans="1:26" ht="13.5" customHeight="1" x14ac:dyDescent="0.3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</row>
    <row r="785" spans="1:26" ht="13.5" customHeight="1" x14ac:dyDescent="0.3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</row>
    <row r="786" spans="1:26" ht="13.5" customHeight="1" x14ac:dyDescent="0.3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</row>
    <row r="787" spans="1:26" ht="13.5" customHeight="1" x14ac:dyDescent="0.3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</row>
    <row r="788" spans="1:26" ht="13.5" customHeight="1" x14ac:dyDescent="0.3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</row>
    <row r="789" spans="1:26" ht="13.5" customHeight="1" x14ac:dyDescent="0.3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</row>
    <row r="790" spans="1:26" ht="13.5" customHeight="1" x14ac:dyDescent="0.3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</row>
    <row r="791" spans="1:26" ht="13.5" customHeight="1" x14ac:dyDescent="0.3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</row>
    <row r="792" spans="1:26" ht="13.5" customHeight="1" x14ac:dyDescent="0.3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</row>
    <row r="793" spans="1:26" ht="13.5" customHeight="1" x14ac:dyDescent="0.3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</row>
    <row r="794" spans="1:26" ht="13.5" customHeight="1" x14ac:dyDescent="0.3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</row>
    <row r="795" spans="1:26" ht="13.5" customHeight="1" x14ac:dyDescent="0.3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</row>
    <row r="796" spans="1:26" ht="13.5" customHeight="1" x14ac:dyDescent="0.3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</row>
    <row r="797" spans="1:26" ht="13.5" customHeight="1" x14ac:dyDescent="0.3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</row>
    <row r="798" spans="1:26" ht="13.5" customHeight="1" x14ac:dyDescent="0.3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</row>
    <row r="799" spans="1:26" ht="13.5" customHeight="1" x14ac:dyDescent="0.3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</row>
    <row r="800" spans="1:26" ht="13.5" customHeight="1" x14ac:dyDescent="0.3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</row>
    <row r="801" spans="1:26" ht="13.5" customHeight="1" x14ac:dyDescent="0.3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</row>
    <row r="802" spans="1:26" ht="13.5" customHeight="1" x14ac:dyDescent="0.3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</row>
    <row r="803" spans="1:26" ht="13.5" customHeight="1" x14ac:dyDescent="0.3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</row>
    <row r="804" spans="1:26" ht="13.5" customHeight="1" x14ac:dyDescent="0.3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</row>
    <row r="805" spans="1:26" ht="13.5" customHeight="1" x14ac:dyDescent="0.3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</row>
    <row r="806" spans="1:26" ht="13.5" customHeight="1" x14ac:dyDescent="0.3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</row>
    <row r="807" spans="1:26" ht="13.5" customHeight="1" x14ac:dyDescent="0.3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</row>
    <row r="808" spans="1:26" ht="13.5" customHeight="1" x14ac:dyDescent="0.3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</row>
    <row r="809" spans="1:26" ht="13.5" customHeight="1" x14ac:dyDescent="0.3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</row>
    <row r="810" spans="1:26" ht="13.5" customHeight="1" x14ac:dyDescent="0.3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</row>
    <row r="811" spans="1:26" ht="13.5" customHeight="1" x14ac:dyDescent="0.3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</row>
    <row r="812" spans="1:26" ht="13.5" customHeight="1" x14ac:dyDescent="0.3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</row>
    <row r="813" spans="1:26" ht="13.5" customHeight="1" x14ac:dyDescent="0.3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</row>
    <row r="814" spans="1:26" ht="13.5" customHeight="1" x14ac:dyDescent="0.3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</row>
    <row r="815" spans="1:26" ht="13.5" customHeight="1" x14ac:dyDescent="0.3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</row>
    <row r="816" spans="1:26" ht="13.5" customHeight="1" x14ac:dyDescent="0.3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</row>
    <row r="817" spans="1:26" ht="13.5" customHeight="1" x14ac:dyDescent="0.3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</row>
    <row r="818" spans="1:26" ht="13.5" customHeight="1" x14ac:dyDescent="0.3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</row>
    <row r="819" spans="1:26" ht="13.5" customHeight="1" x14ac:dyDescent="0.3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</row>
    <row r="820" spans="1:26" ht="13.5" customHeight="1" x14ac:dyDescent="0.3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</row>
    <row r="821" spans="1:26" ht="13.5" customHeight="1" x14ac:dyDescent="0.3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</row>
    <row r="822" spans="1:26" ht="13.5" customHeight="1" x14ac:dyDescent="0.3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</row>
    <row r="823" spans="1:26" ht="13.5" customHeight="1" x14ac:dyDescent="0.3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</row>
    <row r="824" spans="1:26" ht="13.5" customHeight="1" x14ac:dyDescent="0.3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</row>
    <row r="825" spans="1:26" ht="13.5" customHeight="1" x14ac:dyDescent="0.3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</row>
    <row r="826" spans="1:26" ht="13.5" customHeight="1" x14ac:dyDescent="0.3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</row>
    <row r="827" spans="1:26" ht="13.5" customHeight="1" x14ac:dyDescent="0.3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</row>
    <row r="828" spans="1:26" ht="13.5" customHeight="1" x14ac:dyDescent="0.3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</row>
    <row r="829" spans="1:26" ht="13.5" customHeight="1" x14ac:dyDescent="0.3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</row>
    <row r="830" spans="1:26" ht="13.5" customHeight="1" x14ac:dyDescent="0.3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</row>
    <row r="831" spans="1:26" ht="13.5" customHeight="1" x14ac:dyDescent="0.3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</row>
    <row r="832" spans="1:26" ht="13.5" customHeight="1" x14ac:dyDescent="0.3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</row>
    <row r="833" spans="1:26" ht="13.5" customHeight="1" x14ac:dyDescent="0.3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</row>
    <row r="834" spans="1:26" ht="13.5" customHeight="1" x14ac:dyDescent="0.3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</row>
    <row r="835" spans="1:26" ht="13.5" customHeight="1" x14ac:dyDescent="0.3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</row>
    <row r="836" spans="1:26" ht="13.5" customHeight="1" x14ac:dyDescent="0.3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</row>
    <row r="837" spans="1:26" ht="13.5" customHeight="1" x14ac:dyDescent="0.3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</row>
    <row r="838" spans="1:26" ht="13.5" customHeight="1" x14ac:dyDescent="0.3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</row>
    <row r="839" spans="1:26" ht="13.5" customHeight="1" x14ac:dyDescent="0.3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</row>
    <row r="840" spans="1:26" ht="13.5" customHeight="1" x14ac:dyDescent="0.3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</row>
    <row r="841" spans="1:26" ht="13.5" customHeight="1" x14ac:dyDescent="0.3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</row>
    <row r="842" spans="1:26" ht="13.5" customHeight="1" x14ac:dyDescent="0.3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</row>
    <row r="843" spans="1:26" ht="13.5" customHeight="1" x14ac:dyDescent="0.3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</row>
    <row r="844" spans="1:26" ht="13.5" customHeight="1" x14ac:dyDescent="0.3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</row>
    <row r="845" spans="1:26" ht="13.5" customHeight="1" x14ac:dyDescent="0.3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</row>
    <row r="846" spans="1:26" ht="13.5" customHeight="1" x14ac:dyDescent="0.3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</row>
    <row r="847" spans="1:26" ht="13.5" customHeight="1" x14ac:dyDescent="0.3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</row>
    <row r="848" spans="1:26" ht="13.5" customHeight="1" x14ac:dyDescent="0.3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</row>
    <row r="849" spans="1:26" ht="13.5" customHeight="1" x14ac:dyDescent="0.3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</row>
    <row r="850" spans="1:26" ht="13.5" customHeight="1" x14ac:dyDescent="0.3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</row>
    <row r="851" spans="1:26" ht="13.5" customHeight="1" x14ac:dyDescent="0.3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</row>
    <row r="852" spans="1:26" ht="13.5" customHeight="1" x14ac:dyDescent="0.3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</row>
    <row r="853" spans="1:26" ht="13.5" customHeight="1" x14ac:dyDescent="0.3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</row>
    <row r="854" spans="1:26" ht="13.5" customHeight="1" x14ac:dyDescent="0.3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</row>
    <row r="855" spans="1:26" ht="13.5" customHeight="1" x14ac:dyDescent="0.3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</row>
    <row r="856" spans="1:26" ht="13.5" customHeight="1" x14ac:dyDescent="0.3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</row>
    <row r="857" spans="1:26" ht="13.5" customHeight="1" x14ac:dyDescent="0.3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</row>
    <row r="858" spans="1:26" ht="13.5" customHeight="1" x14ac:dyDescent="0.3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</row>
    <row r="859" spans="1:26" ht="13.5" customHeight="1" x14ac:dyDescent="0.3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</row>
    <row r="860" spans="1:26" ht="13.5" customHeight="1" x14ac:dyDescent="0.3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</row>
    <row r="861" spans="1:26" ht="13.5" customHeight="1" x14ac:dyDescent="0.3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</row>
    <row r="862" spans="1:26" ht="13.5" customHeight="1" x14ac:dyDescent="0.3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</row>
    <row r="863" spans="1:26" ht="13.5" customHeight="1" x14ac:dyDescent="0.3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</row>
    <row r="864" spans="1:26" ht="13.5" customHeight="1" x14ac:dyDescent="0.3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</row>
    <row r="865" spans="1:26" ht="13.5" customHeight="1" x14ac:dyDescent="0.3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</row>
    <row r="866" spans="1:26" ht="13.5" customHeight="1" x14ac:dyDescent="0.3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</row>
    <row r="867" spans="1:26" ht="13.5" customHeight="1" x14ac:dyDescent="0.3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</row>
    <row r="868" spans="1:26" ht="13.5" customHeight="1" x14ac:dyDescent="0.3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</row>
    <row r="869" spans="1:26" ht="13.5" customHeight="1" x14ac:dyDescent="0.3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</row>
    <row r="870" spans="1:26" ht="13.5" customHeight="1" x14ac:dyDescent="0.3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</row>
    <row r="871" spans="1:26" ht="13.5" customHeight="1" x14ac:dyDescent="0.3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</row>
    <row r="872" spans="1:26" ht="13.5" customHeight="1" x14ac:dyDescent="0.3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</row>
    <row r="873" spans="1:26" ht="13.5" customHeight="1" x14ac:dyDescent="0.3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</row>
    <row r="874" spans="1:26" ht="13.5" customHeight="1" x14ac:dyDescent="0.3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</row>
    <row r="875" spans="1:26" ht="13.5" customHeight="1" x14ac:dyDescent="0.3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</row>
    <row r="876" spans="1:26" ht="13.5" customHeight="1" x14ac:dyDescent="0.3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</row>
    <row r="877" spans="1:26" ht="13.5" customHeight="1" x14ac:dyDescent="0.3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</row>
    <row r="878" spans="1:26" ht="13.5" customHeight="1" x14ac:dyDescent="0.3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</row>
    <row r="879" spans="1:26" ht="13.5" customHeight="1" x14ac:dyDescent="0.3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</row>
    <row r="880" spans="1:26" ht="13.5" customHeight="1" x14ac:dyDescent="0.3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</row>
    <row r="881" spans="1:26" ht="13.5" customHeight="1" x14ac:dyDescent="0.3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</row>
    <row r="882" spans="1:26" ht="13.5" customHeight="1" x14ac:dyDescent="0.3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</row>
    <row r="883" spans="1:26" ht="13.5" customHeight="1" x14ac:dyDescent="0.3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</row>
    <row r="884" spans="1:26" ht="13.5" customHeight="1" x14ac:dyDescent="0.3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</row>
    <row r="885" spans="1:26" ht="13.5" customHeight="1" x14ac:dyDescent="0.3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</row>
    <row r="886" spans="1:26" ht="13.5" customHeight="1" x14ac:dyDescent="0.3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</row>
    <row r="887" spans="1:26" ht="13.5" customHeight="1" x14ac:dyDescent="0.3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</row>
    <row r="888" spans="1:26" ht="13.5" customHeight="1" x14ac:dyDescent="0.3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</row>
    <row r="889" spans="1:26" ht="13.5" customHeight="1" x14ac:dyDescent="0.3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</row>
    <row r="890" spans="1:26" ht="13.5" customHeight="1" x14ac:dyDescent="0.3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</row>
    <row r="891" spans="1:26" ht="13.5" customHeight="1" x14ac:dyDescent="0.3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</row>
    <row r="892" spans="1:26" ht="13.5" customHeight="1" x14ac:dyDescent="0.3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</row>
    <row r="893" spans="1:26" ht="13.5" customHeight="1" x14ac:dyDescent="0.3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</row>
    <row r="894" spans="1:26" ht="13.5" customHeight="1" x14ac:dyDescent="0.3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</row>
    <row r="895" spans="1:26" ht="13.5" customHeight="1" x14ac:dyDescent="0.3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</row>
    <row r="896" spans="1:26" ht="13.5" customHeight="1" x14ac:dyDescent="0.3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</row>
    <row r="897" spans="1:26" ht="13.5" customHeight="1" x14ac:dyDescent="0.3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</row>
    <row r="898" spans="1:26" ht="13.5" customHeight="1" x14ac:dyDescent="0.3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</row>
    <row r="899" spans="1:26" ht="13.5" customHeight="1" x14ac:dyDescent="0.3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</row>
    <row r="900" spans="1:26" ht="13.5" customHeight="1" x14ac:dyDescent="0.3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</row>
    <row r="901" spans="1:26" ht="13.5" customHeight="1" x14ac:dyDescent="0.3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</row>
    <row r="902" spans="1:26" ht="13.5" customHeight="1" x14ac:dyDescent="0.3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</row>
    <row r="903" spans="1:26" ht="13.5" customHeight="1" x14ac:dyDescent="0.3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</row>
    <row r="904" spans="1:26" ht="13.5" customHeight="1" x14ac:dyDescent="0.3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</row>
    <row r="905" spans="1:26" ht="13.5" customHeight="1" x14ac:dyDescent="0.3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</row>
    <row r="906" spans="1:26" ht="13.5" customHeight="1" x14ac:dyDescent="0.3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</row>
    <row r="907" spans="1:26" ht="13.5" customHeight="1" x14ac:dyDescent="0.3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</row>
    <row r="908" spans="1:26" ht="13.5" customHeight="1" x14ac:dyDescent="0.3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</row>
    <row r="909" spans="1:26" ht="13.5" customHeight="1" x14ac:dyDescent="0.3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</row>
    <row r="910" spans="1:26" ht="13.5" customHeight="1" x14ac:dyDescent="0.3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</row>
    <row r="911" spans="1:26" ht="13.5" customHeight="1" x14ac:dyDescent="0.3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</row>
    <row r="912" spans="1:26" ht="13.5" customHeight="1" x14ac:dyDescent="0.3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</row>
    <row r="913" spans="1:26" ht="13.5" customHeight="1" x14ac:dyDescent="0.3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</row>
    <row r="914" spans="1:26" ht="13.5" customHeight="1" x14ac:dyDescent="0.3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</row>
    <row r="915" spans="1:26" ht="13.5" customHeight="1" x14ac:dyDescent="0.3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</row>
    <row r="916" spans="1:26" ht="13.5" customHeight="1" x14ac:dyDescent="0.3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</row>
    <row r="917" spans="1:26" ht="13.5" customHeight="1" x14ac:dyDescent="0.3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</row>
    <row r="918" spans="1:26" ht="13.5" customHeight="1" x14ac:dyDescent="0.3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</row>
    <row r="919" spans="1:26" ht="13.5" customHeight="1" x14ac:dyDescent="0.3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</row>
    <row r="920" spans="1:26" ht="13.5" customHeight="1" x14ac:dyDescent="0.3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</row>
    <row r="921" spans="1:26" ht="13.5" customHeight="1" x14ac:dyDescent="0.3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</row>
    <row r="922" spans="1:26" ht="13.5" customHeight="1" x14ac:dyDescent="0.3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</row>
    <row r="923" spans="1:26" ht="13.5" customHeight="1" x14ac:dyDescent="0.3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</row>
    <row r="924" spans="1:26" ht="13.5" customHeight="1" x14ac:dyDescent="0.3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</row>
    <row r="925" spans="1:26" ht="13.5" customHeight="1" x14ac:dyDescent="0.3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</row>
    <row r="926" spans="1:26" ht="13.5" customHeight="1" x14ac:dyDescent="0.3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</row>
    <row r="927" spans="1:26" ht="13.5" customHeight="1" x14ac:dyDescent="0.3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</row>
    <row r="928" spans="1:26" ht="13.5" customHeight="1" x14ac:dyDescent="0.3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</row>
    <row r="929" spans="1:26" ht="13.5" customHeight="1" x14ac:dyDescent="0.3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</row>
    <row r="930" spans="1:26" ht="13.5" customHeight="1" x14ac:dyDescent="0.3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</row>
    <row r="931" spans="1:26" ht="13.5" customHeight="1" x14ac:dyDescent="0.3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</row>
    <row r="932" spans="1:26" ht="13.5" customHeight="1" x14ac:dyDescent="0.3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</row>
    <row r="933" spans="1:26" ht="13.5" customHeight="1" x14ac:dyDescent="0.3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</row>
    <row r="934" spans="1:26" ht="13.5" customHeight="1" x14ac:dyDescent="0.3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</row>
    <row r="935" spans="1:26" ht="13.5" customHeight="1" x14ac:dyDescent="0.3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</row>
    <row r="936" spans="1:26" ht="13.5" customHeight="1" x14ac:dyDescent="0.3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</row>
    <row r="937" spans="1:26" ht="13.5" customHeight="1" x14ac:dyDescent="0.3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</row>
    <row r="938" spans="1:26" ht="13.5" customHeight="1" x14ac:dyDescent="0.3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</row>
    <row r="939" spans="1:26" ht="13.5" customHeight="1" x14ac:dyDescent="0.3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</row>
    <row r="940" spans="1:26" ht="13.5" customHeight="1" x14ac:dyDescent="0.3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</row>
    <row r="941" spans="1:26" ht="13.5" customHeight="1" x14ac:dyDescent="0.3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</row>
    <row r="942" spans="1:26" ht="13.5" customHeight="1" x14ac:dyDescent="0.3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</row>
    <row r="943" spans="1:26" ht="13.5" customHeight="1" x14ac:dyDescent="0.3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</row>
    <row r="944" spans="1:26" ht="13.5" customHeight="1" x14ac:dyDescent="0.3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</row>
    <row r="945" spans="1:26" ht="13.5" customHeight="1" x14ac:dyDescent="0.3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</row>
    <row r="946" spans="1:26" ht="13.5" customHeight="1" x14ac:dyDescent="0.3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</row>
    <row r="947" spans="1:26" ht="13.5" customHeight="1" x14ac:dyDescent="0.3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</row>
    <row r="948" spans="1:26" ht="13.5" customHeight="1" x14ac:dyDescent="0.3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</row>
    <row r="949" spans="1:26" ht="13.5" customHeight="1" x14ac:dyDescent="0.3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</row>
    <row r="950" spans="1:26" ht="13.5" customHeight="1" x14ac:dyDescent="0.3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</row>
    <row r="951" spans="1:26" ht="13.5" customHeight="1" x14ac:dyDescent="0.3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</row>
    <row r="952" spans="1:26" ht="13.5" customHeight="1" x14ac:dyDescent="0.3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</row>
    <row r="953" spans="1:26" ht="13.5" customHeight="1" x14ac:dyDescent="0.3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</row>
    <row r="954" spans="1:26" ht="13.5" customHeight="1" x14ac:dyDescent="0.3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</row>
    <row r="955" spans="1:26" ht="13.5" customHeight="1" x14ac:dyDescent="0.3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</row>
    <row r="956" spans="1:26" ht="13.5" customHeight="1" x14ac:dyDescent="0.3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</row>
    <row r="957" spans="1:26" ht="13.5" customHeight="1" x14ac:dyDescent="0.3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</row>
    <row r="958" spans="1:26" ht="13.5" customHeight="1" x14ac:dyDescent="0.3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</row>
    <row r="959" spans="1:26" ht="13.5" customHeight="1" x14ac:dyDescent="0.3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</row>
    <row r="960" spans="1:26" ht="13.5" customHeight="1" x14ac:dyDescent="0.3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</row>
    <row r="961" spans="1:26" ht="13.5" customHeight="1" x14ac:dyDescent="0.3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</row>
    <row r="962" spans="1:26" ht="13.5" customHeight="1" x14ac:dyDescent="0.3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</row>
    <row r="963" spans="1:26" ht="13.5" customHeight="1" x14ac:dyDescent="0.3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</row>
    <row r="964" spans="1:26" ht="13.5" customHeight="1" x14ac:dyDescent="0.3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</row>
    <row r="965" spans="1:26" ht="13.5" customHeight="1" x14ac:dyDescent="0.3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</row>
    <row r="966" spans="1:26" ht="13.5" customHeight="1" x14ac:dyDescent="0.3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</row>
    <row r="967" spans="1:26" ht="13.5" customHeight="1" x14ac:dyDescent="0.3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</row>
    <row r="968" spans="1:26" ht="13.5" customHeight="1" x14ac:dyDescent="0.3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</row>
    <row r="969" spans="1:26" ht="13.5" customHeight="1" x14ac:dyDescent="0.3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</row>
    <row r="970" spans="1:26" ht="13.5" customHeight="1" x14ac:dyDescent="0.3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</row>
    <row r="971" spans="1:26" ht="13.5" customHeight="1" x14ac:dyDescent="0.3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</row>
    <row r="972" spans="1:26" ht="13.5" customHeight="1" x14ac:dyDescent="0.3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</row>
    <row r="973" spans="1:26" ht="13.5" customHeight="1" x14ac:dyDescent="0.3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</row>
    <row r="974" spans="1:26" ht="13.5" customHeight="1" x14ac:dyDescent="0.3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</row>
    <row r="975" spans="1:26" ht="13.5" customHeight="1" x14ac:dyDescent="0.3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</row>
    <row r="976" spans="1:26" ht="13.5" customHeight="1" x14ac:dyDescent="0.3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</row>
    <row r="977" spans="1:26" ht="13.5" customHeight="1" x14ac:dyDescent="0.3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</row>
    <row r="978" spans="1:26" ht="13.5" customHeight="1" x14ac:dyDescent="0.3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</row>
    <row r="979" spans="1:26" ht="13.5" customHeight="1" x14ac:dyDescent="0.3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</row>
    <row r="980" spans="1:26" ht="13.5" customHeight="1" x14ac:dyDescent="0.3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</row>
    <row r="981" spans="1:26" ht="13.5" customHeight="1" x14ac:dyDescent="0.3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</row>
    <row r="982" spans="1:26" ht="13.5" customHeight="1" x14ac:dyDescent="0.3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</row>
    <row r="983" spans="1:26" ht="13.5" customHeight="1" x14ac:dyDescent="0.3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</row>
    <row r="984" spans="1:26" ht="13.5" customHeight="1" x14ac:dyDescent="0.3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</row>
    <row r="985" spans="1:26" ht="13.5" customHeight="1" x14ac:dyDescent="0.3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</row>
    <row r="986" spans="1:26" ht="13.5" customHeight="1" x14ac:dyDescent="0.3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</row>
    <row r="987" spans="1:26" ht="13.5" customHeight="1" x14ac:dyDescent="0.3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</row>
    <row r="988" spans="1:26" ht="13.5" customHeight="1" x14ac:dyDescent="0.3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</row>
    <row r="989" spans="1:26" ht="13.5" customHeight="1" x14ac:dyDescent="0.3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</row>
    <row r="990" spans="1:26" ht="13.5" customHeight="1" x14ac:dyDescent="0.3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</row>
    <row r="991" spans="1:26" ht="13.5" customHeight="1" x14ac:dyDescent="0.3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</row>
    <row r="992" spans="1:26" ht="13.5" customHeight="1" x14ac:dyDescent="0.3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</row>
    <row r="993" spans="1:26" ht="13.5" customHeight="1" x14ac:dyDescent="0.3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</row>
    <row r="994" spans="1:26" ht="13.5" customHeight="1" x14ac:dyDescent="0.3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</row>
    <row r="995" spans="1:26" ht="13.5" customHeight="1" x14ac:dyDescent="0.3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</row>
    <row r="996" spans="1:26" ht="13.5" customHeight="1" x14ac:dyDescent="0.3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</row>
    <row r="997" spans="1:26" ht="13.5" customHeight="1" x14ac:dyDescent="0.3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</row>
    <row r="998" spans="1:26" ht="13.5" customHeight="1" x14ac:dyDescent="0.3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</row>
    <row r="999" spans="1:26" ht="13.5" customHeight="1" x14ac:dyDescent="0.3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</row>
    <row r="1000" spans="1:26" ht="13.5" customHeight="1" x14ac:dyDescent="0.3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</row>
    <row r="1001" spans="1:26" ht="13.5" customHeight="1" x14ac:dyDescent="0.3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</row>
    <row r="1002" spans="1:26" ht="13.5" customHeight="1" x14ac:dyDescent="0.3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</row>
    <row r="1003" spans="1:26" ht="13.5" customHeight="1" x14ac:dyDescent="0.3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</row>
    <row r="1004" spans="1:26" ht="13.5" customHeight="1" x14ac:dyDescent="0.3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</row>
    <row r="1005" spans="1:26" ht="13.5" customHeight="1" x14ac:dyDescent="0.3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</row>
    <row r="1006" spans="1:26" ht="13.5" customHeight="1" x14ac:dyDescent="0.3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  <c r="X1006" s="33"/>
      <c r="Y1006" s="33"/>
      <c r="Z1006" s="33"/>
    </row>
    <row r="1007" spans="1:26" ht="13.5" customHeight="1" x14ac:dyDescent="0.3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</row>
    <row r="1008" spans="1:26" ht="13.5" customHeight="1" x14ac:dyDescent="0.3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33"/>
      <c r="R1008" s="33"/>
      <c r="S1008" s="33"/>
      <c r="T1008" s="33"/>
      <c r="U1008" s="33"/>
      <c r="V1008" s="33"/>
      <c r="W1008" s="33"/>
      <c r="X1008" s="33"/>
      <c r="Y1008" s="33"/>
      <c r="Z1008" s="33"/>
    </row>
    <row r="1009" spans="1:26" ht="13.5" customHeight="1" x14ac:dyDescent="0.3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33"/>
      <c r="R1009" s="33"/>
      <c r="S1009" s="33"/>
      <c r="T1009" s="33"/>
      <c r="U1009" s="33"/>
      <c r="V1009" s="33"/>
      <c r="W1009" s="33"/>
      <c r="X1009" s="33"/>
      <c r="Y1009" s="33"/>
      <c r="Z1009" s="33"/>
    </row>
    <row r="1010" spans="1:26" ht="13.5" customHeight="1" x14ac:dyDescent="0.3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</row>
    <row r="1011" spans="1:26" ht="13.5" customHeight="1" x14ac:dyDescent="0.3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</row>
    <row r="1012" spans="1:26" ht="13.5" customHeight="1" x14ac:dyDescent="0.3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33"/>
      <c r="R1012" s="33"/>
      <c r="S1012" s="33"/>
      <c r="T1012" s="33"/>
      <c r="U1012" s="33"/>
      <c r="V1012" s="33"/>
      <c r="W1012" s="33"/>
      <c r="X1012" s="33"/>
      <c r="Y1012" s="33"/>
      <c r="Z1012" s="33"/>
    </row>
  </sheetData>
  <hyperlinks>
    <hyperlink ref="B70" r:id="rId1"/>
    <hyperlink ref="B71" r:id="rId2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dcterms:created xsi:type="dcterms:W3CDTF">2018-04-04T01:42:34Z</dcterms:created>
  <dcterms:modified xsi:type="dcterms:W3CDTF">2018-07-19T07:45:42Z</dcterms:modified>
</cp:coreProperties>
</file>