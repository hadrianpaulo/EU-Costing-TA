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DESKTOP FILES\FINAL OUTPUT\"/>
    </mc:Choice>
  </mc:AlternateContent>
  <workbookProtection workbookAlgorithmName="SHA-512" workbookHashValue="lo6OkxukKcmKoiyAVK1PtrBkJMiAnN4qjTbwDp72kXByjjTxqjXM1Q1C+KuGSEF0cDuhScNs9DATA99RBJndPQ==" workbookSaltValue="EJLqL1wLxGvYa+IvtzdMxg==" workbookSpinCount="100000" lockStructure="1"/>
  <bookViews>
    <workbookView xWindow="0" yWindow="0" windowWidth="20385" windowHeight="7935" tabRatio="871" activeTab="1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62913"/>
</workbook>
</file>

<file path=xl/calcChain.xml><?xml version="1.0" encoding="utf-8"?>
<calcChain xmlns="http://schemas.openxmlformats.org/spreadsheetml/2006/main">
  <c r="J14" i="14" l="1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13" i="14"/>
  <c r="J203" i="14" l="1"/>
  <c r="DX14" i="14"/>
  <c r="DX15" i="14"/>
  <c r="DX16" i="14"/>
  <c r="DX17" i="14"/>
  <c r="DX18" i="14"/>
  <c r="DX19" i="14"/>
  <c r="DX20" i="14"/>
  <c r="DX21" i="14"/>
  <c r="DX22" i="14"/>
  <c r="DX23" i="14"/>
  <c r="DX24" i="14"/>
  <c r="DX25" i="14"/>
  <c r="DX26" i="14"/>
  <c r="DX27" i="14"/>
  <c r="DX28" i="14"/>
  <c r="DX29" i="14"/>
  <c r="DX30" i="14"/>
  <c r="DX31" i="14"/>
  <c r="DX32" i="14"/>
  <c r="DX33" i="14"/>
  <c r="DX34" i="14"/>
  <c r="DX35" i="14"/>
  <c r="DX36" i="14"/>
  <c r="DX37" i="14"/>
  <c r="DX38" i="14"/>
  <c r="DX39" i="14"/>
  <c r="DX40" i="14"/>
  <c r="DX41" i="14"/>
  <c r="DX42" i="14"/>
  <c r="DX43" i="14"/>
  <c r="DX44" i="14"/>
  <c r="DX45" i="14"/>
  <c r="DX46" i="14"/>
  <c r="DX47" i="14"/>
  <c r="DX48" i="14"/>
  <c r="DX49" i="14"/>
  <c r="DX50" i="14"/>
  <c r="DX51" i="14"/>
  <c r="DX52" i="14"/>
  <c r="DX53" i="14"/>
  <c r="DX54" i="14"/>
  <c r="DX55" i="14"/>
  <c r="DX56" i="14"/>
  <c r="DX57" i="14"/>
  <c r="DX58" i="14"/>
  <c r="DX59" i="14"/>
  <c r="DX60" i="14"/>
  <c r="DX61" i="14"/>
  <c r="DX62" i="14"/>
  <c r="DX63" i="14"/>
  <c r="DX64" i="14"/>
  <c r="DX65" i="14"/>
  <c r="DX66" i="14"/>
  <c r="DX67" i="14"/>
  <c r="DX68" i="14"/>
  <c r="DX69" i="14"/>
  <c r="DX70" i="14"/>
  <c r="DX71" i="14"/>
  <c r="DX72" i="14"/>
  <c r="DX73" i="14"/>
  <c r="DX74" i="14"/>
  <c r="DX75" i="14"/>
  <c r="DX76" i="14"/>
  <c r="DX77" i="14"/>
  <c r="DX78" i="14"/>
  <c r="DX79" i="14"/>
  <c r="DX80" i="14"/>
  <c r="DX81" i="14"/>
  <c r="DX82" i="14"/>
  <c r="DX83" i="14"/>
  <c r="DX84" i="14"/>
  <c r="DX85" i="14"/>
  <c r="DX86" i="14"/>
  <c r="DX87" i="14"/>
  <c r="DX88" i="14"/>
  <c r="DX89" i="14"/>
  <c r="DX90" i="14"/>
  <c r="DX91" i="14"/>
  <c r="DX92" i="14"/>
  <c r="DX93" i="14"/>
  <c r="DX94" i="14"/>
  <c r="DX95" i="14"/>
  <c r="DX96" i="14"/>
  <c r="DX97" i="14"/>
  <c r="DX98" i="14"/>
  <c r="DX99" i="14"/>
  <c r="DX100" i="14"/>
  <c r="DX101" i="14"/>
  <c r="DX102" i="14"/>
  <c r="DX103" i="14"/>
  <c r="DX104" i="14"/>
  <c r="DX105" i="14"/>
  <c r="DX106" i="14"/>
  <c r="DX107" i="14"/>
  <c r="DX108" i="14"/>
  <c r="DX109" i="14"/>
  <c r="DX110" i="14"/>
  <c r="DX111" i="14"/>
  <c r="DX112" i="14"/>
  <c r="DX113" i="14"/>
  <c r="DX114" i="14"/>
  <c r="DX115" i="14"/>
  <c r="DX116" i="14"/>
  <c r="DX117" i="14"/>
  <c r="DX118" i="14"/>
  <c r="DX119" i="14"/>
  <c r="DX120" i="14"/>
  <c r="DX121" i="14"/>
  <c r="DX122" i="14"/>
  <c r="DX123" i="14"/>
  <c r="DX124" i="14"/>
  <c r="DX125" i="14"/>
  <c r="DX126" i="14"/>
  <c r="DX127" i="14"/>
  <c r="DX128" i="14"/>
  <c r="DX129" i="14"/>
  <c r="DX130" i="14"/>
  <c r="DX131" i="14"/>
  <c r="DX132" i="14"/>
  <c r="DX133" i="14"/>
  <c r="DX134" i="14"/>
  <c r="DX135" i="14"/>
  <c r="DX136" i="14"/>
  <c r="DX137" i="14"/>
  <c r="DX138" i="14"/>
  <c r="DX139" i="14"/>
  <c r="DX140" i="14"/>
  <c r="DX141" i="14"/>
  <c r="DX142" i="14"/>
  <c r="DX143" i="14"/>
  <c r="DX144" i="14"/>
  <c r="DX146" i="14"/>
  <c r="DX147" i="14"/>
  <c r="DX148" i="14"/>
  <c r="DX149" i="14"/>
  <c r="DX150" i="14"/>
  <c r="DX151" i="14"/>
  <c r="DX152" i="14"/>
  <c r="DX153" i="14"/>
  <c r="DX154" i="14"/>
  <c r="DX155" i="14"/>
  <c r="DX156" i="14"/>
  <c r="DX157" i="14"/>
  <c r="DX158" i="14"/>
  <c r="DX159" i="14"/>
  <c r="DX160" i="14"/>
  <c r="DX161" i="14"/>
  <c r="DX162" i="14"/>
  <c r="DX163" i="14"/>
  <c r="DX164" i="14"/>
  <c r="DX165" i="14"/>
  <c r="DX166" i="14"/>
  <c r="DX167" i="14"/>
  <c r="DX168" i="14"/>
  <c r="DX169" i="14"/>
  <c r="DX170" i="14"/>
  <c r="DX171" i="14"/>
  <c r="DX172" i="14"/>
  <c r="DX173" i="14"/>
  <c r="DX174" i="14"/>
  <c r="DX175" i="14"/>
  <c r="DX176" i="14"/>
  <c r="DX177" i="14"/>
  <c r="DX178" i="14"/>
  <c r="DX179" i="14"/>
  <c r="DX180" i="14"/>
  <c r="DX181" i="14"/>
  <c r="DX182" i="14"/>
  <c r="DX183" i="14"/>
  <c r="DX184" i="14"/>
  <c r="DX185" i="14"/>
  <c r="DX186" i="14"/>
  <c r="DX187" i="14"/>
  <c r="DX188" i="14"/>
  <c r="DX189" i="14"/>
  <c r="DX190" i="14"/>
  <c r="DX191" i="14"/>
  <c r="DX192" i="14"/>
  <c r="DX193" i="14"/>
  <c r="DX194" i="14"/>
  <c r="DX195" i="14"/>
  <c r="DX196" i="14"/>
  <c r="DX197" i="14"/>
  <c r="DX198" i="14"/>
  <c r="DX199" i="14"/>
  <c r="DX200" i="14"/>
  <c r="DX201" i="14"/>
  <c r="DX202" i="14"/>
  <c r="DX13" i="14"/>
  <c r="DX203" i="14" l="1"/>
  <c r="I14" i="14" l="1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13" i="14"/>
  <c r="I203" i="14" l="1"/>
</calcChain>
</file>

<file path=xl/sharedStrings.xml><?xml version="1.0" encoding="utf-8"?>
<sst xmlns="http://schemas.openxmlformats.org/spreadsheetml/2006/main" count="1147" uniqueCount="450">
  <si>
    <t>Drugs,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</si>
  <si>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monetary value of total consumption of Drugs, medicines and Medical supplies used by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</si>
  <si>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Chief Pharmacist/Pharmacist/Pharmacy assistant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</si>
  <si>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</si>
  <si>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Time period covered: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</si>
  <si>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</si>
  <si>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rPr>
        <b/>
        <sz val="11"/>
        <color rgb="FF000000"/>
        <rFont val="Arial Narrow"/>
        <family val="2"/>
      </rP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</si>
  <si>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Classification of Hospital Departments</t>
  </si>
  <si>
    <t>Departments</t>
  </si>
  <si>
    <t>Costs / Amount of consumption value (peso)</t>
  </si>
  <si>
    <t>Drugs and medicines</t>
  </si>
  <si>
    <t>Medical supplies and consumables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</si>
  <si>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</si>
  <si>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</si>
  <si>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</si>
  <si>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</si>
  <si>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</si>
  <si>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</si>
  <si>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</si>
  <si>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</si>
  <si>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</si>
  <si>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</si>
  <si>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</si>
  <si>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</si>
  <si>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</si>
  <si>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</si>
  <si>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</si>
  <si>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</si>
  <si>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</si>
  <si>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</si>
  <si>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</si>
  <si>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</si>
  <si>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</si>
  <si>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</si>
  <si>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</si>
  <si>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</si>
  <si>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</si>
  <si>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</si>
  <si>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</si>
  <si>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</si>
  <si>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</si>
  <si>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</si>
  <si>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</si>
  <si>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</si>
  <si>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</si>
  <si>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</si>
  <si>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</si>
  <si>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</si>
  <si>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</si>
  <si>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</si>
  <si>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</si>
  <si>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</si>
  <si>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</si>
  <si>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</si>
  <si>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</si>
  <si>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</si>
  <si>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</si>
  <si>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</si>
  <si>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</si>
  <si>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</si>
  <si>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</si>
  <si>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</si>
  <si>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</si>
  <si>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</si>
  <si>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</si>
  <si>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</si>
  <si>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</si>
  <si>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</si>
  <si>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</si>
  <si>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</si>
  <si>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</si>
  <si>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</si>
  <si>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</si>
  <si>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</si>
  <si>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</si>
  <si>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</si>
  <si>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</si>
  <si>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</si>
  <si>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</si>
  <si>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</si>
  <si>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</si>
  <si>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Drugs and Medicines Consumption</t>
  </si>
  <si>
    <t># Drugs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</si>
  <si>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</si>
  <si>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</si>
  <si>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</si>
  <si>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</si>
  <si>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Generic Name (Brand Name)</t>
  </si>
  <si>
    <t>Dosage Strength</t>
  </si>
  <si>
    <t>Volume</t>
  </si>
  <si>
    <t>Dosage Form</t>
  </si>
  <si>
    <t>Unit Acquisition Cost</t>
  </si>
  <si>
    <t>Total Number of Units Dispensed</t>
  </si>
  <si>
    <t>tablet</t>
  </si>
  <si>
    <t>Medical Supplies and Consumables</t>
  </si>
  <si>
    <t># Supplies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</si>
  <si>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</si>
  <si>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</si>
  <si>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Supply, consumable Name and Item Description</t>
  </si>
  <si>
    <t>Packaging/Unit of measure</t>
  </si>
  <si>
    <t>Clonidine</t>
  </si>
  <si>
    <t>150mg</t>
  </si>
  <si>
    <t xml:space="preserve">Tetatnus Toxoid </t>
  </si>
  <si>
    <t>40iu</t>
  </si>
  <si>
    <t>ampule</t>
  </si>
  <si>
    <t>.5ml</t>
  </si>
  <si>
    <t>Co-amoxiclav</t>
  </si>
  <si>
    <t>625mg</t>
  </si>
  <si>
    <t>Atorvastatin</t>
  </si>
  <si>
    <t>40mg</t>
  </si>
  <si>
    <t>50mg</t>
  </si>
  <si>
    <t>60mg</t>
  </si>
  <si>
    <t>80mg</t>
  </si>
  <si>
    <t xml:space="preserve">Amlodipine </t>
  </si>
  <si>
    <t>10mg</t>
  </si>
  <si>
    <t>Omeprazole</t>
  </si>
  <si>
    <t>vial</t>
  </si>
  <si>
    <t>salbutamol+Ipratropium</t>
  </si>
  <si>
    <t>2.5mg/500mcg</t>
  </si>
  <si>
    <t>nebule</t>
  </si>
  <si>
    <t>Celecoxib</t>
  </si>
  <si>
    <t>200mg</t>
  </si>
  <si>
    <t>Ketamine</t>
  </si>
  <si>
    <t>50mg/ml</t>
  </si>
  <si>
    <t>Furosemide</t>
  </si>
  <si>
    <t>Metoprolol</t>
  </si>
  <si>
    <t>Clopidogrel</t>
  </si>
  <si>
    <t>75mg</t>
  </si>
  <si>
    <t>Diazepam</t>
  </si>
  <si>
    <t>5mg/ml</t>
  </si>
  <si>
    <t>2ml</t>
  </si>
  <si>
    <t>Vitamin B complex</t>
  </si>
  <si>
    <t>100mg</t>
  </si>
  <si>
    <t>Cefaclor</t>
  </si>
  <si>
    <t>20ml</t>
  </si>
  <si>
    <t>bottle</t>
  </si>
  <si>
    <t>Paracetamol</t>
  </si>
  <si>
    <t>100mg/ml</t>
  </si>
  <si>
    <t>15ml</t>
  </si>
  <si>
    <t>Phenylpropanolamine</t>
  </si>
  <si>
    <t>Dextrose 50% 50%</t>
  </si>
  <si>
    <t>50ml</t>
  </si>
  <si>
    <t>250mg/5ml</t>
  </si>
  <si>
    <t>60ml</t>
  </si>
  <si>
    <t xml:space="preserve">Cefalexin </t>
  </si>
  <si>
    <t>500mg</t>
  </si>
  <si>
    <t>capsule</t>
  </si>
  <si>
    <t xml:space="preserve">Mefenamic </t>
  </si>
  <si>
    <t>lidocaine</t>
  </si>
  <si>
    <t>Phenylpronanolamine</t>
  </si>
  <si>
    <t>125mg/5ml</t>
  </si>
  <si>
    <t>Diosmin+hesperidin</t>
  </si>
  <si>
    <t>5mg</t>
  </si>
  <si>
    <t>Anti Tetanus Serum</t>
  </si>
  <si>
    <t>1500u</t>
  </si>
  <si>
    <t>Ketorolac</t>
  </si>
  <si>
    <t>30mg/ml</t>
  </si>
  <si>
    <t>1ml</t>
  </si>
  <si>
    <t>Ciprofloxacin</t>
  </si>
  <si>
    <t>Bacillus Clausii</t>
  </si>
  <si>
    <t>2billion/5ml</t>
  </si>
  <si>
    <t>Hyoscine N-butylbromide</t>
  </si>
  <si>
    <t>20mg/ml</t>
  </si>
  <si>
    <t>10ml</t>
  </si>
  <si>
    <t>Ampicillin</t>
  </si>
  <si>
    <t>Dextrose 5% in Lactated Ringers Soluiton</t>
  </si>
  <si>
    <t>1000ml</t>
  </si>
  <si>
    <t>Dexamethasone</t>
  </si>
  <si>
    <t>4mg/ml</t>
  </si>
  <si>
    <t>Amikacin Su;fate</t>
  </si>
  <si>
    <t>50mg/2ml</t>
  </si>
  <si>
    <t xml:space="preserve">0.9% Sodium Chloride </t>
  </si>
  <si>
    <t>Insulin 70/30</t>
  </si>
  <si>
    <t>Tramadol</t>
  </si>
  <si>
    <t>Cefepime</t>
  </si>
  <si>
    <t>1gm</t>
  </si>
  <si>
    <t>Azithromycin Dihydrate</t>
  </si>
  <si>
    <t xml:space="preserve">Paracetamol </t>
  </si>
  <si>
    <t>150mg/ml</t>
  </si>
  <si>
    <t>cefoxitin</t>
  </si>
  <si>
    <t>Multivitamins+Minerals</t>
  </si>
  <si>
    <t>Amoxicillin</t>
  </si>
  <si>
    <t xml:space="preserve">Amoxicillin </t>
  </si>
  <si>
    <t>Oxytocin</t>
  </si>
  <si>
    <t>10u</t>
  </si>
  <si>
    <t>Methylergometrine</t>
  </si>
  <si>
    <t>125mcg</t>
  </si>
  <si>
    <t>Multivitamins+Iron</t>
  </si>
  <si>
    <t>Phytomenadione</t>
  </si>
  <si>
    <t>10mg/ml</t>
  </si>
  <si>
    <t>Monobasic Sodium Phosphate+Dibasic Sodium Phosphate</t>
  </si>
  <si>
    <t>19g/78/118ml</t>
  </si>
  <si>
    <t>Gliclazide</t>
  </si>
  <si>
    <t>Metformin</t>
  </si>
  <si>
    <t xml:space="preserve">Dextrose 5% in Water </t>
  </si>
  <si>
    <t>500ml</t>
  </si>
  <si>
    <t>Hydralazine</t>
  </si>
  <si>
    <t>Citicilone</t>
  </si>
  <si>
    <t>250mg/4ml</t>
  </si>
  <si>
    <t>Mannitol</t>
  </si>
  <si>
    <t>Amino Acids</t>
  </si>
  <si>
    <t>Carbocisteine</t>
  </si>
  <si>
    <t>Dextrose 55 in 0.3% Sodium Chloride</t>
  </si>
  <si>
    <t>2mg/ml</t>
  </si>
  <si>
    <t>100ml</t>
  </si>
  <si>
    <t xml:space="preserve">cefuroxime </t>
  </si>
  <si>
    <t>750mg</t>
  </si>
  <si>
    <t>Sterile Water for Injection</t>
  </si>
  <si>
    <t>Ketoanalogues+Essential Amino Acids</t>
  </si>
  <si>
    <t>600mg</t>
  </si>
  <si>
    <t>75mcg</t>
  </si>
  <si>
    <t>Ceftriaxone</t>
  </si>
  <si>
    <t>Oxacillin</t>
  </si>
  <si>
    <t>Vitamin B Complex+Vitamin C</t>
  </si>
  <si>
    <t>salbutamol</t>
  </si>
  <si>
    <t>1mg/ml</t>
  </si>
  <si>
    <t>Dextrose 5%in water</t>
  </si>
  <si>
    <t xml:space="preserve">Hydrocortisone </t>
  </si>
  <si>
    <t>Metronidazole</t>
  </si>
  <si>
    <t>500mg/ml</t>
  </si>
  <si>
    <t>Lactated Ringers Solution</t>
  </si>
  <si>
    <t>Diphenhydramine</t>
  </si>
  <si>
    <t>Acetylcisteine</t>
  </si>
  <si>
    <t>Butamirate Citrate</t>
  </si>
  <si>
    <t>Montelukast</t>
  </si>
  <si>
    <t xml:space="preserve">Ampicillin + Sulbactam </t>
  </si>
  <si>
    <t>500mg/250mg</t>
  </si>
  <si>
    <t xml:space="preserve">Cefuroxime </t>
  </si>
  <si>
    <t xml:space="preserve">Losartan </t>
  </si>
  <si>
    <t>syrup</t>
  </si>
  <si>
    <t>suspension</t>
  </si>
  <si>
    <t>12.5mg/ml</t>
  </si>
  <si>
    <t>Cetirizine</t>
  </si>
  <si>
    <t>2.5mg/ml</t>
  </si>
  <si>
    <t>Metoclopramide</t>
  </si>
  <si>
    <t>5mg/2ml</t>
  </si>
  <si>
    <t>Budesonide</t>
  </si>
  <si>
    <t>250mg/ml</t>
  </si>
  <si>
    <t>250mcg/ml</t>
  </si>
  <si>
    <t>Oral Rehydrating Salts</t>
  </si>
  <si>
    <t>5.5g</t>
  </si>
  <si>
    <t>powder</t>
  </si>
  <si>
    <t>Zinc Syrup</t>
  </si>
  <si>
    <t>55mg/5ml</t>
  </si>
  <si>
    <t>Domperidone</t>
  </si>
  <si>
    <t xml:space="preserve">Ambroxol </t>
  </si>
  <si>
    <t>15mg/5ml</t>
  </si>
  <si>
    <t>Salbutamol</t>
  </si>
  <si>
    <t>2mg/5ml</t>
  </si>
  <si>
    <t>Prednisone</t>
  </si>
  <si>
    <t>20mg</t>
  </si>
  <si>
    <t>250mg</t>
  </si>
  <si>
    <t>2mg</t>
  </si>
  <si>
    <t>Morphine Sulfate</t>
  </si>
  <si>
    <t>Nalbuphine</t>
  </si>
  <si>
    <t xml:space="preserve">Betahistine </t>
  </si>
  <si>
    <t>16mg</t>
  </si>
  <si>
    <t>Cinnarizine</t>
  </si>
  <si>
    <t>25mg</t>
  </si>
  <si>
    <t>Silver Sulfadiazine</t>
  </si>
  <si>
    <t>20gm</t>
  </si>
  <si>
    <t>ointment</t>
  </si>
  <si>
    <t>Mupirocin</t>
  </si>
  <si>
    <t>2% 5g</t>
  </si>
  <si>
    <t>ointment`</t>
  </si>
  <si>
    <t>Phenylppropanolamine</t>
  </si>
  <si>
    <t>325mg</t>
  </si>
  <si>
    <t>Trimetazidine</t>
  </si>
  <si>
    <t>35mg</t>
  </si>
  <si>
    <t>312mg/5ml</t>
  </si>
  <si>
    <t>Cloxacillin</t>
  </si>
  <si>
    <t>Ascorbic Acid</t>
  </si>
  <si>
    <t>Mefenamic Acid</t>
  </si>
  <si>
    <t>Ranitidine</t>
  </si>
  <si>
    <t>25mg/ml</t>
  </si>
  <si>
    <t>Chlorphenamine</t>
  </si>
  <si>
    <t>Hyosine N- Butylbromide</t>
  </si>
  <si>
    <t>Loperamide</t>
  </si>
  <si>
    <t>Diclofenac Sodium</t>
  </si>
  <si>
    <t xml:space="preserve">Telmisartan </t>
  </si>
  <si>
    <t>Potassium Chloride</t>
  </si>
  <si>
    <t>2meq/ml</t>
  </si>
  <si>
    <t>Cefoxitin</t>
  </si>
  <si>
    <t>Glibenclamide</t>
  </si>
  <si>
    <t>Epinephrine Hydrochloride</t>
  </si>
  <si>
    <t>Bupivacaine Heavy</t>
  </si>
  <si>
    <t>Midazolam</t>
  </si>
  <si>
    <t>5mg/1ml</t>
  </si>
  <si>
    <t>Promethazine</t>
  </si>
  <si>
    <t>Methylergometrine Maleate</t>
  </si>
  <si>
    <t>200mcg/ml</t>
  </si>
  <si>
    <t>Ephedrine Sulfate</t>
  </si>
  <si>
    <t>Balanced Multiple Maintenance Solution with 5% Dextrose</t>
  </si>
  <si>
    <t>Aspirin</t>
  </si>
  <si>
    <t>Isosorbide Mononitrate</t>
  </si>
  <si>
    <t>Co-Trimoxazole</t>
  </si>
  <si>
    <t>200mg/40mg/5ml</t>
  </si>
  <si>
    <t>Ibuprofen</t>
  </si>
  <si>
    <t>200mg/5ml</t>
  </si>
  <si>
    <t>Etoricoxib</t>
  </si>
  <si>
    <t>120mg</t>
  </si>
  <si>
    <t>Tranexamic Acid</t>
  </si>
  <si>
    <t>Hydroxyzine</t>
  </si>
  <si>
    <t>Methyldopa</t>
  </si>
  <si>
    <t>Isoxuprine Hydrochloride</t>
  </si>
  <si>
    <t>Dydrogesterone</t>
  </si>
  <si>
    <t>Isosorbide Dinitrate</t>
  </si>
  <si>
    <t>Terbutaline</t>
  </si>
  <si>
    <t>Nitroglycein</t>
  </si>
  <si>
    <t>patch</t>
  </si>
  <si>
    <t>Gentamicin</t>
  </si>
  <si>
    <t>40mg/ml</t>
  </si>
  <si>
    <t>10% Dextrose in Water</t>
  </si>
  <si>
    <t>Clarithromycin</t>
  </si>
  <si>
    <t>Nicardipine</t>
  </si>
  <si>
    <t>10mg/10ml</t>
  </si>
  <si>
    <t>Bisacodyl</t>
  </si>
  <si>
    <t>suppository</t>
  </si>
  <si>
    <t>Doxofylline</t>
  </si>
  <si>
    <t>400mg</t>
  </si>
  <si>
    <t>Glimepiride</t>
  </si>
  <si>
    <t>4mg</t>
  </si>
  <si>
    <t>500mg/5ml</t>
  </si>
  <si>
    <t>Evening Primrose</t>
  </si>
  <si>
    <t>300mg</t>
  </si>
  <si>
    <t>Captopril</t>
  </si>
  <si>
    <t>Magnesium Sulfate</t>
  </si>
  <si>
    <t>Insulin Glargine</t>
  </si>
  <si>
    <t>100IU/ml</t>
  </si>
  <si>
    <t>Insulin Isophane (Human)</t>
  </si>
  <si>
    <t>Citicholine</t>
  </si>
  <si>
    <t>125mg</t>
  </si>
  <si>
    <t>Simvastatin</t>
  </si>
  <si>
    <t>Vildagliptin</t>
  </si>
  <si>
    <t>Linagliptin</t>
  </si>
  <si>
    <t>Dicycloverine Hydrochloride</t>
  </si>
  <si>
    <t>10mg/5ml</t>
  </si>
  <si>
    <t>100mg/5ml</t>
  </si>
  <si>
    <t>Paracetamol + Tramadol Hcl</t>
  </si>
  <si>
    <t>325mg/37.5mg</t>
  </si>
  <si>
    <t>Sambong (Blumea Balsamifera)</t>
  </si>
  <si>
    <t>Carvedilol</t>
  </si>
  <si>
    <t>6.25mg</t>
  </si>
  <si>
    <t>Atropine</t>
  </si>
  <si>
    <t>Nifedipine</t>
  </si>
  <si>
    <t>400mcg</t>
  </si>
  <si>
    <t>Tamsulosin Hydrochloride</t>
  </si>
  <si>
    <t>21 May to 25 May 2018</t>
  </si>
  <si>
    <t>abd'l,ABD'L BINDER med.(BIO)</t>
  </si>
  <si>
    <t>pc</t>
  </si>
  <si>
    <t>abd'l,ABD'L BINDER xl(BIO)</t>
  </si>
  <si>
    <t>arm sling,arm sling large(bio)new</t>
  </si>
  <si>
    <t>arm sling,ARM SLING MED.(bio)</t>
  </si>
  <si>
    <t>arm sling,arm sling medium(bio)new</t>
  </si>
  <si>
    <t>arm sling,arm sling small(bio)new</t>
  </si>
  <si>
    <t>armsling,ARM SLING xl(BIO)</t>
  </si>
  <si>
    <t>arm sling,arm sling xl(bio)new</t>
  </si>
  <si>
    <t>BETADINE 60ml,povidone iodine 60ml(bio)</t>
  </si>
  <si>
    <t>bot</t>
  </si>
  <si>
    <t>BUTTERFLY,BUTTERFLY G-25(BIO)</t>
  </si>
  <si>
    <t>cervical collar,CERVICAL COLLAR med.(BIO)</t>
  </si>
  <si>
    <t>cervical collar,CERVICAL COLLAR small(BIO)</t>
  </si>
  <si>
    <t>JACKSONSPRATT,jackson pratt(BIO)</t>
  </si>
  <si>
    <t>STAPLER,SKIN STAPLER(BIO)</t>
  </si>
  <si>
    <t>THERMOMETER,DIGITAL THERMOMETER(BIO)</t>
  </si>
  <si>
    <t>Chromic,CHROMIC 1(ERLN)</t>
  </si>
  <si>
    <t>Chromic,CHROMIC 3.0(ERLN)</t>
  </si>
  <si>
    <t>MASK,DISPOSABLE MASK(ERLN)</t>
  </si>
  <si>
    <t>MASK,oxygen pedia(erln)</t>
  </si>
  <si>
    <t>NGT,NASO GASTRIC FEEDING TUBE F.10(ERLN)</t>
  </si>
  <si>
    <t>NGT,NASO GASTRIC FEEDING TUBE F.8(ERLN)</t>
  </si>
  <si>
    <t>RAZOR,DISPOSABLE RAZOR BLADE(ERLN)</t>
  </si>
  <si>
    <t>SURGICAL BLADE,Feather Surg.Blade#10(ERLN)</t>
  </si>
  <si>
    <t>T.TUBE size 16,t.tube size 16 (ERLN)</t>
  </si>
  <si>
    <t>BLOODTRANSFUSSION SET</t>
  </si>
  <si>
    <t>EXAM GLOVES,GLOVES UNSTERILE MEDIUM(MCT)</t>
  </si>
  <si>
    <t>supratulle gauze,para-tulle dressing</t>
  </si>
  <si>
    <t>SYRINGE,10cc SYR(MCT)</t>
  </si>
  <si>
    <t>SYRINGE,1cc SYR(MCT)</t>
  </si>
  <si>
    <t>SYRINGE,20cc SYRINGE(MCT)</t>
  </si>
  <si>
    <t>SYRINGE,3cc SYR (MCT)</t>
  </si>
  <si>
    <t>SYRINGE,5cc SYR (MCT)</t>
  </si>
  <si>
    <t>BEDPAN</t>
  </si>
  <si>
    <t>CAP,DISPOSABLE CAP(ME)</t>
  </si>
  <si>
    <t>Cutasept F,Cutasept F(100/5ML)(ME)</t>
  </si>
  <si>
    <t>ml</t>
  </si>
  <si>
    <t>Plaster of Paris ,plaster of paris(medicel)</t>
  </si>
  <si>
    <t>Specimen cup(ME),specimen cup (ME)</t>
  </si>
  <si>
    <t>SYRINGE,ASEPTO SYRINGE (ME)</t>
  </si>
  <si>
    <t>penrose drain 1/2,penrosedrain1/2(PHP)</t>
  </si>
  <si>
    <t>tongue deppressor,tongue deppressor(php)</t>
  </si>
  <si>
    <t>Choromic,CHROMIC 2.0 W/ROUND NEEDLE (PHP)</t>
  </si>
  <si>
    <t>Chromic,CHROMIC 2.0 DOUBLE ARM CUTTING(PHP)</t>
  </si>
  <si>
    <t>E.T Tube,E.T TUBE 3.0(PHP)</t>
  </si>
  <si>
    <t>E.T Tube,E.T TUBE 3.5(PHP)</t>
  </si>
  <si>
    <t>E.T Tube,E.T TUBE 4.0(PHP)</t>
  </si>
  <si>
    <t>E.T Tube,E.T TUBE 5.0(PHP)</t>
  </si>
  <si>
    <t>E.T Tube,E.T TUBE 7.0(PHP)</t>
  </si>
  <si>
    <t>E.T Tube,E.T TUBE 7.5(PHP)</t>
  </si>
  <si>
    <t>Elastic Bandage, ELASTIC BANDAGE 3"(PHP)</t>
  </si>
  <si>
    <t>EPIDURAL MINIPACK,EPIDURAL MINIPACK</t>
  </si>
  <si>
    <t>HEPLOCK,HEPLOCK(PHP)</t>
  </si>
  <si>
    <t>MASK,OXYGEN MASK ADULT(PHP)</t>
  </si>
  <si>
    <t>NASAL cannula,NASAL CANNULA ADULT (PHP)</t>
  </si>
  <si>
    <t>NASAL cannula,NASAL CANNULA PEDIA(PHP)</t>
  </si>
  <si>
    <t>NASAL Cannula,NEONATAL CANNULA (PHP)</t>
  </si>
  <si>
    <t>NYLON,NYLON 4-0 CUTTING NEEDLE(PHP)</t>
  </si>
  <si>
    <t>OS,OS(PHP)</t>
  </si>
  <si>
    <t>PACK,ABDOMINAL PACK ADULT(PHP)</t>
  </si>
  <si>
    <t>PLASTER,Adhessive plaster(php)</t>
  </si>
  <si>
    <t>PLASTER,LEUKOPLAST(PHP)</t>
  </si>
  <si>
    <t>SUCTION TIP,Suction Set yankuer F 24(PHP)</t>
  </si>
  <si>
    <t>SUCTION TIP,SUCTION TIP F 8(PHP)</t>
  </si>
  <si>
    <t>SYRINGE,INSULIN SYRINGE0.5ML(PHP)</t>
  </si>
  <si>
    <t>Wadding sheet,WADDING SHEET(PHP)</t>
  </si>
  <si>
    <t>HEMOSTAT,ABSORBABLE SURGICEL NUKNIT3X4(PC)</t>
  </si>
  <si>
    <t>HERNIA KIT,PROLENE HERNIA KIT(PCC)</t>
  </si>
  <si>
    <t>pack</t>
  </si>
  <si>
    <t>NSD KIT,NSD KIT(PCC)</t>
  </si>
  <si>
    <t>polyglycolic,VICRYL 1(PCC)</t>
  </si>
  <si>
    <t>polyglycolic,VICRYL 2-0(PCC)</t>
  </si>
  <si>
    <t>poluglycolic,VICRYL 3.0(PCC)</t>
  </si>
  <si>
    <t>SILK,SILK 1 (PCC)</t>
  </si>
  <si>
    <t>SILK 2-O Cutting</t>
  </si>
  <si>
    <t>SILK,SILK3.0 (PCC)</t>
  </si>
  <si>
    <t>SILK,SILK 4.0 black braided cuttinf (pcc)</t>
  </si>
  <si>
    <t>Surgical Gloves,STERILE GLOVES 6.5 (PCC)</t>
  </si>
  <si>
    <t>Surgical Gloves,STERILE GLOVES 7.0 (PCC)</t>
  </si>
  <si>
    <t>Surgical Gloves,STERILE GLOVES 7.5 (PCC)</t>
  </si>
  <si>
    <t>I.V Cannula,IV CATHETER G 20 (PA)</t>
  </si>
  <si>
    <t>I.V Cannula,IV CATHETER G 22 (PA)</t>
  </si>
  <si>
    <t>I.V Cannula,IV CATHETER G 24 (PA)</t>
  </si>
  <si>
    <t>I.V Cannula,IV CATHETER G 26 (PA)</t>
  </si>
  <si>
    <t>I.V Cannula,IV CATHETER G 18 (PA)</t>
  </si>
  <si>
    <t>Macroset,IV SET ADULT (PA)</t>
  </si>
  <si>
    <t>URINE BAG ADULT,URINE BAG (PA)</t>
  </si>
  <si>
    <t>URINE BAG ADULT,(PA)wee bag pedia</t>
  </si>
  <si>
    <t>microset IV SET PEDIA</t>
  </si>
  <si>
    <t>Elastic Bandage, ELASTIC BANDAGE 6"(SANVEN)</t>
  </si>
  <si>
    <t>PLAIN 2.0,Plain2-0 new (SA)</t>
  </si>
  <si>
    <t>Catheter,3 way foleycath.F-22</t>
  </si>
  <si>
    <t>Catheter, foleycath.F-16 (stx)</t>
  </si>
  <si>
    <t>Catheter , foley cath f-18 (stx)</t>
  </si>
  <si>
    <t>CORDCLAAMP,CORD CLAMP(STX)</t>
  </si>
  <si>
    <t>COTTON 2.0,SURGICAL COTTON 2.0(STX)</t>
  </si>
  <si>
    <t>ID Bracelet, ID BRACELET (STX)</t>
  </si>
  <si>
    <t>Lubricating Jelly,LUBRICATING JELLY 5gms.(STX)</t>
  </si>
  <si>
    <t>sachet</t>
  </si>
  <si>
    <t>MASK,VENTORI MASK (STX)</t>
  </si>
  <si>
    <t>NEBKIT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</si>
</sst>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>
    <font>
      <sz val="11"/>
      <color theme="1"/>
      <name val="Calibri"/>
      <charset val="134"/>
      <scheme val="minor"/>
    </font>
    <font>
      <sz val="10"/>
      <color theme="1"/>
      <name val="Arial Narrow"/>
      <family val="2"/>
    </font>
    <font>
      <b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4"/>
      <name val="Arial Narrow"/>
      <family val="2"/>
    </font>
    <font>
      <i/>
      <sz val="10"/>
      <color theme="1"/>
      <name val="Arial Narrow"/>
      <family val="2"/>
    </font>
    <font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1"/>
      <color rgb="FF000000"/>
      <name val="Arial Narrow"/>
      <family val="2"/>
    </font>
    <font>
      <b/>
      <sz val="11"/>
      <name val="Calibri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0000"/>
      <name val="Calibri"/>
      <family val="2"/>
    </font>
    <font>
      <sz val="11"/>
      <color theme="4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theme="1"/>
      <name val="Calibri"/>
      <family val="2"/>
      <scheme val="minor"/>
    </font>
    <font>
      <sz val="11"/>
      <color rgb="FF333333"/>
      <name val="Calibri"/>
      <family val="2"/>
    </font>
    <font>
      <sz val="11"/>
      <color rgb="FF0000FF"/>
      <name val="Calibri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164" fontId="19" fillId="0" borderId="0" applyFont="0" applyFill="0" applyBorder="0" applyAlignment="0" applyProtection="0"/>
    <xf numFmtId="0" fontId="15" fillId="0" borderId="0"/>
  </cellStyleXfs>
  <cellXfs count="11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0" borderId="0" xfId="0" applyFont="1" applyProtection="1"/>
    <xf numFmtId="0" fontId="1" fillId="0" borderId="0" xfId="0" applyFont="1" applyAlignment="1" applyProtection="1">
      <alignment horizont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2" borderId="0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2" fillId="2" borderId="4" xfId="0" applyFont="1" applyFill="1" applyBorder="1" applyAlignment="1">
      <alignment horizontal="left" wrapText="1"/>
    </xf>
    <xf numFmtId="0" fontId="5" fillId="3" borderId="6" xfId="0" applyFont="1" applyFill="1" applyBorder="1" applyAlignment="1">
      <alignment horizontal="center" wrapText="1"/>
    </xf>
    <xf numFmtId="0" fontId="6" fillId="0" borderId="0" xfId="0" applyFont="1"/>
    <xf numFmtId="0" fontId="4" fillId="0" borderId="0" xfId="0" applyFont="1" applyAlignment="1" applyProtection="1">
      <alignment horizontal="center" vertical="center"/>
    </xf>
    <xf numFmtId="0" fontId="3" fillId="4" borderId="6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 wrapText="1"/>
    </xf>
    <xf numFmtId="0" fontId="1" fillId="0" borderId="0" xfId="0" applyFont="1" applyAlignment="1" applyProtection="1">
      <alignment horizontal="center" vertical="top" wrapText="1"/>
    </xf>
    <xf numFmtId="0" fontId="7" fillId="2" borderId="6" xfId="2" applyFont="1" applyFill="1" applyBorder="1" applyAlignment="1">
      <alignment horizontal="left" vertical="center" wrapText="1"/>
    </xf>
    <xf numFmtId="0" fontId="1" fillId="0" borderId="13" xfId="0" applyFont="1" applyBorder="1"/>
    <xf numFmtId="0" fontId="8" fillId="3" borderId="13" xfId="0" applyFont="1" applyFill="1" applyBorder="1" applyAlignment="1" applyProtection="1">
      <alignment horizontal="left" vertical="top" wrapText="1"/>
      <protection locked="0"/>
    </xf>
    <xf numFmtId="164" fontId="8" fillId="3" borderId="13" xfId="1" applyFont="1" applyFill="1" applyBorder="1" applyProtection="1">
      <protection locked="0"/>
    </xf>
    <xf numFmtId="0" fontId="1" fillId="0" borderId="6" xfId="0" applyFont="1" applyBorder="1"/>
    <xf numFmtId="164" fontId="8" fillId="3" borderId="6" xfId="1" applyFont="1" applyFill="1" applyBorder="1" applyProtection="1">
      <protection locked="0"/>
    </xf>
    <xf numFmtId="0" fontId="10" fillId="2" borderId="6" xfId="2" applyFont="1" applyFill="1" applyBorder="1" applyAlignment="1">
      <alignment horizontal="left" vertical="center" wrapText="1"/>
    </xf>
    <xf numFmtId="0" fontId="4" fillId="0" borderId="0" xfId="0" applyFont="1" applyAlignment="1" applyProtection="1">
      <alignment horizontal="center" vertical="center" wrapText="1"/>
    </xf>
    <xf numFmtId="0" fontId="9" fillId="2" borderId="6" xfId="2" applyFont="1" applyFill="1" applyBorder="1" applyAlignment="1">
      <alignment horizontal="left" vertical="center" wrapText="1"/>
    </xf>
    <xf numFmtId="0" fontId="13" fillId="4" borderId="0" xfId="0" applyFont="1" applyFill="1" applyProtection="1"/>
    <xf numFmtId="0" fontId="14" fillId="4" borderId="0" xfId="0" applyFont="1" applyFill="1" applyProtection="1"/>
    <xf numFmtId="0" fontId="1" fillId="4" borderId="0" xfId="0" applyFont="1" applyFill="1" applyProtection="1"/>
    <xf numFmtId="0" fontId="6" fillId="0" borderId="0" xfId="0" applyFont="1" applyProtection="1"/>
    <xf numFmtId="0" fontId="4" fillId="2" borderId="1" xfId="0" applyFont="1" applyFill="1" applyBorder="1" applyProtection="1"/>
    <xf numFmtId="0" fontId="1" fillId="2" borderId="2" xfId="0" applyFont="1" applyFill="1" applyBorder="1" applyProtection="1"/>
    <xf numFmtId="0" fontId="1" fillId="2" borderId="3" xfId="0" applyFont="1" applyFill="1" applyBorder="1" applyProtection="1"/>
    <xf numFmtId="0" fontId="4" fillId="2" borderId="4" xfId="0" applyFont="1" applyFill="1" applyBorder="1" applyProtection="1"/>
    <xf numFmtId="0" fontId="1" fillId="2" borderId="0" xfId="0" applyFont="1" applyFill="1" applyBorder="1" applyProtection="1"/>
    <xf numFmtId="0" fontId="1" fillId="2" borderId="5" xfId="0" applyFont="1" applyFill="1" applyBorder="1" applyProtection="1"/>
    <xf numFmtId="0" fontId="2" fillId="2" borderId="4" xfId="0" applyFont="1" applyFill="1" applyBorder="1" applyProtection="1"/>
    <xf numFmtId="0" fontId="5" fillId="3" borderId="6" xfId="0" applyFont="1" applyFill="1" applyBorder="1" applyAlignment="1" applyProtection="1">
      <alignment horizontal="center"/>
    </xf>
    <xf numFmtId="0" fontId="4" fillId="2" borderId="7" xfId="0" applyFont="1" applyFill="1" applyBorder="1" applyProtection="1"/>
    <xf numFmtId="0" fontId="1" fillId="2" borderId="8" xfId="0" applyFont="1" applyFill="1" applyBorder="1" applyProtection="1"/>
    <xf numFmtId="0" fontId="1" fillId="2" borderId="9" xfId="0" applyFont="1" applyFill="1" applyBorder="1" applyProtection="1"/>
    <xf numFmtId="0" fontId="3" fillId="4" borderId="6" xfId="0" applyFont="1" applyFill="1" applyBorder="1" applyAlignment="1" applyProtection="1">
      <alignment vertical="center"/>
    </xf>
    <xf numFmtId="0" fontId="2" fillId="4" borderId="6" xfId="0" applyFont="1" applyFill="1" applyBorder="1" applyAlignment="1" applyProtection="1">
      <alignment vertical="center"/>
    </xf>
    <xf numFmtId="0" fontId="2" fillId="4" borderId="6" xfId="0" applyFont="1" applyFill="1" applyBorder="1" applyAlignment="1" applyProtection="1">
      <alignment vertical="center" wrapText="1"/>
    </xf>
    <xf numFmtId="0" fontId="1" fillId="0" borderId="13" xfId="0" applyFont="1" applyBorder="1" applyProtection="1"/>
    <xf numFmtId="0" fontId="1" fillId="0" borderId="6" xfId="0" applyFont="1" applyBorder="1" applyProtection="1"/>
    <xf numFmtId="0" fontId="15" fillId="0" borderId="0" xfId="2" applyFont="1" applyAlignment="1" applyProtection="1"/>
    <xf numFmtId="0" fontId="2" fillId="0" borderId="0" xfId="0" applyFont="1" applyProtection="1"/>
    <xf numFmtId="0" fontId="3" fillId="0" borderId="0" xfId="0" applyFont="1" applyProtection="1"/>
    <xf numFmtId="0" fontId="4" fillId="2" borderId="2" xfId="0" applyFont="1" applyFill="1" applyBorder="1" applyProtection="1"/>
    <xf numFmtId="0" fontId="4" fillId="2" borderId="0" xfId="0" applyFont="1" applyFill="1" applyBorder="1" applyProtection="1"/>
    <xf numFmtId="0" fontId="16" fillId="3" borderId="6" xfId="0" applyFont="1" applyFill="1" applyBorder="1" applyAlignment="1" applyProtection="1">
      <alignment horizontal="center"/>
    </xf>
    <xf numFmtId="0" fontId="4" fillId="2" borderId="8" xfId="0" applyFont="1" applyFill="1" applyBorder="1" applyProtection="1"/>
    <xf numFmtId="0" fontId="17" fillId="0" borderId="0" xfId="0" applyFont="1" applyProtection="1"/>
    <xf numFmtId="0" fontId="11" fillId="2" borderId="0" xfId="0" applyFont="1" applyFill="1" applyBorder="1" applyAlignment="1" applyProtection="1">
      <alignment horizontal="left" vertical="center"/>
    </xf>
    <xf numFmtId="0" fontId="13" fillId="2" borderId="18" xfId="0" applyFont="1" applyFill="1" applyBorder="1" applyAlignment="1" applyProtection="1">
      <alignment horizontal="center" vertical="center" wrapText="1"/>
    </xf>
    <xf numFmtId="0" fontId="13" fillId="2" borderId="19" xfId="0" applyFont="1" applyFill="1" applyBorder="1" applyAlignment="1" applyProtection="1">
      <alignment horizontal="center" vertical="center" wrapText="1"/>
    </xf>
    <xf numFmtId="0" fontId="7" fillId="0" borderId="13" xfId="2" applyFont="1" applyBorder="1" applyAlignment="1" applyProtection="1"/>
    <xf numFmtId="0" fontId="7" fillId="0" borderId="6" xfId="2" applyFont="1" applyBorder="1" applyAlignment="1" applyProtection="1"/>
    <xf numFmtId="0" fontId="10" fillId="0" borderId="6" xfId="2" applyFont="1" applyBorder="1" applyAlignment="1" applyProtection="1"/>
    <xf numFmtId="0" fontId="7" fillId="0" borderId="6" xfId="2" applyFont="1" applyBorder="1" applyProtection="1"/>
    <xf numFmtId="0" fontId="7" fillId="0" borderId="20" xfId="2" applyFont="1" applyBorder="1" applyAlignment="1" applyProtection="1"/>
    <xf numFmtId="164" fontId="8" fillId="3" borderId="20" xfId="1" applyFont="1" applyFill="1" applyBorder="1" applyProtection="1">
      <protection locked="0"/>
    </xf>
    <xf numFmtId="0" fontId="9" fillId="0" borderId="6" xfId="2" applyFont="1" applyBorder="1" applyAlignment="1" applyProtection="1"/>
    <xf numFmtId="0" fontId="7" fillId="0" borderId="20" xfId="2" applyFont="1" applyBorder="1" applyProtection="1"/>
    <xf numFmtId="9" fontId="8" fillId="3" borderId="13" xfId="0" applyNumberFormat="1" applyFont="1" applyFill="1" applyBorder="1" applyAlignment="1" applyProtection="1">
      <alignment horizontal="left" vertical="top" wrapText="1"/>
      <protection locked="0"/>
    </xf>
    <xf numFmtId="10" fontId="8" fillId="3" borderId="13" xfId="0" applyNumberFormat="1" applyFont="1" applyFill="1" applyBorder="1" applyAlignment="1" applyProtection="1">
      <alignment horizontal="left" vertical="top" wrapText="1"/>
      <protection locked="0"/>
    </xf>
    <xf numFmtId="0" fontId="7" fillId="3" borderId="6" xfId="2" applyFont="1" applyFill="1" applyBorder="1" applyAlignment="1" applyProtection="1">
      <alignment horizontal="left" vertical="top"/>
    </xf>
    <xf numFmtId="0" fontId="9" fillId="3" borderId="6" xfId="2" applyFont="1" applyFill="1" applyBorder="1" applyAlignment="1" applyProtection="1">
      <alignment horizontal="left" vertical="top"/>
    </xf>
    <xf numFmtId="0" fontId="7" fillId="0" borderId="21" xfId="2" applyFont="1" applyBorder="1" applyAlignment="1" applyProtection="1">
      <alignment horizontal="left" vertical="top"/>
    </xf>
    <xf numFmtId="0" fontId="7" fillId="0" borderId="22" xfId="2" applyFont="1" applyBorder="1" applyAlignment="1" applyProtection="1">
      <alignment horizontal="left" vertical="top"/>
    </xf>
    <xf numFmtId="0" fontId="7" fillId="0" borderId="13" xfId="2" applyFont="1" applyBorder="1" applyAlignment="1" applyProtection="1">
      <alignment horizontal="left" vertical="top"/>
    </xf>
    <xf numFmtId="0" fontId="7" fillId="0" borderId="6" xfId="2" applyFont="1" applyBorder="1" applyAlignment="1" applyProtection="1">
      <alignment horizontal="left" vertical="top"/>
    </xf>
    <xf numFmtId="0" fontId="7" fillId="0" borderId="20" xfId="2" applyFont="1" applyBorder="1" applyAlignment="1" applyProtection="1">
      <alignment horizontal="left" vertical="top"/>
    </xf>
    <xf numFmtId="0" fontId="13" fillId="2" borderId="14" xfId="0" applyFont="1" applyFill="1" applyBorder="1" applyAlignment="1" applyProtection="1">
      <alignment horizontal="center" vertical="center"/>
    </xf>
    <xf numFmtId="0" fontId="13" fillId="2" borderId="17" xfId="0" applyFont="1" applyFill="1" applyBorder="1" applyAlignment="1" applyProtection="1">
      <alignment horizontal="center" vertical="center"/>
    </xf>
    <xf numFmtId="0" fontId="13" fillId="2" borderId="15" xfId="0" applyFont="1" applyFill="1" applyBorder="1" applyAlignment="1" applyProtection="1">
      <alignment horizontal="center" vertical="center" wrapText="1"/>
    </xf>
    <xf numFmtId="0" fontId="13" fillId="2" borderId="16" xfId="0" applyFont="1" applyFill="1" applyBorder="1" applyAlignment="1" applyProtection="1">
      <alignment horizontal="center" vertical="center" wrapText="1"/>
    </xf>
    <xf numFmtId="0" fontId="13" fillId="2" borderId="14" xfId="0" applyFont="1" applyFill="1" applyBorder="1" applyAlignment="1" applyProtection="1">
      <alignment horizontal="center" vertical="center" wrapText="1"/>
    </xf>
    <xf numFmtId="0" fontId="13" fillId="2" borderId="17" xfId="0" applyFont="1" applyFill="1" applyBorder="1" applyAlignment="1" applyProtection="1">
      <alignment horizontal="center" vertical="center" wrapText="1"/>
    </xf>
    <xf numFmtId="0" fontId="9" fillId="0" borderId="6" xfId="2" applyFont="1" applyBorder="1" applyAlignment="1" applyProtection="1">
      <alignment horizontal="left" vertical="top"/>
    </xf>
    <xf numFmtId="0" fontId="7" fillId="0" borderId="6" xfId="2" applyFont="1" applyBorder="1" applyAlignment="1" applyProtection="1">
      <alignment vertical="top"/>
    </xf>
    <xf numFmtId="0" fontId="9" fillId="0" borderId="6" xfId="2" applyFont="1" applyBorder="1" applyAlignment="1" applyProtection="1">
      <alignment vertical="top"/>
    </xf>
    <xf numFmtId="0" fontId="9" fillId="0" borderId="20" xfId="2" applyFont="1" applyBorder="1" applyAlignment="1" applyProtection="1">
      <alignment horizontal="left" vertical="top"/>
    </xf>
    <xf numFmtId="0" fontId="11" fillId="2" borderId="6" xfId="2" applyFont="1" applyFill="1" applyBorder="1" applyAlignment="1">
      <alignment horizontal="center" vertical="center" wrapText="1"/>
    </xf>
    <xf numFmtId="0" fontId="12" fillId="2" borderId="6" xfId="2" applyFont="1" applyFill="1" applyBorder="1" applyAlignment="1">
      <alignment wrapText="1"/>
    </xf>
    <xf numFmtId="0" fontId="11" fillId="4" borderId="6" xfId="2" applyFont="1" applyFill="1" applyBorder="1" applyAlignment="1">
      <alignment horizontal="center" vertical="center" wrapText="1"/>
    </xf>
    <xf numFmtId="0" fontId="12" fillId="4" borderId="6" xfId="2" applyFont="1" applyFill="1" applyBorder="1" applyAlignment="1">
      <alignment wrapText="1"/>
    </xf>
    <xf numFmtId="0" fontId="3" fillId="4" borderId="10" xfId="0" applyFont="1" applyFill="1" applyBorder="1" applyAlignment="1" applyProtection="1">
      <alignment horizontal="center" vertical="center"/>
    </xf>
    <xf numFmtId="0" fontId="3" fillId="4" borderId="11" xfId="0" applyFont="1" applyFill="1" applyBorder="1" applyAlignment="1" applyProtection="1">
      <alignment horizontal="center" vertical="center"/>
    </xf>
    <xf numFmtId="0" fontId="3" fillId="4" borderId="12" xfId="0" applyFont="1" applyFill="1" applyBorder="1" applyAlignment="1" applyProtection="1">
      <alignment horizontal="center" vertical="center"/>
    </xf>
    <xf numFmtId="0" fontId="7" fillId="4" borderId="6" xfId="2" applyFont="1" applyFill="1" applyBorder="1" applyAlignment="1">
      <alignment wrapText="1"/>
    </xf>
    <xf numFmtId="0" fontId="9" fillId="4" borderId="6" xfId="2" applyFont="1" applyFill="1" applyBorder="1" applyAlignment="1">
      <alignment wrapText="1"/>
    </xf>
    <xf numFmtId="0" fontId="7" fillId="4" borderId="6" xfId="2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wrapText="1"/>
    </xf>
    <xf numFmtId="0" fontId="4" fillId="2" borderId="2" xfId="0" applyFont="1" applyFill="1" applyBorder="1" applyAlignment="1">
      <alignment horizontal="left" wrapText="1"/>
    </xf>
    <xf numFmtId="0" fontId="4" fillId="2" borderId="3" xfId="0" applyFont="1" applyFill="1" applyBorder="1" applyAlignment="1">
      <alignment horizontal="left" wrapText="1"/>
    </xf>
    <xf numFmtId="0" fontId="4" fillId="2" borderId="4" xfId="0" applyFont="1" applyFill="1" applyBorder="1" applyAlignment="1">
      <alignment horizontal="left" wrapText="1"/>
    </xf>
    <xf numFmtId="0" fontId="4" fillId="2" borderId="0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4" fillId="2" borderId="7" xfId="0" applyFont="1" applyFill="1" applyBorder="1" applyAlignment="1">
      <alignment horizontal="left" wrapText="1"/>
    </xf>
    <xf numFmtId="0" fontId="4" fillId="2" borderId="8" xfId="0" applyFont="1" applyFill="1" applyBorder="1" applyAlignment="1">
      <alignment horizontal="left" wrapText="1"/>
    </xf>
    <xf numFmtId="0" fontId="4" fillId="2" borderId="9" xfId="0" applyFont="1" applyFill="1" applyBorder="1" applyAlignment="1">
      <alignment horizontal="left" wrapText="1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vertical="center" wrapText="1"/>
    </xf>
    <xf numFmtId="164" fontId="8" fillId="3" borderId="0" xfId="1" applyFont="1" applyFill="1" applyBorder="1" applyProtection="1">
      <protection locked="0"/>
    </xf>
    <xf numFmtId="164" fontId="1" fillId="0" borderId="0" xfId="0" applyNumberFormat="1" applyFont="1" applyProtection="1"/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161925</xdr:rowOff>
        </xdr:from>
        <xdr:to>
          <xdr:col>3</xdr:col>
          <xdr:colOff>1181100</xdr:colOff>
          <xdr:row>10</xdr:row>
          <xdr:rowOff>0</xdr:rowOff>
        </xdr:to>
        <xdr:sp macro="" textlink="">
          <xdr:nvSpPr>
            <xdr:cNvPr id="7171" name="SelectI" descr="Select Level I Health Facilities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8</xdr:row>
          <xdr:rowOff>161925</xdr:rowOff>
        </xdr:from>
        <xdr:to>
          <xdr:col>4</xdr:col>
          <xdr:colOff>142875</xdr:colOff>
          <xdr:row>10</xdr:row>
          <xdr:rowOff>0</xdr:rowOff>
        </xdr:to>
        <xdr:sp macro="" textlink="">
          <xdr:nvSpPr>
            <xdr:cNvPr id="7172" name="SelectIIandIII" descr="Select Level II and III Health Facilitie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8193" name="Button 1" descr="Add Drug / Medication / Supply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161925</xdr:rowOff>
        </xdr:to>
        <xdr:sp macro="" textlink="">
          <xdr:nvSpPr>
            <xdr:cNvPr id="8194" name="Button 2" descr="Delete Drug / Medication / Supply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19050</xdr:rowOff>
        </xdr:from>
        <xdr:to>
          <xdr:col>1</xdr:col>
          <xdr:colOff>790575</xdr:colOff>
          <xdr:row>12</xdr:row>
          <xdr:rowOff>161925</xdr:rowOff>
        </xdr:to>
        <xdr:sp macro="" textlink="">
          <xdr:nvSpPr>
            <xdr:cNvPr id="9217" name="Button 1" descr="Add Drug / Medication / Suppl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12</xdr:row>
          <xdr:rowOff>19050</xdr:rowOff>
        </xdr:from>
        <xdr:to>
          <xdr:col>1</xdr:col>
          <xdr:colOff>1552575</xdr:colOff>
          <xdr:row>12</xdr:row>
          <xdr:rowOff>161925</xdr:rowOff>
        </xdr:to>
        <xdr:sp macro="" textlink="">
          <xdr:nvSpPr>
            <xdr:cNvPr id="9218" name="Button 2" descr="Delete Drug / Medication / Supply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0C0"/>
  </sheetPr>
  <dimension ref="B2:E129"/>
  <sheetViews>
    <sheetView showGridLines="0" topLeftCell="A77" zoomScale="92" zoomScaleNormal="92" workbookViewId="0">
      <selection activeCell="D12" sqref="D12:E12"/>
    </sheetView>
  </sheetViews>
  <sheetFormatPr defaultColWidth="8.7109375" defaultRowHeight="12.75"/>
  <cols>
    <col min="1" max="1" width="5.140625" style="4" customWidth="1"/>
    <col min="2" max="2" width="26" style="4" customWidth="1"/>
    <col min="3" max="3" width="59.5703125" style="4" customWidth="1"/>
    <col min="4" max="4" width="30.28515625" style="4" customWidth="1"/>
    <col min="5" max="5" width="28.5703125" style="4" customWidth="1"/>
    <col min="6" max="7" width="12.85546875" style="4" customWidth="1"/>
    <col min="8" max="17" width="10.85546875" style="4" customWidth="1"/>
    <col min="18" max="20" width="10.28515625" style="4" customWidth="1"/>
    <col min="21" max="21" width="8.28515625" style="4" customWidth="1"/>
    <col min="22" max="22" width="10.28515625" style="4" customWidth="1"/>
    <col min="23" max="23" width="13.42578125" style="4" customWidth="1"/>
    <col min="24" max="24" width="10.85546875" style="4" customWidth="1"/>
    <col min="25" max="25" width="15.5703125" style="4" customWidth="1"/>
    <col min="26" max="28" width="10.28515625" style="4" customWidth="1"/>
    <col min="29" max="33" width="10.5703125" style="4" customWidth="1"/>
    <col min="34" max="16384" width="8.7109375" style="4"/>
  </cols>
  <sheetData>
    <row r="2" spans="2:5" ht="15.75">
      <c r="B2" s="27" t="s">
        <v>0</v>
      </c>
      <c r="C2" s="27"/>
      <c r="D2" s="27"/>
      <c r="E2" s="28"/>
    </row>
    <row r="3" spans="2:5" ht="16.5">
      <c r="B3" s="48"/>
      <c r="C3" s="48"/>
      <c r="D3" s="49"/>
    </row>
    <row r="4" spans="2:5" ht="16.5">
      <c r="B4" s="31" t="s">
        <v>1</v>
      </c>
      <c r="C4" s="50"/>
      <c r="D4" s="32"/>
      <c r="E4" s="33"/>
    </row>
    <row r="5" spans="2:5" ht="16.5">
      <c r="B5" s="34" t="s">
        <v>2</v>
      </c>
      <c r="C5" s="51"/>
      <c r="D5" s="35"/>
      <c r="E5" s="36"/>
    </row>
    <row r="6" spans="2:5" ht="16.5">
      <c r="B6" s="34" t="s">
        <v>3</v>
      </c>
      <c r="C6" s="51"/>
      <c r="D6" s="35"/>
      <c r="E6" s="36"/>
    </row>
    <row r="7" spans="2:5" ht="16.5">
      <c r="B7" s="37" t="s">
        <v>4</v>
      </c>
      <c r="C7" s="52">
        <v>2017</v>
      </c>
      <c r="D7" s="35"/>
      <c r="E7" s="36"/>
    </row>
    <row r="8" spans="2:5" ht="16.5">
      <c r="B8" s="39" t="s">
        <v>5</v>
      </c>
      <c r="C8" s="53"/>
      <c r="D8" s="40"/>
      <c r="E8" s="41"/>
    </row>
    <row r="9" spans="2:5" ht="16.5">
      <c r="B9" s="54"/>
      <c r="C9" s="54"/>
      <c r="D9" s="48"/>
    </row>
    <row r="10" spans="2:5" ht="16.5">
      <c r="B10" s="55" t="s">
        <v>6</v>
      </c>
      <c r="C10" s="55"/>
    </row>
    <row r="11" spans="2:5" ht="16.5">
      <c r="B11" s="54"/>
      <c r="C11" s="54"/>
      <c r="D11" s="48"/>
    </row>
    <row r="12" spans="2:5" ht="36.6" customHeight="1">
      <c r="B12" s="79" t="s">
        <v>7</v>
      </c>
      <c r="C12" s="75" t="s">
        <v>8</v>
      </c>
      <c r="D12" s="77" t="s">
        <v>9</v>
      </c>
      <c r="E12" s="78"/>
    </row>
    <row r="13" spans="2:5" ht="56.45" customHeight="1">
      <c r="B13" s="80"/>
      <c r="C13" s="76"/>
      <c r="D13" s="56" t="s">
        <v>10</v>
      </c>
      <c r="E13" s="57" t="s">
        <v>11</v>
      </c>
    </row>
    <row r="14" spans="2:5" s="47" customFormat="1" ht="15" hidden="1" customHeight="1">
      <c r="B14" s="72" t="s">
        <v>12</v>
      </c>
      <c r="C14" s="58" t="s">
        <v>13</v>
      </c>
      <c r="D14" s="21"/>
      <c r="E14" s="21"/>
    </row>
    <row r="15" spans="2:5" s="47" customFormat="1" ht="15" hidden="1" customHeight="1">
      <c r="B15" s="81"/>
      <c r="C15" s="59" t="s">
        <v>14</v>
      </c>
      <c r="D15" s="23"/>
      <c r="E15" s="23"/>
    </row>
    <row r="16" spans="2:5" s="47" customFormat="1" ht="15" hidden="1" customHeight="1">
      <c r="B16" s="81"/>
      <c r="C16" s="59" t="s">
        <v>15</v>
      </c>
      <c r="D16" s="23"/>
      <c r="E16" s="23"/>
    </row>
    <row r="17" spans="2:5" s="47" customFormat="1" ht="15" hidden="1" customHeight="1">
      <c r="B17" s="81"/>
      <c r="C17" s="59" t="s">
        <v>16</v>
      </c>
      <c r="D17" s="23"/>
      <c r="E17" s="23"/>
    </row>
    <row r="18" spans="2:5" s="47" customFormat="1" ht="15" hidden="1" customHeight="1">
      <c r="B18" s="81"/>
      <c r="C18" s="59" t="s">
        <v>17</v>
      </c>
      <c r="D18" s="23"/>
      <c r="E18" s="23"/>
    </row>
    <row r="19" spans="2:5" s="47" customFormat="1" ht="15" hidden="1" customHeight="1">
      <c r="B19" s="81"/>
      <c r="C19" s="59" t="s">
        <v>18</v>
      </c>
      <c r="D19" s="23"/>
      <c r="E19" s="23"/>
    </row>
    <row r="20" spans="2:5" s="47" customFormat="1" ht="15" hidden="1" customHeight="1">
      <c r="B20" s="81"/>
      <c r="C20" s="59" t="s">
        <v>19</v>
      </c>
      <c r="D20" s="23"/>
      <c r="E20" s="23"/>
    </row>
    <row r="21" spans="2:5" s="47" customFormat="1" ht="15" hidden="1" customHeight="1">
      <c r="B21" s="81"/>
      <c r="C21" s="59" t="s">
        <v>20</v>
      </c>
      <c r="D21" s="23"/>
      <c r="E21" s="23"/>
    </row>
    <row r="22" spans="2:5" s="47" customFormat="1" ht="15" hidden="1" customHeight="1">
      <c r="B22" s="81"/>
      <c r="C22" s="59" t="s">
        <v>21</v>
      </c>
      <c r="D22" s="23"/>
      <c r="E22" s="23"/>
    </row>
    <row r="23" spans="2:5" s="47" customFormat="1" ht="15" hidden="1" customHeight="1">
      <c r="B23" s="81"/>
      <c r="C23" s="59" t="s">
        <v>22</v>
      </c>
      <c r="D23" s="23"/>
      <c r="E23" s="23"/>
    </row>
    <row r="24" spans="2:5" s="47" customFormat="1" ht="15" hidden="1" customHeight="1">
      <c r="B24" s="81"/>
      <c r="C24" s="59" t="s">
        <v>23</v>
      </c>
      <c r="D24" s="23"/>
      <c r="E24" s="23"/>
    </row>
    <row r="25" spans="2:5" s="47" customFormat="1" ht="15" hidden="1" customHeight="1">
      <c r="B25" s="81"/>
      <c r="C25" s="59" t="s">
        <v>24</v>
      </c>
      <c r="D25" s="23"/>
      <c r="E25" s="23"/>
    </row>
    <row r="26" spans="2:5" s="47" customFormat="1" ht="15" hidden="1" customHeight="1">
      <c r="B26" s="81"/>
      <c r="C26" s="59" t="s">
        <v>25</v>
      </c>
      <c r="D26" s="23"/>
      <c r="E26" s="23"/>
    </row>
    <row r="27" spans="2:5" s="47" customFormat="1" ht="15" hidden="1" customHeight="1">
      <c r="B27" s="81"/>
      <c r="C27" s="59" t="s">
        <v>26</v>
      </c>
      <c r="D27" s="23"/>
      <c r="E27" s="23"/>
    </row>
    <row r="28" spans="2:5" s="47" customFormat="1" ht="15" hidden="1" customHeight="1">
      <c r="B28" s="81"/>
      <c r="C28" s="59" t="s">
        <v>27</v>
      </c>
      <c r="D28" s="23"/>
      <c r="E28" s="23"/>
    </row>
    <row r="29" spans="2:5" s="47" customFormat="1" ht="15" hidden="1" customHeight="1">
      <c r="B29" s="81"/>
      <c r="C29" s="59" t="s">
        <v>28</v>
      </c>
      <c r="D29" s="23"/>
      <c r="E29" s="23"/>
    </row>
    <row r="30" spans="2:5" s="47" customFormat="1" ht="15" hidden="1" customHeight="1">
      <c r="B30" s="81"/>
      <c r="C30" s="59" t="s">
        <v>29</v>
      </c>
      <c r="D30" s="23"/>
      <c r="E30" s="23"/>
    </row>
    <row r="31" spans="2:5" s="47" customFormat="1" ht="15" hidden="1" customHeight="1">
      <c r="B31" s="81"/>
      <c r="C31" s="59" t="s">
        <v>30</v>
      </c>
      <c r="D31" s="23"/>
      <c r="E31" s="23"/>
    </row>
    <row r="32" spans="2:5" s="47" customFormat="1" ht="15" hidden="1" customHeight="1">
      <c r="B32" s="82" t="s">
        <v>31</v>
      </c>
      <c r="C32" s="59" t="s">
        <v>32</v>
      </c>
      <c r="D32" s="23"/>
      <c r="E32" s="23"/>
    </row>
    <row r="33" spans="2:5" s="47" customFormat="1" ht="15" hidden="1" customHeight="1">
      <c r="B33" s="83"/>
      <c r="C33" s="59" t="s">
        <v>33</v>
      </c>
      <c r="D33" s="23"/>
      <c r="E33" s="23"/>
    </row>
    <row r="34" spans="2:5" s="47" customFormat="1" ht="15" hidden="1" customHeight="1">
      <c r="B34" s="83"/>
      <c r="C34" s="60" t="s">
        <v>34</v>
      </c>
      <c r="D34" s="23"/>
      <c r="E34" s="23"/>
    </row>
    <row r="35" spans="2:5" s="47" customFormat="1" ht="15" hidden="1" customHeight="1">
      <c r="B35" s="83"/>
      <c r="C35" s="59" t="s">
        <v>35</v>
      </c>
      <c r="D35" s="23"/>
      <c r="E35" s="23"/>
    </row>
    <row r="36" spans="2:5" s="47" customFormat="1" ht="16.5" hidden="1">
      <c r="B36" s="83"/>
      <c r="C36" s="60" t="s">
        <v>36</v>
      </c>
      <c r="D36" s="23"/>
      <c r="E36" s="23"/>
    </row>
    <row r="37" spans="2:5" s="47" customFormat="1" ht="16.5" hidden="1">
      <c r="B37" s="83"/>
      <c r="C37" s="59" t="s">
        <v>37</v>
      </c>
      <c r="D37" s="23"/>
      <c r="E37" s="23"/>
    </row>
    <row r="38" spans="2:5" s="47" customFormat="1" ht="16.5" hidden="1">
      <c r="B38" s="83"/>
      <c r="C38" s="59" t="s">
        <v>38</v>
      </c>
      <c r="D38" s="23"/>
      <c r="E38" s="23"/>
    </row>
    <row r="39" spans="2:5" s="47" customFormat="1" ht="16.5" hidden="1">
      <c r="B39" s="83"/>
      <c r="C39" s="59" t="s">
        <v>39</v>
      </c>
      <c r="D39" s="23"/>
      <c r="E39" s="23"/>
    </row>
    <row r="40" spans="2:5" s="47" customFormat="1" ht="16.5" hidden="1">
      <c r="B40" s="83"/>
      <c r="C40" s="59" t="s">
        <v>40</v>
      </c>
      <c r="D40" s="23"/>
      <c r="E40" s="23"/>
    </row>
    <row r="41" spans="2:5" s="47" customFormat="1" ht="16.5" hidden="1">
      <c r="B41" s="83"/>
      <c r="C41" s="61" t="s">
        <v>41</v>
      </c>
      <c r="D41" s="23"/>
      <c r="E41" s="23"/>
    </row>
    <row r="42" spans="2:5" s="47" customFormat="1" ht="16.5" hidden="1">
      <c r="B42" s="83"/>
      <c r="C42" s="59" t="s">
        <v>42</v>
      </c>
      <c r="D42" s="23"/>
      <c r="E42" s="23"/>
    </row>
    <row r="43" spans="2:5" s="47" customFormat="1" ht="16.5" hidden="1">
      <c r="B43" s="83"/>
      <c r="C43" s="61" t="s">
        <v>43</v>
      </c>
      <c r="D43" s="23"/>
      <c r="E43" s="23"/>
    </row>
    <row r="44" spans="2:5" s="47" customFormat="1" ht="16.5" hidden="1">
      <c r="B44" s="83"/>
      <c r="C44" s="61" t="s">
        <v>44</v>
      </c>
      <c r="D44" s="23"/>
      <c r="E44" s="23"/>
    </row>
    <row r="45" spans="2:5" s="47" customFormat="1" ht="16.5" hidden="1">
      <c r="B45" s="83"/>
      <c r="C45" s="61" t="s">
        <v>45</v>
      </c>
      <c r="D45" s="23"/>
      <c r="E45" s="23"/>
    </row>
    <row r="46" spans="2:5" s="47" customFormat="1" ht="16.5" hidden="1">
      <c r="B46" s="83"/>
      <c r="C46" s="61" t="s">
        <v>46</v>
      </c>
      <c r="D46" s="23"/>
      <c r="E46" s="23"/>
    </row>
    <row r="47" spans="2:5" s="47" customFormat="1" ht="16.5" hidden="1">
      <c r="B47" s="83"/>
      <c r="C47" s="60" t="s">
        <v>47</v>
      </c>
      <c r="D47" s="23"/>
      <c r="E47" s="23"/>
    </row>
    <row r="48" spans="2:5" s="47" customFormat="1" ht="16.5" hidden="1">
      <c r="B48" s="83"/>
      <c r="C48" s="60" t="s">
        <v>48</v>
      </c>
      <c r="D48" s="23"/>
      <c r="E48" s="23"/>
    </row>
    <row r="49" spans="2:5" s="47" customFormat="1" ht="16.5" hidden="1">
      <c r="B49" s="83"/>
      <c r="C49" s="59" t="s">
        <v>30</v>
      </c>
      <c r="D49" s="23"/>
      <c r="E49" s="23"/>
    </row>
    <row r="50" spans="2:5" s="47" customFormat="1" ht="16.5" hidden="1">
      <c r="B50" s="73" t="s">
        <v>49</v>
      </c>
      <c r="C50" s="59" t="s">
        <v>50</v>
      </c>
      <c r="D50" s="23"/>
      <c r="E50" s="23"/>
    </row>
    <row r="51" spans="2:5" s="47" customFormat="1" ht="16.5" hidden="1">
      <c r="B51" s="81"/>
      <c r="C51" s="59" t="s">
        <v>51</v>
      </c>
      <c r="D51" s="23"/>
      <c r="E51" s="23"/>
    </row>
    <row r="52" spans="2:5" s="47" customFormat="1" ht="16.5" hidden="1">
      <c r="B52" s="81"/>
      <c r="C52" s="59" t="s">
        <v>52</v>
      </c>
      <c r="D52" s="23"/>
      <c r="E52" s="23"/>
    </row>
    <row r="53" spans="2:5" s="47" customFormat="1" ht="16.5" hidden="1">
      <c r="B53" s="81"/>
      <c r="C53" s="59" t="s">
        <v>53</v>
      </c>
      <c r="D53" s="23"/>
      <c r="E53" s="23"/>
    </row>
    <row r="54" spans="2:5" s="47" customFormat="1" ht="16.5" hidden="1">
      <c r="B54" s="81"/>
      <c r="C54" s="59" t="s">
        <v>54</v>
      </c>
      <c r="D54" s="23"/>
      <c r="E54" s="23"/>
    </row>
    <row r="55" spans="2:5" s="47" customFormat="1" ht="16.5" hidden="1">
      <c r="B55" s="81"/>
      <c r="C55" s="59" t="s">
        <v>55</v>
      </c>
      <c r="D55" s="23"/>
      <c r="E55" s="23"/>
    </row>
    <row r="56" spans="2:5" s="47" customFormat="1" ht="16.5" hidden="1">
      <c r="B56" s="81"/>
      <c r="C56" s="59" t="s">
        <v>56</v>
      </c>
      <c r="D56" s="23"/>
      <c r="E56" s="23"/>
    </row>
    <row r="57" spans="2:5" s="47" customFormat="1" ht="16.5" hidden="1">
      <c r="B57" s="81"/>
      <c r="C57" s="60" t="s">
        <v>57</v>
      </c>
      <c r="D57" s="23"/>
      <c r="E57" s="23"/>
    </row>
    <row r="58" spans="2:5" s="47" customFormat="1" ht="16.5" hidden="1">
      <c r="B58" s="81"/>
      <c r="C58" s="59" t="s">
        <v>58</v>
      </c>
      <c r="D58" s="23"/>
      <c r="E58" s="23"/>
    </row>
    <row r="59" spans="2:5" s="47" customFormat="1" ht="16.5" hidden="1">
      <c r="B59" s="81"/>
      <c r="C59" s="59" t="s">
        <v>59</v>
      </c>
      <c r="D59" s="23"/>
      <c r="E59" s="23"/>
    </row>
    <row r="60" spans="2:5" s="47" customFormat="1" ht="16.5" hidden="1">
      <c r="B60" s="81"/>
      <c r="C60" s="59" t="s">
        <v>60</v>
      </c>
      <c r="D60" s="23"/>
      <c r="E60" s="23"/>
    </row>
    <row r="61" spans="2:5" s="47" customFormat="1" ht="16.5" hidden="1">
      <c r="B61" s="81"/>
      <c r="C61" s="59" t="s">
        <v>61</v>
      </c>
      <c r="D61" s="23"/>
      <c r="E61" s="23"/>
    </row>
    <row r="62" spans="2:5" s="47" customFormat="1" ht="16.5" hidden="1">
      <c r="B62" s="81"/>
      <c r="C62" s="59" t="s">
        <v>62</v>
      </c>
      <c r="D62" s="23"/>
      <c r="E62" s="23"/>
    </row>
    <row r="63" spans="2:5" s="47" customFormat="1" ht="16.5" hidden="1">
      <c r="B63" s="81"/>
      <c r="C63" s="59" t="s">
        <v>63</v>
      </c>
      <c r="D63" s="23"/>
      <c r="E63" s="23"/>
    </row>
    <row r="64" spans="2:5" s="47" customFormat="1" ht="16.5" hidden="1">
      <c r="B64" s="81"/>
      <c r="C64" s="59" t="s">
        <v>64</v>
      </c>
      <c r="D64" s="23"/>
      <c r="E64" s="23"/>
    </row>
    <row r="65" spans="2:5" s="47" customFormat="1" ht="16.5" hidden="1">
      <c r="B65" s="81"/>
      <c r="C65" s="59" t="s">
        <v>65</v>
      </c>
      <c r="D65" s="23"/>
      <c r="E65" s="23"/>
    </row>
    <row r="66" spans="2:5" s="47" customFormat="1" ht="16.5" hidden="1">
      <c r="B66" s="81"/>
      <c r="C66" s="59" t="s">
        <v>66</v>
      </c>
      <c r="D66" s="23"/>
      <c r="E66" s="23"/>
    </row>
    <row r="67" spans="2:5" s="47" customFormat="1" ht="12" hidden="1" customHeight="1">
      <c r="B67" s="84"/>
      <c r="C67" s="62" t="s">
        <v>67</v>
      </c>
      <c r="D67" s="63"/>
      <c r="E67" s="63"/>
    </row>
    <row r="68" spans="2:5" ht="5.45" customHeight="1">
      <c r="B68" s="54"/>
      <c r="C68" s="54"/>
      <c r="D68" s="48"/>
    </row>
    <row r="69" spans="2:5" ht="16.5">
      <c r="B69" s="68" t="s">
        <v>12</v>
      </c>
      <c r="C69" s="61" t="s">
        <v>13</v>
      </c>
      <c r="D69" s="23"/>
      <c r="E69" s="23"/>
    </row>
    <row r="70" spans="2:5" ht="13.5" customHeight="1">
      <c r="B70" s="69"/>
      <c r="C70" s="59" t="s">
        <v>68</v>
      </c>
      <c r="D70" s="23"/>
      <c r="E70" s="23"/>
    </row>
    <row r="71" spans="2:5" ht="13.5" customHeight="1">
      <c r="B71" s="69"/>
      <c r="C71" s="61" t="s">
        <v>15</v>
      </c>
      <c r="D71" s="23"/>
      <c r="E71" s="23"/>
    </row>
    <row r="72" spans="2:5" ht="13.5" customHeight="1">
      <c r="B72" s="69"/>
      <c r="C72" s="61" t="s">
        <v>16</v>
      </c>
      <c r="D72" s="23"/>
      <c r="E72" s="23"/>
    </row>
    <row r="73" spans="2:5" ht="13.5" customHeight="1">
      <c r="B73" s="69"/>
      <c r="C73" s="61" t="s">
        <v>17</v>
      </c>
      <c r="D73" s="23"/>
      <c r="E73" s="23"/>
    </row>
    <row r="74" spans="2:5" ht="13.5" customHeight="1">
      <c r="B74" s="69"/>
      <c r="C74" s="61" t="s">
        <v>18</v>
      </c>
      <c r="D74" s="23"/>
      <c r="E74" s="23"/>
    </row>
    <row r="75" spans="2:5" ht="13.5" customHeight="1">
      <c r="B75" s="69"/>
      <c r="C75" s="61" t="s">
        <v>19</v>
      </c>
      <c r="D75" s="23"/>
      <c r="E75" s="23"/>
    </row>
    <row r="76" spans="2:5" ht="13.5" customHeight="1">
      <c r="B76" s="69"/>
      <c r="C76" s="59" t="s">
        <v>69</v>
      </c>
      <c r="D76" s="23"/>
      <c r="E76" s="23"/>
    </row>
    <row r="77" spans="2:5" ht="13.5" customHeight="1">
      <c r="B77" s="69"/>
      <c r="C77" s="61" t="s">
        <v>21</v>
      </c>
      <c r="D77" s="23"/>
      <c r="E77" s="23"/>
    </row>
    <row r="78" spans="2:5" ht="13.5" customHeight="1">
      <c r="B78" s="69"/>
      <c r="C78" s="61" t="s">
        <v>22</v>
      </c>
      <c r="D78" s="23"/>
      <c r="E78" s="23"/>
    </row>
    <row r="79" spans="2:5" ht="13.5" customHeight="1">
      <c r="B79" s="69"/>
      <c r="C79" s="61" t="s">
        <v>23</v>
      </c>
      <c r="D79" s="23"/>
      <c r="E79" s="23"/>
    </row>
    <row r="80" spans="2:5" ht="13.5" customHeight="1">
      <c r="B80" s="69"/>
      <c r="C80" s="61" t="s">
        <v>24</v>
      </c>
      <c r="D80" s="23"/>
      <c r="E80" s="23"/>
    </row>
    <row r="81" spans="2:5" ht="13.5" customHeight="1">
      <c r="B81" s="69"/>
      <c r="C81" s="61" t="s">
        <v>25</v>
      </c>
      <c r="D81" s="23"/>
      <c r="E81" s="23"/>
    </row>
    <row r="82" spans="2:5" ht="13.5" customHeight="1">
      <c r="B82" s="69"/>
      <c r="C82" s="61" t="s">
        <v>26</v>
      </c>
      <c r="D82" s="23"/>
      <c r="E82" s="23"/>
    </row>
    <row r="83" spans="2:5" ht="13.5" customHeight="1">
      <c r="B83" s="69"/>
      <c r="C83" s="61" t="s">
        <v>27</v>
      </c>
      <c r="D83" s="23"/>
      <c r="E83" s="23"/>
    </row>
    <row r="84" spans="2:5" ht="13.5" customHeight="1">
      <c r="B84" s="69"/>
      <c r="C84" s="61" t="s">
        <v>28</v>
      </c>
      <c r="D84" s="23"/>
      <c r="E84" s="23"/>
    </row>
    <row r="85" spans="2:5" ht="13.5" customHeight="1">
      <c r="B85" s="69"/>
      <c r="C85" s="59" t="s">
        <v>70</v>
      </c>
      <c r="D85" s="23"/>
      <c r="E85" s="23"/>
    </row>
    <row r="86" spans="2:5" ht="13.9" customHeight="1">
      <c r="B86" s="69"/>
      <c r="C86" s="59" t="s">
        <v>30</v>
      </c>
      <c r="D86" s="23"/>
      <c r="E86" s="23"/>
    </row>
    <row r="87" spans="2:5" ht="16.5">
      <c r="B87" s="70" t="s">
        <v>31</v>
      </c>
      <c r="C87" s="59" t="s">
        <v>32</v>
      </c>
      <c r="D87" s="23"/>
      <c r="E87" s="23"/>
    </row>
    <row r="88" spans="2:5" ht="13.5" customHeight="1">
      <c r="B88" s="71"/>
      <c r="C88" s="59" t="s">
        <v>33</v>
      </c>
      <c r="D88" s="23"/>
      <c r="E88" s="23"/>
    </row>
    <row r="89" spans="2:5" ht="13.5" customHeight="1">
      <c r="B89" s="71"/>
      <c r="C89" s="59" t="s">
        <v>34</v>
      </c>
      <c r="D89" s="23"/>
      <c r="E89" s="23"/>
    </row>
    <row r="90" spans="2:5" ht="13.5" customHeight="1">
      <c r="B90" s="71"/>
      <c r="C90" s="59" t="s">
        <v>35</v>
      </c>
      <c r="D90" s="23"/>
      <c r="E90" s="23"/>
    </row>
    <row r="91" spans="2:5" ht="13.5" customHeight="1">
      <c r="B91" s="71"/>
      <c r="C91" s="59" t="s">
        <v>36</v>
      </c>
      <c r="D91" s="23"/>
      <c r="E91" s="23"/>
    </row>
    <row r="92" spans="2:5" ht="13.5" customHeight="1">
      <c r="B92" s="71"/>
      <c r="C92" s="59" t="s">
        <v>37</v>
      </c>
      <c r="D92" s="23"/>
      <c r="E92" s="23"/>
    </row>
    <row r="93" spans="2:5" ht="13.5" customHeight="1">
      <c r="B93" s="71"/>
      <c r="C93" s="59" t="s">
        <v>38</v>
      </c>
      <c r="D93" s="23"/>
      <c r="E93" s="23"/>
    </row>
    <row r="94" spans="2:5" ht="13.5" customHeight="1">
      <c r="B94" s="71"/>
      <c r="C94" s="59" t="s">
        <v>71</v>
      </c>
      <c r="D94" s="23"/>
      <c r="E94" s="23"/>
    </row>
    <row r="95" spans="2:5" ht="13.5" customHeight="1">
      <c r="B95" s="71"/>
      <c r="C95" s="59" t="s">
        <v>39</v>
      </c>
      <c r="D95" s="23"/>
      <c r="E95" s="23"/>
    </row>
    <row r="96" spans="2:5" ht="13.5" customHeight="1">
      <c r="B96" s="71"/>
      <c r="C96" s="59" t="s">
        <v>40</v>
      </c>
      <c r="D96" s="23"/>
      <c r="E96" s="23"/>
    </row>
    <row r="97" spans="2:5" ht="13.5" customHeight="1">
      <c r="B97" s="71"/>
      <c r="C97" s="61" t="s">
        <v>41</v>
      </c>
      <c r="D97" s="23"/>
      <c r="E97" s="23"/>
    </row>
    <row r="98" spans="2:5" ht="13.5" customHeight="1">
      <c r="B98" s="71"/>
      <c r="C98" s="59" t="s">
        <v>42</v>
      </c>
      <c r="D98" s="23"/>
      <c r="E98" s="23"/>
    </row>
    <row r="99" spans="2:5" ht="13.5" customHeight="1">
      <c r="B99" s="71"/>
      <c r="C99" s="61" t="s">
        <v>43</v>
      </c>
      <c r="D99" s="23"/>
      <c r="E99" s="23"/>
    </row>
    <row r="100" spans="2:5" ht="13.5" customHeight="1">
      <c r="B100" s="71"/>
      <c r="C100" s="61" t="s">
        <v>44</v>
      </c>
      <c r="D100" s="23"/>
      <c r="E100" s="23"/>
    </row>
    <row r="101" spans="2:5" ht="13.5" customHeight="1">
      <c r="B101" s="71"/>
      <c r="C101" s="61" t="s">
        <v>45</v>
      </c>
      <c r="D101" s="23"/>
      <c r="E101" s="23"/>
    </row>
    <row r="102" spans="2:5" ht="13.5" customHeight="1">
      <c r="B102" s="71"/>
      <c r="C102" s="61" t="s">
        <v>46</v>
      </c>
      <c r="D102" s="23"/>
      <c r="E102" s="23"/>
    </row>
    <row r="103" spans="2:5" ht="13.5" customHeight="1">
      <c r="B103" s="71"/>
      <c r="C103" s="61" t="s">
        <v>47</v>
      </c>
      <c r="D103" s="23"/>
      <c r="E103" s="23"/>
    </row>
    <row r="104" spans="2:5" ht="13.5" customHeight="1">
      <c r="B104" s="71"/>
      <c r="C104" s="59" t="s">
        <v>48</v>
      </c>
      <c r="D104" s="23"/>
      <c r="E104" s="23"/>
    </row>
    <row r="105" spans="2:5" ht="13.9" customHeight="1">
      <c r="B105" s="72"/>
      <c r="C105" s="60" t="s">
        <v>30</v>
      </c>
      <c r="D105" s="23"/>
      <c r="E105" s="23"/>
    </row>
    <row r="106" spans="2:5" ht="16.5">
      <c r="B106" s="73" t="s">
        <v>49</v>
      </c>
      <c r="C106" s="61" t="s">
        <v>72</v>
      </c>
      <c r="D106" s="23"/>
      <c r="E106" s="23"/>
    </row>
    <row r="107" spans="2:5" ht="13.5" customHeight="1">
      <c r="B107" s="73"/>
      <c r="C107" s="59" t="s">
        <v>51</v>
      </c>
      <c r="D107" s="23"/>
      <c r="E107" s="23"/>
    </row>
    <row r="108" spans="2:5" ht="13.5" customHeight="1">
      <c r="B108" s="73"/>
      <c r="C108" s="59" t="s">
        <v>52</v>
      </c>
      <c r="D108" s="23"/>
      <c r="E108" s="23"/>
    </row>
    <row r="109" spans="2:5" ht="13.5" customHeight="1">
      <c r="B109" s="73"/>
      <c r="C109" s="59" t="s">
        <v>53</v>
      </c>
      <c r="D109" s="23"/>
      <c r="E109" s="23"/>
    </row>
    <row r="110" spans="2:5" ht="13.5" customHeight="1">
      <c r="B110" s="73"/>
      <c r="C110" s="59" t="s">
        <v>54</v>
      </c>
      <c r="D110" s="23"/>
      <c r="E110" s="23"/>
    </row>
    <row r="111" spans="2:5" ht="13.5" customHeight="1">
      <c r="B111" s="73"/>
      <c r="C111" s="59" t="s">
        <v>55</v>
      </c>
      <c r="D111" s="23"/>
      <c r="E111" s="23"/>
    </row>
    <row r="112" spans="2:5" ht="13.5" customHeight="1">
      <c r="B112" s="73"/>
      <c r="C112" s="59" t="s">
        <v>56</v>
      </c>
      <c r="D112" s="23"/>
      <c r="E112" s="23"/>
    </row>
    <row r="113" spans="2:5" ht="16.5">
      <c r="B113" s="73"/>
      <c r="C113" s="64" t="s">
        <v>73</v>
      </c>
      <c r="D113" s="23"/>
      <c r="E113" s="23"/>
    </row>
    <row r="114" spans="2:5" ht="13.5" customHeight="1">
      <c r="B114" s="73"/>
      <c r="C114" s="59" t="s">
        <v>74</v>
      </c>
      <c r="D114" s="23"/>
      <c r="E114" s="23"/>
    </row>
    <row r="115" spans="2:5" ht="13.5" customHeight="1">
      <c r="B115" s="73"/>
      <c r="C115" s="61" t="s">
        <v>59</v>
      </c>
      <c r="D115" s="23"/>
      <c r="E115" s="23"/>
    </row>
    <row r="116" spans="2:5" ht="13.5" customHeight="1">
      <c r="B116" s="73"/>
      <c r="C116" s="61" t="s">
        <v>60</v>
      </c>
      <c r="D116" s="23"/>
      <c r="E116" s="23"/>
    </row>
    <row r="117" spans="2:5" ht="13.5" customHeight="1">
      <c r="B117" s="73"/>
      <c r="C117" s="59" t="s">
        <v>75</v>
      </c>
      <c r="D117" s="23"/>
      <c r="E117" s="23"/>
    </row>
    <row r="118" spans="2:5" ht="13.5" customHeight="1">
      <c r="B118" s="73"/>
      <c r="C118" s="61" t="s">
        <v>61</v>
      </c>
      <c r="D118" s="23"/>
      <c r="E118" s="23"/>
    </row>
    <row r="119" spans="2:5" ht="13.5" customHeight="1">
      <c r="B119" s="73"/>
      <c r="C119" s="59" t="s">
        <v>76</v>
      </c>
      <c r="D119" s="23"/>
      <c r="E119" s="23"/>
    </row>
    <row r="120" spans="2:5" ht="13.5" customHeight="1">
      <c r="B120" s="73"/>
      <c r="C120" s="61" t="s">
        <v>62</v>
      </c>
      <c r="D120" s="23"/>
      <c r="E120" s="23"/>
    </row>
    <row r="121" spans="2:5" ht="13.5" customHeight="1">
      <c r="B121" s="73"/>
      <c r="C121" s="61" t="s">
        <v>63</v>
      </c>
      <c r="D121" s="23"/>
      <c r="E121" s="23"/>
    </row>
    <row r="122" spans="2:5" ht="13.5" customHeight="1">
      <c r="B122" s="73"/>
      <c r="C122" s="61" t="s">
        <v>64</v>
      </c>
      <c r="D122" s="23"/>
      <c r="E122" s="23"/>
    </row>
    <row r="123" spans="2:5" ht="13.5" customHeight="1">
      <c r="B123" s="73"/>
      <c r="C123" s="61" t="s">
        <v>65</v>
      </c>
      <c r="D123" s="23"/>
      <c r="E123" s="23"/>
    </row>
    <row r="124" spans="2:5" ht="13.5" customHeight="1">
      <c r="B124" s="73"/>
      <c r="C124" s="61" t="s">
        <v>66</v>
      </c>
      <c r="D124" s="23"/>
      <c r="E124" s="23"/>
    </row>
    <row r="125" spans="2:5" ht="13.5" customHeight="1">
      <c r="B125" s="73"/>
      <c r="C125" s="61" t="s">
        <v>67</v>
      </c>
      <c r="D125" s="23"/>
      <c r="E125" s="23"/>
    </row>
    <row r="126" spans="2:5" ht="13.5" customHeight="1">
      <c r="B126" s="73"/>
      <c r="C126" s="61" t="s">
        <v>77</v>
      </c>
      <c r="D126" s="23"/>
      <c r="E126" s="23"/>
    </row>
    <row r="127" spans="2:5" ht="13.5" customHeight="1">
      <c r="B127" s="73"/>
      <c r="C127" s="61" t="s">
        <v>78</v>
      </c>
      <c r="D127" s="23"/>
      <c r="E127" s="23"/>
    </row>
    <row r="128" spans="2:5" ht="13.5" customHeight="1">
      <c r="B128" s="73"/>
      <c r="C128" s="61" t="s">
        <v>79</v>
      </c>
      <c r="D128" s="23"/>
      <c r="E128" s="23"/>
    </row>
    <row r="129" spans="2:5" ht="13.9" customHeight="1">
      <c r="B129" s="74"/>
      <c r="C129" s="65" t="s">
        <v>80</v>
      </c>
      <c r="D129" s="63"/>
      <c r="E129" s="63"/>
    </row>
  </sheetData>
  <sheetProtection algorithmName="SHA-512" hashValue="jbyL50ySflVpOwJEUnCpqwOKBoUrvHCBRHHRpzBtOJYspad29y6fTiY37HqL1fF+sSOHzRVbfpFdaCQX4RDcyg==" saltValue="wz/4h18Ni+IMQnXz2D7V+w==" spinCount="100000" sheet="1" objects="1" scenarios="1" formatColumns="0" formatRows="0" sort="0" autoFilter="0"/>
  <mergeCells count="9">
    <mergeCell ref="B69:B86"/>
    <mergeCell ref="B87:B105"/>
    <mergeCell ref="B106:B129"/>
    <mergeCell ref="C12:C13"/>
    <mergeCell ref="D12:E12"/>
    <mergeCell ref="B12:B13"/>
    <mergeCell ref="B14:B31"/>
    <mergeCell ref="B32:B49"/>
    <mergeCell ref="B50:B67"/>
  </mergeCells>
  <dataValidations count="1">
    <dataValidation type="decimal" operator="greaterThanOrEqual" allowBlank="1" showInputMessage="1" showErrorMessage="1" sqref="D14:E67 D69:E129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Pict="0" macro="[0]!Select_Level_I" altText="Select Level I Health Facilities">
                <anchor moveWithCells="1">
                  <from>
                    <xdr:col>3</xdr:col>
                    <xdr:colOff>95250</xdr:colOff>
                    <xdr:row>8</xdr:row>
                    <xdr:rowOff>161925</xdr:rowOff>
                  </from>
                  <to>
                    <xdr:col>3</xdr:col>
                    <xdr:colOff>1181100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8</xdr:row>
                    <xdr:rowOff>161925</xdr:rowOff>
                  </from>
                  <to>
                    <xdr:col>4</xdr:col>
                    <xdr:colOff>142875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B2:DX203"/>
  <sheetViews>
    <sheetView showGridLines="0" tabSelected="1" zoomScale="87" zoomScaleNormal="87" workbookViewId="0">
      <pane xSplit="66" ySplit="12" topLeftCell="BO13" activePane="bottomRight" state="frozen"/>
      <selection pane="topRight"/>
      <selection pane="bottomLeft"/>
      <selection pane="bottomRight" activeCell="DI1" sqref="DI1:DI1048576"/>
    </sheetView>
  </sheetViews>
  <sheetFormatPr defaultColWidth="8.7109375" defaultRowHeight="12.75" outlineLevelRow="1"/>
  <cols>
    <col min="1" max="1" width="8.7109375" style="4"/>
    <col min="2" max="2" width="27.140625" style="4" customWidth="1"/>
    <col min="3" max="3" width="34.42578125" style="4" customWidth="1"/>
    <col min="4" max="4" width="12.85546875" style="4" customWidth="1"/>
    <col min="5" max="5" width="10.5703125" style="4" customWidth="1"/>
    <col min="6" max="8" width="12.85546875" style="4" customWidth="1"/>
    <col min="9" max="9" width="12.85546875" style="4" hidden="1" customWidth="1"/>
    <col min="10" max="10" width="12.85546875" style="4" customWidth="1"/>
    <col min="11" max="11" width="1.42578125" style="4" customWidth="1"/>
    <col min="12" max="65" width="8.7109375" style="4" hidden="1" customWidth="1"/>
    <col min="66" max="66" width="1.7109375" style="5" hidden="1" customWidth="1"/>
    <col min="67" max="89" width="8.7109375" style="4" hidden="1" customWidth="1"/>
    <col min="90" max="95" width="8.7109375" style="4" customWidth="1"/>
    <col min="96" max="102" width="8.7109375" style="4" hidden="1" customWidth="1"/>
    <col min="103" max="105" width="8.7109375" style="4" customWidth="1"/>
    <col min="106" max="112" width="8.7109375" style="4" hidden="1" customWidth="1"/>
    <col min="113" max="113" width="8.7109375" style="4" customWidth="1"/>
    <col min="114" max="117" width="8.7109375" style="4" hidden="1" customWidth="1"/>
    <col min="118" max="127" width="8.7109375" style="4" customWidth="1"/>
    <col min="128" max="16384" width="8.7109375" style="4"/>
  </cols>
  <sheetData>
    <row r="2" spans="2:128" ht="15.75">
      <c r="B2" s="27" t="s">
        <v>81</v>
      </c>
      <c r="C2" s="27"/>
      <c r="D2" s="27"/>
      <c r="E2" s="28"/>
      <c r="F2" s="29"/>
      <c r="G2" s="29"/>
      <c r="H2" s="29"/>
      <c r="I2" s="29"/>
      <c r="J2" s="29"/>
      <c r="BN2" s="4"/>
    </row>
    <row r="3" spans="2:128" ht="14.25" customHeight="1">
      <c r="C3" s="30"/>
    </row>
    <row r="4" spans="2:128" hidden="1" outlineLevel="1">
      <c r="B4" s="4" t="s">
        <v>82</v>
      </c>
      <c r="C4" s="4">
        <v>191</v>
      </c>
    </row>
    <row r="5" spans="2:128" ht="16.5" collapsed="1">
      <c r="B5" s="31" t="s">
        <v>83</v>
      </c>
      <c r="C5" s="32"/>
      <c r="D5" s="32"/>
      <c r="E5" s="32"/>
      <c r="F5" s="32"/>
      <c r="G5" s="32"/>
      <c r="H5" s="33"/>
      <c r="I5" s="35"/>
      <c r="J5" s="35"/>
    </row>
    <row r="6" spans="2:128" ht="16.5">
      <c r="B6" s="34" t="s">
        <v>84</v>
      </c>
      <c r="C6" s="35"/>
      <c r="D6" s="35"/>
      <c r="E6" s="35"/>
      <c r="F6" s="35"/>
      <c r="G6" s="35"/>
      <c r="H6" s="36"/>
      <c r="I6" s="35"/>
      <c r="J6" s="35"/>
    </row>
    <row r="7" spans="2:128" ht="16.5">
      <c r="B7" s="34" t="s">
        <v>3</v>
      </c>
      <c r="C7" s="35"/>
      <c r="D7" s="35"/>
      <c r="E7" s="35"/>
      <c r="F7" s="35"/>
      <c r="G7" s="35"/>
      <c r="H7" s="36"/>
      <c r="I7" s="35"/>
      <c r="J7" s="35"/>
    </row>
    <row r="8" spans="2:128" ht="16.5">
      <c r="B8" s="37" t="s">
        <v>4</v>
      </c>
      <c r="C8" s="38" t="s">
        <v>347</v>
      </c>
      <c r="D8" s="35"/>
      <c r="E8" s="35"/>
      <c r="F8" s="35"/>
      <c r="G8" s="35"/>
      <c r="H8" s="36"/>
      <c r="I8" s="35"/>
      <c r="J8" s="35"/>
    </row>
    <row r="9" spans="2:128" ht="16.5">
      <c r="B9" s="39" t="s">
        <v>85</v>
      </c>
      <c r="C9" s="40"/>
      <c r="D9" s="40"/>
      <c r="E9" s="40"/>
      <c r="F9" s="40"/>
      <c r="G9" s="40"/>
      <c r="H9" s="41"/>
      <c r="I9" s="35"/>
      <c r="J9" s="35"/>
    </row>
    <row r="10" spans="2:128">
      <c r="C10" s="30"/>
    </row>
    <row r="11" spans="2:128" s="14" customFormat="1" ht="19.5" customHeight="1">
      <c r="B11" s="89"/>
      <c r="C11" s="90"/>
      <c r="D11" s="90"/>
      <c r="E11" s="90"/>
      <c r="F11" s="90"/>
      <c r="G11" s="90"/>
      <c r="H11" s="91"/>
      <c r="I11" s="107"/>
      <c r="J11" s="107"/>
      <c r="L11" s="92" t="s">
        <v>12</v>
      </c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2" t="s">
        <v>31</v>
      </c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4" t="s">
        <v>49</v>
      </c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  <c r="BI11" s="93"/>
      <c r="BJ11" s="93"/>
      <c r="BK11" s="93"/>
      <c r="BL11" s="93"/>
      <c r="BM11" s="93"/>
      <c r="BN11" s="25"/>
      <c r="BO11" s="87" t="s">
        <v>12</v>
      </c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  <c r="CD11" s="88"/>
      <c r="CE11" s="88"/>
      <c r="CF11" s="88"/>
      <c r="CG11" s="85" t="s">
        <v>31</v>
      </c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6"/>
      <c r="CT11" s="86"/>
      <c r="CU11" s="86"/>
      <c r="CV11" s="86"/>
      <c r="CW11" s="86"/>
      <c r="CX11" s="86"/>
      <c r="CY11" s="86"/>
      <c r="CZ11" s="87" t="s">
        <v>49</v>
      </c>
      <c r="DA11" s="87"/>
      <c r="DB11" s="87"/>
      <c r="DC11" s="87"/>
      <c r="DD11" s="87"/>
      <c r="DE11" s="87"/>
      <c r="DF11" s="87"/>
      <c r="DG11" s="87"/>
      <c r="DH11" s="87"/>
      <c r="DI11" s="88"/>
      <c r="DJ11" s="88"/>
      <c r="DK11" s="88"/>
      <c r="DL11" s="88"/>
      <c r="DM11" s="88"/>
      <c r="DN11" s="88"/>
      <c r="DO11" s="88"/>
      <c r="DP11" s="88"/>
      <c r="DQ11" s="88"/>
      <c r="DR11" s="88"/>
      <c r="DS11" s="88"/>
      <c r="DT11" s="88"/>
      <c r="DU11" s="88"/>
      <c r="DV11" s="88"/>
      <c r="DW11" s="88"/>
    </row>
    <row r="12" spans="2:128" s="17" customFormat="1" ht="116.45" customHeight="1">
      <c r="B12" s="42" t="s">
        <v>86</v>
      </c>
      <c r="C12" s="43" t="s">
        <v>87</v>
      </c>
      <c r="D12" s="44" t="s">
        <v>88</v>
      </c>
      <c r="E12" s="44" t="s">
        <v>89</v>
      </c>
      <c r="F12" s="44" t="s">
        <v>90</v>
      </c>
      <c r="G12" s="44" t="s">
        <v>91</v>
      </c>
      <c r="H12" s="44" t="s">
        <v>92</v>
      </c>
      <c r="I12" s="108"/>
      <c r="J12" s="108"/>
      <c r="L12" s="18" t="s">
        <v>13</v>
      </c>
      <c r="M12" s="18" t="s">
        <v>14</v>
      </c>
      <c r="N12" s="18" t="s">
        <v>15</v>
      </c>
      <c r="O12" s="18" t="s">
        <v>16</v>
      </c>
      <c r="P12" s="18" t="s">
        <v>17</v>
      </c>
      <c r="Q12" s="18" t="s">
        <v>18</v>
      </c>
      <c r="R12" s="18" t="s">
        <v>19</v>
      </c>
      <c r="S12" s="18" t="s">
        <v>20</v>
      </c>
      <c r="T12" s="18" t="s">
        <v>21</v>
      </c>
      <c r="U12" s="18" t="s">
        <v>22</v>
      </c>
      <c r="V12" s="18" t="s">
        <v>23</v>
      </c>
      <c r="W12" s="18" t="s">
        <v>24</v>
      </c>
      <c r="X12" s="18" t="s">
        <v>25</v>
      </c>
      <c r="Y12" s="18" t="s">
        <v>26</v>
      </c>
      <c r="Z12" s="18" t="s">
        <v>27</v>
      </c>
      <c r="AA12" s="18" t="s">
        <v>28</v>
      </c>
      <c r="AB12" s="18" t="s">
        <v>29</v>
      </c>
      <c r="AC12" s="18" t="s">
        <v>30</v>
      </c>
      <c r="AD12" s="18" t="s">
        <v>32</v>
      </c>
      <c r="AE12" s="18" t="s">
        <v>33</v>
      </c>
      <c r="AF12" s="24" t="s">
        <v>34</v>
      </c>
      <c r="AG12" s="18" t="s">
        <v>35</v>
      </c>
      <c r="AH12" s="24" t="s">
        <v>36</v>
      </c>
      <c r="AI12" s="18" t="s">
        <v>37</v>
      </c>
      <c r="AJ12" s="18" t="s">
        <v>38</v>
      </c>
      <c r="AK12" s="18" t="s">
        <v>39</v>
      </c>
      <c r="AL12" s="18" t="s">
        <v>40</v>
      </c>
      <c r="AM12" s="18" t="s">
        <v>41</v>
      </c>
      <c r="AN12" s="18" t="s">
        <v>42</v>
      </c>
      <c r="AO12" s="18" t="s">
        <v>43</v>
      </c>
      <c r="AP12" s="18" t="s">
        <v>44</v>
      </c>
      <c r="AQ12" s="18" t="s">
        <v>45</v>
      </c>
      <c r="AR12" s="18" t="s">
        <v>46</v>
      </c>
      <c r="AS12" s="24" t="s">
        <v>47</v>
      </c>
      <c r="AT12" s="24" t="s">
        <v>48</v>
      </c>
      <c r="AU12" s="18" t="s">
        <v>30</v>
      </c>
      <c r="AV12" s="18" t="s">
        <v>50</v>
      </c>
      <c r="AW12" s="18" t="s">
        <v>51</v>
      </c>
      <c r="AX12" s="18" t="s">
        <v>52</v>
      </c>
      <c r="AY12" s="18" t="s">
        <v>53</v>
      </c>
      <c r="AZ12" s="18" t="s">
        <v>54</v>
      </c>
      <c r="BA12" s="18" t="s">
        <v>55</v>
      </c>
      <c r="BB12" s="18" t="s">
        <v>56</v>
      </c>
      <c r="BC12" s="24" t="s">
        <v>57</v>
      </c>
      <c r="BD12" s="18" t="s">
        <v>58</v>
      </c>
      <c r="BE12" s="18" t="s">
        <v>59</v>
      </c>
      <c r="BF12" s="18" t="s">
        <v>60</v>
      </c>
      <c r="BG12" s="18" t="s">
        <v>61</v>
      </c>
      <c r="BH12" s="18" t="s">
        <v>62</v>
      </c>
      <c r="BI12" s="18" t="s">
        <v>63</v>
      </c>
      <c r="BJ12" s="18" t="s">
        <v>64</v>
      </c>
      <c r="BK12" s="18" t="s">
        <v>65</v>
      </c>
      <c r="BL12" s="18" t="s">
        <v>66</v>
      </c>
      <c r="BM12" s="18" t="s">
        <v>67</v>
      </c>
      <c r="BO12" s="18" t="s">
        <v>13</v>
      </c>
      <c r="BP12" s="18" t="s">
        <v>68</v>
      </c>
      <c r="BQ12" s="18" t="s">
        <v>15</v>
      </c>
      <c r="BR12" s="18" t="s">
        <v>16</v>
      </c>
      <c r="BS12" s="18" t="s">
        <v>17</v>
      </c>
      <c r="BT12" s="18" t="s">
        <v>18</v>
      </c>
      <c r="BU12" s="18" t="s">
        <v>19</v>
      </c>
      <c r="BV12" s="18" t="s">
        <v>69</v>
      </c>
      <c r="BW12" s="18" t="s">
        <v>21</v>
      </c>
      <c r="BX12" s="18" t="s">
        <v>22</v>
      </c>
      <c r="BY12" s="18" t="s">
        <v>23</v>
      </c>
      <c r="BZ12" s="18" t="s">
        <v>24</v>
      </c>
      <c r="CA12" s="18" t="s">
        <v>25</v>
      </c>
      <c r="CB12" s="18" t="s">
        <v>26</v>
      </c>
      <c r="CC12" s="18" t="s">
        <v>27</v>
      </c>
      <c r="CD12" s="18" t="s">
        <v>28</v>
      </c>
      <c r="CE12" s="18" t="s">
        <v>70</v>
      </c>
      <c r="CF12" s="18" t="s">
        <v>30</v>
      </c>
      <c r="CG12" s="18" t="s">
        <v>32</v>
      </c>
      <c r="CH12" s="18" t="s">
        <v>33</v>
      </c>
      <c r="CI12" s="18" t="s">
        <v>34</v>
      </c>
      <c r="CJ12" s="18" t="s">
        <v>35</v>
      </c>
      <c r="CK12" s="18" t="s">
        <v>36</v>
      </c>
      <c r="CL12" s="18" t="s">
        <v>37</v>
      </c>
      <c r="CM12" s="18" t="s">
        <v>38</v>
      </c>
      <c r="CN12" s="18" t="s">
        <v>71</v>
      </c>
      <c r="CO12" s="18" t="s">
        <v>39</v>
      </c>
      <c r="CP12" s="18" t="s">
        <v>40</v>
      </c>
      <c r="CQ12" s="18" t="s">
        <v>41</v>
      </c>
      <c r="CR12" s="18" t="s">
        <v>42</v>
      </c>
      <c r="CS12" s="18" t="s">
        <v>43</v>
      </c>
      <c r="CT12" s="18" t="s">
        <v>44</v>
      </c>
      <c r="CU12" s="18" t="s">
        <v>45</v>
      </c>
      <c r="CV12" s="18" t="s">
        <v>46</v>
      </c>
      <c r="CW12" s="18" t="s">
        <v>47</v>
      </c>
      <c r="CX12" s="18" t="s">
        <v>48</v>
      </c>
      <c r="CY12" s="24" t="s">
        <v>30</v>
      </c>
      <c r="CZ12" s="18" t="s">
        <v>72</v>
      </c>
      <c r="DA12" s="18" t="s">
        <v>51</v>
      </c>
      <c r="DB12" s="18" t="s">
        <v>52</v>
      </c>
      <c r="DC12" s="18" t="s">
        <v>53</v>
      </c>
      <c r="DD12" s="18" t="s">
        <v>54</v>
      </c>
      <c r="DE12" s="18" t="s">
        <v>55</v>
      </c>
      <c r="DF12" s="18" t="s">
        <v>56</v>
      </c>
      <c r="DG12" s="26" t="s">
        <v>73</v>
      </c>
      <c r="DH12" s="18" t="s">
        <v>74</v>
      </c>
      <c r="DI12" s="18" t="s">
        <v>59</v>
      </c>
      <c r="DJ12" s="18" t="s">
        <v>60</v>
      </c>
      <c r="DK12" s="18" t="s">
        <v>75</v>
      </c>
      <c r="DL12" s="18" t="s">
        <v>61</v>
      </c>
      <c r="DM12" s="18" t="s">
        <v>76</v>
      </c>
      <c r="DN12" s="18" t="s">
        <v>62</v>
      </c>
      <c r="DO12" s="18" t="s">
        <v>63</v>
      </c>
      <c r="DP12" s="18" t="s">
        <v>64</v>
      </c>
      <c r="DQ12" s="18" t="s">
        <v>65</v>
      </c>
      <c r="DR12" s="18" t="s">
        <v>66</v>
      </c>
      <c r="DS12" s="18" t="s">
        <v>67</v>
      </c>
      <c r="DT12" s="18" t="s">
        <v>77</v>
      </c>
      <c r="DU12" s="18" t="s">
        <v>78</v>
      </c>
      <c r="DV12" s="18" t="s">
        <v>79</v>
      </c>
      <c r="DW12" s="18" t="s">
        <v>80</v>
      </c>
    </row>
    <row r="13" spans="2:128" ht="16.5">
      <c r="B13" s="45">
        <v>1</v>
      </c>
      <c r="C13" s="20" t="s">
        <v>100</v>
      </c>
      <c r="D13" s="20" t="s">
        <v>101</v>
      </c>
      <c r="E13" s="20"/>
      <c r="F13" s="20" t="s">
        <v>93</v>
      </c>
      <c r="G13" s="21">
        <v>71.5</v>
      </c>
      <c r="H13" s="21">
        <v>78</v>
      </c>
      <c r="I13" s="109">
        <f>G13*H13</f>
        <v>5577</v>
      </c>
      <c r="J13" s="109">
        <f>G13*H13</f>
        <v>5577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>
        <v>55</v>
      </c>
      <c r="DA13" s="21"/>
      <c r="DB13" s="21"/>
      <c r="DC13" s="21"/>
      <c r="DD13" s="21"/>
      <c r="DE13" s="21"/>
      <c r="DF13" s="21"/>
      <c r="DG13" s="21"/>
      <c r="DH13" s="21"/>
      <c r="DI13" s="21">
        <v>15</v>
      </c>
      <c r="DJ13" s="21"/>
      <c r="DK13" s="21"/>
      <c r="DL13" s="21"/>
      <c r="DM13" s="21"/>
      <c r="DN13" s="21"/>
      <c r="DO13" s="21">
        <v>6</v>
      </c>
      <c r="DP13" s="21"/>
      <c r="DQ13" s="21">
        <v>2</v>
      </c>
      <c r="DR13" s="21"/>
      <c r="DS13" s="21"/>
      <c r="DT13" s="21"/>
      <c r="DU13" s="21"/>
      <c r="DV13" s="21"/>
      <c r="DW13" s="21"/>
      <c r="DX13" s="110">
        <f>SUM(CL13:DW13)</f>
        <v>78</v>
      </c>
    </row>
    <row r="14" spans="2:128" ht="16.5">
      <c r="B14" s="46">
        <v>2</v>
      </c>
      <c r="C14" s="20" t="s">
        <v>102</v>
      </c>
      <c r="D14" s="20" t="s">
        <v>103</v>
      </c>
      <c r="E14" s="20" t="s">
        <v>105</v>
      </c>
      <c r="F14" s="20" t="s">
        <v>104</v>
      </c>
      <c r="G14" s="23">
        <v>105</v>
      </c>
      <c r="H14" s="23">
        <v>46</v>
      </c>
      <c r="I14" s="109">
        <f t="shared" ref="I14:I77" si="0">G14*H14</f>
        <v>4830</v>
      </c>
      <c r="J14" s="109">
        <f t="shared" ref="J14:J77" si="1">G14*H14</f>
        <v>4830</v>
      </c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>
        <v>10</v>
      </c>
      <c r="DA14" s="23">
        <v>19</v>
      </c>
      <c r="DB14" s="23"/>
      <c r="DC14" s="23"/>
      <c r="DD14" s="23"/>
      <c r="DE14" s="23"/>
      <c r="DF14" s="23"/>
      <c r="DG14" s="23"/>
      <c r="DH14" s="23"/>
      <c r="DI14" s="23">
        <v>27</v>
      </c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3"/>
      <c r="DW14" s="23"/>
      <c r="DX14" s="110">
        <f>SUM(CL14:DW14)</f>
        <v>56</v>
      </c>
    </row>
    <row r="15" spans="2:128" ht="16.5">
      <c r="B15" s="46">
        <v>3</v>
      </c>
      <c r="C15" s="20" t="s">
        <v>106</v>
      </c>
      <c r="D15" s="20" t="s">
        <v>107</v>
      </c>
      <c r="E15" s="20"/>
      <c r="F15" s="20" t="s">
        <v>93</v>
      </c>
      <c r="G15" s="23">
        <v>25</v>
      </c>
      <c r="H15" s="23">
        <v>221</v>
      </c>
      <c r="I15" s="109">
        <f t="shared" si="0"/>
        <v>5525</v>
      </c>
      <c r="J15" s="109">
        <f t="shared" si="1"/>
        <v>5525</v>
      </c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>
        <v>181</v>
      </c>
      <c r="DA15" s="23"/>
      <c r="DB15" s="23"/>
      <c r="DC15" s="23"/>
      <c r="DD15" s="23"/>
      <c r="DE15" s="23"/>
      <c r="DF15" s="23"/>
      <c r="DG15" s="23"/>
      <c r="DH15" s="23"/>
      <c r="DI15" s="23">
        <v>10</v>
      </c>
      <c r="DJ15" s="23"/>
      <c r="DK15" s="23"/>
      <c r="DL15" s="23"/>
      <c r="DM15" s="23"/>
      <c r="DN15" s="23"/>
      <c r="DO15" s="23"/>
      <c r="DP15" s="23"/>
      <c r="DQ15" s="23">
        <v>30</v>
      </c>
      <c r="DR15" s="23"/>
      <c r="DS15" s="23"/>
      <c r="DT15" s="23"/>
      <c r="DU15" s="23"/>
      <c r="DV15" s="23"/>
      <c r="DW15" s="23"/>
      <c r="DX15" s="110">
        <f>SUM(CL15:DW15)</f>
        <v>221</v>
      </c>
    </row>
    <row r="16" spans="2:128" ht="16.5">
      <c r="B16" s="46">
        <v>4</v>
      </c>
      <c r="C16" s="20" t="s">
        <v>108</v>
      </c>
      <c r="D16" s="20" t="s">
        <v>109</v>
      </c>
      <c r="E16" s="20"/>
      <c r="F16" s="20" t="s">
        <v>93</v>
      </c>
      <c r="G16" s="23">
        <v>6.25</v>
      </c>
      <c r="H16" s="23">
        <v>158</v>
      </c>
      <c r="I16" s="109">
        <f t="shared" si="0"/>
        <v>987.5</v>
      </c>
      <c r="J16" s="109">
        <f t="shared" si="1"/>
        <v>987.5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>
        <v>70</v>
      </c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>
        <v>88</v>
      </c>
      <c r="DP16" s="23"/>
      <c r="DQ16" s="23"/>
      <c r="DR16" s="23"/>
      <c r="DS16" s="23"/>
      <c r="DT16" s="23"/>
      <c r="DU16" s="23"/>
      <c r="DV16" s="23"/>
      <c r="DW16" s="23"/>
      <c r="DX16" s="110">
        <f>SUM(CL16:DW16)</f>
        <v>158</v>
      </c>
    </row>
    <row r="17" spans="2:128" ht="16.5">
      <c r="B17" s="46">
        <v>5</v>
      </c>
      <c r="C17" s="20" t="s">
        <v>113</v>
      </c>
      <c r="D17" s="20" t="s">
        <v>114</v>
      </c>
      <c r="E17" s="20"/>
      <c r="F17" s="20" t="s">
        <v>93</v>
      </c>
      <c r="G17" s="23">
        <v>6</v>
      </c>
      <c r="H17" s="23">
        <v>138</v>
      </c>
      <c r="I17" s="109">
        <f t="shared" si="0"/>
        <v>828</v>
      </c>
      <c r="J17" s="109">
        <f t="shared" si="1"/>
        <v>828</v>
      </c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>
        <v>79</v>
      </c>
      <c r="DA17" s="23"/>
      <c r="DB17" s="23"/>
      <c r="DC17" s="23"/>
      <c r="DD17" s="23"/>
      <c r="DE17" s="23"/>
      <c r="DF17" s="23"/>
      <c r="DG17" s="23"/>
      <c r="DH17" s="23"/>
      <c r="DI17" s="23">
        <v>6</v>
      </c>
      <c r="DJ17" s="23"/>
      <c r="DK17" s="23"/>
      <c r="DL17" s="23"/>
      <c r="DM17" s="23"/>
      <c r="DN17" s="23"/>
      <c r="DO17" s="23">
        <v>59</v>
      </c>
      <c r="DP17" s="23"/>
      <c r="DQ17" s="23"/>
      <c r="DR17" s="23"/>
      <c r="DS17" s="23"/>
      <c r="DT17" s="23"/>
      <c r="DU17" s="23"/>
      <c r="DV17" s="23"/>
      <c r="DW17" s="23"/>
      <c r="DX17" s="110">
        <f>SUM(CL17:DW17)</f>
        <v>144</v>
      </c>
    </row>
    <row r="18" spans="2:128" ht="16.5">
      <c r="B18" s="46">
        <v>6</v>
      </c>
      <c r="C18" s="20" t="s">
        <v>115</v>
      </c>
      <c r="D18" s="20" t="s">
        <v>109</v>
      </c>
      <c r="E18" s="20"/>
      <c r="F18" s="20" t="s">
        <v>93</v>
      </c>
      <c r="G18" s="23">
        <v>15</v>
      </c>
      <c r="H18" s="23">
        <v>64</v>
      </c>
      <c r="I18" s="109">
        <f t="shared" si="0"/>
        <v>960</v>
      </c>
      <c r="J18" s="109">
        <f t="shared" si="1"/>
        <v>960</v>
      </c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>
        <v>26</v>
      </c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>
        <v>31</v>
      </c>
      <c r="DP18" s="23">
        <v>7</v>
      </c>
      <c r="DQ18" s="23"/>
      <c r="DR18" s="23"/>
      <c r="DS18" s="23"/>
      <c r="DT18" s="23"/>
      <c r="DU18" s="23"/>
      <c r="DV18" s="23"/>
      <c r="DW18" s="23"/>
      <c r="DX18" s="110">
        <f>SUM(CL18:DW18)</f>
        <v>64</v>
      </c>
    </row>
    <row r="19" spans="2:128" ht="33">
      <c r="B19" s="46">
        <v>7</v>
      </c>
      <c r="C19" s="20" t="s">
        <v>117</v>
      </c>
      <c r="D19" s="20" t="s">
        <v>118</v>
      </c>
      <c r="E19" s="20"/>
      <c r="F19" s="20" t="s">
        <v>119</v>
      </c>
      <c r="G19" s="23">
        <v>31</v>
      </c>
      <c r="H19" s="23">
        <v>115</v>
      </c>
      <c r="I19" s="109">
        <f t="shared" si="0"/>
        <v>3565</v>
      </c>
      <c r="J19" s="109">
        <f t="shared" si="1"/>
        <v>3565</v>
      </c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>
        <v>10</v>
      </c>
      <c r="DA19" s="23"/>
      <c r="DB19" s="23"/>
      <c r="DC19" s="23"/>
      <c r="DD19" s="23"/>
      <c r="DE19" s="23"/>
      <c r="DF19" s="23"/>
      <c r="DG19" s="23"/>
      <c r="DH19" s="23"/>
      <c r="DI19" s="23">
        <v>26</v>
      </c>
      <c r="DJ19" s="23"/>
      <c r="DK19" s="23"/>
      <c r="DL19" s="23"/>
      <c r="DM19" s="23"/>
      <c r="DN19" s="23"/>
      <c r="DO19" s="23">
        <v>68</v>
      </c>
      <c r="DP19" s="23">
        <v>22</v>
      </c>
      <c r="DQ19" s="23"/>
      <c r="DR19" s="23"/>
      <c r="DS19" s="23"/>
      <c r="DT19" s="23"/>
      <c r="DU19" s="23"/>
      <c r="DV19" s="23"/>
      <c r="DW19" s="23"/>
      <c r="DX19" s="110">
        <f>SUM(CL19:DW19)</f>
        <v>126</v>
      </c>
    </row>
    <row r="20" spans="2:128" ht="16.5">
      <c r="B20" s="46">
        <v>8</v>
      </c>
      <c r="C20" s="20" t="s">
        <v>120</v>
      </c>
      <c r="D20" s="20" t="s">
        <v>121</v>
      </c>
      <c r="E20" s="20"/>
      <c r="F20" s="20" t="s">
        <v>93</v>
      </c>
      <c r="G20" s="23">
        <v>9.8000000000000007</v>
      </c>
      <c r="H20" s="23">
        <v>103</v>
      </c>
      <c r="I20" s="109">
        <f t="shared" si="0"/>
        <v>1009.4000000000001</v>
      </c>
      <c r="J20" s="109">
        <f t="shared" si="1"/>
        <v>1009.4000000000001</v>
      </c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>
        <v>56</v>
      </c>
      <c r="DA20" s="23"/>
      <c r="DB20" s="23"/>
      <c r="DC20" s="23"/>
      <c r="DD20" s="23"/>
      <c r="DE20" s="23"/>
      <c r="DF20" s="23"/>
      <c r="DG20" s="23"/>
      <c r="DH20" s="23"/>
      <c r="DI20" s="23">
        <v>6</v>
      </c>
      <c r="DJ20" s="23"/>
      <c r="DK20" s="23"/>
      <c r="DL20" s="23"/>
      <c r="DM20" s="23"/>
      <c r="DN20" s="23"/>
      <c r="DO20" s="23">
        <v>41</v>
      </c>
      <c r="DP20" s="23"/>
      <c r="DQ20" s="23"/>
      <c r="DR20" s="23"/>
      <c r="DS20" s="23"/>
      <c r="DT20" s="23"/>
      <c r="DU20" s="23"/>
      <c r="DV20" s="23"/>
      <c r="DW20" s="23"/>
      <c r="DX20" s="110">
        <f>SUM(CL20:DW20)</f>
        <v>103</v>
      </c>
    </row>
    <row r="21" spans="2:128" ht="16.5">
      <c r="B21" s="46">
        <v>9</v>
      </c>
      <c r="C21" s="20" t="s">
        <v>122</v>
      </c>
      <c r="D21" s="20" t="s">
        <v>123</v>
      </c>
      <c r="E21" s="20"/>
      <c r="F21" s="20" t="s">
        <v>116</v>
      </c>
      <c r="G21" s="23">
        <v>120</v>
      </c>
      <c r="H21" s="23">
        <v>10</v>
      </c>
      <c r="I21" s="109">
        <f t="shared" si="0"/>
        <v>1200</v>
      </c>
      <c r="J21" s="109">
        <f t="shared" si="1"/>
        <v>1200</v>
      </c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>
        <v>10</v>
      </c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3"/>
      <c r="DW21" s="23"/>
      <c r="DX21" s="110">
        <f>SUM(CL21:DW21)</f>
        <v>10</v>
      </c>
    </row>
    <row r="22" spans="2:128" ht="16.5">
      <c r="B22" s="46">
        <v>10</v>
      </c>
      <c r="C22" s="20" t="s">
        <v>124</v>
      </c>
      <c r="D22" s="20" t="s">
        <v>109</v>
      </c>
      <c r="E22" s="20"/>
      <c r="F22" s="20" t="s">
        <v>93</v>
      </c>
      <c r="G22" s="23">
        <v>1.5</v>
      </c>
      <c r="H22" s="23">
        <v>10</v>
      </c>
      <c r="I22" s="109">
        <f t="shared" si="0"/>
        <v>15</v>
      </c>
      <c r="J22" s="109">
        <f t="shared" si="1"/>
        <v>15</v>
      </c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>
        <v>20</v>
      </c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110">
        <f>SUM(CL22:DW22)</f>
        <v>20</v>
      </c>
    </row>
    <row r="23" spans="2:128" ht="16.5">
      <c r="B23" s="46">
        <v>11</v>
      </c>
      <c r="C23" s="20" t="s">
        <v>125</v>
      </c>
      <c r="D23" s="20" t="s">
        <v>123</v>
      </c>
      <c r="E23" s="20"/>
      <c r="F23" s="20" t="s">
        <v>93</v>
      </c>
      <c r="G23" s="23">
        <v>4</v>
      </c>
      <c r="H23" s="23">
        <v>12</v>
      </c>
      <c r="I23" s="109">
        <f t="shared" si="0"/>
        <v>48</v>
      </c>
      <c r="J23" s="109">
        <f t="shared" si="1"/>
        <v>48</v>
      </c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>
        <v>12</v>
      </c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23"/>
      <c r="DX23" s="110">
        <f>SUM(CL23:DW23)</f>
        <v>12</v>
      </c>
    </row>
    <row r="24" spans="2:128" ht="16.5">
      <c r="B24" s="46">
        <v>12</v>
      </c>
      <c r="C24" s="20" t="s">
        <v>126</v>
      </c>
      <c r="D24" s="20" t="s">
        <v>127</v>
      </c>
      <c r="E24" s="20"/>
      <c r="F24" s="20" t="s">
        <v>93</v>
      </c>
      <c r="G24" s="23">
        <v>22.5</v>
      </c>
      <c r="H24" s="23">
        <v>58</v>
      </c>
      <c r="I24" s="109">
        <f t="shared" si="0"/>
        <v>1305</v>
      </c>
      <c r="J24" s="109">
        <f t="shared" si="1"/>
        <v>1305</v>
      </c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>
        <v>10</v>
      </c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>
        <v>48</v>
      </c>
      <c r="DP24" s="23"/>
      <c r="DQ24" s="23"/>
      <c r="DR24" s="23"/>
      <c r="DS24" s="23"/>
      <c r="DT24" s="23"/>
      <c r="DU24" s="23"/>
      <c r="DV24" s="23"/>
      <c r="DW24" s="23"/>
      <c r="DX24" s="110">
        <f>SUM(CL24:DW24)</f>
        <v>58</v>
      </c>
    </row>
    <row r="25" spans="2:128" ht="16.5">
      <c r="B25" s="46">
        <v>13</v>
      </c>
      <c r="C25" s="20" t="s">
        <v>128</v>
      </c>
      <c r="D25" s="20" t="s">
        <v>129</v>
      </c>
      <c r="E25" s="20" t="s">
        <v>130</v>
      </c>
      <c r="F25" s="20" t="s">
        <v>104</v>
      </c>
      <c r="G25" s="23">
        <v>120</v>
      </c>
      <c r="H25" s="23">
        <v>23</v>
      </c>
      <c r="I25" s="109">
        <f t="shared" si="0"/>
        <v>2760</v>
      </c>
      <c r="J25" s="109">
        <f t="shared" si="1"/>
        <v>2760</v>
      </c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  <c r="DH25" s="23"/>
      <c r="DI25" s="23">
        <v>4</v>
      </c>
      <c r="DJ25" s="23"/>
      <c r="DK25" s="23"/>
      <c r="DL25" s="23"/>
      <c r="DM25" s="23"/>
      <c r="DN25" s="23"/>
      <c r="DO25" s="23"/>
      <c r="DP25" s="23"/>
      <c r="DQ25" s="23">
        <v>16</v>
      </c>
      <c r="DR25" s="23">
        <v>3</v>
      </c>
      <c r="DS25" s="23"/>
      <c r="DT25" s="23"/>
      <c r="DU25" s="23"/>
      <c r="DV25" s="23"/>
      <c r="DW25" s="23"/>
      <c r="DX25" s="110">
        <f>SUM(CL25:DW25)</f>
        <v>23</v>
      </c>
    </row>
    <row r="26" spans="2:128" ht="16.5">
      <c r="B26" s="46">
        <v>14</v>
      </c>
      <c r="C26" s="20" t="s">
        <v>131</v>
      </c>
      <c r="D26" s="20" t="s">
        <v>132</v>
      </c>
      <c r="E26" s="20"/>
      <c r="F26" s="20" t="s">
        <v>93</v>
      </c>
      <c r="G26" s="23">
        <v>1.6</v>
      </c>
      <c r="H26" s="23">
        <v>258</v>
      </c>
      <c r="I26" s="109">
        <f t="shared" si="0"/>
        <v>412.8</v>
      </c>
      <c r="J26" s="109">
        <f t="shared" si="1"/>
        <v>412.8</v>
      </c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>
        <v>141</v>
      </c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>
        <v>107</v>
      </c>
      <c r="DP26" s="23">
        <v>10</v>
      </c>
      <c r="DQ26" s="23"/>
      <c r="DR26" s="23"/>
      <c r="DS26" s="23"/>
      <c r="DT26" s="23"/>
      <c r="DU26" s="23"/>
      <c r="DV26" s="23"/>
      <c r="DW26" s="23"/>
      <c r="DX26" s="110">
        <f>SUM(CL26:DW26)</f>
        <v>258</v>
      </c>
    </row>
    <row r="27" spans="2:128" ht="16.5">
      <c r="B27" s="46">
        <v>15</v>
      </c>
      <c r="C27" s="20" t="s">
        <v>133</v>
      </c>
      <c r="D27" s="20" t="s">
        <v>123</v>
      </c>
      <c r="E27" s="20" t="s">
        <v>134</v>
      </c>
      <c r="F27" s="20" t="s">
        <v>135</v>
      </c>
      <c r="G27" s="23">
        <v>443</v>
      </c>
      <c r="H27" s="23">
        <v>2</v>
      </c>
      <c r="I27" s="109">
        <f t="shared" si="0"/>
        <v>886</v>
      </c>
      <c r="J27" s="109">
        <f t="shared" si="1"/>
        <v>886</v>
      </c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>
        <v>1</v>
      </c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>
        <v>1</v>
      </c>
      <c r="DQ27" s="23"/>
      <c r="DR27" s="23"/>
      <c r="DS27" s="23"/>
      <c r="DT27" s="23"/>
      <c r="DU27" s="23"/>
      <c r="DV27" s="23"/>
      <c r="DW27" s="23"/>
      <c r="DX27" s="110">
        <f>SUM(CL27:DW27)</f>
        <v>2</v>
      </c>
    </row>
    <row r="28" spans="2:128" ht="16.5">
      <c r="B28" s="46">
        <v>16</v>
      </c>
      <c r="C28" s="20" t="s">
        <v>136</v>
      </c>
      <c r="D28" s="20" t="s">
        <v>137</v>
      </c>
      <c r="E28" s="20" t="s">
        <v>138</v>
      </c>
      <c r="F28" s="20" t="s">
        <v>135</v>
      </c>
      <c r="G28" s="23">
        <v>18.5</v>
      </c>
      <c r="H28" s="23">
        <v>1</v>
      </c>
      <c r="I28" s="109">
        <f t="shared" si="0"/>
        <v>18.5</v>
      </c>
      <c r="J28" s="109">
        <f t="shared" si="1"/>
        <v>18.5</v>
      </c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>
        <v>1</v>
      </c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110">
        <f>SUM(CL28:DW28)</f>
        <v>1</v>
      </c>
    </row>
    <row r="29" spans="2:128" ht="16.5">
      <c r="B29" s="46">
        <v>17</v>
      </c>
      <c r="C29" s="20" t="s">
        <v>139</v>
      </c>
      <c r="D29" s="20" t="s">
        <v>137</v>
      </c>
      <c r="E29" s="20" t="s">
        <v>138</v>
      </c>
      <c r="F29" s="20" t="s">
        <v>135</v>
      </c>
      <c r="G29" s="23">
        <v>76</v>
      </c>
      <c r="H29" s="23">
        <v>1</v>
      </c>
      <c r="I29" s="109">
        <f t="shared" si="0"/>
        <v>76</v>
      </c>
      <c r="J29" s="109">
        <f t="shared" si="1"/>
        <v>76</v>
      </c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>
        <v>1</v>
      </c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  <c r="DT29" s="23"/>
      <c r="DU29" s="23"/>
      <c r="DV29" s="23"/>
      <c r="DW29" s="23"/>
      <c r="DX29" s="110">
        <f>SUM(CL29:DW29)</f>
        <v>1</v>
      </c>
    </row>
    <row r="30" spans="2:128" ht="16.5">
      <c r="B30" s="46">
        <v>18</v>
      </c>
      <c r="C30" s="20" t="s">
        <v>140</v>
      </c>
      <c r="D30" s="20"/>
      <c r="E30" s="20" t="s">
        <v>141</v>
      </c>
      <c r="F30" s="20" t="s">
        <v>135</v>
      </c>
      <c r="G30" s="23">
        <v>71.3</v>
      </c>
      <c r="H30" s="23">
        <v>1</v>
      </c>
      <c r="I30" s="109">
        <f t="shared" si="0"/>
        <v>71.3</v>
      </c>
      <c r="J30" s="109">
        <f t="shared" si="1"/>
        <v>71.3</v>
      </c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>
        <v>1</v>
      </c>
      <c r="DP30" s="23"/>
      <c r="DQ30" s="23"/>
      <c r="DR30" s="23"/>
      <c r="DS30" s="23"/>
      <c r="DT30" s="23"/>
      <c r="DU30" s="23"/>
      <c r="DV30" s="23"/>
      <c r="DW30" s="23"/>
      <c r="DX30" s="110">
        <f>SUM(CL30:DW30)</f>
        <v>1</v>
      </c>
    </row>
    <row r="31" spans="2:128" ht="16.5">
      <c r="B31" s="46">
        <v>19</v>
      </c>
      <c r="C31" s="20" t="s">
        <v>133</v>
      </c>
      <c r="D31" s="20" t="s">
        <v>142</v>
      </c>
      <c r="E31" s="20" t="s">
        <v>143</v>
      </c>
      <c r="F31" s="20" t="s">
        <v>135</v>
      </c>
      <c r="G31" s="23">
        <v>275</v>
      </c>
      <c r="H31" s="23">
        <v>7</v>
      </c>
      <c r="I31" s="109">
        <f t="shared" si="0"/>
        <v>1925</v>
      </c>
      <c r="J31" s="109">
        <f t="shared" si="1"/>
        <v>1925</v>
      </c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>
        <v>6</v>
      </c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>
        <v>1</v>
      </c>
      <c r="DQ31" s="23"/>
      <c r="DR31" s="23"/>
      <c r="DS31" s="23"/>
      <c r="DT31" s="23"/>
      <c r="DU31" s="23"/>
      <c r="DV31" s="23"/>
      <c r="DW31" s="23"/>
      <c r="DX31" s="110">
        <f>SUM(CL31:DW31)</f>
        <v>7</v>
      </c>
    </row>
    <row r="32" spans="2:128" ht="16.5">
      <c r="B32" s="46">
        <v>20</v>
      </c>
      <c r="C32" s="20" t="s">
        <v>144</v>
      </c>
      <c r="D32" s="20" t="s">
        <v>145</v>
      </c>
      <c r="E32" s="20"/>
      <c r="F32" s="20" t="s">
        <v>146</v>
      </c>
      <c r="G32" s="23">
        <v>7</v>
      </c>
      <c r="H32" s="23">
        <v>253</v>
      </c>
      <c r="I32" s="109">
        <f t="shared" si="0"/>
        <v>1771</v>
      </c>
      <c r="J32" s="109">
        <f t="shared" si="1"/>
        <v>1771</v>
      </c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>
        <v>22</v>
      </c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>
        <v>210</v>
      </c>
      <c r="DR32" s="23">
        <v>21</v>
      </c>
      <c r="DS32" s="23"/>
      <c r="DT32" s="23"/>
      <c r="DU32" s="23"/>
      <c r="DV32" s="23"/>
      <c r="DW32" s="23"/>
      <c r="DX32" s="110">
        <f>SUM(CL32:DW32)</f>
        <v>253</v>
      </c>
    </row>
    <row r="33" spans="2:128" ht="16.5">
      <c r="B33" s="46">
        <v>21</v>
      </c>
      <c r="C33" s="20" t="s">
        <v>147</v>
      </c>
      <c r="D33" s="20" t="s">
        <v>145</v>
      </c>
      <c r="E33" s="20"/>
      <c r="F33" s="20" t="s">
        <v>146</v>
      </c>
      <c r="G33" s="23">
        <v>3.2</v>
      </c>
      <c r="H33" s="23">
        <v>288</v>
      </c>
      <c r="I33" s="109">
        <f t="shared" si="0"/>
        <v>921.6</v>
      </c>
      <c r="J33" s="109">
        <f t="shared" si="1"/>
        <v>921.6</v>
      </c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>
        <v>51</v>
      </c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>
        <v>120</v>
      </c>
      <c r="DR33" s="23">
        <v>117</v>
      </c>
      <c r="DS33" s="23"/>
      <c r="DT33" s="23"/>
      <c r="DU33" s="23"/>
      <c r="DV33" s="23"/>
      <c r="DW33" s="23"/>
      <c r="DX33" s="110">
        <f>SUM(CL33:DW33)</f>
        <v>288</v>
      </c>
    </row>
    <row r="34" spans="2:128" ht="16.5">
      <c r="B34" s="46">
        <v>22</v>
      </c>
      <c r="C34" s="20" t="s">
        <v>148</v>
      </c>
      <c r="D34" s="66">
        <v>0.02</v>
      </c>
      <c r="E34" s="20" t="s">
        <v>141</v>
      </c>
      <c r="F34" s="20" t="s">
        <v>116</v>
      </c>
      <c r="G34" s="23">
        <v>1.5</v>
      </c>
      <c r="H34" s="23">
        <v>99</v>
      </c>
      <c r="I34" s="109">
        <f t="shared" si="0"/>
        <v>148.5</v>
      </c>
      <c r="J34" s="109">
        <f t="shared" si="1"/>
        <v>148.5</v>
      </c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>
        <v>24</v>
      </c>
      <c r="DA34" s="23"/>
      <c r="DB34" s="23"/>
      <c r="DC34" s="23"/>
      <c r="DD34" s="23"/>
      <c r="DE34" s="23"/>
      <c r="DF34" s="23"/>
      <c r="DG34" s="23"/>
      <c r="DH34" s="23"/>
      <c r="DI34" s="23">
        <v>40</v>
      </c>
      <c r="DJ34" s="23"/>
      <c r="DK34" s="23"/>
      <c r="DL34" s="23"/>
      <c r="DM34" s="23"/>
      <c r="DN34" s="23"/>
      <c r="DO34" s="23"/>
      <c r="DP34" s="23"/>
      <c r="DQ34" s="23"/>
      <c r="DR34" s="23">
        <v>35</v>
      </c>
      <c r="DS34" s="23"/>
      <c r="DT34" s="23"/>
      <c r="DU34" s="23"/>
      <c r="DV34" s="23"/>
      <c r="DW34" s="23"/>
      <c r="DX34" s="110">
        <f>SUM(CL34:DW34)</f>
        <v>99</v>
      </c>
    </row>
    <row r="35" spans="2:128" ht="16.5">
      <c r="B35" s="46">
        <v>23</v>
      </c>
      <c r="C35" s="20" t="s">
        <v>149</v>
      </c>
      <c r="D35" s="20" t="s">
        <v>150</v>
      </c>
      <c r="E35" s="20" t="s">
        <v>143</v>
      </c>
      <c r="F35" s="20" t="s">
        <v>135</v>
      </c>
      <c r="G35" s="23">
        <v>88</v>
      </c>
      <c r="H35" s="23">
        <v>1</v>
      </c>
      <c r="I35" s="109">
        <f t="shared" si="0"/>
        <v>88</v>
      </c>
      <c r="J35" s="109">
        <f t="shared" si="1"/>
        <v>88</v>
      </c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>
        <v>1</v>
      </c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23"/>
      <c r="DX35" s="110">
        <f>SUM(CL35:DW35)</f>
        <v>1</v>
      </c>
    </row>
    <row r="36" spans="2:128" ht="16.5">
      <c r="B36" s="46">
        <v>24</v>
      </c>
      <c r="C36" s="20" t="s">
        <v>136</v>
      </c>
      <c r="D36" s="20" t="s">
        <v>145</v>
      </c>
      <c r="E36" s="20"/>
      <c r="F36" s="20" t="s">
        <v>93</v>
      </c>
      <c r="G36" s="23">
        <v>1</v>
      </c>
      <c r="H36" s="23">
        <v>79</v>
      </c>
      <c r="I36" s="109">
        <f t="shared" si="0"/>
        <v>79</v>
      </c>
      <c r="J36" s="109">
        <f t="shared" si="1"/>
        <v>79</v>
      </c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>
        <v>15</v>
      </c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>
        <v>64</v>
      </c>
      <c r="DP36" s="23"/>
      <c r="DQ36" s="23"/>
      <c r="DR36" s="23"/>
      <c r="DS36" s="23"/>
      <c r="DT36" s="23"/>
      <c r="DU36" s="23"/>
      <c r="DV36" s="23"/>
      <c r="DW36" s="23"/>
      <c r="DX36" s="110">
        <f>SUM(CL36:DW36)</f>
        <v>79</v>
      </c>
    </row>
    <row r="37" spans="2:128" ht="16.5">
      <c r="B37" s="46">
        <v>25</v>
      </c>
      <c r="C37" s="20" t="s">
        <v>151</v>
      </c>
      <c r="D37" s="20" t="s">
        <v>123</v>
      </c>
      <c r="E37" s="20"/>
      <c r="F37" s="20" t="s">
        <v>93</v>
      </c>
      <c r="G37" s="23">
        <v>59</v>
      </c>
      <c r="H37" s="23">
        <v>30</v>
      </c>
      <c r="I37" s="109">
        <f t="shared" si="0"/>
        <v>1770</v>
      </c>
      <c r="J37" s="109">
        <f t="shared" si="1"/>
        <v>1770</v>
      </c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>
        <v>21</v>
      </c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>
        <v>9</v>
      </c>
      <c r="DP37" s="23"/>
      <c r="DQ37" s="23"/>
      <c r="DR37" s="23"/>
      <c r="DS37" s="23"/>
      <c r="DT37" s="23"/>
      <c r="DU37" s="23"/>
      <c r="DV37" s="23"/>
      <c r="DW37" s="23"/>
      <c r="DX37" s="110">
        <f>SUM(CL37:DW37)</f>
        <v>30</v>
      </c>
    </row>
    <row r="38" spans="2:128" ht="16.5">
      <c r="B38" s="46">
        <v>26</v>
      </c>
      <c r="C38" s="20" t="s">
        <v>113</v>
      </c>
      <c r="D38" s="20" t="s">
        <v>152</v>
      </c>
      <c r="E38" s="20"/>
      <c r="F38" s="20" t="s">
        <v>93</v>
      </c>
      <c r="G38" s="23">
        <v>3</v>
      </c>
      <c r="H38" s="23">
        <v>215</v>
      </c>
      <c r="I38" s="109">
        <f t="shared" si="0"/>
        <v>645</v>
      </c>
      <c r="J38" s="109">
        <f t="shared" si="1"/>
        <v>645</v>
      </c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>
        <v>123</v>
      </c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>
        <v>92</v>
      </c>
      <c r="DP38" s="23"/>
      <c r="DQ38" s="23"/>
      <c r="DR38" s="23"/>
      <c r="DS38" s="23"/>
      <c r="DT38" s="23"/>
      <c r="DU38" s="23"/>
      <c r="DV38" s="23"/>
      <c r="DW38" s="23"/>
      <c r="DX38" s="110">
        <f>SUM(CL38:DW38)</f>
        <v>215</v>
      </c>
    </row>
    <row r="39" spans="2:128" ht="16.5">
      <c r="B39" s="46">
        <v>27</v>
      </c>
      <c r="C39" s="20" t="s">
        <v>153</v>
      </c>
      <c r="D39" s="20" t="s">
        <v>154</v>
      </c>
      <c r="E39" s="20"/>
      <c r="F39" s="20" t="s">
        <v>104</v>
      </c>
      <c r="G39" s="23">
        <v>71</v>
      </c>
      <c r="H39" s="23">
        <v>53</v>
      </c>
      <c r="I39" s="109">
        <f t="shared" si="0"/>
        <v>3763</v>
      </c>
      <c r="J39" s="109">
        <f t="shared" si="1"/>
        <v>3763</v>
      </c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>
        <v>26</v>
      </c>
      <c r="DA39" s="23"/>
      <c r="DB39" s="23"/>
      <c r="DC39" s="23"/>
      <c r="DD39" s="23"/>
      <c r="DE39" s="23"/>
      <c r="DF39" s="23"/>
      <c r="DG39" s="23"/>
      <c r="DH39" s="23"/>
      <c r="DI39" s="23">
        <v>27</v>
      </c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V39" s="23"/>
      <c r="DW39" s="23"/>
      <c r="DX39" s="110">
        <f>SUM(CL39:DW39)</f>
        <v>53</v>
      </c>
    </row>
    <row r="40" spans="2:128" ht="16.5">
      <c r="B40" s="46">
        <v>28</v>
      </c>
      <c r="C40" s="20" t="s">
        <v>155</v>
      </c>
      <c r="D40" s="20" t="s">
        <v>156</v>
      </c>
      <c r="E40" s="20" t="s">
        <v>157</v>
      </c>
      <c r="F40" s="20" t="s">
        <v>104</v>
      </c>
      <c r="G40" s="23">
        <v>1105</v>
      </c>
      <c r="H40" s="23">
        <v>9</v>
      </c>
      <c r="I40" s="109">
        <f t="shared" si="0"/>
        <v>9945</v>
      </c>
      <c r="J40" s="109">
        <f t="shared" si="1"/>
        <v>9945</v>
      </c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>
        <v>2</v>
      </c>
      <c r="DA40" s="23"/>
      <c r="DB40" s="23"/>
      <c r="DC40" s="23"/>
      <c r="DD40" s="23"/>
      <c r="DE40" s="23"/>
      <c r="DF40" s="23"/>
      <c r="DG40" s="23"/>
      <c r="DH40" s="23"/>
      <c r="DI40" s="23">
        <v>1</v>
      </c>
      <c r="DJ40" s="23"/>
      <c r="DK40" s="23"/>
      <c r="DL40" s="23"/>
      <c r="DM40" s="23"/>
      <c r="DN40" s="23"/>
      <c r="DO40" s="23">
        <v>6</v>
      </c>
      <c r="DP40" s="23"/>
      <c r="DQ40" s="23"/>
      <c r="DR40" s="23"/>
      <c r="DS40" s="23"/>
      <c r="DT40" s="23"/>
      <c r="DU40" s="23"/>
      <c r="DV40" s="23"/>
      <c r="DW40" s="23"/>
      <c r="DX40" s="110">
        <f>SUM(CL40:DW40)</f>
        <v>9</v>
      </c>
    </row>
    <row r="41" spans="2:128" ht="16.5">
      <c r="B41" s="46">
        <v>29</v>
      </c>
      <c r="C41" s="20" t="s">
        <v>158</v>
      </c>
      <c r="D41" s="20" t="s">
        <v>145</v>
      </c>
      <c r="E41" s="20"/>
      <c r="F41" s="20" t="s">
        <v>93</v>
      </c>
      <c r="G41" s="23">
        <v>6.5</v>
      </c>
      <c r="H41" s="23">
        <v>162</v>
      </c>
      <c r="I41" s="109">
        <f t="shared" si="0"/>
        <v>1053</v>
      </c>
      <c r="J41" s="109">
        <f t="shared" si="1"/>
        <v>1053</v>
      </c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>
        <v>42</v>
      </c>
      <c r="DA41" s="23"/>
      <c r="DB41" s="23"/>
      <c r="DC41" s="23"/>
      <c r="DD41" s="23"/>
      <c r="DE41" s="23"/>
      <c r="DF41" s="23"/>
      <c r="DG41" s="23"/>
      <c r="DH41" s="23"/>
      <c r="DI41" s="23">
        <v>14</v>
      </c>
      <c r="DJ41" s="23"/>
      <c r="DK41" s="23"/>
      <c r="DL41" s="23"/>
      <c r="DM41" s="23"/>
      <c r="DN41" s="23"/>
      <c r="DO41" s="23">
        <v>96</v>
      </c>
      <c r="DP41" s="23">
        <v>10</v>
      </c>
      <c r="DQ41" s="23"/>
      <c r="DR41" s="23"/>
      <c r="DS41" s="23"/>
      <c r="DT41" s="23"/>
      <c r="DU41" s="23"/>
      <c r="DV41" s="23"/>
      <c r="DW41" s="23"/>
      <c r="DX41" s="110">
        <f>SUM(CL41:DW41)</f>
        <v>162</v>
      </c>
    </row>
    <row r="42" spans="2:128" ht="16.5">
      <c r="B42" s="46">
        <v>30</v>
      </c>
      <c r="C42" s="20" t="s">
        <v>159</v>
      </c>
      <c r="D42" s="20" t="s">
        <v>160</v>
      </c>
      <c r="E42" s="20"/>
      <c r="F42" s="20" t="s">
        <v>135</v>
      </c>
      <c r="G42" s="23">
        <v>56</v>
      </c>
      <c r="H42" s="23">
        <v>73</v>
      </c>
      <c r="I42" s="109">
        <f t="shared" si="0"/>
        <v>4088</v>
      </c>
      <c r="J42" s="109">
        <f t="shared" si="1"/>
        <v>4088</v>
      </c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>
        <v>15</v>
      </c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>
        <v>15</v>
      </c>
      <c r="DP42" s="23">
        <v>43</v>
      </c>
      <c r="DQ42" s="23"/>
      <c r="DR42" s="23"/>
      <c r="DS42" s="23"/>
      <c r="DT42" s="23"/>
      <c r="DU42" s="23"/>
      <c r="DV42" s="23"/>
      <c r="DW42" s="23"/>
      <c r="DX42" s="110">
        <f>SUM(CL42:DW42)</f>
        <v>73</v>
      </c>
    </row>
    <row r="43" spans="2:128" ht="16.5">
      <c r="B43" s="46">
        <v>31</v>
      </c>
      <c r="C43" s="20" t="s">
        <v>161</v>
      </c>
      <c r="D43" s="20" t="s">
        <v>162</v>
      </c>
      <c r="E43" s="20"/>
      <c r="F43" s="20" t="s">
        <v>157</v>
      </c>
      <c r="G43" s="23">
        <v>48</v>
      </c>
      <c r="H43" s="23">
        <v>34</v>
      </c>
      <c r="I43" s="109">
        <f t="shared" si="0"/>
        <v>1632</v>
      </c>
      <c r="J43" s="109">
        <f t="shared" si="1"/>
        <v>1632</v>
      </c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>
        <v>11</v>
      </c>
      <c r="DA43" s="23"/>
      <c r="DB43" s="23"/>
      <c r="DC43" s="23"/>
      <c r="DD43" s="23"/>
      <c r="DE43" s="23"/>
      <c r="DF43" s="23"/>
      <c r="DG43" s="23"/>
      <c r="DH43" s="23"/>
      <c r="DI43" s="23">
        <v>1</v>
      </c>
      <c r="DJ43" s="23"/>
      <c r="DK43" s="23"/>
      <c r="DL43" s="23"/>
      <c r="DM43" s="23"/>
      <c r="DN43" s="23"/>
      <c r="DO43" s="23">
        <v>11</v>
      </c>
      <c r="DP43" s="23"/>
      <c r="DQ43" s="23"/>
      <c r="DR43" s="23">
        <v>11</v>
      </c>
      <c r="DS43" s="23"/>
      <c r="DT43" s="23"/>
      <c r="DU43" s="23"/>
      <c r="DV43" s="23"/>
      <c r="DW43" s="23"/>
      <c r="DX43" s="110">
        <f>SUM(CL43:DW43)</f>
        <v>34</v>
      </c>
    </row>
    <row r="44" spans="2:128" ht="16.5">
      <c r="B44" s="46">
        <v>32</v>
      </c>
      <c r="C44" s="20" t="s">
        <v>115</v>
      </c>
      <c r="D44" s="20" t="s">
        <v>109</v>
      </c>
      <c r="E44" s="20" t="s">
        <v>163</v>
      </c>
      <c r="F44" s="20" t="s">
        <v>116</v>
      </c>
      <c r="G44" s="23">
        <v>255</v>
      </c>
      <c r="H44" s="23">
        <v>54</v>
      </c>
      <c r="I44" s="109">
        <f t="shared" si="0"/>
        <v>13770</v>
      </c>
      <c r="J44" s="109">
        <f t="shared" si="1"/>
        <v>13770</v>
      </c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>
        <v>4</v>
      </c>
      <c r="DA44" s="23"/>
      <c r="DB44" s="23"/>
      <c r="DC44" s="23"/>
      <c r="DD44" s="23"/>
      <c r="DE44" s="23"/>
      <c r="DF44" s="23"/>
      <c r="DG44" s="23"/>
      <c r="DH44" s="23"/>
      <c r="DI44" s="23">
        <v>2</v>
      </c>
      <c r="DJ44" s="23"/>
      <c r="DK44" s="23"/>
      <c r="DL44" s="23"/>
      <c r="DM44" s="23"/>
      <c r="DN44" s="23"/>
      <c r="DO44" s="23">
        <v>48</v>
      </c>
      <c r="DP44" s="23"/>
      <c r="DQ44" s="23"/>
      <c r="DR44" s="23"/>
      <c r="DS44" s="23"/>
      <c r="DT44" s="23"/>
      <c r="DU44" s="23"/>
      <c r="DV44" s="23"/>
      <c r="DW44" s="23"/>
      <c r="DX44" s="110">
        <f>SUM(CL44:DW44)</f>
        <v>54</v>
      </c>
    </row>
    <row r="45" spans="2:128" ht="16.5">
      <c r="B45" s="46">
        <v>33</v>
      </c>
      <c r="C45" s="20" t="s">
        <v>164</v>
      </c>
      <c r="D45" s="20" t="s">
        <v>145</v>
      </c>
      <c r="E45" s="20"/>
      <c r="F45" s="20" t="s">
        <v>116</v>
      </c>
      <c r="G45" s="23">
        <v>19</v>
      </c>
      <c r="H45" s="23">
        <v>126</v>
      </c>
      <c r="I45" s="109">
        <f t="shared" si="0"/>
        <v>2394</v>
      </c>
      <c r="J45" s="109">
        <f t="shared" si="1"/>
        <v>2394</v>
      </c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>
        <v>2</v>
      </c>
      <c r="DP45" s="23">
        <v>9</v>
      </c>
      <c r="DQ45" s="23">
        <v>92</v>
      </c>
      <c r="DR45" s="23">
        <v>23</v>
      </c>
      <c r="DS45" s="23"/>
      <c r="DT45" s="23"/>
      <c r="DU45" s="23"/>
      <c r="DV45" s="23"/>
      <c r="DW45" s="23"/>
      <c r="DX45" s="110">
        <f>SUM(CL45:DW45)</f>
        <v>126</v>
      </c>
    </row>
    <row r="46" spans="2:128" ht="16.5">
      <c r="B46" s="46">
        <v>34</v>
      </c>
      <c r="C46" s="20" t="s">
        <v>165</v>
      </c>
      <c r="D46" s="20"/>
      <c r="E46" s="20" t="s">
        <v>166</v>
      </c>
      <c r="F46" s="20" t="s">
        <v>135</v>
      </c>
      <c r="G46" s="23">
        <v>71.3</v>
      </c>
      <c r="H46" s="23">
        <v>97</v>
      </c>
      <c r="I46" s="109">
        <f t="shared" si="0"/>
        <v>6916.0999999999995</v>
      </c>
      <c r="J46" s="109">
        <f t="shared" si="1"/>
        <v>6916.0999999999995</v>
      </c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>
        <v>27</v>
      </c>
      <c r="DP46" s="23">
        <v>6</v>
      </c>
      <c r="DQ46" s="23">
        <v>48</v>
      </c>
      <c r="DR46" s="23">
        <v>16</v>
      </c>
      <c r="DS46" s="23"/>
      <c r="DT46" s="23"/>
      <c r="DU46" s="23"/>
      <c r="DV46" s="23"/>
      <c r="DW46" s="23"/>
      <c r="DX46" s="110">
        <f>SUM(CL46:DW46)</f>
        <v>97</v>
      </c>
    </row>
    <row r="47" spans="2:128" ht="16.5">
      <c r="B47" s="46">
        <v>35</v>
      </c>
      <c r="C47" s="20" t="s">
        <v>167</v>
      </c>
      <c r="D47" s="20" t="s">
        <v>168</v>
      </c>
      <c r="E47" s="20" t="s">
        <v>130</v>
      </c>
      <c r="F47" s="20" t="s">
        <v>116</v>
      </c>
      <c r="G47" s="23">
        <v>72</v>
      </c>
      <c r="H47" s="23">
        <v>46</v>
      </c>
      <c r="I47" s="109">
        <f t="shared" si="0"/>
        <v>3312</v>
      </c>
      <c r="J47" s="109">
        <f t="shared" si="1"/>
        <v>3312</v>
      </c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>
        <v>31</v>
      </c>
      <c r="DR47" s="23">
        <v>15</v>
      </c>
      <c r="DS47" s="23"/>
      <c r="DT47" s="23"/>
      <c r="DU47" s="23"/>
      <c r="DV47" s="23"/>
      <c r="DW47" s="23"/>
      <c r="DX47" s="110">
        <f>SUM(CL47:DW47)</f>
        <v>46</v>
      </c>
    </row>
    <row r="48" spans="2:128" ht="16.5">
      <c r="B48" s="46">
        <v>36</v>
      </c>
      <c r="C48" s="20" t="s">
        <v>169</v>
      </c>
      <c r="D48" s="20" t="s">
        <v>170</v>
      </c>
      <c r="E48" s="20" t="s">
        <v>130</v>
      </c>
      <c r="F48" s="20" t="s">
        <v>116</v>
      </c>
      <c r="G48" s="23">
        <v>33</v>
      </c>
      <c r="H48" s="23">
        <v>1</v>
      </c>
      <c r="I48" s="109">
        <f t="shared" si="0"/>
        <v>33</v>
      </c>
      <c r="J48" s="109">
        <f t="shared" si="1"/>
        <v>33</v>
      </c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>
        <v>1</v>
      </c>
      <c r="DQ48" s="23"/>
      <c r="DR48" s="23"/>
      <c r="DS48" s="23"/>
      <c r="DT48" s="23"/>
      <c r="DU48" s="23"/>
      <c r="DV48" s="23"/>
      <c r="DW48" s="23"/>
      <c r="DX48" s="110">
        <f>SUM(CL48:DW48)</f>
        <v>1</v>
      </c>
    </row>
    <row r="49" spans="2:128" ht="16.5">
      <c r="B49" s="46">
        <v>37</v>
      </c>
      <c r="C49" s="20" t="s">
        <v>171</v>
      </c>
      <c r="D49" s="20"/>
      <c r="E49" s="20" t="s">
        <v>166</v>
      </c>
      <c r="F49" s="20" t="s">
        <v>135</v>
      </c>
      <c r="G49" s="23">
        <v>73</v>
      </c>
      <c r="H49" s="23">
        <v>148</v>
      </c>
      <c r="I49" s="109">
        <f t="shared" si="0"/>
        <v>10804</v>
      </c>
      <c r="J49" s="109">
        <f t="shared" si="1"/>
        <v>10804</v>
      </c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>
        <v>5</v>
      </c>
      <c r="DA49" s="23"/>
      <c r="DB49" s="23"/>
      <c r="DC49" s="23"/>
      <c r="DD49" s="23"/>
      <c r="DE49" s="23"/>
      <c r="DF49" s="23"/>
      <c r="DG49" s="23"/>
      <c r="DH49" s="23"/>
      <c r="DI49" s="23">
        <v>3</v>
      </c>
      <c r="DJ49" s="23"/>
      <c r="DK49" s="23"/>
      <c r="DL49" s="23"/>
      <c r="DM49" s="23"/>
      <c r="DN49" s="23"/>
      <c r="DO49" s="23">
        <v>131</v>
      </c>
      <c r="DP49" s="23">
        <v>2</v>
      </c>
      <c r="DQ49" s="23">
        <v>7</v>
      </c>
      <c r="DR49" s="23"/>
      <c r="DS49" s="23"/>
      <c r="DT49" s="23"/>
      <c r="DU49" s="23"/>
      <c r="DV49" s="23"/>
      <c r="DW49" s="23"/>
      <c r="DX49" s="110">
        <f>SUM(CL49:DW49)</f>
        <v>148</v>
      </c>
    </row>
    <row r="50" spans="2:128" ht="16.5">
      <c r="B50" s="46">
        <v>38</v>
      </c>
      <c r="C50" s="20" t="s">
        <v>172</v>
      </c>
      <c r="D50" s="20"/>
      <c r="E50" s="20" t="s">
        <v>163</v>
      </c>
      <c r="F50" s="20" t="s">
        <v>116</v>
      </c>
      <c r="G50" s="23">
        <v>650</v>
      </c>
      <c r="H50" s="23">
        <v>7</v>
      </c>
      <c r="I50" s="109">
        <f t="shared" si="0"/>
        <v>4550</v>
      </c>
      <c r="J50" s="109">
        <f t="shared" si="1"/>
        <v>4550</v>
      </c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>
        <v>5</v>
      </c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>
        <v>2</v>
      </c>
      <c r="DP50" s="23"/>
      <c r="DQ50" s="23"/>
      <c r="DR50" s="23"/>
      <c r="DS50" s="23"/>
      <c r="DT50" s="23"/>
      <c r="DU50" s="23"/>
      <c r="DV50" s="23"/>
      <c r="DW50" s="23"/>
      <c r="DX50" s="110">
        <f>SUM(CL50:DW50)</f>
        <v>7</v>
      </c>
    </row>
    <row r="51" spans="2:128" ht="16.5">
      <c r="B51" s="46">
        <v>39</v>
      </c>
      <c r="C51" s="20" t="s">
        <v>173</v>
      </c>
      <c r="D51" s="20" t="s">
        <v>110</v>
      </c>
      <c r="E51" s="20"/>
      <c r="F51" s="20" t="s">
        <v>146</v>
      </c>
      <c r="G51" s="23">
        <v>4.5</v>
      </c>
      <c r="H51" s="23">
        <v>31</v>
      </c>
      <c r="I51" s="109">
        <f t="shared" si="0"/>
        <v>139.5</v>
      </c>
      <c r="J51" s="109">
        <f t="shared" si="1"/>
        <v>139.5</v>
      </c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>
        <v>31</v>
      </c>
      <c r="DP51" s="23"/>
      <c r="DQ51" s="23"/>
      <c r="DR51" s="23"/>
      <c r="DS51" s="23"/>
      <c r="DT51" s="23"/>
      <c r="DU51" s="23"/>
      <c r="DV51" s="23"/>
      <c r="DW51" s="23"/>
      <c r="DX51" s="110">
        <f>SUM(CL51:DW51)</f>
        <v>31</v>
      </c>
    </row>
    <row r="52" spans="2:128" ht="16.5">
      <c r="B52" s="46">
        <v>40</v>
      </c>
      <c r="C52" s="20" t="s">
        <v>174</v>
      </c>
      <c r="D52" s="20" t="s">
        <v>175</v>
      </c>
      <c r="E52" s="20"/>
      <c r="F52" s="20" t="s">
        <v>116</v>
      </c>
      <c r="G52" s="23">
        <v>475</v>
      </c>
      <c r="H52" s="23">
        <v>35</v>
      </c>
      <c r="I52" s="109">
        <f t="shared" si="0"/>
        <v>16625</v>
      </c>
      <c r="J52" s="109">
        <f t="shared" si="1"/>
        <v>16625</v>
      </c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3"/>
      <c r="DH52" s="23"/>
      <c r="DI52" s="23"/>
      <c r="DJ52" s="23"/>
      <c r="DK52" s="23"/>
      <c r="DL52" s="23"/>
      <c r="DM52" s="23"/>
      <c r="DN52" s="23"/>
      <c r="DO52" s="23">
        <v>35</v>
      </c>
      <c r="DP52" s="23"/>
      <c r="DQ52" s="23"/>
      <c r="DR52" s="23"/>
      <c r="DS52" s="23"/>
      <c r="DT52" s="23"/>
      <c r="DU52" s="23"/>
      <c r="DV52" s="23"/>
      <c r="DW52" s="23"/>
      <c r="DX52" s="110">
        <f>SUM(CL52:DW52)</f>
        <v>35</v>
      </c>
    </row>
    <row r="53" spans="2:128" ht="16.5">
      <c r="B53" s="46">
        <v>41</v>
      </c>
      <c r="C53" s="20" t="s">
        <v>176</v>
      </c>
      <c r="D53" s="20" t="s">
        <v>145</v>
      </c>
      <c r="E53" s="20"/>
      <c r="F53" s="20" t="s">
        <v>146</v>
      </c>
      <c r="G53" s="23">
        <v>98</v>
      </c>
      <c r="H53" s="23">
        <v>22</v>
      </c>
      <c r="I53" s="109">
        <f t="shared" si="0"/>
        <v>2156</v>
      </c>
      <c r="J53" s="109">
        <f t="shared" si="1"/>
        <v>2156</v>
      </c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>
        <v>5</v>
      </c>
      <c r="DA53" s="23"/>
      <c r="DB53" s="23"/>
      <c r="DC53" s="23"/>
      <c r="DD53" s="23"/>
      <c r="DE53" s="23"/>
      <c r="DF53" s="23"/>
      <c r="DG53" s="23"/>
      <c r="DH53" s="23"/>
      <c r="DI53" s="23"/>
      <c r="DJ53" s="23"/>
      <c r="DK53" s="23"/>
      <c r="DL53" s="23"/>
      <c r="DM53" s="23"/>
      <c r="DN53" s="23"/>
      <c r="DO53" s="23">
        <v>17</v>
      </c>
      <c r="DP53" s="23"/>
      <c r="DQ53" s="23"/>
      <c r="DR53" s="23"/>
      <c r="DS53" s="23"/>
      <c r="DT53" s="23"/>
      <c r="DU53" s="23"/>
      <c r="DV53" s="23"/>
      <c r="DW53" s="23"/>
      <c r="DX53" s="110">
        <f>SUM(CL53:DW53)</f>
        <v>22</v>
      </c>
    </row>
    <row r="54" spans="2:128" ht="16.5">
      <c r="B54" s="46">
        <v>42</v>
      </c>
      <c r="C54" s="20" t="s">
        <v>177</v>
      </c>
      <c r="D54" s="20" t="s">
        <v>178</v>
      </c>
      <c r="E54" s="20" t="s">
        <v>130</v>
      </c>
      <c r="F54" s="20" t="s">
        <v>104</v>
      </c>
      <c r="G54" s="23">
        <v>28.6</v>
      </c>
      <c r="H54" s="23">
        <v>33</v>
      </c>
      <c r="I54" s="109">
        <f t="shared" si="0"/>
        <v>943.80000000000007</v>
      </c>
      <c r="J54" s="109">
        <f t="shared" si="1"/>
        <v>943.80000000000007</v>
      </c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>
        <v>6</v>
      </c>
      <c r="DA54" s="23"/>
      <c r="DB54" s="23"/>
      <c r="DC54" s="23"/>
      <c r="DD54" s="23"/>
      <c r="DE54" s="23"/>
      <c r="DF54" s="23"/>
      <c r="DG54" s="23"/>
      <c r="DH54" s="23"/>
      <c r="DI54" s="23"/>
      <c r="DJ54" s="23"/>
      <c r="DK54" s="23"/>
      <c r="DL54" s="23"/>
      <c r="DM54" s="23"/>
      <c r="DN54" s="23"/>
      <c r="DO54" s="23">
        <v>14</v>
      </c>
      <c r="DP54" s="23">
        <v>13</v>
      </c>
      <c r="DQ54" s="23"/>
      <c r="DR54" s="23"/>
      <c r="DS54" s="23"/>
      <c r="DT54" s="23"/>
      <c r="DU54" s="23"/>
      <c r="DV54" s="23"/>
      <c r="DW54" s="23"/>
      <c r="DX54" s="110">
        <f>SUM(CL54:DW54)</f>
        <v>33</v>
      </c>
    </row>
    <row r="55" spans="2:128" ht="16.5">
      <c r="B55" s="46">
        <v>43</v>
      </c>
      <c r="C55" s="20" t="s">
        <v>179</v>
      </c>
      <c r="D55" s="20" t="s">
        <v>175</v>
      </c>
      <c r="E55" s="20"/>
      <c r="F55" s="20" t="s">
        <v>116</v>
      </c>
      <c r="G55" s="23">
        <v>750</v>
      </c>
      <c r="H55" s="23">
        <v>28</v>
      </c>
      <c r="I55" s="109">
        <f t="shared" si="0"/>
        <v>21000</v>
      </c>
      <c r="J55" s="109">
        <f t="shared" si="1"/>
        <v>21000</v>
      </c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  <c r="DH55" s="23"/>
      <c r="DI55" s="23">
        <v>1</v>
      </c>
      <c r="DJ55" s="23"/>
      <c r="DK55" s="23"/>
      <c r="DL55" s="23"/>
      <c r="DM55" s="23"/>
      <c r="DN55" s="23"/>
      <c r="DO55" s="23">
        <v>15</v>
      </c>
      <c r="DP55" s="23">
        <v>12</v>
      </c>
      <c r="DQ55" s="23"/>
      <c r="DR55" s="23"/>
      <c r="DS55" s="23"/>
      <c r="DT55" s="23"/>
      <c r="DU55" s="23"/>
      <c r="DV55" s="23"/>
      <c r="DW55" s="23"/>
      <c r="DX55" s="110">
        <f>SUM(CL55:DW55)</f>
        <v>28</v>
      </c>
    </row>
    <row r="56" spans="2:128" ht="16.5">
      <c r="B56" s="46">
        <v>44</v>
      </c>
      <c r="C56" s="20" t="s">
        <v>180</v>
      </c>
      <c r="D56" s="20" t="s">
        <v>145</v>
      </c>
      <c r="E56" s="20"/>
      <c r="F56" s="20" t="s">
        <v>146</v>
      </c>
      <c r="G56" s="23">
        <v>6.5</v>
      </c>
      <c r="H56" s="23">
        <v>65</v>
      </c>
      <c r="I56" s="109">
        <f t="shared" si="0"/>
        <v>422.5</v>
      </c>
      <c r="J56" s="109">
        <f t="shared" si="1"/>
        <v>422.5</v>
      </c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>
        <v>36</v>
      </c>
      <c r="DA56" s="23"/>
      <c r="DB56" s="23"/>
      <c r="DC56" s="23"/>
      <c r="DD56" s="23"/>
      <c r="DE56" s="23"/>
      <c r="DF56" s="23"/>
      <c r="DG56" s="23"/>
      <c r="DH56" s="23"/>
      <c r="DI56" s="23"/>
      <c r="DJ56" s="23"/>
      <c r="DK56" s="23"/>
      <c r="DL56" s="23"/>
      <c r="DM56" s="23"/>
      <c r="DN56" s="23"/>
      <c r="DO56" s="23">
        <v>29</v>
      </c>
      <c r="DP56" s="23"/>
      <c r="DQ56" s="23"/>
      <c r="DR56" s="23"/>
      <c r="DS56" s="23"/>
      <c r="DT56" s="23"/>
      <c r="DU56" s="23"/>
      <c r="DV56" s="23"/>
      <c r="DW56" s="23"/>
      <c r="DX56" s="110">
        <f>SUM(CL56:DW56)</f>
        <v>65</v>
      </c>
    </row>
    <row r="57" spans="2:128" ht="16.5">
      <c r="B57" s="46">
        <v>45</v>
      </c>
      <c r="C57" s="20" t="s">
        <v>181</v>
      </c>
      <c r="D57" s="20" t="s">
        <v>137</v>
      </c>
      <c r="E57" s="20" t="s">
        <v>163</v>
      </c>
      <c r="F57" s="20" t="s">
        <v>135</v>
      </c>
      <c r="G57" s="23">
        <v>48</v>
      </c>
      <c r="H57" s="23">
        <v>4</v>
      </c>
      <c r="I57" s="109">
        <f t="shared" si="0"/>
        <v>192</v>
      </c>
      <c r="J57" s="109">
        <f t="shared" si="1"/>
        <v>192</v>
      </c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3"/>
      <c r="DH57" s="23"/>
      <c r="DI57" s="23"/>
      <c r="DJ57" s="23"/>
      <c r="DK57" s="23"/>
      <c r="DL57" s="23"/>
      <c r="DM57" s="23"/>
      <c r="DN57" s="23"/>
      <c r="DO57" s="23"/>
      <c r="DP57" s="23">
        <v>4</v>
      </c>
      <c r="DQ57" s="23"/>
      <c r="DR57" s="23"/>
      <c r="DS57" s="23"/>
      <c r="DT57" s="23"/>
      <c r="DU57" s="23"/>
      <c r="DV57" s="23"/>
      <c r="DW57" s="23"/>
      <c r="DX57" s="110">
        <f>SUM(CL57:DW57)</f>
        <v>4</v>
      </c>
    </row>
    <row r="58" spans="2:128" ht="16.5">
      <c r="B58" s="46">
        <v>46</v>
      </c>
      <c r="C58" s="20" t="s">
        <v>182</v>
      </c>
      <c r="D58" s="20" t="s">
        <v>145</v>
      </c>
      <c r="E58" s="20"/>
      <c r="F58" s="20" t="s">
        <v>146</v>
      </c>
      <c r="G58" s="23">
        <v>2.9</v>
      </c>
      <c r="H58" s="23">
        <v>350</v>
      </c>
      <c r="I58" s="109">
        <f t="shared" si="0"/>
        <v>1015</v>
      </c>
      <c r="J58" s="109">
        <f t="shared" si="1"/>
        <v>1015</v>
      </c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>
        <v>33</v>
      </c>
      <c r="DA58" s="23"/>
      <c r="DB58" s="23"/>
      <c r="DC58" s="23"/>
      <c r="DD58" s="23"/>
      <c r="DE58" s="23"/>
      <c r="DF58" s="23"/>
      <c r="DG58" s="23"/>
      <c r="DH58" s="23"/>
      <c r="DI58" s="23"/>
      <c r="DJ58" s="23"/>
      <c r="DK58" s="23"/>
      <c r="DL58" s="23"/>
      <c r="DM58" s="23"/>
      <c r="DN58" s="23"/>
      <c r="DO58" s="23"/>
      <c r="DP58" s="23"/>
      <c r="DQ58" s="23"/>
      <c r="DR58" s="23">
        <v>317</v>
      </c>
      <c r="DS58" s="23"/>
      <c r="DT58" s="23"/>
      <c r="DU58" s="23"/>
      <c r="DV58" s="23"/>
      <c r="DW58" s="23"/>
      <c r="DX58" s="110">
        <f>SUM(CL58:DW58)</f>
        <v>350</v>
      </c>
    </row>
    <row r="59" spans="2:128" ht="16.5">
      <c r="B59" s="46">
        <v>47</v>
      </c>
      <c r="C59" s="20" t="s">
        <v>183</v>
      </c>
      <c r="D59" s="20" t="s">
        <v>184</v>
      </c>
      <c r="E59" s="20"/>
      <c r="F59" s="20" t="s">
        <v>104</v>
      </c>
      <c r="G59" s="23">
        <v>34.9</v>
      </c>
      <c r="H59" s="23">
        <v>56</v>
      </c>
      <c r="I59" s="109">
        <f t="shared" si="0"/>
        <v>1954.3999999999999</v>
      </c>
      <c r="J59" s="109">
        <f t="shared" si="1"/>
        <v>1954.3999999999999</v>
      </c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3"/>
      <c r="DH59" s="23"/>
      <c r="DI59" s="23"/>
      <c r="DJ59" s="23"/>
      <c r="DK59" s="23"/>
      <c r="DL59" s="23"/>
      <c r="DM59" s="23"/>
      <c r="DN59" s="23"/>
      <c r="DO59" s="23">
        <v>5</v>
      </c>
      <c r="DP59" s="23"/>
      <c r="DQ59" s="23">
        <v>23</v>
      </c>
      <c r="DR59" s="23">
        <v>28</v>
      </c>
      <c r="DS59" s="23"/>
      <c r="DT59" s="23"/>
      <c r="DU59" s="23"/>
      <c r="DV59" s="23"/>
      <c r="DW59" s="23"/>
      <c r="DX59" s="110">
        <f>SUM(CL59:DW59)</f>
        <v>56</v>
      </c>
    </row>
    <row r="60" spans="2:128" ht="16.5">
      <c r="B60" s="46">
        <v>48</v>
      </c>
      <c r="C60" s="20" t="s">
        <v>185</v>
      </c>
      <c r="D60" s="20" t="s">
        <v>186</v>
      </c>
      <c r="E60" s="20"/>
      <c r="F60" s="20" t="s">
        <v>93</v>
      </c>
      <c r="G60" s="23">
        <v>3.8</v>
      </c>
      <c r="H60" s="23">
        <v>165</v>
      </c>
      <c r="I60" s="109">
        <f t="shared" si="0"/>
        <v>627</v>
      </c>
      <c r="J60" s="109">
        <f t="shared" si="1"/>
        <v>627</v>
      </c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3"/>
      <c r="DH60" s="23"/>
      <c r="DI60" s="23"/>
      <c r="DJ60" s="23"/>
      <c r="DK60" s="23"/>
      <c r="DL60" s="23"/>
      <c r="DM60" s="23"/>
      <c r="DN60" s="23"/>
      <c r="DO60" s="23"/>
      <c r="DP60" s="23"/>
      <c r="DQ60" s="23"/>
      <c r="DR60" s="23">
        <v>165</v>
      </c>
      <c r="DS60" s="23"/>
      <c r="DT60" s="23"/>
      <c r="DU60" s="23"/>
      <c r="DV60" s="23"/>
      <c r="DW60" s="23"/>
      <c r="DX60" s="110">
        <f>SUM(CL60:DW60)</f>
        <v>165</v>
      </c>
    </row>
    <row r="61" spans="2:128" ht="16.5">
      <c r="B61" s="46">
        <v>49</v>
      </c>
      <c r="C61" s="20" t="s">
        <v>187</v>
      </c>
      <c r="D61" s="20" t="s">
        <v>132</v>
      </c>
      <c r="E61" s="20"/>
      <c r="F61" s="20" t="s">
        <v>146</v>
      </c>
      <c r="G61" s="23">
        <v>3</v>
      </c>
      <c r="H61" s="23">
        <v>544</v>
      </c>
      <c r="I61" s="109">
        <f t="shared" si="0"/>
        <v>1632</v>
      </c>
      <c r="J61" s="109">
        <f t="shared" si="1"/>
        <v>1632</v>
      </c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>
        <v>50</v>
      </c>
      <c r="DA61" s="23"/>
      <c r="DB61" s="23"/>
      <c r="DC61" s="23"/>
      <c r="DD61" s="23"/>
      <c r="DE61" s="23"/>
      <c r="DF61" s="23"/>
      <c r="DG61" s="23"/>
      <c r="DH61" s="23"/>
      <c r="DI61" s="23"/>
      <c r="DJ61" s="23"/>
      <c r="DK61" s="23"/>
      <c r="DL61" s="23"/>
      <c r="DM61" s="23"/>
      <c r="DN61" s="23"/>
      <c r="DO61" s="23">
        <v>20</v>
      </c>
      <c r="DP61" s="23"/>
      <c r="DQ61" s="23"/>
      <c r="DR61" s="23">
        <v>474</v>
      </c>
      <c r="DS61" s="23"/>
      <c r="DT61" s="23"/>
      <c r="DU61" s="23"/>
      <c r="DV61" s="23"/>
      <c r="DW61" s="23"/>
      <c r="DX61" s="110">
        <f>SUM(CL61:DW61)</f>
        <v>544</v>
      </c>
    </row>
    <row r="62" spans="2:128" ht="16.5">
      <c r="B62" s="46">
        <v>51</v>
      </c>
      <c r="C62" s="20" t="s">
        <v>188</v>
      </c>
      <c r="D62" s="20" t="s">
        <v>189</v>
      </c>
      <c r="E62" s="20"/>
      <c r="F62" s="20" t="s">
        <v>104</v>
      </c>
      <c r="G62" s="23">
        <v>35</v>
      </c>
      <c r="H62" s="23">
        <v>20</v>
      </c>
      <c r="I62" s="109">
        <f t="shared" si="0"/>
        <v>700</v>
      </c>
      <c r="J62" s="109">
        <f t="shared" si="1"/>
        <v>700</v>
      </c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3"/>
      <c r="DH62" s="23"/>
      <c r="DI62" s="23"/>
      <c r="DJ62" s="23"/>
      <c r="DK62" s="23"/>
      <c r="DL62" s="23"/>
      <c r="DM62" s="23"/>
      <c r="DN62" s="23"/>
      <c r="DO62" s="23"/>
      <c r="DP62" s="23">
        <v>20</v>
      </c>
      <c r="DQ62" s="23"/>
      <c r="DR62" s="23"/>
      <c r="DS62" s="23"/>
      <c r="DT62" s="23"/>
      <c r="DU62" s="23"/>
      <c r="DV62" s="23"/>
      <c r="DW62" s="23"/>
      <c r="DX62" s="110">
        <f>SUM(CL62:DW62)</f>
        <v>20</v>
      </c>
    </row>
    <row r="63" spans="2:128" ht="33">
      <c r="B63" s="46">
        <v>52</v>
      </c>
      <c r="C63" s="20" t="s">
        <v>190</v>
      </c>
      <c r="D63" s="20" t="s">
        <v>191</v>
      </c>
      <c r="E63" s="20"/>
      <c r="F63" s="20" t="s">
        <v>135</v>
      </c>
      <c r="G63" s="23">
        <v>255</v>
      </c>
      <c r="H63" s="23">
        <v>1</v>
      </c>
      <c r="I63" s="109">
        <f t="shared" si="0"/>
        <v>255</v>
      </c>
      <c r="J63" s="109">
        <f t="shared" si="1"/>
        <v>255</v>
      </c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  <c r="DH63" s="23"/>
      <c r="DI63" s="23"/>
      <c r="DJ63" s="23"/>
      <c r="DK63" s="23"/>
      <c r="DL63" s="23"/>
      <c r="DM63" s="23"/>
      <c r="DN63" s="23"/>
      <c r="DO63" s="23">
        <v>1</v>
      </c>
      <c r="DP63" s="23"/>
      <c r="DQ63" s="23"/>
      <c r="DR63" s="23"/>
      <c r="DS63" s="23"/>
      <c r="DT63" s="23"/>
      <c r="DU63" s="23"/>
      <c r="DV63" s="23"/>
      <c r="DW63" s="23"/>
      <c r="DX63" s="110">
        <f>SUM(CL63:DW63)</f>
        <v>1</v>
      </c>
    </row>
    <row r="64" spans="2:128" ht="16.5">
      <c r="B64" s="46">
        <v>53</v>
      </c>
      <c r="C64" s="20" t="s">
        <v>192</v>
      </c>
      <c r="D64" s="20" t="s">
        <v>112</v>
      </c>
      <c r="E64" s="20"/>
      <c r="F64" s="20" t="s">
        <v>93</v>
      </c>
      <c r="G64" s="23">
        <v>6</v>
      </c>
      <c r="H64" s="23">
        <v>33</v>
      </c>
      <c r="I64" s="109">
        <f t="shared" si="0"/>
        <v>198</v>
      </c>
      <c r="J64" s="109">
        <f t="shared" si="1"/>
        <v>198</v>
      </c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3"/>
      <c r="DH64" s="23"/>
      <c r="DI64" s="23"/>
      <c r="DJ64" s="23"/>
      <c r="DK64" s="23"/>
      <c r="DL64" s="23"/>
      <c r="DM64" s="23"/>
      <c r="DN64" s="23"/>
      <c r="DO64" s="23">
        <v>33</v>
      </c>
      <c r="DP64" s="23"/>
      <c r="DQ64" s="23"/>
      <c r="DR64" s="23"/>
      <c r="DS64" s="23"/>
      <c r="DT64" s="23"/>
      <c r="DU64" s="23"/>
      <c r="DV64" s="23"/>
      <c r="DW64" s="23"/>
      <c r="DX64" s="110">
        <f>SUM(CL64:DW64)</f>
        <v>33</v>
      </c>
    </row>
    <row r="65" spans="2:128" ht="16.5">
      <c r="B65" s="46">
        <v>54</v>
      </c>
      <c r="C65" s="20" t="s">
        <v>193</v>
      </c>
      <c r="D65" s="20" t="s">
        <v>145</v>
      </c>
      <c r="E65" s="20"/>
      <c r="F65" s="20" t="s">
        <v>93</v>
      </c>
      <c r="G65" s="23">
        <v>2.48</v>
      </c>
      <c r="H65" s="23">
        <v>238</v>
      </c>
      <c r="I65" s="109">
        <f t="shared" si="0"/>
        <v>590.24</v>
      </c>
      <c r="J65" s="109">
        <f t="shared" si="1"/>
        <v>590.24</v>
      </c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>
        <v>100</v>
      </c>
      <c r="DA65" s="23"/>
      <c r="DB65" s="23"/>
      <c r="DC65" s="23"/>
      <c r="DD65" s="23"/>
      <c r="DE65" s="23"/>
      <c r="DF65" s="23"/>
      <c r="DG65" s="23"/>
      <c r="DH65" s="23"/>
      <c r="DI65" s="23"/>
      <c r="DJ65" s="23"/>
      <c r="DK65" s="23"/>
      <c r="DL65" s="23"/>
      <c r="DM65" s="23"/>
      <c r="DN65" s="23"/>
      <c r="DO65" s="23">
        <v>138</v>
      </c>
      <c r="DP65" s="23"/>
      <c r="DQ65" s="23"/>
      <c r="DR65" s="23"/>
      <c r="DS65" s="23"/>
      <c r="DT65" s="23"/>
      <c r="DU65" s="23"/>
      <c r="DV65" s="23"/>
      <c r="DW65" s="23"/>
      <c r="DX65" s="110">
        <f>SUM(CL65:DW65)</f>
        <v>238</v>
      </c>
    </row>
    <row r="66" spans="2:128" ht="16.5">
      <c r="B66" s="46">
        <v>55</v>
      </c>
      <c r="C66" s="20" t="s">
        <v>194</v>
      </c>
      <c r="D66" s="20"/>
      <c r="E66" s="20" t="s">
        <v>195</v>
      </c>
      <c r="F66" s="20" t="s">
        <v>135</v>
      </c>
      <c r="G66" s="23">
        <v>71.3</v>
      </c>
      <c r="H66" s="23">
        <v>4</v>
      </c>
      <c r="I66" s="109">
        <f t="shared" si="0"/>
        <v>285.2</v>
      </c>
      <c r="J66" s="109">
        <f t="shared" si="1"/>
        <v>285.2</v>
      </c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>
        <v>2</v>
      </c>
      <c r="DR66" s="23">
        <v>2</v>
      </c>
      <c r="DS66" s="23"/>
      <c r="DT66" s="23"/>
      <c r="DU66" s="23"/>
      <c r="DV66" s="23"/>
      <c r="DW66" s="23"/>
      <c r="DX66" s="110">
        <f>SUM(CL66:DW66)</f>
        <v>4</v>
      </c>
    </row>
    <row r="67" spans="2:128" ht="16.5">
      <c r="B67" s="46">
        <v>56</v>
      </c>
      <c r="C67" s="20" t="s">
        <v>196</v>
      </c>
      <c r="D67" s="20" t="s">
        <v>162</v>
      </c>
      <c r="E67" s="20"/>
      <c r="F67" s="20" t="s">
        <v>104</v>
      </c>
      <c r="G67" s="23">
        <v>292</v>
      </c>
      <c r="H67" s="23">
        <v>12</v>
      </c>
      <c r="I67" s="109">
        <f t="shared" si="0"/>
        <v>3504</v>
      </c>
      <c r="J67" s="109">
        <f t="shared" si="1"/>
        <v>3504</v>
      </c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>
        <v>1</v>
      </c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>
        <v>9</v>
      </c>
      <c r="DP67" s="23"/>
      <c r="DQ67" s="23">
        <v>1</v>
      </c>
      <c r="DR67" s="23">
        <v>1</v>
      </c>
      <c r="DS67" s="23"/>
      <c r="DT67" s="23"/>
      <c r="DU67" s="23"/>
      <c r="DV67" s="23"/>
      <c r="DW67" s="23"/>
      <c r="DX67" s="110">
        <f>SUM(CL67:DW67)</f>
        <v>12</v>
      </c>
    </row>
    <row r="68" spans="2:128" ht="16.5">
      <c r="B68" s="46">
        <v>57</v>
      </c>
      <c r="C68" s="20" t="s">
        <v>197</v>
      </c>
      <c r="D68" s="20" t="s">
        <v>198</v>
      </c>
      <c r="E68" s="20"/>
      <c r="F68" s="20" t="s">
        <v>104</v>
      </c>
      <c r="G68" s="23">
        <v>238</v>
      </c>
      <c r="H68" s="23">
        <v>12</v>
      </c>
      <c r="I68" s="109">
        <f t="shared" si="0"/>
        <v>2856</v>
      </c>
      <c r="J68" s="109">
        <f t="shared" si="1"/>
        <v>2856</v>
      </c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>
        <v>12</v>
      </c>
      <c r="DP68" s="23"/>
      <c r="DQ68" s="23"/>
      <c r="DR68" s="23"/>
      <c r="DS68" s="23"/>
      <c r="DT68" s="23"/>
      <c r="DU68" s="23"/>
      <c r="DV68" s="23"/>
      <c r="DW68" s="23"/>
      <c r="DX68" s="110">
        <f>SUM(CL68:DW68)</f>
        <v>12</v>
      </c>
    </row>
    <row r="69" spans="2:128" ht="16.5">
      <c r="B69" s="46">
        <v>58</v>
      </c>
      <c r="C69" s="20" t="s">
        <v>199</v>
      </c>
      <c r="D69" s="66">
        <v>0.2</v>
      </c>
      <c r="E69" s="20" t="s">
        <v>195</v>
      </c>
      <c r="F69" s="20" t="s">
        <v>135</v>
      </c>
      <c r="G69" s="23">
        <v>235</v>
      </c>
      <c r="H69" s="23">
        <v>1</v>
      </c>
      <c r="I69" s="109">
        <f t="shared" si="0"/>
        <v>235</v>
      </c>
      <c r="J69" s="109">
        <f t="shared" si="1"/>
        <v>235</v>
      </c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3"/>
      <c r="DH69" s="23"/>
      <c r="DI69" s="23"/>
      <c r="DJ69" s="23"/>
      <c r="DK69" s="23"/>
      <c r="DL69" s="23"/>
      <c r="DM69" s="23"/>
      <c r="DN69" s="23"/>
      <c r="DO69" s="23">
        <v>1</v>
      </c>
      <c r="DP69" s="23"/>
      <c r="DQ69" s="23"/>
      <c r="DR69" s="23"/>
      <c r="DS69" s="23"/>
      <c r="DT69" s="23"/>
      <c r="DU69" s="23"/>
      <c r="DV69" s="23"/>
      <c r="DW69" s="23"/>
      <c r="DX69" s="110">
        <f>SUM(CL69:DW69)</f>
        <v>1</v>
      </c>
    </row>
    <row r="70" spans="2:128" ht="16.5">
      <c r="B70" s="46">
        <v>59</v>
      </c>
      <c r="C70" s="20" t="s">
        <v>200</v>
      </c>
      <c r="D70" s="66">
        <v>0.05</v>
      </c>
      <c r="E70" s="20" t="s">
        <v>195</v>
      </c>
      <c r="F70" s="20" t="s">
        <v>135</v>
      </c>
      <c r="G70" s="23">
        <v>900</v>
      </c>
      <c r="H70" s="23">
        <v>7</v>
      </c>
      <c r="I70" s="109">
        <f t="shared" si="0"/>
        <v>6300</v>
      </c>
      <c r="J70" s="109">
        <f t="shared" si="1"/>
        <v>6300</v>
      </c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3"/>
      <c r="DH70" s="23"/>
      <c r="DI70" s="23"/>
      <c r="DJ70" s="23"/>
      <c r="DK70" s="23"/>
      <c r="DL70" s="23"/>
      <c r="DM70" s="23"/>
      <c r="DN70" s="23"/>
      <c r="DO70" s="23">
        <v>7</v>
      </c>
      <c r="DP70" s="23"/>
      <c r="DQ70" s="23"/>
      <c r="DR70" s="23"/>
      <c r="DS70" s="23"/>
      <c r="DT70" s="23"/>
      <c r="DU70" s="23"/>
      <c r="DV70" s="23"/>
      <c r="DW70" s="23"/>
      <c r="DX70" s="110">
        <f>SUM(CL70:DW70)</f>
        <v>7</v>
      </c>
    </row>
    <row r="71" spans="2:128" ht="16.5">
      <c r="B71" s="46">
        <v>60</v>
      </c>
      <c r="C71" s="20" t="s">
        <v>201</v>
      </c>
      <c r="D71" s="20" t="s">
        <v>142</v>
      </c>
      <c r="E71" s="20" t="s">
        <v>143</v>
      </c>
      <c r="F71" s="20" t="s">
        <v>135</v>
      </c>
      <c r="G71" s="23">
        <v>35</v>
      </c>
      <c r="H71" s="23">
        <v>2</v>
      </c>
      <c r="I71" s="109">
        <f t="shared" si="0"/>
        <v>70</v>
      </c>
      <c r="J71" s="109">
        <f t="shared" si="1"/>
        <v>70</v>
      </c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3"/>
      <c r="DH71" s="23"/>
      <c r="DI71" s="23"/>
      <c r="DJ71" s="23"/>
      <c r="DK71" s="23"/>
      <c r="DL71" s="23"/>
      <c r="DM71" s="23"/>
      <c r="DN71" s="23"/>
      <c r="DO71" s="23"/>
      <c r="DP71" s="23">
        <v>2</v>
      </c>
      <c r="DQ71" s="23"/>
      <c r="DR71" s="23"/>
      <c r="DS71" s="23"/>
      <c r="DT71" s="23"/>
      <c r="DU71" s="23"/>
      <c r="DV71" s="23"/>
      <c r="DW71" s="23"/>
      <c r="DX71" s="110">
        <f>SUM(CL71:DW71)</f>
        <v>2</v>
      </c>
    </row>
    <row r="72" spans="2:128" ht="16.5">
      <c r="B72" s="46">
        <v>61</v>
      </c>
      <c r="C72" s="20" t="s">
        <v>202</v>
      </c>
      <c r="D72" s="20"/>
      <c r="E72" s="20" t="s">
        <v>195</v>
      </c>
      <c r="F72" s="20" t="s">
        <v>135</v>
      </c>
      <c r="G72" s="23">
        <v>71.3</v>
      </c>
      <c r="H72" s="23">
        <v>55</v>
      </c>
      <c r="I72" s="109">
        <f t="shared" si="0"/>
        <v>3921.5</v>
      </c>
      <c r="J72" s="109">
        <f t="shared" si="1"/>
        <v>3921.5</v>
      </c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  <c r="DA72" s="23"/>
      <c r="DB72" s="23"/>
      <c r="DC72" s="23"/>
      <c r="DD72" s="23"/>
      <c r="DE72" s="23"/>
      <c r="DF72" s="23"/>
      <c r="DG72" s="23"/>
      <c r="DH72" s="23"/>
      <c r="DI72" s="23"/>
      <c r="DJ72" s="23"/>
      <c r="DK72" s="23"/>
      <c r="DL72" s="23"/>
      <c r="DM72" s="23"/>
      <c r="DN72" s="23"/>
      <c r="DO72" s="23"/>
      <c r="DP72" s="23">
        <v>55</v>
      </c>
      <c r="DQ72" s="23"/>
      <c r="DR72" s="23"/>
      <c r="DS72" s="23"/>
      <c r="DT72" s="23"/>
      <c r="DU72" s="23"/>
      <c r="DV72" s="23"/>
      <c r="DW72" s="23"/>
      <c r="DX72" s="110">
        <f>SUM(CL72:DW72)</f>
        <v>55</v>
      </c>
    </row>
    <row r="73" spans="2:128" ht="16.5">
      <c r="B73" s="46">
        <v>62</v>
      </c>
      <c r="C73" s="20" t="s">
        <v>158</v>
      </c>
      <c r="D73" s="20" t="s">
        <v>203</v>
      </c>
      <c r="E73" s="20" t="s">
        <v>204</v>
      </c>
      <c r="F73" s="20" t="s">
        <v>135</v>
      </c>
      <c r="G73" s="23">
        <v>236</v>
      </c>
      <c r="H73" s="23">
        <v>99</v>
      </c>
      <c r="I73" s="109">
        <f t="shared" si="0"/>
        <v>23364</v>
      </c>
      <c r="J73" s="109">
        <f t="shared" si="1"/>
        <v>23364</v>
      </c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3"/>
      <c r="DH73" s="23"/>
      <c r="DI73" s="23">
        <v>3</v>
      </c>
      <c r="DJ73" s="23"/>
      <c r="DK73" s="23"/>
      <c r="DL73" s="23"/>
      <c r="DM73" s="23"/>
      <c r="DN73" s="23"/>
      <c r="DO73" s="23">
        <v>93</v>
      </c>
      <c r="DP73" s="23">
        <v>3</v>
      </c>
      <c r="DQ73" s="23"/>
      <c r="DR73" s="23"/>
      <c r="DS73" s="23"/>
      <c r="DT73" s="23"/>
      <c r="DU73" s="23"/>
      <c r="DV73" s="23"/>
      <c r="DW73" s="23"/>
      <c r="DX73" s="110">
        <f>SUM(CL73:DW73)</f>
        <v>99</v>
      </c>
    </row>
    <row r="74" spans="2:128" ht="16.5">
      <c r="B74" s="46">
        <v>63</v>
      </c>
      <c r="C74" s="20" t="s">
        <v>205</v>
      </c>
      <c r="D74" s="20" t="s">
        <v>206</v>
      </c>
      <c r="E74" s="20"/>
      <c r="F74" s="20" t="s">
        <v>116</v>
      </c>
      <c r="G74" s="23">
        <v>48</v>
      </c>
      <c r="H74" s="23">
        <v>33</v>
      </c>
      <c r="I74" s="109">
        <f t="shared" si="0"/>
        <v>1584</v>
      </c>
      <c r="J74" s="109">
        <f t="shared" si="1"/>
        <v>1584</v>
      </c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  <c r="CP74" s="23"/>
      <c r="CQ74" s="23"/>
      <c r="CR74" s="23"/>
      <c r="CS74" s="23"/>
      <c r="CT74" s="23"/>
      <c r="CU74" s="23"/>
      <c r="CV74" s="23"/>
      <c r="CW74" s="23"/>
      <c r="CX74" s="23"/>
      <c r="CY74" s="23"/>
      <c r="CZ74" s="23"/>
      <c r="DA74" s="23"/>
      <c r="DB74" s="23"/>
      <c r="DC74" s="23"/>
      <c r="DD74" s="23"/>
      <c r="DE74" s="23"/>
      <c r="DF74" s="23"/>
      <c r="DG74" s="23"/>
      <c r="DH74" s="23"/>
      <c r="DI74" s="23"/>
      <c r="DJ74" s="23"/>
      <c r="DK74" s="23"/>
      <c r="DL74" s="23"/>
      <c r="DM74" s="23"/>
      <c r="DN74" s="23"/>
      <c r="DO74" s="23">
        <v>11</v>
      </c>
      <c r="DP74" s="23">
        <v>13</v>
      </c>
      <c r="DQ74" s="23">
        <v>6</v>
      </c>
      <c r="DR74" s="23">
        <v>3</v>
      </c>
      <c r="DS74" s="23"/>
      <c r="DT74" s="23"/>
      <c r="DU74" s="23"/>
      <c r="DV74" s="23"/>
      <c r="DW74" s="23"/>
      <c r="DX74" s="110">
        <f>SUM(CL74:DW74)</f>
        <v>33</v>
      </c>
    </row>
    <row r="75" spans="2:128" ht="16.5">
      <c r="B75" s="46">
        <v>64</v>
      </c>
      <c r="C75" s="20" t="s">
        <v>207</v>
      </c>
      <c r="D75" s="20"/>
      <c r="E75" s="20" t="s">
        <v>141</v>
      </c>
      <c r="F75" s="20" t="s">
        <v>116</v>
      </c>
      <c r="G75" s="23">
        <v>35</v>
      </c>
      <c r="H75" s="23">
        <v>30</v>
      </c>
      <c r="I75" s="109">
        <f t="shared" si="0"/>
        <v>1050</v>
      </c>
      <c r="J75" s="109">
        <f t="shared" si="1"/>
        <v>1050</v>
      </c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  <c r="CP75" s="23"/>
      <c r="CQ75" s="23"/>
      <c r="CR75" s="23"/>
      <c r="CS75" s="23"/>
      <c r="CT75" s="23"/>
      <c r="CU75" s="23"/>
      <c r="CV75" s="23"/>
      <c r="CW75" s="23"/>
      <c r="CX75" s="23"/>
      <c r="CY75" s="23"/>
      <c r="CZ75" s="23"/>
      <c r="DA75" s="23"/>
      <c r="DB75" s="23"/>
      <c r="DC75" s="23"/>
      <c r="DD75" s="23"/>
      <c r="DE75" s="23"/>
      <c r="DF75" s="23"/>
      <c r="DG75" s="23"/>
      <c r="DH75" s="23"/>
      <c r="DI75" s="23">
        <v>1</v>
      </c>
      <c r="DJ75" s="23"/>
      <c r="DK75" s="23"/>
      <c r="DL75" s="23"/>
      <c r="DM75" s="23"/>
      <c r="DN75" s="23"/>
      <c r="DO75" s="23">
        <v>10</v>
      </c>
      <c r="DP75" s="23">
        <v>11</v>
      </c>
      <c r="DQ75" s="23">
        <v>5</v>
      </c>
      <c r="DR75" s="23">
        <v>3</v>
      </c>
      <c r="DS75" s="23"/>
      <c r="DT75" s="23"/>
      <c r="DU75" s="23"/>
      <c r="DV75" s="23"/>
      <c r="DW75" s="23"/>
      <c r="DX75" s="110">
        <f>SUM(CL75:DW75)</f>
        <v>30</v>
      </c>
    </row>
    <row r="76" spans="2:128" ht="16.5">
      <c r="B76" s="46">
        <v>65</v>
      </c>
      <c r="C76" s="20" t="s">
        <v>208</v>
      </c>
      <c r="D76" s="20" t="s">
        <v>209</v>
      </c>
      <c r="E76" s="20"/>
      <c r="F76" s="20" t="s">
        <v>93</v>
      </c>
      <c r="G76" s="23">
        <v>32</v>
      </c>
      <c r="H76" s="23">
        <v>260</v>
      </c>
      <c r="I76" s="109">
        <f t="shared" si="0"/>
        <v>8320</v>
      </c>
      <c r="J76" s="109">
        <f t="shared" si="1"/>
        <v>8320</v>
      </c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/>
      <c r="CB76" s="23"/>
      <c r="CC76" s="23"/>
      <c r="CD76" s="23"/>
      <c r="CE76" s="23"/>
      <c r="CF76" s="23"/>
      <c r="CG76" s="23"/>
      <c r="CH76" s="23"/>
      <c r="CI76" s="23"/>
      <c r="CJ76" s="23"/>
      <c r="CK76" s="23"/>
      <c r="CL76" s="23"/>
      <c r="CM76" s="23"/>
      <c r="CN76" s="23"/>
      <c r="CO76" s="23"/>
      <c r="CP76" s="23"/>
      <c r="CQ76" s="23"/>
      <c r="CR76" s="23"/>
      <c r="CS76" s="23"/>
      <c r="CT76" s="23"/>
      <c r="CU76" s="23"/>
      <c r="CV76" s="23"/>
      <c r="CW76" s="23"/>
      <c r="CX76" s="23"/>
      <c r="CY76" s="23"/>
      <c r="CZ76" s="23">
        <v>126</v>
      </c>
      <c r="DA76" s="23"/>
      <c r="DB76" s="23"/>
      <c r="DC76" s="23"/>
      <c r="DD76" s="23"/>
      <c r="DE76" s="23"/>
      <c r="DF76" s="23"/>
      <c r="DG76" s="23"/>
      <c r="DH76" s="23"/>
      <c r="DI76" s="23"/>
      <c r="DJ76" s="23"/>
      <c r="DK76" s="23"/>
      <c r="DL76" s="23"/>
      <c r="DM76" s="23"/>
      <c r="DN76" s="23"/>
      <c r="DO76" s="23">
        <v>134</v>
      </c>
      <c r="DP76" s="23"/>
      <c r="DQ76" s="23"/>
      <c r="DR76" s="23"/>
      <c r="DS76" s="23"/>
      <c r="DT76" s="23"/>
      <c r="DU76" s="23"/>
      <c r="DV76" s="23"/>
      <c r="DW76" s="23"/>
      <c r="DX76" s="110">
        <f>SUM(CL76:DW76)</f>
        <v>260</v>
      </c>
    </row>
    <row r="77" spans="2:128" ht="16.5">
      <c r="B77" s="46">
        <v>66</v>
      </c>
      <c r="C77" s="20" t="s">
        <v>100</v>
      </c>
      <c r="D77" s="20" t="s">
        <v>210</v>
      </c>
      <c r="E77" s="20"/>
      <c r="F77" s="20" t="s">
        <v>93</v>
      </c>
      <c r="G77" s="23">
        <v>29.88</v>
      </c>
      <c r="H77" s="23">
        <v>6</v>
      </c>
      <c r="I77" s="109">
        <f t="shared" si="0"/>
        <v>179.28</v>
      </c>
      <c r="J77" s="109">
        <f t="shared" si="1"/>
        <v>179.28</v>
      </c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3"/>
      <c r="CG77" s="23"/>
      <c r="CH77" s="23"/>
      <c r="CI77" s="23"/>
      <c r="CJ77" s="23"/>
      <c r="CK77" s="23"/>
      <c r="CL77" s="23"/>
      <c r="CM77" s="23"/>
      <c r="CN77" s="23"/>
      <c r="CO77" s="23"/>
      <c r="CP77" s="23"/>
      <c r="CQ77" s="23"/>
      <c r="CR77" s="23"/>
      <c r="CS77" s="23"/>
      <c r="CT77" s="23"/>
      <c r="CU77" s="23"/>
      <c r="CV77" s="23"/>
      <c r="CW77" s="23"/>
      <c r="CX77" s="23"/>
      <c r="CY77" s="23"/>
      <c r="CZ77" s="23">
        <v>3</v>
      </c>
      <c r="DA77" s="23"/>
      <c r="DB77" s="23"/>
      <c r="DC77" s="23"/>
      <c r="DD77" s="23"/>
      <c r="DE77" s="23"/>
      <c r="DF77" s="23"/>
      <c r="DG77" s="23"/>
      <c r="DH77" s="23"/>
      <c r="DI77" s="23"/>
      <c r="DJ77" s="23"/>
      <c r="DK77" s="23"/>
      <c r="DL77" s="23"/>
      <c r="DM77" s="23"/>
      <c r="DN77" s="23"/>
      <c r="DO77" s="23">
        <v>3</v>
      </c>
      <c r="DP77" s="23"/>
      <c r="DQ77" s="23"/>
      <c r="DR77" s="23"/>
      <c r="DS77" s="23"/>
      <c r="DT77" s="23"/>
      <c r="DU77" s="23"/>
      <c r="DV77" s="23"/>
      <c r="DW77" s="23"/>
      <c r="DX77" s="110">
        <f>SUM(CL77:DW77)</f>
        <v>6</v>
      </c>
    </row>
    <row r="78" spans="2:128" ht="16.5">
      <c r="B78" s="46">
        <v>67</v>
      </c>
      <c r="C78" s="20" t="s">
        <v>211</v>
      </c>
      <c r="D78" s="20" t="s">
        <v>175</v>
      </c>
      <c r="E78" s="20"/>
      <c r="F78" s="20" t="s">
        <v>116</v>
      </c>
      <c r="G78" s="23">
        <v>48</v>
      </c>
      <c r="H78" s="23">
        <v>18</v>
      </c>
      <c r="I78" s="109">
        <f t="shared" ref="I78:I141" si="2">G78*H78</f>
        <v>864</v>
      </c>
      <c r="J78" s="109">
        <f t="shared" ref="J78:J141" si="3">G78*H78</f>
        <v>864</v>
      </c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  <c r="DH78" s="23"/>
      <c r="DI78" s="23"/>
      <c r="DJ78" s="23"/>
      <c r="DK78" s="23"/>
      <c r="DL78" s="23"/>
      <c r="DM78" s="23"/>
      <c r="DN78" s="23"/>
      <c r="DO78" s="23">
        <v>12</v>
      </c>
      <c r="DP78" s="23">
        <v>6</v>
      </c>
      <c r="DQ78" s="23"/>
      <c r="DR78" s="23"/>
      <c r="DS78" s="23"/>
      <c r="DT78" s="23"/>
      <c r="DU78" s="23"/>
      <c r="DV78" s="23"/>
      <c r="DW78" s="23"/>
      <c r="DX78" s="110">
        <f>SUM(CL78:DW78)</f>
        <v>18</v>
      </c>
    </row>
    <row r="79" spans="2:128" ht="16.5">
      <c r="B79" s="46">
        <v>68</v>
      </c>
      <c r="C79" s="20" t="s">
        <v>212</v>
      </c>
      <c r="D79" s="20" t="s">
        <v>145</v>
      </c>
      <c r="E79" s="20"/>
      <c r="F79" s="20" t="s">
        <v>116</v>
      </c>
      <c r="G79" s="23">
        <v>140</v>
      </c>
      <c r="H79" s="23">
        <v>26</v>
      </c>
      <c r="I79" s="109">
        <f t="shared" si="2"/>
        <v>3640</v>
      </c>
      <c r="J79" s="109">
        <f t="shared" si="3"/>
        <v>3640</v>
      </c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  <c r="DH79" s="23"/>
      <c r="DI79" s="23"/>
      <c r="DJ79" s="23"/>
      <c r="DK79" s="23"/>
      <c r="DL79" s="23"/>
      <c r="DM79" s="23"/>
      <c r="DN79" s="23"/>
      <c r="DO79" s="23">
        <v>26</v>
      </c>
      <c r="DP79" s="23"/>
      <c r="DQ79" s="23"/>
      <c r="DR79" s="23"/>
      <c r="DS79" s="23"/>
      <c r="DT79" s="23"/>
      <c r="DU79" s="23"/>
      <c r="DV79" s="23"/>
      <c r="DW79" s="23"/>
      <c r="DX79" s="110">
        <f>SUM(CL79:DW79)</f>
        <v>26</v>
      </c>
    </row>
    <row r="80" spans="2:128" ht="16.5">
      <c r="B80" s="46">
        <v>69</v>
      </c>
      <c r="C80" s="20" t="s">
        <v>213</v>
      </c>
      <c r="D80" s="20" t="s">
        <v>132</v>
      </c>
      <c r="E80" s="20"/>
      <c r="F80" s="20" t="s">
        <v>104</v>
      </c>
      <c r="G80" s="23">
        <v>62</v>
      </c>
      <c r="H80" s="23">
        <v>9</v>
      </c>
      <c r="I80" s="109">
        <f t="shared" si="2"/>
        <v>558</v>
      </c>
      <c r="J80" s="109">
        <f t="shared" si="3"/>
        <v>558</v>
      </c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>
        <v>2</v>
      </c>
      <c r="DA80" s="23"/>
      <c r="DB80" s="23"/>
      <c r="DC80" s="23"/>
      <c r="DD80" s="23"/>
      <c r="DE80" s="23"/>
      <c r="DF80" s="23"/>
      <c r="DG80" s="23"/>
      <c r="DH80" s="23"/>
      <c r="DI80" s="23"/>
      <c r="DJ80" s="23"/>
      <c r="DK80" s="23"/>
      <c r="DL80" s="23"/>
      <c r="DM80" s="23"/>
      <c r="DN80" s="23"/>
      <c r="DO80" s="23"/>
      <c r="DP80" s="23"/>
      <c r="DQ80" s="23"/>
      <c r="DR80" s="23">
        <v>4</v>
      </c>
      <c r="DS80" s="23"/>
      <c r="DT80" s="23"/>
      <c r="DU80" s="23"/>
      <c r="DV80" s="23"/>
      <c r="DW80" s="23"/>
      <c r="DX80" s="110">
        <f>SUM(CL80:DW80)</f>
        <v>6</v>
      </c>
    </row>
    <row r="81" spans="2:128" ht="16.5">
      <c r="B81" s="46">
        <v>70</v>
      </c>
      <c r="C81" s="20" t="s">
        <v>214</v>
      </c>
      <c r="D81" s="20" t="s">
        <v>215</v>
      </c>
      <c r="E81" s="20"/>
      <c r="F81" s="20" t="s">
        <v>119</v>
      </c>
      <c r="G81" s="23">
        <v>11.5</v>
      </c>
      <c r="H81" s="23">
        <v>131</v>
      </c>
      <c r="I81" s="109">
        <f t="shared" si="2"/>
        <v>1506.5</v>
      </c>
      <c r="J81" s="109">
        <f t="shared" si="3"/>
        <v>1506.5</v>
      </c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>
        <v>9</v>
      </c>
      <c r="DA81" s="23"/>
      <c r="DB81" s="23"/>
      <c r="DC81" s="23"/>
      <c r="DD81" s="23"/>
      <c r="DE81" s="23"/>
      <c r="DF81" s="23"/>
      <c r="DG81" s="23"/>
      <c r="DH81" s="23"/>
      <c r="DI81" s="23">
        <v>3</v>
      </c>
      <c r="DJ81" s="23"/>
      <c r="DK81" s="23"/>
      <c r="DL81" s="23"/>
      <c r="DM81" s="23"/>
      <c r="DN81" s="23"/>
      <c r="DO81" s="23">
        <v>65</v>
      </c>
      <c r="DP81" s="23">
        <v>54</v>
      </c>
      <c r="DQ81" s="23"/>
      <c r="DR81" s="23"/>
      <c r="DS81" s="23"/>
      <c r="DT81" s="23"/>
      <c r="DU81" s="23"/>
      <c r="DV81" s="23"/>
      <c r="DW81" s="23"/>
      <c r="DX81" s="110">
        <f>SUM(CL81:DW81)</f>
        <v>131</v>
      </c>
    </row>
    <row r="82" spans="2:128" ht="16.5">
      <c r="B82" s="46">
        <v>71</v>
      </c>
      <c r="C82" s="20" t="s">
        <v>124</v>
      </c>
      <c r="D82" s="20" t="s">
        <v>189</v>
      </c>
      <c r="E82" s="20"/>
      <c r="F82" s="20" t="s">
        <v>104</v>
      </c>
      <c r="G82" s="23">
        <v>19</v>
      </c>
      <c r="H82" s="23">
        <v>17</v>
      </c>
      <c r="I82" s="109">
        <f t="shared" si="2"/>
        <v>323</v>
      </c>
      <c r="J82" s="109">
        <f t="shared" si="3"/>
        <v>323</v>
      </c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  <c r="DH82" s="23"/>
      <c r="DI82" s="23">
        <v>2</v>
      </c>
      <c r="DJ82" s="23"/>
      <c r="DK82" s="23"/>
      <c r="DL82" s="23"/>
      <c r="DM82" s="23"/>
      <c r="DN82" s="23"/>
      <c r="DO82" s="23">
        <v>15</v>
      </c>
      <c r="DP82" s="23"/>
      <c r="DQ82" s="23"/>
      <c r="DR82" s="23"/>
      <c r="DS82" s="23"/>
      <c r="DT82" s="23"/>
      <c r="DU82" s="23"/>
      <c r="DV82" s="23"/>
      <c r="DW82" s="23"/>
      <c r="DX82" s="110">
        <f>SUM(CL82:DW82)</f>
        <v>17</v>
      </c>
    </row>
    <row r="83" spans="2:128" ht="16.5">
      <c r="B83" s="46">
        <v>72</v>
      </c>
      <c r="C83" s="20" t="s">
        <v>216</v>
      </c>
      <c r="D83" s="20"/>
      <c r="E83" s="20" t="s">
        <v>166</v>
      </c>
      <c r="F83" s="20" t="s">
        <v>135</v>
      </c>
      <c r="G83" s="23">
        <v>71.3</v>
      </c>
      <c r="H83" s="23">
        <v>3</v>
      </c>
      <c r="I83" s="109">
        <f t="shared" si="2"/>
        <v>213.89999999999998</v>
      </c>
      <c r="J83" s="109">
        <f t="shared" si="3"/>
        <v>213.89999999999998</v>
      </c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>
        <v>3</v>
      </c>
      <c r="DP83" s="23"/>
      <c r="DQ83" s="23"/>
      <c r="DR83" s="23"/>
      <c r="DS83" s="23"/>
      <c r="DT83" s="23"/>
      <c r="DU83" s="23"/>
      <c r="DV83" s="23"/>
      <c r="DW83" s="23"/>
      <c r="DX83" s="110">
        <f>SUM(CL83:DW83)</f>
        <v>3</v>
      </c>
    </row>
    <row r="84" spans="2:128" ht="16.5">
      <c r="B84" s="46">
        <v>73</v>
      </c>
      <c r="C84" s="20" t="s">
        <v>217</v>
      </c>
      <c r="D84" s="20" t="s">
        <v>132</v>
      </c>
      <c r="E84" s="20"/>
      <c r="F84" s="20" t="s">
        <v>116</v>
      </c>
      <c r="G84" s="23">
        <v>43</v>
      </c>
      <c r="H84" s="23">
        <v>42</v>
      </c>
      <c r="I84" s="109">
        <f t="shared" si="2"/>
        <v>1806</v>
      </c>
      <c r="J84" s="109">
        <f t="shared" si="3"/>
        <v>1806</v>
      </c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3"/>
      <c r="DH84" s="23"/>
      <c r="DI84" s="23"/>
      <c r="DJ84" s="23"/>
      <c r="DK84" s="23"/>
      <c r="DL84" s="23"/>
      <c r="DM84" s="23"/>
      <c r="DN84" s="23"/>
      <c r="DO84" s="23">
        <v>31</v>
      </c>
      <c r="DP84" s="23">
        <v>11</v>
      </c>
      <c r="DQ84" s="23"/>
      <c r="DR84" s="23"/>
      <c r="DS84" s="23"/>
      <c r="DT84" s="23"/>
      <c r="DU84" s="23"/>
      <c r="DV84" s="23"/>
      <c r="DW84" s="23"/>
      <c r="DX84" s="110">
        <f>SUM(CL84:DW84)</f>
        <v>42</v>
      </c>
    </row>
    <row r="85" spans="2:128" ht="16.5">
      <c r="B85" s="46">
        <v>74</v>
      </c>
      <c r="C85" s="20" t="s">
        <v>218</v>
      </c>
      <c r="D85" s="20" t="s">
        <v>219</v>
      </c>
      <c r="E85" s="20" t="s">
        <v>204</v>
      </c>
      <c r="F85" s="20" t="s">
        <v>135</v>
      </c>
      <c r="G85" s="23">
        <v>8</v>
      </c>
      <c r="H85" s="23">
        <v>40</v>
      </c>
      <c r="I85" s="109">
        <f t="shared" si="2"/>
        <v>320</v>
      </c>
      <c r="J85" s="109">
        <f t="shared" si="3"/>
        <v>320</v>
      </c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3"/>
      <c r="DH85" s="23"/>
      <c r="DI85" s="23"/>
      <c r="DJ85" s="23"/>
      <c r="DK85" s="23"/>
      <c r="DL85" s="23"/>
      <c r="DM85" s="23"/>
      <c r="DN85" s="23"/>
      <c r="DO85" s="23">
        <v>20</v>
      </c>
      <c r="DP85" s="23">
        <v>20</v>
      </c>
      <c r="DQ85" s="23"/>
      <c r="DR85" s="23"/>
      <c r="DS85" s="23"/>
      <c r="DT85" s="23"/>
      <c r="DU85" s="23"/>
      <c r="DV85" s="23"/>
      <c r="DW85" s="23"/>
      <c r="DX85" s="110">
        <f>SUM(CL85:DW85)</f>
        <v>40</v>
      </c>
    </row>
    <row r="86" spans="2:128" ht="16.5">
      <c r="B86" s="46">
        <v>75</v>
      </c>
      <c r="C86" s="20" t="s">
        <v>220</v>
      </c>
      <c r="D86" s="20"/>
      <c r="E86" s="20" t="s">
        <v>166</v>
      </c>
      <c r="F86" s="20" t="s">
        <v>135</v>
      </c>
      <c r="G86" s="23">
        <v>71.3</v>
      </c>
      <c r="H86" s="23">
        <v>28</v>
      </c>
      <c r="I86" s="109">
        <f t="shared" si="2"/>
        <v>1996.3999999999999</v>
      </c>
      <c r="J86" s="109">
        <f t="shared" si="3"/>
        <v>1996.3999999999999</v>
      </c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  <c r="DH86" s="23"/>
      <c r="DI86" s="23"/>
      <c r="DJ86" s="23"/>
      <c r="DK86" s="23"/>
      <c r="DL86" s="23"/>
      <c r="DM86" s="23"/>
      <c r="DN86" s="23"/>
      <c r="DO86" s="23">
        <v>20</v>
      </c>
      <c r="DP86" s="23">
        <v>6</v>
      </c>
      <c r="DQ86" s="23">
        <v>1</v>
      </c>
      <c r="DR86" s="23">
        <v>1</v>
      </c>
      <c r="DS86" s="23"/>
      <c r="DT86" s="23"/>
      <c r="DU86" s="23"/>
      <c r="DV86" s="23"/>
      <c r="DW86" s="23"/>
      <c r="DX86" s="110">
        <f>SUM(CL86:DW86)</f>
        <v>28</v>
      </c>
    </row>
    <row r="87" spans="2:128" ht="16.5">
      <c r="B87" s="46">
        <v>76</v>
      </c>
      <c r="C87" s="20" t="s">
        <v>221</v>
      </c>
      <c r="D87" s="20" t="s">
        <v>123</v>
      </c>
      <c r="E87" s="20"/>
      <c r="F87" s="20" t="s">
        <v>104</v>
      </c>
      <c r="G87" s="23">
        <v>130</v>
      </c>
      <c r="H87" s="23">
        <v>40</v>
      </c>
      <c r="I87" s="109">
        <f t="shared" si="2"/>
        <v>5200</v>
      </c>
      <c r="J87" s="109">
        <f t="shared" si="3"/>
        <v>5200</v>
      </c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>
        <v>10</v>
      </c>
      <c r="DA87" s="23"/>
      <c r="DB87" s="23"/>
      <c r="DC87" s="23"/>
      <c r="DD87" s="23"/>
      <c r="DE87" s="23"/>
      <c r="DF87" s="23"/>
      <c r="DG87" s="23"/>
      <c r="DH87" s="23"/>
      <c r="DI87" s="23"/>
      <c r="DJ87" s="23"/>
      <c r="DK87" s="23"/>
      <c r="DL87" s="23"/>
      <c r="DM87" s="23"/>
      <c r="DN87" s="23"/>
      <c r="DO87" s="23">
        <v>8</v>
      </c>
      <c r="DP87" s="23">
        <v>22</v>
      </c>
      <c r="DQ87" s="23"/>
      <c r="DR87" s="23"/>
      <c r="DS87" s="23"/>
      <c r="DT87" s="23"/>
      <c r="DU87" s="23"/>
      <c r="DV87" s="23"/>
      <c r="DW87" s="23"/>
      <c r="DX87" s="110">
        <f>SUM(CL87:DW87)</f>
        <v>40</v>
      </c>
    </row>
    <row r="88" spans="2:128" ht="16.5">
      <c r="B88" s="46">
        <v>77</v>
      </c>
      <c r="C88" s="20" t="s">
        <v>222</v>
      </c>
      <c r="D88" s="20" t="s">
        <v>209</v>
      </c>
      <c r="E88" s="20"/>
      <c r="F88" s="20" t="s">
        <v>93</v>
      </c>
      <c r="G88" s="23">
        <v>60</v>
      </c>
      <c r="H88" s="23">
        <v>35</v>
      </c>
      <c r="I88" s="109">
        <f t="shared" si="2"/>
        <v>2100</v>
      </c>
      <c r="J88" s="109">
        <f t="shared" si="3"/>
        <v>2100</v>
      </c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3"/>
      <c r="DH88" s="23"/>
      <c r="DI88" s="23">
        <v>10</v>
      </c>
      <c r="DJ88" s="23"/>
      <c r="DK88" s="23"/>
      <c r="DL88" s="23"/>
      <c r="DM88" s="23"/>
      <c r="DN88" s="23"/>
      <c r="DO88" s="23">
        <v>25</v>
      </c>
      <c r="DP88" s="23"/>
      <c r="DQ88" s="23"/>
      <c r="DR88" s="23"/>
      <c r="DS88" s="23"/>
      <c r="DT88" s="23"/>
      <c r="DU88" s="23"/>
      <c r="DV88" s="23"/>
      <c r="DW88" s="23"/>
      <c r="DX88" s="110">
        <f>SUM(CL88:DW88)</f>
        <v>35</v>
      </c>
    </row>
    <row r="89" spans="2:128" ht="16.5">
      <c r="B89" s="46">
        <v>78</v>
      </c>
      <c r="C89" s="20" t="s">
        <v>223</v>
      </c>
      <c r="D89" s="20" t="s">
        <v>110</v>
      </c>
      <c r="E89" s="20"/>
      <c r="F89" s="20" t="s">
        <v>93</v>
      </c>
      <c r="G89" s="23">
        <v>15</v>
      </c>
      <c r="H89" s="23">
        <v>12</v>
      </c>
      <c r="I89" s="109">
        <f t="shared" si="2"/>
        <v>180</v>
      </c>
      <c r="J89" s="109">
        <f t="shared" si="3"/>
        <v>180</v>
      </c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3"/>
      <c r="DH89" s="23"/>
      <c r="DI89" s="23"/>
      <c r="DJ89" s="23"/>
      <c r="DK89" s="23"/>
      <c r="DL89" s="23"/>
      <c r="DM89" s="23"/>
      <c r="DN89" s="23"/>
      <c r="DO89" s="23">
        <v>12</v>
      </c>
      <c r="DP89" s="23"/>
      <c r="DQ89" s="23"/>
      <c r="DR89" s="23"/>
      <c r="DS89" s="23"/>
      <c r="DT89" s="23"/>
      <c r="DU89" s="23"/>
      <c r="DV89" s="23"/>
      <c r="DW89" s="23"/>
      <c r="DX89" s="110">
        <f>SUM(CL89:DW89)</f>
        <v>12</v>
      </c>
    </row>
    <row r="90" spans="2:128" ht="16.5">
      <c r="B90" s="46">
        <v>79</v>
      </c>
      <c r="C90" s="20" t="s">
        <v>224</v>
      </c>
      <c r="D90" s="20" t="s">
        <v>114</v>
      </c>
      <c r="E90" s="20"/>
      <c r="F90" s="20" t="s">
        <v>93</v>
      </c>
      <c r="G90" s="23">
        <v>67.87</v>
      </c>
      <c r="H90" s="23">
        <v>27</v>
      </c>
      <c r="I90" s="109">
        <f t="shared" si="2"/>
        <v>1832.4900000000002</v>
      </c>
      <c r="J90" s="109">
        <f t="shared" si="3"/>
        <v>1832.4900000000002</v>
      </c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  <c r="DH90" s="23"/>
      <c r="DI90" s="23"/>
      <c r="DJ90" s="23"/>
      <c r="DK90" s="23"/>
      <c r="DL90" s="23"/>
      <c r="DM90" s="23"/>
      <c r="DN90" s="23"/>
      <c r="DO90" s="23">
        <v>27</v>
      </c>
      <c r="DP90" s="23"/>
      <c r="DQ90" s="23"/>
      <c r="DR90" s="23"/>
      <c r="DS90" s="23"/>
      <c r="DT90" s="23"/>
      <c r="DU90" s="23"/>
      <c r="DV90" s="23"/>
      <c r="DW90" s="23"/>
      <c r="DX90" s="110">
        <f>SUM(CL90:DW90)</f>
        <v>27</v>
      </c>
    </row>
    <row r="91" spans="2:128" ht="16.5">
      <c r="B91" s="46">
        <v>80</v>
      </c>
      <c r="C91" s="20" t="s">
        <v>225</v>
      </c>
      <c r="D91" s="20" t="s">
        <v>226</v>
      </c>
      <c r="E91" s="20"/>
      <c r="F91" s="20" t="s">
        <v>116</v>
      </c>
      <c r="G91" s="23">
        <v>239</v>
      </c>
      <c r="H91" s="23">
        <v>9</v>
      </c>
      <c r="I91" s="109">
        <f t="shared" si="2"/>
        <v>2151</v>
      </c>
      <c r="J91" s="109">
        <f t="shared" si="3"/>
        <v>2151</v>
      </c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  <c r="DH91" s="23"/>
      <c r="DI91" s="23"/>
      <c r="DJ91" s="23"/>
      <c r="DK91" s="23"/>
      <c r="DL91" s="23"/>
      <c r="DM91" s="23"/>
      <c r="DN91" s="23"/>
      <c r="DO91" s="23">
        <v>9</v>
      </c>
      <c r="DP91" s="23"/>
      <c r="DQ91" s="23"/>
      <c r="DR91" s="23"/>
      <c r="DS91" s="23"/>
      <c r="DT91" s="23"/>
      <c r="DU91" s="23"/>
      <c r="DV91" s="23"/>
      <c r="DW91" s="23"/>
      <c r="DX91" s="110">
        <f>SUM(CL91:DW91)</f>
        <v>9</v>
      </c>
    </row>
    <row r="92" spans="2:128" ht="16.5">
      <c r="B92" s="46">
        <v>81</v>
      </c>
      <c r="C92" s="20" t="s">
        <v>227</v>
      </c>
      <c r="D92" s="20" t="s">
        <v>145</v>
      </c>
      <c r="E92" s="20"/>
      <c r="F92" s="20" t="s">
        <v>93</v>
      </c>
      <c r="G92" s="23">
        <v>38</v>
      </c>
      <c r="H92" s="23">
        <v>23</v>
      </c>
      <c r="I92" s="109">
        <f t="shared" si="2"/>
        <v>874</v>
      </c>
      <c r="J92" s="109">
        <f t="shared" si="3"/>
        <v>874</v>
      </c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3"/>
      <c r="DH92" s="23"/>
      <c r="DI92" s="23"/>
      <c r="DJ92" s="23"/>
      <c r="DK92" s="23"/>
      <c r="DL92" s="23"/>
      <c r="DM92" s="23"/>
      <c r="DN92" s="23"/>
      <c r="DO92" s="23">
        <v>16</v>
      </c>
      <c r="DP92" s="23"/>
      <c r="DQ92" s="23">
        <v>7</v>
      </c>
      <c r="DR92" s="23"/>
      <c r="DS92" s="23"/>
      <c r="DT92" s="23"/>
      <c r="DU92" s="23"/>
      <c r="DV92" s="23"/>
      <c r="DW92" s="23"/>
      <c r="DX92" s="110">
        <f>SUM(CL92:DW92)</f>
        <v>23</v>
      </c>
    </row>
    <row r="93" spans="2:128" ht="16.5">
      <c r="B93" s="46">
        <v>82</v>
      </c>
      <c r="C93" s="20" t="s">
        <v>228</v>
      </c>
      <c r="D93" s="20" t="s">
        <v>110</v>
      </c>
      <c r="E93" s="20"/>
      <c r="F93" s="20" t="s">
        <v>93</v>
      </c>
      <c r="G93" s="23">
        <v>7</v>
      </c>
      <c r="H93" s="23">
        <v>199</v>
      </c>
      <c r="I93" s="109">
        <f t="shared" si="2"/>
        <v>1393</v>
      </c>
      <c r="J93" s="109">
        <f t="shared" si="3"/>
        <v>1393</v>
      </c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>
        <v>80</v>
      </c>
      <c r="DA93" s="23"/>
      <c r="DB93" s="23"/>
      <c r="DC93" s="23"/>
      <c r="DD93" s="23"/>
      <c r="DE93" s="23"/>
      <c r="DF93" s="23"/>
      <c r="DG93" s="23"/>
      <c r="DH93" s="23"/>
      <c r="DI93" s="23"/>
      <c r="DJ93" s="23"/>
      <c r="DK93" s="23"/>
      <c r="DL93" s="23"/>
      <c r="DM93" s="23"/>
      <c r="DN93" s="23"/>
      <c r="DO93" s="23">
        <v>119</v>
      </c>
      <c r="DP93" s="23"/>
      <c r="DQ93" s="23"/>
      <c r="DR93" s="23"/>
      <c r="DS93" s="23"/>
      <c r="DT93" s="23"/>
      <c r="DU93" s="23"/>
      <c r="DV93" s="23"/>
      <c r="DW93" s="23"/>
      <c r="DX93" s="110">
        <f>SUM(CL93:DW93)</f>
        <v>199</v>
      </c>
    </row>
    <row r="94" spans="2:128" ht="16.5">
      <c r="B94" s="46">
        <v>83</v>
      </c>
      <c r="C94" s="20" t="s">
        <v>218</v>
      </c>
      <c r="D94" s="20" t="s">
        <v>145</v>
      </c>
      <c r="E94" s="20"/>
      <c r="F94" s="20" t="s">
        <v>93</v>
      </c>
      <c r="G94" s="23">
        <v>2.0499999999999998</v>
      </c>
      <c r="H94" s="23">
        <v>85</v>
      </c>
      <c r="I94" s="109">
        <f t="shared" si="2"/>
        <v>174.24999999999997</v>
      </c>
      <c r="J94" s="109">
        <f t="shared" si="3"/>
        <v>174.24999999999997</v>
      </c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>
        <v>2</v>
      </c>
      <c r="DA94" s="23"/>
      <c r="DB94" s="23"/>
      <c r="DC94" s="23"/>
      <c r="DD94" s="23"/>
      <c r="DE94" s="23"/>
      <c r="DF94" s="23"/>
      <c r="DG94" s="23"/>
      <c r="DH94" s="23"/>
      <c r="DI94" s="23"/>
      <c r="DJ94" s="23"/>
      <c r="DK94" s="23"/>
      <c r="DL94" s="23"/>
      <c r="DM94" s="23"/>
      <c r="DN94" s="23"/>
      <c r="DO94" s="23">
        <v>83</v>
      </c>
      <c r="DP94" s="23"/>
      <c r="DQ94" s="23"/>
      <c r="DR94" s="23"/>
      <c r="DS94" s="23"/>
      <c r="DT94" s="23"/>
      <c r="DU94" s="23"/>
      <c r="DV94" s="23"/>
      <c r="DW94" s="23"/>
      <c r="DX94" s="110">
        <f>SUM(CL94:DW94)</f>
        <v>85</v>
      </c>
    </row>
    <row r="95" spans="2:128" ht="16.5">
      <c r="B95" s="46">
        <v>84</v>
      </c>
      <c r="C95" s="20" t="s">
        <v>144</v>
      </c>
      <c r="D95" s="20" t="s">
        <v>137</v>
      </c>
      <c r="E95" s="20" t="s">
        <v>163</v>
      </c>
      <c r="F95" s="20" t="s">
        <v>229</v>
      </c>
      <c r="G95" s="23">
        <v>42</v>
      </c>
      <c r="H95" s="23">
        <v>14</v>
      </c>
      <c r="I95" s="109">
        <f t="shared" si="2"/>
        <v>588</v>
      </c>
      <c r="J95" s="109">
        <f t="shared" si="3"/>
        <v>588</v>
      </c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3"/>
      <c r="DH95" s="23"/>
      <c r="DI95" s="23"/>
      <c r="DJ95" s="23"/>
      <c r="DK95" s="23"/>
      <c r="DL95" s="23"/>
      <c r="DM95" s="23"/>
      <c r="DN95" s="23"/>
      <c r="DO95" s="23"/>
      <c r="DP95" s="23">
        <v>14</v>
      </c>
      <c r="DQ95" s="23"/>
      <c r="DR95" s="23"/>
      <c r="DS95" s="23"/>
      <c r="DT95" s="23"/>
      <c r="DU95" s="23"/>
      <c r="DV95" s="23"/>
      <c r="DW95" s="23"/>
      <c r="DX95" s="110">
        <f>SUM(CL95:DW95)</f>
        <v>14</v>
      </c>
    </row>
    <row r="96" spans="2:128" ht="16.5">
      <c r="B96" s="46">
        <v>85</v>
      </c>
      <c r="C96" s="20" t="s">
        <v>144</v>
      </c>
      <c r="D96" s="20" t="s">
        <v>142</v>
      </c>
      <c r="E96" s="20" t="s">
        <v>143</v>
      </c>
      <c r="F96" s="20" t="s">
        <v>229</v>
      </c>
      <c r="G96" s="23">
        <v>48</v>
      </c>
      <c r="H96" s="23">
        <v>5</v>
      </c>
      <c r="I96" s="109">
        <f t="shared" si="2"/>
        <v>240</v>
      </c>
      <c r="J96" s="109">
        <f t="shared" si="3"/>
        <v>240</v>
      </c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3"/>
      <c r="DH96" s="23"/>
      <c r="DI96" s="23"/>
      <c r="DJ96" s="23"/>
      <c r="DK96" s="23"/>
      <c r="DL96" s="23"/>
      <c r="DM96" s="23"/>
      <c r="DN96" s="23"/>
      <c r="DO96" s="23"/>
      <c r="DP96" s="23">
        <v>5</v>
      </c>
      <c r="DQ96" s="23"/>
      <c r="DR96" s="23"/>
      <c r="DS96" s="23"/>
      <c r="DT96" s="23"/>
      <c r="DU96" s="23"/>
      <c r="DV96" s="23"/>
      <c r="DW96" s="23"/>
      <c r="DX96" s="110">
        <f>SUM(CL96:DW96)</f>
        <v>5</v>
      </c>
    </row>
    <row r="97" spans="2:128" ht="16.5">
      <c r="B97" s="46">
        <v>86</v>
      </c>
      <c r="C97" s="20" t="s">
        <v>227</v>
      </c>
      <c r="D97" s="20" t="s">
        <v>142</v>
      </c>
      <c r="E97" s="20" t="s">
        <v>143</v>
      </c>
      <c r="F97" s="20" t="s">
        <v>230</v>
      </c>
      <c r="G97" s="23">
        <v>398</v>
      </c>
      <c r="H97" s="23">
        <v>3</v>
      </c>
      <c r="I97" s="109">
        <f t="shared" si="2"/>
        <v>1194</v>
      </c>
      <c r="J97" s="109">
        <f t="shared" si="3"/>
        <v>1194</v>
      </c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>
        <v>1</v>
      </c>
      <c r="DA97" s="23"/>
      <c r="DB97" s="23"/>
      <c r="DC97" s="23"/>
      <c r="DD97" s="23"/>
      <c r="DE97" s="23"/>
      <c r="DF97" s="23"/>
      <c r="DG97" s="23"/>
      <c r="DH97" s="23"/>
      <c r="DI97" s="23"/>
      <c r="DJ97" s="23"/>
      <c r="DK97" s="23"/>
      <c r="DL97" s="23"/>
      <c r="DM97" s="23"/>
      <c r="DN97" s="23"/>
      <c r="DO97" s="23"/>
      <c r="DP97" s="23">
        <v>2</v>
      </c>
      <c r="DQ97" s="23"/>
      <c r="DR97" s="23"/>
      <c r="DS97" s="23"/>
      <c r="DT97" s="23"/>
      <c r="DU97" s="23"/>
      <c r="DV97" s="23"/>
      <c r="DW97" s="23"/>
      <c r="DX97" s="110">
        <f>SUM(CL97:DW97)</f>
        <v>3</v>
      </c>
    </row>
    <row r="98" spans="2:128" ht="16.5">
      <c r="B98" s="46">
        <v>87</v>
      </c>
      <c r="C98" s="20" t="s">
        <v>221</v>
      </c>
      <c r="D98" s="20" t="s">
        <v>231</v>
      </c>
      <c r="E98" s="20" t="s">
        <v>143</v>
      </c>
      <c r="F98" s="20" t="s">
        <v>229</v>
      </c>
      <c r="G98" s="23">
        <v>25</v>
      </c>
      <c r="H98" s="23">
        <v>3</v>
      </c>
      <c r="I98" s="109">
        <f t="shared" si="2"/>
        <v>75</v>
      </c>
      <c r="J98" s="109">
        <f t="shared" si="3"/>
        <v>75</v>
      </c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>
        <v>3</v>
      </c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110">
        <f>SUM(CL98:DW98)</f>
        <v>3</v>
      </c>
    </row>
    <row r="99" spans="2:128" ht="16.5">
      <c r="B99" s="46">
        <v>88</v>
      </c>
      <c r="C99" s="20" t="s">
        <v>232</v>
      </c>
      <c r="D99" s="20" t="s">
        <v>114</v>
      </c>
      <c r="E99" s="20"/>
      <c r="F99" s="20" t="s">
        <v>93</v>
      </c>
      <c r="G99" s="23">
        <v>0.5</v>
      </c>
      <c r="H99" s="23">
        <v>91</v>
      </c>
      <c r="I99" s="109">
        <f t="shared" si="2"/>
        <v>45.5</v>
      </c>
      <c r="J99" s="109">
        <f t="shared" si="3"/>
        <v>45.5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>
        <v>91</v>
      </c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110">
        <f>SUM(CL99:DW99)</f>
        <v>91</v>
      </c>
    </row>
    <row r="100" spans="2:128" ht="16.5">
      <c r="B100" s="46">
        <v>89</v>
      </c>
      <c r="C100" s="20" t="s">
        <v>232</v>
      </c>
      <c r="D100" s="20" t="s">
        <v>233</v>
      </c>
      <c r="E100" s="20" t="s">
        <v>163</v>
      </c>
      <c r="F100" s="20" t="s">
        <v>229</v>
      </c>
      <c r="G100" s="23">
        <v>230</v>
      </c>
      <c r="H100" s="23">
        <v>1</v>
      </c>
      <c r="I100" s="109">
        <f t="shared" si="2"/>
        <v>230</v>
      </c>
      <c r="J100" s="109">
        <f t="shared" si="3"/>
        <v>230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>
        <v>1</v>
      </c>
      <c r="DP100" s="23"/>
      <c r="DQ100" s="23"/>
      <c r="DR100" s="23"/>
      <c r="DS100" s="23"/>
      <c r="DT100" s="23"/>
      <c r="DU100" s="23"/>
      <c r="DV100" s="23"/>
      <c r="DW100" s="23"/>
      <c r="DX100" s="110">
        <f>SUM(CL100:DW100)</f>
        <v>1</v>
      </c>
    </row>
    <row r="101" spans="2:128" ht="16.5">
      <c r="B101" s="46">
        <v>90</v>
      </c>
      <c r="C101" s="20" t="s">
        <v>234</v>
      </c>
      <c r="D101" s="20" t="s">
        <v>235</v>
      </c>
      <c r="E101" s="20"/>
      <c r="F101" s="20" t="s">
        <v>104</v>
      </c>
      <c r="G101" s="23">
        <v>17</v>
      </c>
      <c r="H101" s="23">
        <v>25</v>
      </c>
      <c r="I101" s="109">
        <f t="shared" si="2"/>
        <v>425</v>
      </c>
      <c r="J101" s="109">
        <f t="shared" si="3"/>
        <v>425</v>
      </c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>
        <v>13</v>
      </c>
      <c r="DA101" s="23"/>
      <c r="DB101" s="23"/>
      <c r="DC101" s="23"/>
      <c r="DD101" s="23"/>
      <c r="DE101" s="23"/>
      <c r="DF101" s="23"/>
      <c r="DG101" s="23"/>
      <c r="DH101" s="23"/>
      <c r="DI101" s="23">
        <v>1</v>
      </c>
      <c r="DJ101" s="23"/>
      <c r="DK101" s="23"/>
      <c r="DL101" s="23"/>
      <c r="DM101" s="23"/>
      <c r="DN101" s="23"/>
      <c r="DO101" s="23">
        <v>5</v>
      </c>
      <c r="DP101" s="23">
        <v>3</v>
      </c>
      <c r="DQ101" s="23">
        <v>3</v>
      </c>
      <c r="DR101" s="23"/>
      <c r="DS101" s="23"/>
      <c r="DT101" s="23"/>
      <c r="DU101" s="23"/>
      <c r="DV101" s="23"/>
      <c r="DW101" s="23"/>
      <c r="DX101" s="110">
        <f>SUM(CL101:DW101)</f>
        <v>25</v>
      </c>
    </row>
    <row r="102" spans="2:128" ht="16.5">
      <c r="B102" s="46">
        <v>91</v>
      </c>
      <c r="C102" s="20" t="s">
        <v>236</v>
      </c>
      <c r="D102" s="20" t="s">
        <v>238</v>
      </c>
      <c r="E102" s="20"/>
      <c r="F102" s="20" t="s">
        <v>119</v>
      </c>
      <c r="G102" s="23">
        <v>75</v>
      </c>
      <c r="H102" s="23">
        <v>42</v>
      </c>
      <c r="I102" s="109">
        <f t="shared" si="2"/>
        <v>3150</v>
      </c>
      <c r="J102" s="109">
        <f t="shared" si="3"/>
        <v>3150</v>
      </c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>
        <v>3</v>
      </c>
      <c r="DA102" s="23"/>
      <c r="DB102" s="23"/>
      <c r="DC102" s="23"/>
      <c r="DD102" s="23"/>
      <c r="DE102" s="23"/>
      <c r="DF102" s="23"/>
      <c r="DG102" s="23"/>
      <c r="DH102" s="23"/>
      <c r="DI102" s="23">
        <v>3</v>
      </c>
      <c r="DJ102" s="23"/>
      <c r="DK102" s="23"/>
      <c r="DL102" s="23"/>
      <c r="DM102" s="23"/>
      <c r="DN102" s="23"/>
      <c r="DO102" s="23">
        <v>22</v>
      </c>
      <c r="DP102" s="23">
        <v>14</v>
      </c>
      <c r="DQ102" s="23"/>
      <c r="DR102" s="23"/>
      <c r="DS102" s="23"/>
      <c r="DT102" s="23"/>
      <c r="DU102" s="23"/>
      <c r="DV102" s="23"/>
      <c r="DW102" s="23"/>
      <c r="DX102" s="110">
        <f>SUM(CL102:DW102)</f>
        <v>42</v>
      </c>
    </row>
    <row r="103" spans="2:128" ht="16.5">
      <c r="B103" s="46">
        <v>92</v>
      </c>
      <c r="C103" s="20" t="s">
        <v>239</v>
      </c>
      <c r="D103" s="20" t="s">
        <v>240</v>
      </c>
      <c r="E103" s="20"/>
      <c r="F103" s="20" t="s">
        <v>241</v>
      </c>
      <c r="G103" s="23">
        <v>8</v>
      </c>
      <c r="H103" s="23">
        <v>17</v>
      </c>
      <c r="I103" s="109">
        <f t="shared" si="2"/>
        <v>136</v>
      </c>
      <c r="J103" s="109">
        <f t="shared" si="3"/>
        <v>136</v>
      </c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/>
      <c r="CW103" s="23"/>
      <c r="CX103" s="23"/>
      <c r="CY103" s="23"/>
      <c r="CZ103" s="23">
        <v>17</v>
      </c>
      <c r="DA103" s="23"/>
      <c r="DB103" s="23"/>
      <c r="DC103" s="23"/>
      <c r="DD103" s="23"/>
      <c r="DE103" s="23"/>
      <c r="DF103" s="23"/>
      <c r="DG103" s="23"/>
      <c r="DH103" s="23"/>
      <c r="DI103" s="23"/>
      <c r="DJ103" s="23"/>
      <c r="DK103" s="23"/>
      <c r="DL103" s="23"/>
      <c r="DM103" s="23"/>
      <c r="DN103" s="23"/>
      <c r="DO103" s="23"/>
      <c r="DP103" s="23"/>
      <c r="DQ103" s="23"/>
      <c r="DR103" s="23"/>
      <c r="DS103" s="23"/>
      <c r="DT103" s="23"/>
      <c r="DU103" s="23"/>
      <c r="DV103" s="23"/>
      <c r="DW103" s="23"/>
      <c r="DX103" s="110">
        <f>SUM(CL103:DW103)</f>
        <v>17</v>
      </c>
    </row>
    <row r="104" spans="2:128" ht="16.5">
      <c r="B104" s="46">
        <v>93</v>
      </c>
      <c r="C104" s="20" t="s">
        <v>242</v>
      </c>
      <c r="D104" s="20" t="s">
        <v>243</v>
      </c>
      <c r="E104" s="20" t="s">
        <v>143</v>
      </c>
      <c r="F104" s="20" t="s">
        <v>229</v>
      </c>
      <c r="G104" s="23">
        <v>125</v>
      </c>
      <c r="H104" s="23">
        <v>6</v>
      </c>
      <c r="I104" s="109">
        <f t="shared" si="2"/>
        <v>750</v>
      </c>
      <c r="J104" s="109">
        <f t="shared" si="3"/>
        <v>750</v>
      </c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3"/>
      <c r="CN104" s="23"/>
      <c r="CO104" s="23"/>
      <c r="CP104" s="23"/>
      <c r="CQ104" s="23"/>
      <c r="CR104" s="23"/>
      <c r="CS104" s="23"/>
      <c r="CT104" s="23"/>
      <c r="CU104" s="23"/>
      <c r="CV104" s="23"/>
      <c r="CW104" s="23"/>
      <c r="CX104" s="23"/>
      <c r="CY104" s="23"/>
      <c r="CZ104" s="23">
        <v>1</v>
      </c>
      <c r="DA104" s="23"/>
      <c r="DB104" s="23"/>
      <c r="DC104" s="23"/>
      <c r="DD104" s="23"/>
      <c r="DE104" s="23"/>
      <c r="DF104" s="23"/>
      <c r="DG104" s="23"/>
      <c r="DH104" s="23"/>
      <c r="DI104" s="23"/>
      <c r="DJ104" s="23"/>
      <c r="DK104" s="23"/>
      <c r="DL104" s="23"/>
      <c r="DM104" s="23"/>
      <c r="DN104" s="23"/>
      <c r="DO104" s="23"/>
      <c r="DP104" s="23">
        <v>5</v>
      </c>
      <c r="DQ104" s="23"/>
      <c r="DR104" s="23"/>
      <c r="DS104" s="23"/>
      <c r="DT104" s="23"/>
      <c r="DU104" s="23"/>
      <c r="DV104" s="23"/>
      <c r="DW104" s="23"/>
      <c r="DX104" s="110">
        <f>SUM(CL104:DW104)</f>
        <v>6</v>
      </c>
    </row>
    <row r="105" spans="2:128" ht="16.5">
      <c r="B105" s="46">
        <v>94</v>
      </c>
      <c r="C105" s="20" t="s">
        <v>244</v>
      </c>
      <c r="D105" s="20" t="s">
        <v>215</v>
      </c>
      <c r="E105" s="20" t="s">
        <v>143</v>
      </c>
      <c r="F105" s="20" t="s">
        <v>229</v>
      </c>
      <c r="G105" s="23">
        <v>90</v>
      </c>
      <c r="H105" s="23">
        <v>2</v>
      </c>
      <c r="I105" s="109">
        <f t="shared" si="2"/>
        <v>180</v>
      </c>
      <c r="J105" s="109">
        <f t="shared" si="3"/>
        <v>180</v>
      </c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3"/>
      <c r="CN105" s="23"/>
      <c r="CO105" s="23"/>
      <c r="CP105" s="23"/>
      <c r="CQ105" s="23"/>
      <c r="CR105" s="23"/>
      <c r="CS105" s="23"/>
      <c r="CT105" s="23"/>
      <c r="CU105" s="23"/>
      <c r="CV105" s="23"/>
      <c r="CW105" s="23"/>
      <c r="CX105" s="23"/>
      <c r="CY105" s="23"/>
      <c r="CZ105" s="23">
        <v>2</v>
      </c>
      <c r="DA105" s="23"/>
      <c r="DB105" s="23"/>
      <c r="DC105" s="23"/>
      <c r="DD105" s="23"/>
      <c r="DE105" s="23"/>
      <c r="DF105" s="23"/>
      <c r="DG105" s="23"/>
      <c r="DH105" s="23"/>
      <c r="DI105" s="23"/>
      <c r="DJ105" s="23"/>
      <c r="DK105" s="23"/>
      <c r="DL105" s="23"/>
      <c r="DM105" s="23"/>
      <c r="DN105" s="23"/>
      <c r="DO105" s="23"/>
      <c r="DP105" s="23"/>
      <c r="DQ105" s="23"/>
      <c r="DR105" s="23"/>
      <c r="DS105" s="23"/>
      <c r="DT105" s="23"/>
      <c r="DU105" s="23"/>
      <c r="DV105" s="23"/>
      <c r="DW105" s="23"/>
      <c r="DX105" s="110">
        <f>SUM(CL105:DW105)</f>
        <v>2</v>
      </c>
    </row>
    <row r="106" spans="2:128" ht="16.5">
      <c r="B106" s="46">
        <v>95</v>
      </c>
      <c r="C106" s="20" t="s">
        <v>245</v>
      </c>
      <c r="D106" s="20" t="s">
        <v>246</v>
      </c>
      <c r="E106" s="20" t="s">
        <v>143</v>
      </c>
      <c r="F106" s="20" t="s">
        <v>229</v>
      </c>
      <c r="G106" s="23">
        <v>28.5</v>
      </c>
      <c r="H106" s="23">
        <v>2</v>
      </c>
      <c r="I106" s="109">
        <f t="shared" si="2"/>
        <v>57</v>
      </c>
      <c r="J106" s="109">
        <f t="shared" si="3"/>
        <v>57</v>
      </c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>
        <v>1</v>
      </c>
      <c r="DA106" s="23"/>
      <c r="DB106" s="23"/>
      <c r="DC106" s="23"/>
      <c r="DD106" s="23"/>
      <c r="DE106" s="23"/>
      <c r="DF106" s="23"/>
      <c r="DG106" s="23"/>
      <c r="DH106" s="23"/>
      <c r="DI106" s="23"/>
      <c r="DJ106" s="23"/>
      <c r="DK106" s="23"/>
      <c r="DL106" s="23"/>
      <c r="DM106" s="23"/>
      <c r="DN106" s="23"/>
      <c r="DO106" s="23"/>
      <c r="DP106" s="23">
        <v>1</v>
      </c>
      <c r="DQ106" s="23"/>
      <c r="DR106" s="23"/>
      <c r="DS106" s="23"/>
      <c r="DT106" s="23"/>
      <c r="DU106" s="23"/>
      <c r="DV106" s="23"/>
      <c r="DW106" s="23"/>
      <c r="DX106" s="110">
        <f>SUM(CL106:DW106)</f>
        <v>2</v>
      </c>
    </row>
    <row r="107" spans="2:128" ht="16.5">
      <c r="B107" s="46">
        <v>96</v>
      </c>
      <c r="C107" s="20" t="s">
        <v>247</v>
      </c>
      <c r="D107" s="20" t="s">
        <v>248</v>
      </c>
      <c r="E107" s="20" t="s">
        <v>143</v>
      </c>
      <c r="F107" s="20" t="s">
        <v>229</v>
      </c>
      <c r="G107" s="23">
        <v>30</v>
      </c>
      <c r="H107" s="23">
        <v>4</v>
      </c>
      <c r="I107" s="109">
        <f t="shared" si="2"/>
        <v>120</v>
      </c>
      <c r="J107" s="109">
        <f t="shared" si="3"/>
        <v>120</v>
      </c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>
        <v>1</v>
      </c>
      <c r="DA107" s="23"/>
      <c r="DB107" s="23"/>
      <c r="DC107" s="23"/>
      <c r="DD107" s="23"/>
      <c r="DE107" s="23"/>
      <c r="DF107" s="23"/>
      <c r="DG107" s="23"/>
      <c r="DH107" s="23"/>
      <c r="DI107" s="23"/>
      <c r="DJ107" s="23"/>
      <c r="DK107" s="23"/>
      <c r="DL107" s="23"/>
      <c r="DM107" s="23"/>
      <c r="DN107" s="23"/>
      <c r="DO107" s="23"/>
      <c r="DP107" s="23">
        <v>3</v>
      </c>
      <c r="DQ107" s="23"/>
      <c r="DR107" s="23"/>
      <c r="DS107" s="23"/>
      <c r="DT107" s="23"/>
      <c r="DU107" s="23"/>
      <c r="DV107" s="23"/>
      <c r="DW107" s="23"/>
      <c r="DX107" s="110">
        <f>SUM(CL107:DW107)</f>
        <v>4</v>
      </c>
    </row>
    <row r="108" spans="2:128" ht="16.5">
      <c r="B108" s="46">
        <v>97</v>
      </c>
      <c r="C108" s="20" t="s">
        <v>136</v>
      </c>
      <c r="D108" s="20" t="s">
        <v>150</v>
      </c>
      <c r="E108" s="20" t="s">
        <v>143</v>
      </c>
      <c r="F108" s="20" t="s">
        <v>229</v>
      </c>
      <c r="G108" s="23">
        <v>24</v>
      </c>
      <c r="H108" s="23">
        <v>1</v>
      </c>
      <c r="I108" s="109">
        <f t="shared" si="2"/>
        <v>24</v>
      </c>
      <c r="J108" s="109">
        <f t="shared" si="3"/>
        <v>24</v>
      </c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J108" s="23"/>
      <c r="BK108" s="23"/>
      <c r="BL108" s="23"/>
      <c r="BM108" s="23"/>
      <c r="BO108" s="23"/>
      <c r="BP108" s="23"/>
      <c r="BQ108" s="23"/>
      <c r="BR108" s="23"/>
      <c r="BS108" s="23"/>
      <c r="BT108" s="23"/>
      <c r="BU108" s="23"/>
      <c r="BV108" s="23"/>
      <c r="BW108" s="23"/>
      <c r="BX108" s="23"/>
      <c r="BY108" s="23"/>
      <c r="BZ108" s="23"/>
      <c r="CA108" s="23"/>
      <c r="CB108" s="23"/>
      <c r="CC108" s="23"/>
      <c r="CD108" s="23"/>
      <c r="CE108" s="23"/>
      <c r="CF108" s="23"/>
      <c r="CG108" s="23"/>
      <c r="CH108" s="23"/>
      <c r="CI108" s="23"/>
      <c r="CJ108" s="23"/>
      <c r="CK108" s="23"/>
      <c r="CL108" s="23"/>
      <c r="CM108" s="23"/>
      <c r="CN108" s="23"/>
      <c r="CO108" s="23"/>
      <c r="CP108" s="23"/>
      <c r="CQ108" s="23"/>
      <c r="CR108" s="23"/>
      <c r="CS108" s="23"/>
      <c r="CT108" s="23"/>
      <c r="CU108" s="23"/>
      <c r="CV108" s="23"/>
      <c r="CW108" s="23"/>
      <c r="CX108" s="23"/>
      <c r="CY108" s="23"/>
      <c r="CZ108" s="23">
        <v>1</v>
      </c>
      <c r="DA108" s="23"/>
      <c r="DB108" s="23"/>
      <c r="DC108" s="23"/>
      <c r="DD108" s="23"/>
      <c r="DE108" s="23"/>
      <c r="DF108" s="23"/>
      <c r="DG108" s="23"/>
      <c r="DH108" s="23"/>
      <c r="DI108" s="23"/>
      <c r="DJ108" s="23"/>
      <c r="DK108" s="23"/>
      <c r="DL108" s="23"/>
      <c r="DM108" s="23"/>
      <c r="DN108" s="23"/>
      <c r="DO108" s="23"/>
      <c r="DP108" s="23"/>
      <c r="DQ108" s="23"/>
      <c r="DR108" s="23"/>
      <c r="DS108" s="23"/>
      <c r="DT108" s="23"/>
      <c r="DU108" s="23"/>
      <c r="DV108" s="23"/>
      <c r="DW108" s="23"/>
      <c r="DX108" s="110">
        <f>SUM(CL108:DW108)</f>
        <v>1</v>
      </c>
    </row>
    <row r="109" spans="2:128" ht="16.5">
      <c r="B109" s="46">
        <v>98</v>
      </c>
      <c r="C109" s="20" t="s">
        <v>249</v>
      </c>
      <c r="D109" s="20" t="s">
        <v>250</v>
      </c>
      <c r="E109" s="20"/>
      <c r="F109" s="20" t="s">
        <v>93</v>
      </c>
      <c r="G109" s="23">
        <v>9.9</v>
      </c>
      <c r="H109" s="23">
        <v>42</v>
      </c>
      <c r="I109" s="109">
        <f t="shared" si="2"/>
        <v>415.8</v>
      </c>
      <c r="J109" s="109">
        <f t="shared" si="3"/>
        <v>415.8</v>
      </c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3"/>
      <c r="CN109" s="23"/>
      <c r="CO109" s="23"/>
      <c r="CP109" s="23"/>
      <c r="CQ109" s="23"/>
      <c r="CR109" s="23"/>
      <c r="CS109" s="23"/>
      <c r="CT109" s="23"/>
      <c r="CU109" s="23"/>
      <c r="CV109" s="23"/>
      <c r="CW109" s="23"/>
      <c r="CX109" s="23"/>
      <c r="CY109" s="23"/>
      <c r="CZ109" s="23">
        <v>12</v>
      </c>
      <c r="DA109" s="23"/>
      <c r="DB109" s="23"/>
      <c r="DC109" s="23"/>
      <c r="DD109" s="23"/>
      <c r="DE109" s="23"/>
      <c r="DF109" s="23"/>
      <c r="DG109" s="23"/>
      <c r="DH109" s="23"/>
      <c r="DI109" s="23"/>
      <c r="DJ109" s="23"/>
      <c r="DK109" s="23"/>
      <c r="DL109" s="23"/>
      <c r="DM109" s="23"/>
      <c r="DN109" s="23"/>
      <c r="DO109" s="23">
        <v>30</v>
      </c>
      <c r="DP109" s="23"/>
      <c r="DQ109" s="23"/>
      <c r="DR109" s="23"/>
      <c r="DS109" s="23"/>
      <c r="DT109" s="23"/>
      <c r="DU109" s="23"/>
      <c r="DV109" s="23"/>
      <c r="DW109" s="23"/>
      <c r="DX109" s="110">
        <f>SUM(CL109:DW109)</f>
        <v>42</v>
      </c>
    </row>
    <row r="110" spans="2:128" ht="16.5">
      <c r="B110" s="46">
        <v>99</v>
      </c>
      <c r="C110" s="20" t="s">
        <v>217</v>
      </c>
      <c r="D110" s="20" t="s">
        <v>251</v>
      </c>
      <c r="E110" s="20"/>
      <c r="F110" s="20" t="s">
        <v>116</v>
      </c>
      <c r="G110" s="23">
        <v>74</v>
      </c>
      <c r="H110" s="23">
        <v>12</v>
      </c>
      <c r="I110" s="109">
        <f t="shared" si="2"/>
        <v>888</v>
      </c>
      <c r="J110" s="109">
        <f t="shared" si="3"/>
        <v>888</v>
      </c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  <c r="CP110" s="23"/>
      <c r="CQ110" s="23"/>
      <c r="CR110" s="23"/>
      <c r="CS110" s="23"/>
      <c r="CT110" s="23"/>
      <c r="CU110" s="23"/>
      <c r="CV110" s="23"/>
      <c r="CW110" s="23"/>
      <c r="CX110" s="23"/>
      <c r="CY110" s="23"/>
      <c r="CZ110" s="23">
        <v>1</v>
      </c>
      <c r="DA110" s="23"/>
      <c r="DB110" s="23"/>
      <c r="DC110" s="23"/>
      <c r="DD110" s="23"/>
      <c r="DE110" s="23"/>
      <c r="DF110" s="23"/>
      <c r="DG110" s="23"/>
      <c r="DH110" s="23"/>
      <c r="DI110" s="23">
        <v>6</v>
      </c>
      <c r="DJ110" s="23"/>
      <c r="DK110" s="23"/>
      <c r="DL110" s="23"/>
      <c r="DM110" s="23"/>
      <c r="DN110" s="23"/>
      <c r="DO110" s="23">
        <v>5</v>
      </c>
      <c r="DP110" s="23"/>
      <c r="DQ110" s="23"/>
      <c r="DR110" s="23"/>
      <c r="DS110" s="23"/>
      <c r="DT110" s="23"/>
      <c r="DU110" s="23"/>
      <c r="DV110" s="23"/>
      <c r="DW110" s="23"/>
      <c r="DX110" s="110">
        <f>SUM(CL110:DW110)</f>
        <v>12</v>
      </c>
    </row>
    <row r="111" spans="2:128" ht="16.5">
      <c r="B111" s="46">
        <v>100</v>
      </c>
      <c r="C111" s="20" t="s">
        <v>247</v>
      </c>
      <c r="D111" s="20" t="s">
        <v>252</v>
      </c>
      <c r="E111" s="20"/>
      <c r="F111" s="20" t="s">
        <v>93</v>
      </c>
      <c r="G111" s="23">
        <v>0.5</v>
      </c>
      <c r="H111" s="23">
        <v>30</v>
      </c>
      <c r="I111" s="109">
        <f t="shared" si="2"/>
        <v>15</v>
      </c>
      <c r="J111" s="109">
        <f t="shared" si="3"/>
        <v>15</v>
      </c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J111" s="23"/>
      <c r="BK111" s="23"/>
      <c r="BL111" s="23"/>
      <c r="BM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  <c r="CP111" s="23"/>
      <c r="CQ111" s="23"/>
      <c r="CR111" s="23"/>
      <c r="CS111" s="23"/>
      <c r="CT111" s="23"/>
      <c r="CU111" s="23"/>
      <c r="CV111" s="23"/>
      <c r="CW111" s="23"/>
      <c r="CX111" s="23"/>
      <c r="CY111" s="23"/>
      <c r="CZ111" s="23">
        <v>15</v>
      </c>
      <c r="DA111" s="23"/>
      <c r="DB111" s="23"/>
      <c r="DC111" s="23"/>
      <c r="DD111" s="23"/>
      <c r="DE111" s="23"/>
      <c r="DF111" s="23"/>
      <c r="DG111" s="23"/>
      <c r="DH111" s="23"/>
      <c r="DI111" s="23"/>
      <c r="DJ111" s="23"/>
      <c r="DK111" s="23"/>
      <c r="DL111" s="23"/>
      <c r="DM111" s="23"/>
      <c r="DN111" s="23"/>
      <c r="DO111" s="23">
        <v>15</v>
      </c>
      <c r="DP111" s="23"/>
      <c r="DQ111" s="23"/>
      <c r="DR111" s="23"/>
      <c r="DS111" s="23"/>
      <c r="DT111" s="23"/>
      <c r="DU111" s="23"/>
      <c r="DV111" s="23"/>
      <c r="DW111" s="23"/>
      <c r="DX111" s="110">
        <f>SUM(CL111:DW111)</f>
        <v>30</v>
      </c>
    </row>
    <row r="112" spans="2:128" ht="16.5">
      <c r="B112" s="46">
        <v>101</v>
      </c>
      <c r="C112" s="20" t="s">
        <v>253</v>
      </c>
      <c r="D112" s="20" t="s">
        <v>189</v>
      </c>
      <c r="E112" s="20"/>
      <c r="F112" s="20" t="s">
        <v>104</v>
      </c>
      <c r="G112" s="23">
        <v>96</v>
      </c>
      <c r="H112" s="23">
        <v>1</v>
      </c>
      <c r="I112" s="109">
        <f t="shared" si="2"/>
        <v>96</v>
      </c>
      <c r="J112" s="109">
        <f t="shared" si="3"/>
        <v>96</v>
      </c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O112" s="23"/>
      <c r="BP112" s="23"/>
      <c r="BQ112" s="23"/>
      <c r="BR112" s="23"/>
      <c r="BS112" s="23"/>
      <c r="BT112" s="23"/>
      <c r="BU112" s="23"/>
      <c r="BV112" s="23"/>
      <c r="BW112" s="23"/>
      <c r="BX112" s="23"/>
      <c r="BY112" s="23"/>
      <c r="BZ112" s="23"/>
      <c r="CA112" s="23"/>
      <c r="CB112" s="23"/>
      <c r="CC112" s="23"/>
      <c r="CD112" s="23"/>
      <c r="CE112" s="23"/>
      <c r="CF112" s="23"/>
      <c r="CG112" s="23"/>
      <c r="CH112" s="23"/>
      <c r="CI112" s="23"/>
      <c r="CJ112" s="23"/>
      <c r="CK112" s="23"/>
      <c r="CL112" s="23"/>
      <c r="CM112" s="23"/>
      <c r="CN112" s="23"/>
      <c r="CO112" s="23"/>
      <c r="CP112" s="23"/>
      <c r="CQ112" s="23"/>
      <c r="CR112" s="23"/>
      <c r="CS112" s="23"/>
      <c r="CT112" s="23"/>
      <c r="CU112" s="23"/>
      <c r="CV112" s="23"/>
      <c r="CW112" s="23"/>
      <c r="CX112" s="23"/>
      <c r="CY112" s="23"/>
      <c r="CZ112" s="23"/>
      <c r="DA112" s="23"/>
      <c r="DB112" s="23"/>
      <c r="DC112" s="23"/>
      <c r="DD112" s="23"/>
      <c r="DE112" s="23"/>
      <c r="DF112" s="23"/>
      <c r="DG112" s="23"/>
      <c r="DH112" s="23"/>
      <c r="DI112" s="23"/>
      <c r="DJ112" s="23"/>
      <c r="DK112" s="23"/>
      <c r="DL112" s="23"/>
      <c r="DM112" s="23"/>
      <c r="DN112" s="23"/>
      <c r="DO112" s="23">
        <v>1</v>
      </c>
      <c r="DP112" s="23"/>
      <c r="DQ112" s="23"/>
      <c r="DR112" s="23"/>
      <c r="DS112" s="23"/>
      <c r="DT112" s="23"/>
      <c r="DU112" s="23"/>
      <c r="DV112" s="23"/>
      <c r="DW112" s="23"/>
      <c r="DX112" s="110">
        <f>SUM(CL112:DW112)</f>
        <v>1</v>
      </c>
    </row>
    <row r="113" spans="2:128" ht="16.5">
      <c r="B113" s="46">
        <v>102</v>
      </c>
      <c r="C113" s="20" t="s">
        <v>254</v>
      </c>
      <c r="D113" s="20" t="s">
        <v>189</v>
      </c>
      <c r="E113" s="20"/>
      <c r="F113" s="20" t="s">
        <v>104</v>
      </c>
      <c r="G113" s="23">
        <v>110</v>
      </c>
      <c r="H113" s="23">
        <v>32</v>
      </c>
      <c r="I113" s="109">
        <f t="shared" si="2"/>
        <v>3520</v>
      </c>
      <c r="J113" s="109">
        <f t="shared" si="3"/>
        <v>3520</v>
      </c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  <c r="BI113" s="23"/>
      <c r="BJ113" s="23"/>
      <c r="BK113" s="23"/>
      <c r="BL113" s="23"/>
      <c r="BM113" s="23"/>
      <c r="BO113" s="23"/>
      <c r="BP113" s="23"/>
      <c r="BQ113" s="23"/>
      <c r="BR113" s="23"/>
      <c r="BS113" s="23"/>
      <c r="BT113" s="23"/>
      <c r="BU113" s="23"/>
      <c r="BV113" s="23"/>
      <c r="BW113" s="23"/>
      <c r="BX113" s="23"/>
      <c r="BY113" s="23"/>
      <c r="BZ113" s="23"/>
      <c r="CA113" s="23"/>
      <c r="CB113" s="23"/>
      <c r="CC113" s="23"/>
      <c r="CD113" s="23"/>
      <c r="CE113" s="23"/>
      <c r="CF113" s="23"/>
      <c r="CG113" s="23"/>
      <c r="CH113" s="23"/>
      <c r="CI113" s="23"/>
      <c r="CJ113" s="23"/>
      <c r="CK113" s="23"/>
      <c r="CL113" s="23"/>
      <c r="CM113" s="23"/>
      <c r="CN113" s="23"/>
      <c r="CO113" s="23"/>
      <c r="CP113" s="23"/>
      <c r="CQ113" s="23"/>
      <c r="CR113" s="23"/>
      <c r="CS113" s="23"/>
      <c r="CT113" s="23"/>
      <c r="CU113" s="23"/>
      <c r="CV113" s="23"/>
      <c r="CW113" s="23"/>
      <c r="CX113" s="23"/>
      <c r="CY113" s="23"/>
      <c r="CZ113" s="23">
        <v>6</v>
      </c>
      <c r="DA113" s="23"/>
      <c r="DB113" s="23"/>
      <c r="DC113" s="23"/>
      <c r="DD113" s="23"/>
      <c r="DE113" s="23"/>
      <c r="DF113" s="23"/>
      <c r="DG113" s="23"/>
      <c r="DH113" s="23"/>
      <c r="DI113" s="23"/>
      <c r="DJ113" s="23"/>
      <c r="DK113" s="23"/>
      <c r="DL113" s="23"/>
      <c r="DM113" s="23"/>
      <c r="DN113" s="23"/>
      <c r="DO113" s="23">
        <v>3</v>
      </c>
      <c r="DP113" s="23"/>
      <c r="DQ113" s="23">
        <v>20</v>
      </c>
      <c r="DR113" s="23">
        <v>3</v>
      </c>
      <c r="DS113" s="23"/>
      <c r="DT113" s="23"/>
      <c r="DU113" s="23"/>
      <c r="DV113" s="23"/>
      <c r="DW113" s="23"/>
      <c r="DX113" s="110">
        <f>SUM(CL113:DW113)</f>
        <v>32</v>
      </c>
    </row>
    <row r="114" spans="2:128" ht="16.5">
      <c r="B114" s="46">
        <v>103</v>
      </c>
      <c r="C114" s="20" t="s">
        <v>255</v>
      </c>
      <c r="D114" s="20" t="s">
        <v>256</v>
      </c>
      <c r="E114" s="20"/>
      <c r="F114" s="20" t="s">
        <v>93</v>
      </c>
      <c r="G114" s="23">
        <v>16.25</v>
      </c>
      <c r="H114" s="23">
        <v>118</v>
      </c>
      <c r="I114" s="109">
        <f t="shared" si="2"/>
        <v>1917.5</v>
      </c>
      <c r="J114" s="109">
        <f t="shared" si="3"/>
        <v>1917.5</v>
      </c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  <c r="BI114" s="23"/>
      <c r="BJ114" s="23"/>
      <c r="BK114" s="23"/>
      <c r="BL114" s="23"/>
      <c r="BM114" s="23"/>
      <c r="BO114" s="23"/>
      <c r="BP114" s="23"/>
      <c r="BQ114" s="23"/>
      <c r="BR114" s="23"/>
      <c r="BS114" s="23"/>
      <c r="BT114" s="23"/>
      <c r="BU114" s="23"/>
      <c r="BV114" s="23"/>
      <c r="BW114" s="23"/>
      <c r="BX114" s="23"/>
      <c r="BY114" s="23"/>
      <c r="BZ114" s="23"/>
      <c r="CA114" s="23"/>
      <c r="CB114" s="23"/>
      <c r="CC114" s="23"/>
      <c r="CD114" s="23"/>
      <c r="CE114" s="23"/>
      <c r="CF114" s="23"/>
      <c r="CG114" s="23"/>
      <c r="CH114" s="23"/>
      <c r="CI114" s="23"/>
      <c r="CJ114" s="23"/>
      <c r="CK114" s="23"/>
      <c r="CL114" s="23"/>
      <c r="CM114" s="23"/>
      <c r="CN114" s="23"/>
      <c r="CO114" s="23"/>
      <c r="CP114" s="23"/>
      <c r="CQ114" s="23"/>
      <c r="CR114" s="23"/>
      <c r="CS114" s="23"/>
      <c r="CT114" s="23"/>
      <c r="CU114" s="23"/>
      <c r="CV114" s="23"/>
      <c r="CW114" s="23"/>
      <c r="CX114" s="23"/>
      <c r="CY114" s="23"/>
      <c r="CZ114" s="23">
        <v>118</v>
      </c>
      <c r="DA114" s="23"/>
      <c r="DB114" s="23"/>
      <c r="DC114" s="23"/>
      <c r="DD114" s="23"/>
      <c r="DE114" s="23"/>
      <c r="DF114" s="23"/>
      <c r="DG114" s="23"/>
      <c r="DH114" s="23"/>
      <c r="DI114" s="23"/>
      <c r="DJ114" s="23"/>
      <c r="DK114" s="23"/>
      <c r="DL114" s="23"/>
      <c r="DM114" s="23"/>
      <c r="DN114" s="23"/>
      <c r="DO114" s="23"/>
      <c r="DP114" s="23"/>
      <c r="DQ114" s="23"/>
      <c r="DR114" s="23"/>
      <c r="DS114" s="23"/>
      <c r="DT114" s="23"/>
      <c r="DU114" s="23"/>
      <c r="DV114" s="23"/>
      <c r="DW114" s="23"/>
      <c r="DX114" s="110">
        <f>SUM(CL114:DW114)</f>
        <v>118</v>
      </c>
    </row>
    <row r="115" spans="2:128" ht="16.5">
      <c r="B115" s="46">
        <v>104</v>
      </c>
      <c r="C115" s="20" t="s">
        <v>257</v>
      </c>
      <c r="D115" s="20" t="s">
        <v>258</v>
      </c>
      <c r="E115" s="20"/>
      <c r="F115" s="20" t="s">
        <v>93</v>
      </c>
      <c r="G115" s="23">
        <v>2.8</v>
      </c>
      <c r="H115" s="23">
        <v>38</v>
      </c>
      <c r="I115" s="109">
        <f t="shared" si="2"/>
        <v>106.39999999999999</v>
      </c>
      <c r="J115" s="109">
        <f t="shared" si="3"/>
        <v>106.39999999999999</v>
      </c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O115" s="23"/>
      <c r="BP115" s="23"/>
      <c r="BQ115" s="23"/>
      <c r="BR115" s="23"/>
      <c r="BS115" s="23"/>
      <c r="BT115" s="23"/>
      <c r="BU115" s="23"/>
      <c r="BV115" s="23"/>
      <c r="BW115" s="23"/>
      <c r="BX115" s="23"/>
      <c r="BY115" s="23"/>
      <c r="BZ115" s="23"/>
      <c r="CA115" s="23"/>
      <c r="CB115" s="23"/>
      <c r="CC115" s="23"/>
      <c r="CD115" s="23"/>
      <c r="CE115" s="23"/>
      <c r="CF115" s="23"/>
      <c r="CG115" s="23"/>
      <c r="CH115" s="23"/>
      <c r="CI115" s="23"/>
      <c r="CJ115" s="23"/>
      <c r="CK115" s="23"/>
      <c r="CL115" s="23"/>
      <c r="CM115" s="23"/>
      <c r="CN115" s="23"/>
      <c r="CO115" s="23"/>
      <c r="CP115" s="23"/>
      <c r="CQ115" s="23"/>
      <c r="CR115" s="23"/>
      <c r="CS115" s="23"/>
      <c r="CT115" s="23"/>
      <c r="CU115" s="23"/>
      <c r="CV115" s="23"/>
      <c r="CW115" s="23"/>
      <c r="CX115" s="23"/>
      <c r="CY115" s="23"/>
      <c r="CZ115" s="23">
        <v>29</v>
      </c>
      <c r="DA115" s="23"/>
      <c r="DB115" s="23"/>
      <c r="DC115" s="23"/>
      <c r="DD115" s="23"/>
      <c r="DE115" s="23"/>
      <c r="DF115" s="23"/>
      <c r="DG115" s="23"/>
      <c r="DH115" s="23"/>
      <c r="DI115" s="23"/>
      <c r="DJ115" s="23"/>
      <c r="DK115" s="23"/>
      <c r="DL115" s="23"/>
      <c r="DM115" s="23"/>
      <c r="DN115" s="23"/>
      <c r="DO115" s="23">
        <v>9</v>
      </c>
      <c r="DP115" s="23"/>
      <c r="DQ115" s="23"/>
      <c r="DR115" s="23"/>
      <c r="DS115" s="23"/>
      <c r="DT115" s="23"/>
      <c r="DU115" s="23"/>
      <c r="DV115" s="23"/>
      <c r="DW115" s="23"/>
      <c r="DX115" s="110">
        <f>SUM(CL115:DW115)</f>
        <v>38</v>
      </c>
    </row>
    <row r="116" spans="2:128" ht="16.5">
      <c r="B116" s="46">
        <v>105</v>
      </c>
      <c r="C116" s="20" t="s">
        <v>259</v>
      </c>
      <c r="D116" s="20" t="s">
        <v>260</v>
      </c>
      <c r="E116" s="20"/>
      <c r="F116" s="20" t="s">
        <v>261</v>
      </c>
      <c r="G116" s="23">
        <v>165</v>
      </c>
      <c r="H116" s="23">
        <v>2</v>
      </c>
      <c r="I116" s="109">
        <f t="shared" si="2"/>
        <v>330</v>
      </c>
      <c r="J116" s="109">
        <f t="shared" si="3"/>
        <v>330</v>
      </c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23"/>
      <c r="CI116" s="23"/>
      <c r="CJ116" s="23"/>
      <c r="CK116" s="23"/>
      <c r="CL116" s="23"/>
      <c r="CM116" s="23"/>
      <c r="CN116" s="23"/>
      <c r="CO116" s="23"/>
      <c r="CP116" s="23"/>
      <c r="CQ116" s="23"/>
      <c r="CR116" s="23"/>
      <c r="CS116" s="23"/>
      <c r="CT116" s="23"/>
      <c r="CU116" s="23"/>
      <c r="CV116" s="23"/>
      <c r="CW116" s="23"/>
      <c r="CX116" s="23"/>
      <c r="CY116" s="23"/>
      <c r="CZ116" s="23">
        <v>2</v>
      </c>
      <c r="DA116" s="23"/>
      <c r="DB116" s="23"/>
      <c r="DC116" s="23"/>
      <c r="DD116" s="23"/>
      <c r="DE116" s="23"/>
      <c r="DF116" s="23"/>
      <c r="DG116" s="23"/>
      <c r="DH116" s="23"/>
      <c r="DI116" s="23"/>
      <c r="DJ116" s="23"/>
      <c r="DK116" s="23"/>
      <c r="DL116" s="23"/>
      <c r="DM116" s="23"/>
      <c r="DN116" s="23"/>
      <c r="DO116" s="23"/>
      <c r="DP116" s="23"/>
      <c r="DQ116" s="23"/>
      <c r="DR116" s="23"/>
      <c r="DS116" s="23"/>
      <c r="DT116" s="23"/>
      <c r="DU116" s="23"/>
      <c r="DV116" s="23"/>
      <c r="DW116" s="23"/>
      <c r="DX116" s="110">
        <f>SUM(CL116:DW116)</f>
        <v>2</v>
      </c>
    </row>
    <row r="117" spans="2:128" ht="16.5">
      <c r="B117" s="46">
        <v>106</v>
      </c>
      <c r="C117" s="20" t="s">
        <v>262</v>
      </c>
      <c r="D117" s="20" t="s">
        <v>263</v>
      </c>
      <c r="E117" s="20"/>
      <c r="F117" s="20" t="s">
        <v>264</v>
      </c>
      <c r="G117" s="23">
        <v>220</v>
      </c>
      <c r="H117" s="23">
        <v>8</v>
      </c>
      <c r="I117" s="109">
        <f t="shared" si="2"/>
        <v>1760</v>
      </c>
      <c r="J117" s="109">
        <f t="shared" si="3"/>
        <v>1760</v>
      </c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  <c r="CE117" s="23"/>
      <c r="CF117" s="23"/>
      <c r="CG117" s="23"/>
      <c r="CH117" s="23"/>
      <c r="CI117" s="23"/>
      <c r="CJ117" s="23"/>
      <c r="CK117" s="23"/>
      <c r="CL117" s="23"/>
      <c r="CM117" s="23"/>
      <c r="CN117" s="23"/>
      <c r="CO117" s="23"/>
      <c r="CP117" s="23"/>
      <c r="CQ117" s="23"/>
      <c r="CR117" s="23"/>
      <c r="CS117" s="23"/>
      <c r="CT117" s="23"/>
      <c r="CU117" s="23"/>
      <c r="CV117" s="23"/>
      <c r="CW117" s="23"/>
      <c r="CX117" s="23"/>
      <c r="CY117" s="23"/>
      <c r="CZ117" s="23">
        <v>5</v>
      </c>
      <c r="DA117" s="23"/>
      <c r="DB117" s="23"/>
      <c r="DC117" s="23"/>
      <c r="DD117" s="23"/>
      <c r="DE117" s="23"/>
      <c r="DF117" s="23"/>
      <c r="DG117" s="23"/>
      <c r="DH117" s="23"/>
      <c r="DI117" s="23"/>
      <c r="DJ117" s="23"/>
      <c r="DK117" s="23"/>
      <c r="DL117" s="23"/>
      <c r="DM117" s="23"/>
      <c r="DN117" s="23"/>
      <c r="DO117" s="23">
        <v>3</v>
      </c>
      <c r="DP117" s="23"/>
      <c r="DQ117" s="23"/>
      <c r="DR117" s="23"/>
      <c r="DS117" s="23"/>
      <c r="DT117" s="23"/>
      <c r="DU117" s="23"/>
      <c r="DV117" s="23"/>
      <c r="DW117" s="23"/>
      <c r="DX117" s="110">
        <f>SUM(CL117:DW117)</f>
        <v>8</v>
      </c>
    </row>
    <row r="118" spans="2:128" ht="16.5">
      <c r="B118" s="46">
        <v>107</v>
      </c>
      <c r="C118" s="20" t="s">
        <v>265</v>
      </c>
      <c r="D118" s="20" t="s">
        <v>266</v>
      </c>
      <c r="E118" s="20"/>
      <c r="F118" s="20" t="s">
        <v>93</v>
      </c>
      <c r="G118" s="23">
        <v>3.5</v>
      </c>
      <c r="H118" s="23">
        <v>20</v>
      </c>
      <c r="I118" s="109">
        <f t="shared" si="2"/>
        <v>70</v>
      </c>
      <c r="J118" s="109">
        <f t="shared" si="3"/>
        <v>70</v>
      </c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>
        <v>20</v>
      </c>
      <c r="DA118" s="23"/>
      <c r="DB118" s="23"/>
      <c r="DC118" s="23"/>
      <c r="DD118" s="23"/>
      <c r="DE118" s="23"/>
      <c r="DF118" s="23"/>
      <c r="DG118" s="23"/>
      <c r="DH118" s="23"/>
      <c r="DI118" s="23"/>
      <c r="DJ118" s="23"/>
      <c r="DK118" s="23"/>
      <c r="DL118" s="23"/>
      <c r="DM118" s="23"/>
      <c r="DN118" s="23"/>
      <c r="DO118" s="23"/>
      <c r="DP118" s="23"/>
      <c r="DQ118" s="23"/>
      <c r="DR118" s="23"/>
      <c r="DS118" s="23"/>
      <c r="DT118" s="23"/>
      <c r="DU118" s="23"/>
      <c r="DV118" s="23"/>
      <c r="DW118" s="23"/>
      <c r="DX118" s="110">
        <f>SUM(CL118:DW118)</f>
        <v>20</v>
      </c>
    </row>
    <row r="119" spans="2:128" ht="16.5">
      <c r="B119" s="46">
        <v>108</v>
      </c>
      <c r="C119" s="20" t="s">
        <v>267</v>
      </c>
      <c r="D119" s="20" t="s">
        <v>268</v>
      </c>
      <c r="E119" s="20"/>
      <c r="F119" s="20" t="s">
        <v>93</v>
      </c>
      <c r="G119" s="23">
        <v>13</v>
      </c>
      <c r="H119" s="23">
        <v>104</v>
      </c>
      <c r="I119" s="109">
        <f t="shared" si="2"/>
        <v>1352</v>
      </c>
      <c r="J119" s="109">
        <f t="shared" si="3"/>
        <v>1352</v>
      </c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  <c r="CE119" s="23"/>
      <c r="CF119" s="23"/>
      <c r="CG119" s="23"/>
      <c r="CH119" s="23"/>
      <c r="CI119" s="23"/>
      <c r="CJ119" s="23"/>
      <c r="CK119" s="23"/>
      <c r="CL119" s="23"/>
      <c r="CM119" s="23"/>
      <c r="CN119" s="23"/>
      <c r="CO119" s="23"/>
      <c r="CP119" s="23"/>
      <c r="CQ119" s="23"/>
      <c r="CR119" s="23"/>
      <c r="CS119" s="23"/>
      <c r="CT119" s="23"/>
      <c r="CU119" s="23"/>
      <c r="CV119" s="23"/>
      <c r="CW119" s="23"/>
      <c r="CX119" s="23"/>
      <c r="CY119" s="23"/>
      <c r="CZ119" s="23">
        <v>60</v>
      </c>
      <c r="DA119" s="23"/>
      <c r="DB119" s="23"/>
      <c r="DC119" s="23"/>
      <c r="DD119" s="23"/>
      <c r="DE119" s="23"/>
      <c r="DF119" s="23"/>
      <c r="DG119" s="23"/>
      <c r="DH119" s="23"/>
      <c r="DI119" s="23"/>
      <c r="DJ119" s="23"/>
      <c r="DK119" s="23"/>
      <c r="DL119" s="23"/>
      <c r="DM119" s="23"/>
      <c r="DN119" s="23"/>
      <c r="DO119" s="23">
        <v>44</v>
      </c>
      <c r="DP119" s="23"/>
      <c r="DQ119" s="23"/>
      <c r="DR119" s="23"/>
      <c r="DS119" s="23"/>
      <c r="DT119" s="23"/>
      <c r="DU119" s="23"/>
      <c r="DV119" s="23"/>
      <c r="DW119" s="23"/>
      <c r="DX119" s="110">
        <f>SUM(CL119:DW119)</f>
        <v>104</v>
      </c>
    </row>
    <row r="120" spans="2:128" ht="16.5">
      <c r="B120" s="46">
        <v>109</v>
      </c>
      <c r="C120" s="20" t="s">
        <v>106</v>
      </c>
      <c r="D120" s="20" t="s">
        <v>269</v>
      </c>
      <c r="E120" s="20" t="s">
        <v>143</v>
      </c>
      <c r="F120" s="20" t="s">
        <v>230</v>
      </c>
      <c r="G120" s="23">
        <v>400</v>
      </c>
      <c r="H120" s="23">
        <v>2</v>
      </c>
      <c r="I120" s="109">
        <f t="shared" si="2"/>
        <v>800</v>
      </c>
      <c r="J120" s="109">
        <f t="shared" si="3"/>
        <v>800</v>
      </c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3"/>
      <c r="CN120" s="23"/>
      <c r="CO120" s="23"/>
      <c r="CP120" s="23"/>
      <c r="CQ120" s="23"/>
      <c r="CR120" s="23"/>
      <c r="CS120" s="23"/>
      <c r="CT120" s="23"/>
      <c r="CU120" s="23"/>
      <c r="CV120" s="23"/>
      <c r="CW120" s="23"/>
      <c r="CX120" s="23"/>
      <c r="CY120" s="23"/>
      <c r="CZ120" s="23">
        <v>2</v>
      </c>
      <c r="DA120" s="23"/>
      <c r="DB120" s="23"/>
      <c r="DC120" s="23"/>
      <c r="DD120" s="23"/>
      <c r="DE120" s="23"/>
      <c r="DF120" s="23"/>
      <c r="DG120" s="23"/>
      <c r="DH120" s="23"/>
      <c r="DI120" s="23"/>
      <c r="DJ120" s="23"/>
      <c r="DK120" s="23"/>
      <c r="DL120" s="23"/>
      <c r="DM120" s="23"/>
      <c r="DN120" s="23"/>
      <c r="DO120" s="23"/>
      <c r="DP120" s="23"/>
      <c r="DQ120" s="23"/>
      <c r="DR120" s="23"/>
      <c r="DS120" s="23"/>
      <c r="DT120" s="23"/>
      <c r="DU120" s="23"/>
      <c r="DV120" s="23"/>
      <c r="DW120" s="23"/>
      <c r="DX120" s="110">
        <f>SUM(CL120:DW120)</f>
        <v>2</v>
      </c>
    </row>
    <row r="121" spans="2:128" ht="16.5">
      <c r="B121" s="46">
        <v>110</v>
      </c>
      <c r="C121" s="20" t="s">
        <v>270</v>
      </c>
      <c r="D121" s="20" t="s">
        <v>150</v>
      </c>
      <c r="E121" s="20" t="s">
        <v>143</v>
      </c>
      <c r="F121" s="20" t="s">
        <v>230</v>
      </c>
      <c r="G121" s="23">
        <v>34</v>
      </c>
      <c r="H121" s="23">
        <v>1</v>
      </c>
      <c r="I121" s="109">
        <f t="shared" si="2"/>
        <v>34</v>
      </c>
      <c r="J121" s="109">
        <f t="shared" si="3"/>
        <v>34</v>
      </c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  <c r="CE121" s="23"/>
      <c r="CF121" s="23"/>
      <c r="CG121" s="23"/>
      <c r="CH121" s="23"/>
      <c r="CI121" s="23"/>
      <c r="CJ121" s="23"/>
      <c r="CK121" s="23"/>
      <c r="CL121" s="23"/>
      <c r="CM121" s="23"/>
      <c r="CN121" s="23"/>
      <c r="CO121" s="23"/>
      <c r="CP121" s="23"/>
      <c r="CQ121" s="23"/>
      <c r="CR121" s="23"/>
      <c r="CS121" s="23"/>
      <c r="CT121" s="23"/>
      <c r="CU121" s="23"/>
      <c r="CV121" s="23"/>
      <c r="CW121" s="23"/>
      <c r="CX121" s="23"/>
      <c r="CY121" s="23"/>
      <c r="CZ121" s="23">
        <v>1</v>
      </c>
      <c r="DA121" s="23"/>
      <c r="DB121" s="23"/>
      <c r="DC121" s="23"/>
      <c r="DD121" s="23"/>
      <c r="DE121" s="23"/>
      <c r="DF121" s="23"/>
      <c r="DG121" s="23"/>
      <c r="DH121" s="23"/>
      <c r="DI121" s="23"/>
      <c r="DJ121" s="23"/>
      <c r="DK121" s="23"/>
      <c r="DL121" s="23"/>
      <c r="DM121" s="23"/>
      <c r="DN121" s="23"/>
      <c r="DO121" s="23"/>
      <c r="DP121" s="23"/>
      <c r="DQ121" s="23"/>
      <c r="DR121" s="23"/>
      <c r="DS121" s="23"/>
      <c r="DT121" s="23"/>
      <c r="DU121" s="23"/>
      <c r="DV121" s="23"/>
      <c r="DW121" s="23"/>
      <c r="DX121" s="110">
        <f>SUM(CL121:DW121)</f>
        <v>1</v>
      </c>
    </row>
    <row r="122" spans="2:128" ht="16.5">
      <c r="B122" s="46">
        <v>111</v>
      </c>
      <c r="C122" s="20" t="s">
        <v>271</v>
      </c>
      <c r="D122" s="20" t="s">
        <v>145</v>
      </c>
      <c r="E122" s="20"/>
      <c r="F122" s="20" t="s">
        <v>93</v>
      </c>
      <c r="G122" s="23">
        <v>2.48</v>
      </c>
      <c r="H122" s="23">
        <v>30</v>
      </c>
      <c r="I122" s="109">
        <f t="shared" si="2"/>
        <v>74.400000000000006</v>
      </c>
      <c r="J122" s="109">
        <f t="shared" si="3"/>
        <v>74.400000000000006</v>
      </c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  <c r="CE122" s="23"/>
      <c r="CF122" s="23"/>
      <c r="CG122" s="23"/>
      <c r="CH122" s="23"/>
      <c r="CI122" s="23"/>
      <c r="CJ122" s="23"/>
      <c r="CK122" s="23"/>
      <c r="CL122" s="23"/>
      <c r="CM122" s="23"/>
      <c r="CN122" s="23"/>
      <c r="CO122" s="23"/>
      <c r="CP122" s="23"/>
      <c r="CQ122" s="23"/>
      <c r="CR122" s="23"/>
      <c r="CS122" s="23"/>
      <c r="CT122" s="23"/>
      <c r="CU122" s="23"/>
      <c r="CV122" s="23"/>
      <c r="CW122" s="23"/>
      <c r="CX122" s="23"/>
      <c r="CY122" s="23"/>
      <c r="CZ122" s="23">
        <v>30</v>
      </c>
      <c r="DA122" s="23"/>
      <c r="DB122" s="23"/>
      <c r="DC122" s="23"/>
      <c r="DD122" s="23"/>
      <c r="DE122" s="23"/>
      <c r="DF122" s="23"/>
      <c r="DG122" s="23"/>
      <c r="DH122" s="23"/>
      <c r="DI122" s="23"/>
      <c r="DJ122" s="23"/>
      <c r="DK122" s="23"/>
      <c r="DL122" s="23"/>
      <c r="DM122" s="23"/>
      <c r="DN122" s="23"/>
      <c r="DO122" s="23"/>
      <c r="DP122" s="23"/>
      <c r="DQ122" s="23"/>
      <c r="DR122" s="23"/>
      <c r="DS122" s="23"/>
      <c r="DT122" s="23"/>
      <c r="DU122" s="23"/>
      <c r="DV122" s="23"/>
      <c r="DW122" s="23"/>
      <c r="DX122" s="110">
        <f>SUM(CL122:DW122)</f>
        <v>30</v>
      </c>
    </row>
    <row r="123" spans="2:128" ht="16.5">
      <c r="B123" s="46">
        <v>112</v>
      </c>
      <c r="C123" s="20" t="s">
        <v>144</v>
      </c>
      <c r="D123" s="20" t="s">
        <v>251</v>
      </c>
      <c r="E123" s="20"/>
      <c r="F123" s="20" t="s">
        <v>146</v>
      </c>
      <c r="G123" s="23">
        <v>6</v>
      </c>
      <c r="H123" s="23">
        <v>105</v>
      </c>
      <c r="I123" s="109">
        <f t="shared" si="2"/>
        <v>630</v>
      </c>
      <c r="J123" s="109">
        <f t="shared" si="3"/>
        <v>630</v>
      </c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23"/>
      <c r="CI123" s="23"/>
      <c r="CJ123" s="23"/>
      <c r="CK123" s="23"/>
      <c r="CL123" s="23"/>
      <c r="CM123" s="23"/>
      <c r="CN123" s="23"/>
      <c r="CO123" s="23"/>
      <c r="CP123" s="23"/>
      <c r="CQ123" s="23"/>
      <c r="CR123" s="23"/>
      <c r="CS123" s="23"/>
      <c r="CT123" s="23"/>
      <c r="CU123" s="23"/>
      <c r="CV123" s="23"/>
      <c r="CW123" s="23"/>
      <c r="CX123" s="23"/>
      <c r="CY123" s="23"/>
      <c r="CZ123" s="23">
        <v>105</v>
      </c>
      <c r="DA123" s="23"/>
      <c r="DB123" s="23"/>
      <c r="DC123" s="23"/>
      <c r="DD123" s="23"/>
      <c r="DE123" s="23"/>
      <c r="DF123" s="23"/>
      <c r="DG123" s="23"/>
      <c r="DH123" s="23"/>
      <c r="DI123" s="23"/>
      <c r="DJ123" s="23"/>
      <c r="DK123" s="23"/>
      <c r="DL123" s="23"/>
      <c r="DM123" s="23"/>
      <c r="DN123" s="23"/>
      <c r="DO123" s="23"/>
      <c r="DP123" s="23"/>
      <c r="DQ123" s="23"/>
      <c r="DR123" s="23"/>
      <c r="DS123" s="23"/>
      <c r="DT123" s="23"/>
      <c r="DU123" s="23"/>
      <c r="DV123" s="23"/>
      <c r="DW123" s="23"/>
      <c r="DX123" s="110">
        <f>SUM(CL123:DW123)</f>
        <v>105</v>
      </c>
    </row>
    <row r="124" spans="2:128" ht="16.5">
      <c r="B124" s="46">
        <v>113</v>
      </c>
      <c r="C124" s="20" t="s">
        <v>272</v>
      </c>
      <c r="D124" s="20" t="s">
        <v>251</v>
      </c>
      <c r="E124" s="20"/>
      <c r="F124" s="20" t="s">
        <v>146</v>
      </c>
      <c r="G124" s="23">
        <v>1.8</v>
      </c>
      <c r="H124" s="23">
        <v>24</v>
      </c>
      <c r="I124" s="109">
        <f t="shared" si="2"/>
        <v>43.2</v>
      </c>
      <c r="J124" s="109">
        <f t="shared" si="3"/>
        <v>43.2</v>
      </c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23"/>
      <c r="BL124" s="23"/>
      <c r="BM124" s="23"/>
      <c r="BO124" s="23"/>
      <c r="BP124" s="23"/>
      <c r="BQ124" s="23"/>
      <c r="BR124" s="23"/>
      <c r="BS124" s="23"/>
      <c r="BT124" s="23"/>
      <c r="BU124" s="23"/>
      <c r="BV124" s="23"/>
      <c r="BW124" s="23"/>
      <c r="BX124" s="23"/>
      <c r="BY124" s="23"/>
      <c r="BZ124" s="23"/>
      <c r="CA124" s="23"/>
      <c r="CB124" s="23"/>
      <c r="CC124" s="23"/>
      <c r="CD124" s="23"/>
      <c r="CE124" s="23"/>
      <c r="CF124" s="23"/>
      <c r="CG124" s="23"/>
      <c r="CH124" s="23"/>
      <c r="CI124" s="23"/>
      <c r="CJ124" s="23"/>
      <c r="CK124" s="23"/>
      <c r="CL124" s="23"/>
      <c r="CM124" s="23"/>
      <c r="CN124" s="23"/>
      <c r="CO124" s="23"/>
      <c r="CP124" s="23"/>
      <c r="CQ124" s="23"/>
      <c r="CR124" s="23"/>
      <c r="CS124" s="23"/>
      <c r="CT124" s="23"/>
      <c r="CU124" s="23"/>
      <c r="CV124" s="23"/>
      <c r="CW124" s="23"/>
      <c r="CX124" s="23"/>
      <c r="CY124" s="23"/>
      <c r="CZ124" s="23">
        <v>24</v>
      </c>
      <c r="DA124" s="23"/>
      <c r="DB124" s="23"/>
      <c r="DC124" s="23"/>
      <c r="DD124" s="23"/>
      <c r="DE124" s="23"/>
      <c r="DF124" s="23"/>
      <c r="DG124" s="23"/>
      <c r="DH124" s="23"/>
      <c r="DI124" s="23"/>
      <c r="DJ124" s="23"/>
      <c r="DK124" s="23"/>
      <c r="DL124" s="23"/>
      <c r="DM124" s="23"/>
      <c r="DN124" s="23"/>
      <c r="DO124" s="23"/>
      <c r="DP124" s="23"/>
      <c r="DQ124" s="23"/>
      <c r="DR124" s="23"/>
      <c r="DS124" s="23"/>
      <c r="DT124" s="23"/>
      <c r="DU124" s="23"/>
      <c r="DV124" s="23"/>
      <c r="DW124" s="23"/>
      <c r="DX124" s="110">
        <f>SUM(CL124:DW124)</f>
        <v>24</v>
      </c>
    </row>
    <row r="125" spans="2:128" ht="16.5">
      <c r="B125" s="46">
        <v>114</v>
      </c>
      <c r="C125" s="20" t="s">
        <v>273</v>
      </c>
      <c r="D125" s="20" t="s">
        <v>274</v>
      </c>
      <c r="E125" s="20"/>
      <c r="F125" s="20" t="s">
        <v>104</v>
      </c>
      <c r="G125" s="23">
        <v>29</v>
      </c>
      <c r="H125" s="23">
        <v>21</v>
      </c>
      <c r="I125" s="109">
        <f t="shared" si="2"/>
        <v>609</v>
      </c>
      <c r="J125" s="109">
        <f t="shared" si="3"/>
        <v>609</v>
      </c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O125" s="23"/>
      <c r="BP125" s="23"/>
      <c r="BQ125" s="23"/>
      <c r="BR125" s="23"/>
      <c r="BS125" s="23"/>
      <c r="BT125" s="23"/>
      <c r="BU125" s="23"/>
      <c r="BV125" s="23"/>
      <c r="BW125" s="23"/>
      <c r="BX125" s="23"/>
      <c r="BY125" s="23"/>
      <c r="BZ125" s="23"/>
      <c r="CA125" s="23"/>
      <c r="CB125" s="23"/>
      <c r="CC125" s="23"/>
      <c r="CD125" s="23"/>
      <c r="CE125" s="23"/>
      <c r="CF125" s="23"/>
      <c r="CG125" s="23"/>
      <c r="CH125" s="23"/>
      <c r="CI125" s="23"/>
      <c r="CJ125" s="23"/>
      <c r="CK125" s="23"/>
      <c r="CL125" s="23"/>
      <c r="CM125" s="23"/>
      <c r="CN125" s="23"/>
      <c r="CO125" s="23"/>
      <c r="CP125" s="23"/>
      <c r="CQ125" s="23"/>
      <c r="CR125" s="23"/>
      <c r="CS125" s="23"/>
      <c r="CT125" s="23"/>
      <c r="CU125" s="23"/>
      <c r="CV125" s="23"/>
      <c r="CW125" s="23"/>
      <c r="CX125" s="23"/>
      <c r="CY125" s="23"/>
      <c r="CZ125" s="23">
        <v>2</v>
      </c>
      <c r="DA125" s="23"/>
      <c r="DB125" s="23"/>
      <c r="DC125" s="23"/>
      <c r="DD125" s="23"/>
      <c r="DE125" s="23"/>
      <c r="DF125" s="23"/>
      <c r="DG125" s="23"/>
      <c r="DH125" s="23"/>
      <c r="DI125" s="23"/>
      <c r="DJ125" s="23"/>
      <c r="DK125" s="23"/>
      <c r="DL125" s="23"/>
      <c r="DM125" s="23"/>
      <c r="DN125" s="23"/>
      <c r="DO125" s="23">
        <v>1</v>
      </c>
      <c r="DP125" s="23">
        <v>4</v>
      </c>
      <c r="DQ125" s="23">
        <v>14</v>
      </c>
      <c r="DR125" s="23"/>
      <c r="DS125" s="23"/>
      <c r="DT125" s="23"/>
      <c r="DU125" s="23"/>
      <c r="DV125" s="23"/>
      <c r="DW125" s="23"/>
      <c r="DX125" s="110">
        <f>SUM(CL125:DW125)</f>
        <v>21</v>
      </c>
    </row>
    <row r="126" spans="2:128" ht="16.5">
      <c r="B126" s="46">
        <v>115</v>
      </c>
      <c r="C126" s="20" t="s">
        <v>275</v>
      </c>
      <c r="D126" s="20" t="s">
        <v>189</v>
      </c>
      <c r="E126" s="20"/>
      <c r="F126" s="20" t="s">
        <v>104</v>
      </c>
      <c r="G126" s="23">
        <v>25</v>
      </c>
      <c r="H126" s="23">
        <v>2</v>
      </c>
      <c r="I126" s="109">
        <f t="shared" si="2"/>
        <v>50</v>
      </c>
      <c r="J126" s="109">
        <f t="shared" si="3"/>
        <v>50</v>
      </c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O126" s="23"/>
      <c r="BP126" s="23"/>
      <c r="BQ126" s="23"/>
      <c r="BR126" s="23"/>
      <c r="BS126" s="23"/>
      <c r="BT126" s="23"/>
      <c r="BU126" s="23"/>
      <c r="BV126" s="23"/>
      <c r="BW126" s="23"/>
      <c r="BX126" s="23"/>
      <c r="BY126" s="23"/>
      <c r="BZ126" s="23"/>
      <c r="CA126" s="23"/>
      <c r="CB126" s="23"/>
      <c r="CC126" s="23"/>
      <c r="CD126" s="23"/>
      <c r="CE126" s="23"/>
      <c r="CF126" s="23"/>
      <c r="CG126" s="23"/>
      <c r="CH126" s="23"/>
      <c r="CI126" s="23"/>
      <c r="CJ126" s="23"/>
      <c r="CK126" s="23"/>
      <c r="CL126" s="23"/>
      <c r="CM126" s="23"/>
      <c r="CN126" s="23"/>
      <c r="CO126" s="23"/>
      <c r="CP126" s="23"/>
      <c r="CQ126" s="23"/>
      <c r="CR126" s="23"/>
      <c r="CS126" s="23"/>
      <c r="CT126" s="23"/>
      <c r="CU126" s="23"/>
      <c r="CV126" s="23"/>
      <c r="CW126" s="23"/>
      <c r="CX126" s="23"/>
      <c r="CY126" s="23"/>
      <c r="CZ126" s="23">
        <v>1</v>
      </c>
      <c r="DA126" s="23"/>
      <c r="DB126" s="23"/>
      <c r="DC126" s="23"/>
      <c r="DD126" s="23"/>
      <c r="DE126" s="23"/>
      <c r="DF126" s="23"/>
      <c r="DG126" s="23"/>
      <c r="DH126" s="23"/>
      <c r="DI126" s="23">
        <v>1</v>
      </c>
      <c r="DJ126" s="23"/>
      <c r="DK126" s="23"/>
      <c r="DL126" s="23"/>
      <c r="DM126" s="23"/>
      <c r="DN126" s="23"/>
      <c r="DO126" s="23"/>
      <c r="DP126" s="23"/>
      <c r="DQ126" s="23"/>
      <c r="DR126" s="23"/>
      <c r="DS126" s="23"/>
      <c r="DT126" s="23"/>
      <c r="DU126" s="23"/>
      <c r="DV126" s="23"/>
      <c r="DW126" s="23"/>
      <c r="DX126" s="110">
        <f>SUM(CL126:DW126)</f>
        <v>2</v>
      </c>
    </row>
    <row r="127" spans="2:128" ht="16.5">
      <c r="B127" s="46">
        <v>116</v>
      </c>
      <c r="C127" s="20" t="s">
        <v>276</v>
      </c>
      <c r="D127" s="20" t="s">
        <v>114</v>
      </c>
      <c r="E127" s="20"/>
      <c r="F127" s="20" t="s">
        <v>93</v>
      </c>
      <c r="G127" s="23">
        <v>5</v>
      </c>
      <c r="H127" s="23">
        <v>22</v>
      </c>
      <c r="I127" s="109">
        <f t="shared" si="2"/>
        <v>110</v>
      </c>
      <c r="J127" s="109">
        <f t="shared" si="3"/>
        <v>110</v>
      </c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O127" s="23"/>
      <c r="BP127" s="23"/>
      <c r="BQ127" s="23"/>
      <c r="BR127" s="23"/>
      <c r="BS127" s="23"/>
      <c r="BT127" s="23"/>
      <c r="BU127" s="23"/>
      <c r="BV127" s="23"/>
      <c r="BW127" s="23"/>
      <c r="BX127" s="23"/>
      <c r="BY127" s="23"/>
      <c r="BZ127" s="23"/>
      <c r="CA127" s="23"/>
      <c r="CB127" s="23"/>
      <c r="CC127" s="23"/>
      <c r="CD127" s="23"/>
      <c r="CE127" s="23"/>
      <c r="CF127" s="23"/>
      <c r="CG127" s="23"/>
      <c r="CH127" s="23"/>
      <c r="CI127" s="23"/>
      <c r="CJ127" s="23"/>
      <c r="CK127" s="23"/>
      <c r="CL127" s="23"/>
      <c r="CM127" s="23"/>
      <c r="CN127" s="23"/>
      <c r="CO127" s="23"/>
      <c r="CP127" s="23"/>
      <c r="CQ127" s="23"/>
      <c r="CR127" s="23"/>
      <c r="CS127" s="23"/>
      <c r="CT127" s="23"/>
      <c r="CU127" s="23"/>
      <c r="CV127" s="23"/>
      <c r="CW127" s="23"/>
      <c r="CX127" s="23"/>
      <c r="CY127" s="23"/>
      <c r="CZ127" s="23">
        <v>22</v>
      </c>
      <c r="DA127" s="23"/>
      <c r="DB127" s="23"/>
      <c r="DC127" s="23"/>
      <c r="DD127" s="23"/>
      <c r="DE127" s="23"/>
      <c r="DF127" s="23"/>
      <c r="DG127" s="23"/>
      <c r="DH127" s="23"/>
      <c r="DI127" s="23"/>
      <c r="DJ127" s="23"/>
      <c r="DK127" s="23"/>
      <c r="DL127" s="23"/>
      <c r="DM127" s="23"/>
      <c r="DN127" s="23"/>
      <c r="DO127" s="23"/>
      <c r="DP127" s="23"/>
      <c r="DQ127" s="23"/>
      <c r="DR127" s="23"/>
      <c r="DS127" s="23"/>
      <c r="DT127" s="23"/>
      <c r="DU127" s="23"/>
      <c r="DV127" s="23"/>
      <c r="DW127" s="23"/>
      <c r="DX127" s="110">
        <f>SUM(CL127:DW127)</f>
        <v>22</v>
      </c>
    </row>
    <row r="128" spans="2:128" ht="16.5">
      <c r="B128" s="46">
        <v>117</v>
      </c>
      <c r="C128" s="20" t="s">
        <v>277</v>
      </c>
      <c r="D128" s="20" t="s">
        <v>252</v>
      </c>
      <c r="E128" s="20"/>
      <c r="F128" s="20" t="s">
        <v>93</v>
      </c>
      <c r="G128" s="23">
        <v>0.98</v>
      </c>
      <c r="H128" s="23">
        <v>6</v>
      </c>
      <c r="I128" s="109">
        <f t="shared" si="2"/>
        <v>5.88</v>
      </c>
      <c r="J128" s="109">
        <f t="shared" si="3"/>
        <v>5.88</v>
      </c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O128" s="23"/>
      <c r="BP128" s="23"/>
      <c r="BQ128" s="23"/>
      <c r="BR128" s="23"/>
      <c r="BS128" s="23"/>
      <c r="BT128" s="23"/>
      <c r="BU128" s="23"/>
      <c r="BV128" s="23"/>
      <c r="BW128" s="23"/>
      <c r="BX128" s="23"/>
      <c r="BY128" s="23"/>
      <c r="BZ128" s="23"/>
      <c r="CA128" s="23"/>
      <c r="CB128" s="23"/>
      <c r="CC128" s="23"/>
      <c r="CD128" s="23"/>
      <c r="CE128" s="23"/>
      <c r="CF128" s="23"/>
      <c r="CG128" s="23"/>
      <c r="CH128" s="23"/>
      <c r="CI128" s="23"/>
      <c r="CJ128" s="23"/>
      <c r="CK128" s="23"/>
      <c r="CL128" s="23"/>
      <c r="CM128" s="23"/>
      <c r="CN128" s="23"/>
      <c r="CO128" s="23"/>
      <c r="CP128" s="23"/>
      <c r="CQ128" s="23"/>
      <c r="CR128" s="23"/>
      <c r="CS128" s="23"/>
      <c r="CT128" s="23"/>
      <c r="CU128" s="23"/>
      <c r="CV128" s="23"/>
      <c r="CW128" s="23"/>
      <c r="CX128" s="23"/>
      <c r="CY128" s="23"/>
      <c r="CZ128" s="23">
        <v>6</v>
      </c>
      <c r="DA128" s="23"/>
      <c r="DB128" s="23"/>
      <c r="DC128" s="23"/>
      <c r="DD128" s="23"/>
      <c r="DE128" s="23"/>
      <c r="DF128" s="23"/>
      <c r="DG128" s="23"/>
      <c r="DH128" s="23"/>
      <c r="DI128" s="23"/>
      <c r="DJ128" s="23"/>
      <c r="DK128" s="23"/>
      <c r="DL128" s="23"/>
      <c r="DM128" s="23"/>
      <c r="DN128" s="23"/>
      <c r="DO128" s="23"/>
      <c r="DP128" s="23"/>
      <c r="DQ128" s="23"/>
      <c r="DR128" s="23"/>
      <c r="DS128" s="23"/>
      <c r="DT128" s="23"/>
      <c r="DU128" s="23"/>
      <c r="DV128" s="23"/>
      <c r="DW128" s="23"/>
      <c r="DX128" s="110">
        <f>SUM(CL128:DW128)</f>
        <v>6</v>
      </c>
    </row>
    <row r="129" spans="2:128" ht="16.5">
      <c r="B129" s="46">
        <v>118</v>
      </c>
      <c r="C129" s="20" t="s">
        <v>278</v>
      </c>
      <c r="D129" s="20" t="s">
        <v>274</v>
      </c>
      <c r="E129" s="20"/>
      <c r="F129" s="20" t="s">
        <v>104</v>
      </c>
      <c r="G129" s="23">
        <v>24</v>
      </c>
      <c r="H129" s="23">
        <v>41</v>
      </c>
      <c r="I129" s="109">
        <f t="shared" si="2"/>
        <v>984</v>
      </c>
      <c r="J129" s="109">
        <f t="shared" si="3"/>
        <v>984</v>
      </c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  <c r="BI129" s="23"/>
      <c r="BJ129" s="23"/>
      <c r="BK129" s="23"/>
      <c r="BL129" s="23"/>
      <c r="BM129" s="23"/>
      <c r="BO129" s="23"/>
      <c r="BP129" s="23"/>
      <c r="BQ129" s="23"/>
      <c r="BR129" s="23"/>
      <c r="BS129" s="23"/>
      <c r="BT129" s="23"/>
      <c r="BU129" s="23"/>
      <c r="BV129" s="23"/>
      <c r="BW129" s="23"/>
      <c r="BX129" s="23"/>
      <c r="BY129" s="23"/>
      <c r="BZ129" s="23"/>
      <c r="CA129" s="23"/>
      <c r="CB129" s="23"/>
      <c r="CC129" s="23"/>
      <c r="CD129" s="23"/>
      <c r="CE129" s="23"/>
      <c r="CF129" s="23"/>
      <c r="CG129" s="23"/>
      <c r="CH129" s="23"/>
      <c r="CI129" s="23"/>
      <c r="CJ129" s="23"/>
      <c r="CK129" s="23"/>
      <c r="CL129" s="23"/>
      <c r="CM129" s="23"/>
      <c r="CN129" s="23"/>
      <c r="CO129" s="23"/>
      <c r="CP129" s="23"/>
      <c r="CQ129" s="23"/>
      <c r="CR129" s="23"/>
      <c r="CS129" s="23"/>
      <c r="CT129" s="23"/>
      <c r="CU129" s="23"/>
      <c r="CV129" s="23"/>
      <c r="CW129" s="23"/>
      <c r="CX129" s="23"/>
      <c r="CY129" s="23"/>
      <c r="CZ129" s="23">
        <v>39</v>
      </c>
      <c r="DA129" s="23"/>
      <c r="DB129" s="23"/>
      <c r="DC129" s="23"/>
      <c r="DD129" s="23"/>
      <c r="DE129" s="23"/>
      <c r="DF129" s="23"/>
      <c r="DG129" s="23"/>
      <c r="DH129" s="23"/>
      <c r="DI129" s="23"/>
      <c r="DJ129" s="23"/>
      <c r="DK129" s="23"/>
      <c r="DL129" s="23"/>
      <c r="DM129" s="23"/>
      <c r="DN129" s="23"/>
      <c r="DO129" s="23"/>
      <c r="DP129" s="23"/>
      <c r="DQ129" s="23"/>
      <c r="DR129" s="23">
        <v>2</v>
      </c>
      <c r="DS129" s="23"/>
      <c r="DT129" s="23"/>
      <c r="DU129" s="23"/>
      <c r="DV129" s="23"/>
      <c r="DW129" s="23"/>
      <c r="DX129" s="110">
        <f>SUM(CL129:DW129)</f>
        <v>41</v>
      </c>
    </row>
    <row r="130" spans="2:128" ht="16.5">
      <c r="B130" s="46">
        <v>119</v>
      </c>
      <c r="C130" s="20" t="s">
        <v>279</v>
      </c>
      <c r="D130" s="20" t="s">
        <v>109</v>
      </c>
      <c r="E130" s="20"/>
      <c r="F130" s="20" t="s">
        <v>93</v>
      </c>
      <c r="G130" s="23">
        <v>25</v>
      </c>
      <c r="H130" s="23">
        <v>2</v>
      </c>
      <c r="I130" s="109">
        <f t="shared" si="2"/>
        <v>50</v>
      </c>
      <c r="J130" s="109">
        <f t="shared" si="3"/>
        <v>50</v>
      </c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23"/>
      <c r="BB130" s="23"/>
      <c r="BC130" s="23"/>
      <c r="BD130" s="23"/>
      <c r="BE130" s="23"/>
      <c r="BF130" s="23"/>
      <c r="BG130" s="23"/>
      <c r="BH130" s="23"/>
      <c r="BI130" s="23"/>
      <c r="BJ130" s="23"/>
      <c r="BK130" s="23"/>
      <c r="BL130" s="23"/>
      <c r="BM130" s="23"/>
      <c r="BO130" s="23"/>
      <c r="BP130" s="23"/>
      <c r="BQ130" s="23"/>
      <c r="BR130" s="23"/>
      <c r="BS130" s="23"/>
      <c r="BT130" s="23"/>
      <c r="BU130" s="23"/>
      <c r="BV130" s="23"/>
      <c r="BW130" s="23"/>
      <c r="BX130" s="23"/>
      <c r="BY130" s="23"/>
      <c r="BZ130" s="23"/>
      <c r="CA130" s="23"/>
      <c r="CB130" s="23"/>
      <c r="CC130" s="23"/>
      <c r="CD130" s="23"/>
      <c r="CE130" s="23"/>
      <c r="CF130" s="23"/>
      <c r="CG130" s="23"/>
      <c r="CH130" s="23"/>
      <c r="CI130" s="23"/>
      <c r="CJ130" s="23"/>
      <c r="CK130" s="23"/>
      <c r="CL130" s="23"/>
      <c r="CM130" s="23"/>
      <c r="CN130" s="23"/>
      <c r="CO130" s="23"/>
      <c r="CP130" s="23"/>
      <c r="CQ130" s="23"/>
      <c r="CR130" s="23"/>
      <c r="CS130" s="23"/>
      <c r="CT130" s="23"/>
      <c r="CU130" s="23"/>
      <c r="CV130" s="23"/>
      <c r="CW130" s="23"/>
      <c r="CX130" s="23"/>
      <c r="CY130" s="23"/>
      <c r="CZ130" s="23">
        <v>2</v>
      </c>
      <c r="DA130" s="23"/>
      <c r="DB130" s="23"/>
      <c r="DC130" s="23"/>
      <c r="DD130" s="23"/>
      <c r="DE130" s="23"/>
      <c r="DF130" s="23"/>
      <c r="DG130" s="23"/>
      <c r="DH130" s="23"/>
      <c r="DI130" s="23"/>
      <c r="DJ130" s="23"/>
      <c r="DK130" s="23"/>
      <c r="DL130" s="23"/>
      <c r="DM130" s="23"/>
      <c r="DN130" s="23"/>
      <c r="DO130" s="23"/>
      <c r="DP130" s="23"/>
      <c r="DQ130" s="23"/>
      <c r="DR130" s="23"/>
      <c r="DS130" s="23"/>
      <c r="DT130" s="23"/>
      <c r="DU130" s="23"/>
      <c r="DV130" s="23"/>
      <c r="DW130" s="23"/>
      <c r="DX130" s="110">
        <f>SUM(CL130:DW130)</f>
        <v>2</v>
      </c>
    </row>
    <row r="131" spans="2:128" ht="16.5">
      <c r="B131" s="46">
        <v>120</v>
      </c>
      <c r="C131" s="20" t="s">
        <v>280</v>
      </c>
      <c r="D131" s="20" t="s">
        <v>281</v>
      </c>
      <c r="E131" s="20"/>
      <c r="F131" s="20" t="s">
        <v>104</v>
      </c>
      <c r="G131" s="23">
        <v>60</v>
      </c>
      <c r="H131" s="23">
        <v>6</v>
      </c>
      <c r="I131" s="109">
        <f t="shared" si="2"/>
        <v>360</v>
      </c>
      <c r="J131" s="109">
        <f t="shared" si="3"/>
        <v>360</v>
      </c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23"/>
      <c r="BB131" s="23"/>
      <c r="BC131" s="23"/>
      <c r="BD131" s="23"/>
      <c r="BE131" s="23"/>
      <c r="BF131" s="23"/>
      <c r="BG131" s="23"/>
      <c r="BH131" s="23"/>
      <c r="BI131" s="23"/>
      <c r="BJ131" s="23"/>
      <c r="BK131" s="23"/>
      <c r="BL131" s="23"/>
      <c r="BM131" s="23"/>
      <c r="BO131" s="23"/>
      <c r="BP131" s="23"/>
      <c r="BQ131" s="23"/>
      <c r="BR131" s="23"/>
      <c r="BS131" s="23"/>
      <c r="BT131" s="23"/>
      <c r="BU131" s="23"/>
      <c r="BV131" s="23"/>
      <c r="BW131" s="23"/>
      <c r="BX131" s="23"/>
      <c r="BY131" s="23"/>
      <c r="BZ131" s="23"/>
      <c r="CA131" s="23"/>
      <c r="CB131" s="23"/>
      <c r="CC131" s="23"/>
      <c r="CD131" s="23"/>
      <c r="CE131" s="23"/>
      <c r="CF131" s="23"/>
      <c r="CG131" s="23"/>
      <c r="CH131" s="23"/>
      <c r="CI131" s="23"/>
      <c r="CJ131" s="23"/>
      <c r="CK131" s="23"/>
      <c r="CL131" s="23"/>
      <c r="CM131" s="23"/>
      <c r="CN131" s="23"/>
      <c r="CO131" s="23"/>
      <c r="CP131" s="23"/>
      <c r="CQ131" s="23"/>
      <c r="CR131" s="23"/>
      <c r="CS131" s="23"/>
      <c r="CT131" s="23"/>
      <c r="CU131" s="23"/>
      <c r="CV131" s="23"/>
      <c r="CW131" s="23"/>
      <c r="CX131" s="23"/>
      <c r="CY131" s="23"/>
      <c r="CZ131" s="23"/>
      <c r="DA131" s="23"/>
      <c r="DB131" s="23"/>
      <c r="DC131" s="23"/>
      <c r="DD131" s="23"/>
      <c r="DE131" s="23"/>
      <c r="DF131" s="23"/>
      <c r="DG131" s="23"/>
      <c r="DH131" s="23"/>
      <c r="DI131" s="23"/>
      <c r="DJ131" s="23"/>
      <c r="DK131" s="23"/>
      <c r="DL131" s="23"/>
      <c r="DM131" s="23"/>
      <c r="DN131" s="23"/>
      <c r="DO131" s="23">
        <v>6</v>
      </c>
      <c r="DP131" s="23"/>
      <c r="DQ131" s="23"/>
      <c r="DR131" s="23"/>
      <c r="DS131" s="23"/>
      <c r="DT131" s="23"/>
      <c r="DU131" s="23"/>
      <c r="DV131" s="23"/>
      <c r="DW131" s="23"/>
      <c r="DX131" s="110">
        <f>SUM(CL131:DW131)</f>
        <v>6</v>
      </c>
    </row>
    <row r="132" spans="2:128" ht="16.5">
      <c r="B132" s="46">
        <v>121</v>
      </c>
      <c r="C132" s="20" t="s">
        <v>282</v>
      </c>
      <c r="D132" s="20" t="s">
        <v>175</v>
      </c>
      <c r="E132" s="20"/>
      <c r="F132" s="20" t="s">
        <v>116</v>
      </c>
      <c r="G132" s="23">
        <v>750</v>
      </c>
      <c r="H132" s="23">
        <v>25</v>
      </c>
      <c r="I132" s="109">
        <f t="shared" si="2"/>
        <v>18750</v>
      </c>
      <c r="J132" s="109">
        <f t="shared" si="3"/>
        <v>18750</v>
      </c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3"/>
      <c r="BH132" s="23"/>
      <c r="BI132" s="23"/>
      <c r="BJ132" s="23"/>
      <c r="BK132" s="23"/>
      <c r="BL132" s="23"/>
      <c r="BM132" s="23"/>
      <c r="BO132" s="23"/>
      <c r="BP132" s="23"/>
      <c r="BQ132" s="23"/>
      <c r="BR132" s="23"/>
      <c r="BS132" s="23"/>
      <c r="BT132" s="23"/>
      <c r="BU132" s="23"/>
      <c r="BV132" s="23"/>
      <c r="BW132" s="23"/>
      <c r="BX132" s="23"/>
      <c r="BY132" s="23"/>
      <c r="BZ132" s="23"/>
      <c r="CA132" s="23"/>
      <c r="CB132" s="23"/>
      <c r="CC132" s="23"/>
      <c r="CD132" s="23"/>
      <c r="CE132" s="23"/>
      <c r="CF132" s="23"/>
      <c r="CG132" s="23"/>
      <c r="CH132" s="23"/>
      <c r="CI132" s="23"/>
      <c r="CJ132" s="23"/>
      <c r="CK132" s="23"/>
      <c r="CL132" s="23"/>
      <c r="CM132" s="23"/>
      <c r="CN132" s="23"/>
      <c r="CO132" s="23"/>
      <c r="CP132" s="23"/>
      <c r="CQ132" s="23"/>
      <c r="CR132" s="23"/>
      <c r="CS132" s="23"/>
      <c r="CT132" s="23"/>
      <c r="CU132" s="23"/>
      <c r="CV132" s="23"/>
      <c r="CW132" s="23"/>
      <c r="CX132" s="23"/>
      <c r="CY132" s="23"/>
      <c r="CZ132" s="23"/>
      <c r="DA132" s="23"/>
      <c r="DB132" s="23"/>
      <c r="DC132" s="23"/>
      <c r="DD132" s="23"/>
      <c r="DE132" s="23"/>
      <c r="DF132" s="23"/>
      <c r="DG132" s="23"/>
      <c r="DH132" s="23"/>
      <c r="DI132" s="23">
        <v>5</v>
      </c>
      <c r="DJ132" s="23"/>
      <c r="DK132" s="23"/>
      <c r="DL132" s="23"/>
      <c r="DM132" s="23"/>
      <c r="DN132" s="23"/>
      <c r="DO132" s="23">
        <v>11</v>
      </c>
      <c r="DP132" s="23">
        <v>9</v>
      </c>
      <c r="DQ132" s="23"/>
      <c r="DR132" s="23"/>
      <c r="DS132" s="23"/>
      <c r="DT132" s="23"/>
      <c r="DU132" s="23"/>
      <c r="DV132" s="23"/>
      <c r="DW132" s="23"/>
      <c r="DX132" s="110">
        <f>SUM(CL132:DW132)</f>
        <v>25</v>
      </c>
    </row>
    <row r="133" spans="2:128" ht="16.5">
      <c r="B133" s="46">
        <v>122</v>
      </c>
      <c r="C133" s="20" t="s">
        <v>283</v>
      </c>
      <c r="D133" s="20" t="s">
        <v>152</v>
      </c>
      <c r="E133" s="20"/>
      <c r="F133" s="20" t="s">
        <v>93</v>
      </c>
      <c r="G133" s="23">
        <v>2</v>
      </c>
      <c r="H133" s="23">
        <v>20</v>
      </c>
      <c r="I133" s="109">
        <f t="shared" si="2"/>
        <v>40</v>
      </c>
      <c r="J133" s="109">
        <f t="shared" si="3"/>
        <v>40</v>
      </c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23"/>
      <c r="BB133" s="23"/>
      <c r="BC133" s="23"/>
      <c r="BD133" s="23"/>
      <c r="BE133" s="23"/>
      <c r="BF133" s="23"/>
      <c r="BG133" s="23"/>
      <c r="BH133" s="23"/>
      <c r="BI133" s="23"/>
      <c r="BJ133" s="23"/>
      <c r="BK133" s="23"/>
      <c r="BL133" s="23"/>
      <c r="BM133" s="23"/>
      <c r="BO133" s="23"/>
      <c r="BP133" s="23"/>
      <c r="BQ133" s="23"/>
      <c r="BR133" s="23"/>
      <c r="BS133" s="23"/>
      <c r="BT133" s="23"/>
      <c r="BU133" s="23"/>
      <c r="BV133" s="23"/>
      <c r="BW133" s="23"/>
      <c r="BX133" s="23"/>
      <c r="BY133" s="23"/>
      <c r="BZ133" s="23"/>
      <c r="CA133" s="23"/>
      <c r="CB133" s="23"/>
      <c r="CC133" s="23"/>
      <c r="CD133" s="23"/>
      <c r="CE133" s="23"/>
      <c r="CF133" s="23"/>
      <c r="CG133" s="23"/>
      <c r="CH133" s="23"/>
      <c r="CI133" s="23"/>
      <c r="CJ133" s="23"/>
      <c r="CK133" s="23"/>
      <c r="CL133" s="23"/>
      <c r="CM133" s="23"/>
      <c r="CN133" s="23"/>
      <c r="CO133" s="23"/>
      <c r="CP133" s="23"/>
      <c r="CQ133" s="23"/>
      <c r="CR133" s="23"/>
      <c r="CS133" s="23"/>
      <c r="CT133" s="23"/>
      <c r="CU133" s="23"/>
      <c r="CV133" s="23"/>
      <c r="CW133" s="23"/>
      <c r="CX133" s="23"/>
      <c r="CY133" s="23"/>
      <c r="CZ133" s="23"/>
      <c r="DA133" s="23"/>
      <c r="DB133" s="23"/>
      <c r="DC133" s="23"/>
      <c r="DD133" s="23"/>
      <c r="DE133" s="23"/>
      <c r="DF133" s="23"/>
      <c r="DG133" s="23"/>
      <c r="DH133" s="23"/>
      <c r="DI133" s="23"/>
      <c r="DJ133" s="23"/>
      <c r="DK133" s="23"/>
      <c r="DL133" s="23"/>
      <c r="DM133" s="23"/>
      <c r="DN133" s="23"/>
      <c r="DO133" s="23">
        <v>20</v>
      </c>
      <c r="DP133" s="23"/>
      <c r="DQ133" s="23"/>
      <c r="DR133" s="23"/>
      <c r="DS133" s="23"/>
      <c r="DT133" s="23"/>
      <c r="DU133" s="23"/>
      <c r="DV133" s="23"/>
      <c r="DW133" s="23"/>
      <c r="DX133" s="110">
        <f>SUM(CL133:DW133)</f>
        <v>20</v>
      </c>
    </row>
    <row r="134" spans="2:128" ht="16.5">
      <c r="B134" s="46">
        <v>123</v>
      </c>
      <c r="C134" s="20" t="s">
        <v>284</v>
      </c>
      <c r="D134" s="20" t="s">
        <v>215</v>
      </c>
      <c r="E134" s="20"/>
      <c r="F134" s="20" t="s">
        <v>104</v>
      </c>
      <c r="G134" s="23">
        <v>65</v>
      </c>
      <c r="H134" s="23">
        <v>12</v>
      </c>
      <c r="I134" s="109">
        <f t="shared" si="2"/>
        <v>780</v>
      </c>
      <c r="J134" s="109">
        <f t="shared" si="3"/>
        <v>780</v>
      </c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  <c r="BC134" s="23"/>
      <c r="BD134" s="23"/>
      <c r="BE134" s="23"/>
      <c r="BF134" s="23"/>
      <c r="BG134" s="23"/>
      <c r="BH134" s="23"/>
      <c r="BI134" s="23"/>
      <c r="BJ134" s="23"/>
      <c r="BK134" s="23"/>
      <c r="BL134" s="23"/>
      <c r="BM134" s="23"/>
      <c r="BO134" s="23"/>
      <c r="BP134" s="23"/>
      <c r="BQ134" s="23"/>
      <c r="BR134" s="23"/>
      <c r="BS134" s="23"/>
      <c r="BT134" s="23"/>
      <c r="BU134" s="23"/>
      <c r="BV134" s="23"/>
      <c r="BW134" s="23"/>
      <c r="BX134" s="23"/>
      <c r="BY134" s="23"/>
      <c r="BZ134" s="23"/>
      <c r="CA134" s="23"/>
      <c r="CB134" s="23"/>
      <c r="CC134" s="23"/>
      <c r="CD134" s="23"/>
      <c r="CE134" s="23"/>
      <c r="CF134" s="23"/>
      <c r="CG134" s="23"/>
      <c r="CH134" s="23"/>
      <c r="CI134" s="23"/>
      <c r="CJ134" s="23"/>
      <c r="CK134" s="23"/>
      <c r="CL134" s="23"/>
      <c r="CM134" s="23"/>
      <c r="CN134" s="23"/>
      <c r="CO134" s="23"/>
      <c r="CP134" s="23"/>
      <c r="CQ134" s="23"/>
      <c r="CR134" s="23"/>
      <c r="CS134" s="23"/>
      <c r="CT134" s="23"/>
      <c r="CU134" s="23"/>
      <c r="CV134" s="23"/>
      <c r="CW134" s="23"/>
      <c r="CX134" s="23"/>
      <c r="CY134" s="23"/>
      <c r="CZ134" s="23"/>
      <c r="DA134" s="23"/>
      <c r="DB134" s="23"/>
      <c r="DC134" s="23"/>
      <c r="DD134" s="23"/>
      <c r="DE134" s="23"/>
      <c r="DF134" s="23"/>
      <c r="DG134" s="23"/>
      <c r="DH134" s="23"/>
      <c r="DI134" s="23">
        <v>7</v>
      </c>
      <c r="DJ134" s="23"/>
      <c r="DK134" s="23"/>
      <c r="DL134" s="23"/>
      <c r="DM134" s="23"/>
      <c r="DN134" s="23"/>
      <c r="DO134" s="23">
        <v>5</v>
      </c>
      <c r="DP134" s="23"/>
      <c r="DQ134" s="23"/>
      <c r="DR134" s="23"/>
      <c r="DS134" s="23"/>
      <c r="DT134" s="23"/>
      <c r="DU134" s="23"/>
      <c r="DV134" s="23"/>
      <c r="DW134" s="23"/>
      <c r="DX134" s="110">
        <f>SUM(CL134:DW134)</f>
        <v>12</v>
      </c>
    </row>
    <row r="135" spans="2:128" ht="33">
      <c r="B135" s="46">
        <v>124</v>
      </c>
      <c r="C135" s="20" t="s">
        <v>190</v>
      </c>
      <c r="D135" s="20"/>
      <c r="E135" s="20"/>
      <c r="F135" s="20" t="s">
        <v>135</v>
      </c>
      <c r="G135" s="23"/>
      <c r="H135" s="23"/>
      <c r="I135" s="109">
        <f t="shared" si="2"/>
        <v>0</v>
      </c>
      <c r="J135" s="109">
        <f t="shared" si="3"/>
        <v>0</v>
      </c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  <c r="BC135" s="23"/>
      <c r="BD135" s="23"/>
      <c r="BE135" s="23"/>
      <c r="BF135" s="23"/>
      <c r="BG135" s="23"/>
      <c r="BH135" s="23"/>
      <c r="BI135" s="23"/>
      <c r="BJ135" s="23"/>
      <c r="BK135" s="23"/>
      <c r="BL135" s="23"/>
      <c r="BM135" s="23"/>
      <c r="BO135" s="23"/>
      <c r="BP135" s="23"/>
      <c r="BQ135" s="23"/>
      <c r="BR135" s="23"/>
      <c r="BS135" s="23"/>
      <c r="BT135" s="23"/>
      <c r="BU135" s="23"/>
      <c r="BV135" s="23"/>
      <c r="BW135" s="23"/>
      <c r="BX135" s="23"/>
      <c r="BY135" s="23"/>
      <c r="BZ135" s="23"/>
      <c r="CA135" s="23"/>
      <c r="CB135" s="23"/>
      <c r="CC135" s="23"/>
      <c r="CD135" s="23"/>
      <c r="CE135" s="23"/>
      <c r="CF135" s="23"/>
      <c r="CG135" s="23"/>
      <c r="CH135" s="23"/>
      <c r="CI135" s="23"/>
      <c r="CJ135" s="23"/>
      <c r="CK135" s="23"/>
      <c r="CL135" s="23"/>
      <c r="CM135" s="23"/>
      <c r="CN135" s="23"/>
      <c r="CO135" s="23"/>
      <c r="CP135" s="23"/>
      <c r="CQ135" s="23"/>
      <c r="CR135" s="23"/>
      <c r="CS135" s="23"/>
      <c r="CT135" s="23"/>
      <c r="CU135" s="23"/>
      <c r="CV135" s="23"/>
      <c r="CW135" s="23"/>
      <c r="CX135" s="23"/>
      <c r="CY135" s="23"/>
      <c r="CZ135" s="23"/>
      <c r="DA135" s="23"/>
      <c r="DB135" s="23"/>
      <c r="DC135" s="23"/>
      <c r="DD135" s="23"/>
      <c r="DE135" s="23"/>
      <c r="DF135" s="23"/>
      <c r="DG135" s="23"/>
      <c r="DH135" s="23"/>
      <c r="DI135" s="23"/>
      <c r="DJ135" s="23"/>
      <c r="DK135" s="23"/>
      <c r="DL135" s="23"/>
      <c r="DM135" s="23"/>
      <c r="DN135" s="23"/>
      <c r="DO135" s="23"/>
      <c r="DP135" s="23"/>
      <c r="DQ135" s="23"/>
      <c r="DR135" s="23"/>
      <c r="DS135" s="23"/>
      <c r="DT135" s="23"/>
      <c r="DU135" s="23"/>
      <c r="DV135" s="23"/>
      <c r="DW135" s="23"/>
      <c r="DX135" s="110">
        <f>SUM(CL135:DW135)</f>
        <v>0</v>
      </c>
    </row>
    <row r="136" spans="2:128" ht="16.5">
      <c r="B136" s="46">
        <v>125</v>
      </c>
      <c r="C136" s="20" t="s">
        <v>173</v>
      </c>
      <c r="D136" s="20" t="s">
        <v>123</v>
      </c>
      <c r="E136" s="20"/>
      <c r="F136" s="20" t="s">
        <v>104</v>
      </c>
      <c r="G136" s="23">
        <v>56</v>
      </c>
      <c r="H136" s="23">
        <v>4</v>
      </c>
      <c r="I136" s="109">
        <f t="shared" si="2"/>
        <v>224</v>
      </c>
      <c r="J136" s="109">
        <f t="shared" si="3"/>
        <v>224</v>
      </c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  <c r="BC136" s="23"/>
      <c r="BD136" s="23"/>
      <c r="BE136" s="23"/>
      <c r="BF136" s="23"/>
      <c r="BG136" s="23"/>
      <c r="BH136" s="23"/>
      <c r="BI136" s="23"/>
      <c r="BJ136" s="23"/>
      <c r="BK136" s="23"/>
      <c r="BL136" s="23"/>
      <c r="BM136" s="23"/>
      <c r="BO136" s="23"/>
      <c r="BP136" s="23"/>
      <c r="BQ136" s="23"/>
      <c r="BR136" s="23"/>
      <c r="BS136" s="23"/>
      <c r="BT136" s="23"/>
      <c r="BU136" s="23"/>
      <c r="BV136" s="23"/>
      <c r="BW136" s="23"/>
      <c r="BX136" s="23"/>
      <c r="BY136" s="23"/>
      <c r="BZ136" s="23"/>
      <c r="CA136" s="23"/>
      <c r="CB136" s="23"/>
      <c r="CC136" s="23"/>
      <c r="CD136" s="23"/>
      <c r="CE136" s="23"/>
      <c r="CF136" s="23"/>
      <c r="CG136" s="23"/>
      <c r="CH136" s="23"/>
      <c r="CI136" s="23"/>
      <c r="CJ136" s="23"/>
      <c r="CK136" s="23"/>
      <c r="CL136" s="23"/>
      <c r="CM136" s="23"/>
      <c r="CN136" s="23"/>
      <c r="CO136" s="23"/>
      <c r="CP136" s="23"/>
      <c r="CQ136" s="23">
        <v>1</v>
      </c>
      <c r="CR136" s="23"/>
      <c r="CS136" s="23"/>
      <c r="CT136" s="23"/>
      <c r="CU136" s="23"/>
      <c r="CV136" s="23"/>
      <c r="CW136" s="23"/>
      <c r="CX136" s="23"/>
      <c r="CY136" s="23"/>
      <c r="CZ136" s="23"/>
      <c r="DA136" s="23"/>
      <c r="DB136" s="23"/>
      <c r="DC136" s="23"/>
      <c r="DD136" s="23"/>
      <c r="DE136" s="23"/>
      <c r="DF136" s="23"/>
      <c r="DG136" s="23"/>
      <c r="DH136" s="23"/>
      <c r="DI136" s="23"/>
      <c r="DJ136" s="23"/>
      <c r="DK136" s="23"/>
      <c r="DL136" s="23"/>
      <c r="DM136" s="23"/>
      <c r="DN136" s="23"/>
      <c r="DO136" s="23">
        <v>3</v>
      </c>
      <c r="DP136" s="23"/>
      <c r="DQ136" s="23"/>
      <c r="DR136" s="23"/>
      <c r="DS136" s="23"/>
      <c r="DT136" s="23"/>
      <c r="DU136" s="23"/>
      <c r="DV136" s="23"/>
      <c r="DW136" s="23"/>
      <c r="DX136" s="110">
        <f>SUM(CL136:DW136)</f>
        <v>4</v>
      </c>
    </row>
    <row r="137" spans="2:128" ht="16.5">
      <c r="B137" s="46">
        <v>126</v>
      </c>
      <c r="C137" s="20" t="s">
        <v>285</v>
      </c>
      <c r="D137" s="67">
        <v>5.0000000000000001E-3</v>
      </c>
      <c r="E137" s="20"/>
      <c r="F137" s="20" t="s">
        <v>104</v>
      </c>
      <c r="G137" s="23">
        <v>578</v>
      </c>
      <c r="H137" s="23">
        <v>21</v>
      </c>
      <c r="I137" s="109">
        <f t="shared" si="2"/>
        <v>12138</v>
      </c>
      <c r="J137" s="109">
        <f t="shared" si="3"/>
        <v>12138</v>
      </c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  <c r="BI137" s="23"/>
      <c r="BJ137" s="23"/>
      <c r="BK137" s="23"/>
      <c r="BL137" s="23"/>
      <c r="BM137" s="23"/>
      <c r="BO137" s="23"/>
      <c r="BP137" s="23"/>
      <c r="BQ137" s="23"/>
      <c r="BR137" s="23"/>
      <c r="BS137" s="23"/>
      <c r="BT137" s="23"/>
      <c r="BU137" s="23"/>
      <c r="BV137" s="23"/>
      <c r="BW137" s="23"/>
      <c r="BX137" s="23"/>
      <c r="BY137" s="23"/>
      <c r="BZ137" s="23"/>
      <c r="CA137" s="23"/>
      <c r="CB137" s="23"/>
      <c r="CC137" s="23"/>
      <c r="CD137" s="23"/>
      <c r="CE137" s="23"/>
      <c r="CF137" s="23"/>
      <c r="CG137" s="23"/>
      <c r="CH137" s="23"/>
      <c r="CI137" s="23"/>
      <c r="CJ137" s="23"/>
      <c r="CK137" s="23"/>
      <c r="CL137" s="23"/>
      <c r="CM137" s="23"/>
      <c r="CN137" s="23"/>
      <c r="CO137" s="23"/>
      <c r="CP137" s="23"/>
      <c r="CQ137" s="23"/>
      <c r="CR137" s="23"/>
      <c r="CS137" s="23"/>
      <c r="CT137" s="23"/>
      <c r="CU137" s="23"/>
      <c r="CV137" s="23"/>
      <c r="CW137" s="23"/>
      <c r="CX137" s="23"/>
      <c r="CY137" s="23"/>
      <c r="CZ137" s="23"/>
      <c r="DA137" s="23"/>
      <c r="DB137" s="23"/>
      <c r="DC137" s="23"/>
      <c r="DD137" s="23"/>
      <c r="DE137" s="23"/>
      <c r="DF137" s="23"/>
      <c r="DG137" s="23"/>
      <c r="DH137" s="23"/>
      <c r="DI137" s="23"/>
      <c r="DJ137" s="23"/>
      <c r="DK137" s="23"/>
      <c r="DL137" s="23"/>
      <c r="DM137" s="23"/>
      <c r="DN137" s="23"/>
      <c r="DO137" s="23"/>
      <c r="DP137" s="23"/>
      <c r="DQ137" s="23">
        <v>20</v>
      </c>
      <c r="DR137" s="23">
        <v>1</v>
      </c>
      <c r="DS137" s="23"/>
      <c r="DT137" s="23"/>
      <c r="DU137" s="23"/>
      <c r="DV137" s="23"/>
      <c r="DW137" s="23"/>
      <c r="DX137" s="110">
        <f>SUM(CL137:DW137)</f>
        <v>21</v>
      </c>
    </row>
    <row r="138" spans="2:128" ht="16.5">
      <c r="B138" s="46">
        <v>127</v>
      </c>
      <c r="C138" s="20" t="s">
        <v>286</v>
      </c>
      <c r="D138" s="20" t="s">
        <v>287</v>
      </c>
      <c r="E138" s="20"/>
      <c r="F138" s="20" t="s">
        <v>104</v>
      </c>
      <c r="G138" s="23">
        <v>188</v>
      </c>
      <c r="H138" s="23">
        <v>2</v>
      </c>
      <c r="I138" s="109">
        <f t="shared" si="2"/>
        <v>376</v>
      </c>
      <c r="J138" s="109">
        <f t="shared" si="3"/>
        <v>376</v>
      </c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  <c r="BC138" s="23"/>
      <c r="BD138" s="23"/>
      <c r="BE138" s="23"/>
      <c r="BF138" s="23"/>
      <c r="BG138" s="23"/>
      <c r="BH138" s="23"/>
      <c r="BI138" s="23"/>
      <c r="BJ138" s="23"/>
      <c r="BK138" s="23"/>
      <c r="BL138" s="23"/>
      <c r="BM138" s="23"/>
      <c r="BO138" s="23"/>
      <c r="BP138" s="23"/>
      <c r="BQ138" s="23"/>
      <c r="BR138" s="23"/>
      <c r="BS138" s="23"/>
      <c r="BT138" s="23"/>
      <c r="BU138" s="23"/>
      <c r="BV138" s="23"/>
      <c r="BW138" s="23"/>
      <c r="BX138" s="23"/>
      <c r="BY138" s="23"/>
      <c r="BZ138" s="23"/>
      <c r="CA138" s="23"/>
      <c r="CB138" s="23"/>
      <c r="CC138" s="23"/>
      <c r="CD138" s="23"/>
      <c r="CE138" s="23"/>
      <c r="CF138" s="23"/>
      <c r="CG138" s="23"/>
      <c r="CH138" s="23"/>
      <c r="CI138" s="23"/>
      <c r="CJ138" s="23"/>
      <c r="CK138" s="23"/>
      <c r="CL138" s="23"/>
      <c r="CM138" s="23"/>
      <c r="CN138" s="23"/>
      <c r="CO138" s="23"/>
      <c r="CP138" s="23"/>
      <c r="CQ138" s="23"/>
      <c r="CR138" s="23"/>
      <c r="CS138" s="23"/>
      <c r="CT138" s="23"/>
      <c r="CU138" s="23"/>
      <c r="CV138" s="23"/>
      <c r="CW138" s="23"/>
      <c r="CX138" s="23"/>
      <c r="CY138" s="23"/>
      <c r="CZ138" s="23"/>
      <c r="DA138" s="23"/>
      <c r="DB138" s="23"/>
      <c r="DC138" s="23"/>
      <c r="DD138" s="23"/>
      <c r="DE138" s="23"/>
      <c r="DF138" s="23"/>
      <c r="DG138" s="23"/>
      <c r="DH138" s="23"/>
      <c r="DI138" s="23"/>
      <c r="DJ138" s="23"/>
      <c r="DK138" s="23"/>
      <c r="DL138" s="23"/>
      <c r="DM138" s="23"/>
      <c r="DN138" s="23"/>
      <c r="DO138" s="23"/>
      <c r="DP138" s="23"/>
      <c r="DQ138" s="23">
        <v>2</v>
      </c>
      <c r="DR138" s="23"/>
      <c r="DS138" s="23"/>
      <c r="DT138" s="23"/>
      <c r="DU138" s="23"/>
      <c r="DV138" s="23"/>
      <c r="DW138" s="23"/>
      <c r="DX138" s="110">
        <f>SUM(CL138:DW138)</f>
        <v>2</v>
      </c>
    </row>
    <row r="139" spans="2:128" ht="16.5">
      <c r="B139" s="46">
        <v>128</v>
      </c>
      <c r="C139" s="20" t="s">
        <v>288</v>
      </c>
      <c r="D139" s="20" t="s">
        <v>274</v>
      </c>
      <c r="E139" s="20"/>
      <c r="F139" s="20" t="s">
        <v>104</v>
      </c>
      <c r="G139" s="23">
        <v>22</v>
      </c>
      <c r="H139" s="23">
        <v>19</v>
      </c>
      <c r="I139" s="109">
        <f t="shared" si="2"/>
        <v>418</v>
      </c>
      <c r="J139" s="109">
        <f t="shared" si="3"/>
        <v>418</v>
      </c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  <c r="BC139" s="23"/>
      <c r="BD139" s="23"/>
      <c r="BE139" s="23"/>
      <c r="BF139" s="23"/>
      <c r="BG139" s="23"/>
      <c r="BH139" s="23"/>
      <c r="BI139" s="23"/>
      <c r="BJ139" s="23"/>
      <c r="BK139" s="23"/>
      <c r="BL139" s="23"/>
      <c r="BM139" s="23"/>
      <c r="BO139" s="23"/>
      <c r="BP139" s="23"/>
      <c r="BQ139" s="23"/>
      <c r="BR139" s="23"/>
      <c r="BS139" s="23"/>
      <c r="BT139" s="23"/>
      <c r="BU139" s="23"/>
      <c r="BV139" s="23"/>
      <c r="BW139" s="23"/>
      <c r="BX139" s="23"/>
      <c r="BY139" s="23"/>
      <c r="BZ139" s="23"/>
      <c r="CA139" s="23"/>
      <c r="CB139" s="23"/>
      <c r="CC139" s="23"/>
      <c r="CD139" s="23"/>
      <c r="CE139" s="23"/>
      <c r="CF139" s="23"/>
      <c r="CG139" s="23"/>
      <c r="CH139" s="23"/>
      <c r="CI139" s="23"/>
      <c r="CJ139" s="23"/>
      <c r="CK139" s="23"/>
      <c r="CL139" s="23"/>
      <c r="CM139" s="23"/>
      <c r="CN139" s="23"/>
      <c r="CO139" s="23"/>
      <c r="CP139" s="23"/>
      <c r="CQ139" s="23"/>
      <c r="CR139" s="23"/>
      <c r="CS139" s="23"/>
      <c r="CT139" s="23"/>
      <c r="CU139" s="23"/>
      <c r="CV139" s="23"/>
      <c r="CW139" s="23"/>
      <c r="CX139" s="23"/>
      <c r="CY139" s="23"/>
      <c r="CZ139" s="23"/>
      <c r="DA139" s="23"/>
      <c r="DB139" s="23"/>
      <c r="DC139" s="23"/>
      <c r="DD139" s="23"/>
      <c r="DE139" s="23"/>
      <c r="DF139" s="23"/>
      <c r="DG139" s="23"/>
      <c r="DH139" s="23"/>
      <c r="DI139" s="23"/>
      <c r="DJ139" s="23"/>
      <c r="DK139" s="23"/>
      <c r="DL139" s="23"/>
      <c r="DM139" s="23"/>
      <c r="DN139" s="23"/>
      <c r="DO139" s="23"/>
      <c r="DP139" s="23"/>
      <c r="DQ139" s="23">
        <v>13</v>
      </c>
      <c r="DR139" s="23">
        <v>6</v>
      </c>
      <c r="DS139" s="23"/>
      <c r="DT139" s="23"/>
      <c r="DU139" s="23"/>
      <c r="DV139" s="23"/>
      <c r="DW139" s="23"/>
      <c r="DX139" s="110">
        <f>SUM(CL139:DW139)</f>
        <v>19</v>
      </c>
    </row>
    <row r="140" spans="2:128" ht="16.5">
      <c r="B140" s="46">
        <v>129</v>
      </c>
      <c r="C140" s="20" t="s">
        <v>289</v>
      </c>
      <c r="D140" s="20" t="s">
        <v>290</v>
      </c>
      <c r="E140" s="20"/>
      <c r="F140" s="20" t="s">
        <v>104</v>
      </c>
      <c r="G140" s="23">
        <v>45</v>
      </c>
      <c r="H140" s="23">
        <v>14</v>
      </c>
      <c r="I140" s="109">
        <f t="shared" si="2"/>
        <v>630</v>
      </c>
      <c r="J140" s="109">
        <f t="shared" si="3"/>
        <v>630</v>
      </c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  <c r="BC140" s="23"/>
      <c r="BD140" s="23"/>
      <c r="BE140" s="23"/>
      <c r="BF140" s="23"/>
      <c r="BG140" s="23"/>
      <c r="BH140" s="23"/>
      <c r="BI140" s="23"/>
      <c r="BJ140" s="23"/>
      <c r="BK140" s="23"/>
      <c r="BL140" s="23"/>
      <c r="BM140" s="23"/>
      <c r="BO140" s="23"/>
      <c r="BP140" s="23"/>
      <c r="BQ140" s="23"/>
      <c r="BR140" s="23"/>
      <c r="BS140" s="23"/>
      <c r="BT140" s="23"/>
      <c r="BU140" s="23"/>
      <c r="BV140" s="23"/>
      <c r="BW140" s="23"/>
      <c r="BX140" s="23"/>
      <c r="BY140" s="23"/>
      <c r="BZ140" s="23"/>
      <c r="CA140" s="23"/>
      <c r="CB140" s="23"/>
      <c r="CC140" s="23"/>
      <c r="CD140" s="23"/>
      <c r="CE140" s="23"/>
      <c r="CF140" s="23"/>
      <c r="CG140" s="23"/>
      <c r="CH140" s="23"/>
      <c r="CI140" s="23"/>
      <c r="CJ140" s="23"/>
      <c r="CK140" s="23"/>
      <c r="CL140" s="23"/>
      <c r="CM140" s="23"/>
      <c r="CN140" s="23"/>
      <c r="CO140" s="23"/>
      <c r="CP140" s="23"/>
      <c r="CQ140" s="23"/>
      <c r="CR140" s="23"/>
      <c r="CS140" s="23"/>
      <c r="CT140" s="23"/>
      <c r="CU140" s="23"/>
      <c r="CV140" s="23"/>
      <c r="CW140" s="23"/>
      <c r="CX140" s="23"/>
      <c r="CY140" s="23"/>
      <c r="CZ140" s="23"/>
      <c r="DA140" s="23"/>
      <c r="DB140" s="23"/>
      <c r="DC140" s="23"/>
      <c r="DD140" s="23"/>
      <c r="DE140" s="23"/>
      <c r="DF140" s="23"/>
      <c r="DG140" s="23"/>
      <c r="DH140" s="23"/>
      <c r="DI140" s="23"/>
      <c r="DJ140" s="23"/>
      <c r="DK140" s="23"/>
      <c r="DL140" s="23"/>
      <c r="DM140" s="23"/>
      <c r="DN140" s="23"/>
      <c r="DO140" s="23"/>
      <c r="DP140" s="23"/>
      <c r="DQ140" s="23">
        <v>12</v>
      </c>
      <c r="DR140" s="23">
        <v>2</v>
      </c>
      <c r="DS140" s="23"/>
      <c r="DT140" s="23"/>
      <c r="DU140" s="23"/>
      <c r="DV140" s="23"/>
      <c r="DW140" s="23"/>
      <c r="DX140" s="110">
        <f>SUM(CL140:DW140)</f>
        <v>14</v>
      </c>
    </row>
    <row r="141" spans="2:128" ht="16.5">
      <c r="B141" s="46">
        <v>130</v>
      </c>
      <c r="C141" s="20" t="s">
        <v>291</v>
      </c>
      <c r="D141" s="20" t="s">
        <v>123</v>
      </c>
      <c r="E141" s="20"/>
      <c r="F141" s="20" t="s">
        <v>104</v>
      </c>
      <c r="G141" s="23">
        <v>65</v>
      </c>
      <c r="H141" s="23">
        <v>6</v>
      </c>
      <c r="I141" s="109">
        <f t="shared" si="2"/>
        <v>390</v>
      </c>
      <c r="J141" s="109">
        <f t="shared" si="3"/>
        <v>390</v>
      </c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  <c r="BC141" s="23"/>
      <c r="BD141" s="23"/>
      <c r="BE141" s="23"/>
      <c r="BF141" s="23"/>
      <c r="BG141" s="23"/>
      <c r="BH141" s="23"/>
      <c r="BI141" s="23"/>
      <c r="BJ141" s="23"/>
      <c r="BK141" s="23"/>
      <c r="BL141" s="23"/>
      <c r="BM141" s="23"/>
      <c r="BO141" s="23"/>
      <c r="BP141" s="23"/>
      <c r="BQ141" s="23"/>
      <c r="BR141" s="23"/>
      <c r="BS141" s="23"/>
      <c r="BT141" s="23"/>
      <c r="BU141" s="23"/>
      <c r="BV141" s="23"/>
      <c r="BW141" s="23"/>
      <c r="BX141" s="23"/>
      <c r="BY141" s="23"/>
      <c r="BZ141" s="23"/>
      <c r="CA141" s="23"/>
      <c r="CB141" s="23"/>
      <c r="CC141" s="23"/>
      <c r="CD141" s="23"/>
      <c r="CE141" s="23"/>
      <c r="CF141" s="23"/>
      <c r="CG141" s="23"/>
      <c r="CH141" s="23"/>
      <c r="CI141" s="23"/>
      <c r="CJ141" s="23"/>
      <c r="CK141" s="23"/>
      <c r="CL141" s="23"/>
      <c r="CM141" s="23"/>
      <c r="CN141" s="23"/>
      <c r="CO141" s="23"/>
      <c r="CP141" s="23"/>
      <c r="CQ141" s="23"/>
      <c r="CR141" s="23"/>
      <c r="CS141" s="23"/>
      <c r="CT141" s="23"/>
      <c r="CU141" s="23"/>
      <c r="CV141" s="23"/>
      <c r="CW141" s="23"/>
      <c r="CX141" s="23"/>
      <c r="CY141" s="23"/>
      <c r="CZ141" s="23"/>
      <c r="DA141" s="23"/>
      <c r="DB141" s="23"/>
      <c r="DC141" s="23"/>
      <c r="DD141" s="23"/>
      <c r="DE141" s="23"/>
      <c r="DF141" s="23"/>
      <c r="DG141" s="23"/>
      <c r="DH141" s="23"/>
      <c r="DI141" s="23"/>
      <c r="DJ141" s="23"/>
      <c r="DK141" s="23"/>
      <c r="DL141" s="23"/>
      <c r="DM141" s="23"/>
      <c r="DN141" s="23"/>
      <c r="DO141" s="23"/>
      <c r="DP141" s="23"/>
      <c r="DQ141" s="23">
        <v>6</v>
      </c>
      <c r="DR141" s="23"/>
      <c r="DS141" s="23"/>
      <c r="DT141" s="23"/>
      <c r="DU141" s="23"/>
      <c r="DV141" s="23"/>
      <c r="DW141" s="23"/>
      <c r="DX141" s="110">
        <f>SUM(CL141:DW141)</f>
        <v>6</v>
      </c>
    </row>
    <row r="142" spans="2:128" ht="33">
      <c r="B142" s="46">
        <v>131</v>
      </c>
      <c r="C142" s="20" t="s">
        <v>292</v>
      </c>
      <c r="D142" s="20"/>
      <c r="E142" s="20" t="s">
        <v>166</v>
      </c>
      <c r="F142" s="20" t="s">
        <v>135</v>
      </c>
      <c r="G142" s="23">
        <v>92.5</v>
      </c>
      <c r="H142" s="23">
        <v>12</v>
      </c>
      <c r="I142" s="109">
        <f t="shared" ref="I142:I202" si="4">G142*H142</f>
        <v>1110</v>
      </c>
      <c r="J142" s="109">
        <f t="shared" ref="J142:J202" si="5">G142*H142</f>
        <v>1110</v>
      </c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23"/>
      <c r="BB142" s="23"/>
      <c r="BC142" s="23"/>
      <c r="BD142" s="23"/>
      <c r="BE142" s="23"/>
      <c r="BF142" s="23"/>
      <c r="BG142" s="23"/>
      <c r="BH142" s="23"/>
      <c r="BI142" s="23"/>
      <c r="BJ142" s="23"/>
      <c r="BK142" s="23"/>
      <c r="BL142" s="23"/>
      <c r="BM142" s="23"/>
      <c r="BO142" s="23"/>
      <c r="BP142" s="23"/>
      <c r="BQ142" s="23"/>
      <c r="BR142" s="23"/>
      <c r="BS142" s="23"/>
      <c r="BT142" s="23"/>
      <c r="BU142" s="23"/>
      <c r="BV142" s="23"/>
      <c r="BW142" s="23"/>
      <c r="BX142" s="23"/>
      <c r="BY142" s="23"/>
      <c r="BZ142" s="23"/>
      <c r="CA142" s="23"/>
      <c r="CB142" s="23"/>
      <c r="CC142" s="23"/>
      <c r="CD142" s="23"/>
      <c r="CE142" s="23"/>
      <c r="CF142" s="23"/>
      <c r="CG142" s="23"/>
      <c r="CH142" s="23"/>
      <c r="CI142" s="23"/>
      <c r="CJ142" s="23"/>
      <c r="CK142" s="23"/>
      <c r="CL142" s="23"/>
      <c r="CM142" s="23"/>
      <c r="CN142" s="23"/>
      <c r="CO142" s="23"/>
      <c r="CP142" s="23"/>
      <c r="CQ142" s="23"/>
      <c r="CR142" s="23"/>
      <c r="CS142" s="23"/>
      <c r="CT142" s="23"/>
      <c r="CU142" s="23"/>
      <c r="CV142" s="23"/>
      <c r="CW142" s="23"/>
      <c r="CX142" s="23"/>
      <c r="CY142" s="23"/>
      <c r="CZ142" s="23"/>
      <c r="DA142" s="23"/>
      <c r="DB142" s="23"/>
      <c r="DC142" s="23"/>
      <c r="DD142" s="23"/>
      <c r="DE142" s="23"/>
      <c r="DF142" s="23"/>
      <c r="DG142" s="23"/>
      <c r="DH142" s="23"/>
      <c r="DI142" s="23"/>
      <c r="DJ142" s="23"/>
      <c r="DK142" s="23"/>
      <c r="DL142" s="23"/>
      <c r="DM142" s="23"/>
      <c r="DN142" s="23"/>
      <c r="DO142" s="23"/>
      <c r="DP142" s="23"/>
      <c r="DQ142" s="23">
        <v>12</v>
      </c>
      <c r="DR142" s="23"/>
      <c r="DS142" s="23"/>
      <c r="DT142" s="23"/>
      <c r="DU142" s="23"/>
      <c r="DV142" s="23"/>
      <c r="DW142" s="23"/>
      <c r="DX142" s="110">
        <f>SUM(CL142:DW142)</f>
        <v>12</v>
      </c>
    </row>
    <row r="143" spans="2:128" ht="16.5">
      <c r="B143" s="46">
        <v>132</v>
      </c>
      <c r="C143" s="20" t="s">
        <v>225</v>
      </c>
      <c r="D143" s="20" t="s">
        <v>206</v>
      </c>
      <c r="E143" s="20"/>
      <c r="F143" s="20" t="s">
        <v>93</v>
      </c>
      <c r="G143" s="23">
        <v>90</v>
      </c>
      <c r="H143" s="23">
        <v>143</v>
      </c>
      <c r="I143" s="109">
        <f t="shared" si="4"/>
        <v>12870</v>
      </c>
      <c r="J143" s="109">
        <f t="shared" si="5"/>
        <v>12870</v>
      </c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  <c r="BH143" s="23"/>
      <c r="BI143" s="23"/>
      <c r="BJ143" s="23"/>
      <c r="BK143" s="23"/>
      <c r="BL143" s="23"/>
      <c r="BM143" s="23"/>
      <c r="BO143" s="23"/>
      <c r="BP143" s="23"/>
      <c r="BQ143" s="23"/>
      <c r="BR143" s="23"/>
      <c r="BS143" s="23"/>
      <c r="BT143" s="23"/>
      <c r="BU143" s="23"/>
      <c r="BV143" s="23"/>
      <c r="BW143" s="23"/>
      <c r="BX143" s="23"/>
      <c r="BY143" s="23"/>
      <c r="BZ143" s="23"/>
      <c r="CA143" s="23"/>
      <c r="CB143" s="23"/>
      <c r="CC143" s="23"/>
      <c r="CD143" s="23"/>
      <c r="CE143" s="23"/>
      <c r="CF143" s="23"/>
      <c r="CG143" s="23"/>
      <c r="CH143" s="23"/>
      <c r="CI143" s="23"/>
      <c r="CJ143" s="23"/>
      <c r="CK143" s="23"/>
      <c r="CL143" s="23"/>
      <c r="CM143" s="23"/>
      <c r="CN143" s="23"/>
      <c r="CO143" s="23"/>
      <c r="CP143" s="23"/>
      <c r="CQ143" s="23"/>
      <c r="CR143" s="23"/>
      <c r="CS143" s="23"/>
      <c r="CT143" s="23"/>
      <c r="CU143" s="23"/>
      <c r="CV143" s="23"/>
      <c r="CW143" s="23"/>
      <c r="CX143" s="23"/>
      <c r="CY143" s="23"/>
      <c r="CZ143" s="23">
        <v>17</v>
      </c>
      <c r="DA143" s="23"/>
      <c r="DB143" s="23"/>
      <c r="DC143" s="23"/>
      <c r="DD143" s="23"/>
      <c r="DE143" s="23"/>
      <c r="DF143" s="23"/>
      <c r="DG143" s="23"/>
      <c r="DH143" s="23"/>
      <c r="DI143" s="23">
        <v>21</v>
      </c>
      <c r="DJ143" s="23"/>
      <c r="DK143" s="23"/>
      <c r="DL143" s="23"/>
      <c r="DM143" s="23"/>
      <c r="DN143" s="23"/>
      <c r="DO143" s="23">
        <v>105</v>
      </c>
      <c r="DP143" s="23"/>
      <c r="DQ143" s="23"/>
      <c r="DR143" s="23"/>
      <c r="DS143" s="23"/>
      <c r="DT143" s="23"/>
      <c r="DU143" s="23"/>
      <c r="DV143" s="23"/>
      <c r="DW143" s="23"/>
      <c r="DX143" s="110">
        <f>SUM(CL143:DW143)</f>
        <v>143</v>
      </c>
    </row>
    <row r="144" spans="2:128" ht="16.5">
      <c r="B144" s="46">
        <v>133</v>
      </c>
      <c r="C144" s="20" t="s">
        <v>293</v>
      </c>
      <c r="D144" s="20" t="s">
        <v>112</v>
      </c>
      <c r="E144" s="20"/>
      <c r="F144" s="20" t="s">
        <v>93</v>
      </c>
      <c r="G144" s="23">
        <v>2.5</v>
      </c>
      <c r="H144" s="23">
        <v>42</v>
      </c>
      <c r="I144" s="109">
        <f t="shared" si="4"/>
        <v>105</v>
      </c>
      <c r="J144" s="109">
        <f t="shared" si="5"/>
        <v>105</v>
      </c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  <c r="BH144" s="23"/>
      <c r="BI144" s="23"/>
      <c r="BJ144" s="23"/>
      <c r="BK144" s="23"/>
      <c r="BL144" s="23"/>
      <c r="BM144" s="23"/>
      <c r="BO144" s="23"/>
      <c r="BP144" s="23"/>
      <c r="BQ144" s="23"/>
      <c r="BR144" s="23"/>
      <c r="BS144" s="23"/>
      <c r="BT144" s="23"/>
      <c r="BU144" s="23"/>
      <c r="BV144" s="23"/>
      <c r="BW144" s="23"/>
      <c r="BX144" s="23"/>
      <c r="BY144" s="23"/>
      <c r="BZ144" s="23"/>
      <c r="CA144" s="23"/>
      <c r="CB144" s="23"/>
      <c r="CC144" s="23"/>
      <c r="CD144" s="23"/>
      <c r="CE144" s="23"/>
      <c r="CF144" s="23"/>
      <c r="CG144" s="23"/>
      <c r="CH144" s="23"/>
      <c r="CI144" s="23"/>
      <c r="CJ144" s="23"/>
      <c r="CK144" s="23"/>
      <c r="CL144" s="23"/>
      <c r="CM144" s="23"/>
      <c r="CN144" s="23"/>
      <c r="CO144" s="23"/>
      <c r="CP144" s="23"/>
      <c r="CQ144" s="23"/>
      <c r="CR144" s="23"/>
      <c r="CS144" s="23"/>
      <c r="CT144" s="23"/>
      <c r="CU144" s="23"/>
      <c r="CV144" s="23"/>
      <c r="CW144" s="23"/>
      <c r="CX144" s="23"/>
      <c r="CY144" s="23"/>
      <c r="CZ144" s="23"/>
      <c r="DA144" s="23"/>
      <c r="DB144" s="23"/>
      <c r="DC144" s="23"/>
      <c r="DD144" s="23"/>
      <c r="DE144" s="23"/>
      <c r="DF144" s="23"/>
      <c r="DG144" s="23"/>
      <c r="DH144" s="23"/>
      <c r="DI144" s="23"/>
      <c r="DJ144" s="23"/>
      <c r="DK144" s="23"/>
      <c r="DL144" s="23"/>
      <c r="DM144" s="23"/>
      <c r="DN144" s="23"/>
      <c r="DO144" s="23">
        <v>42</v>
      </c>
      <c r="DP144" s="23"/>
      <c r="DQ144" s="23"/>
      <c r="DR144" s="23"/>
      <c r="DS144" s="23"/>
      <c r="DT144" s="23"/>
      <c r="DU144" s="23"/>
      <c r="DV144" s="23"/>
      <c r="DW144" s="23"/>
      <c r="DX144" s="110">
        <f>SUM(CL144:DW144)</f>
        <v>42</v>
      </c>
    </row>
    <row r="145" spans="2:128" ht="16.5">
      <c r="B145" s="46">
        <v>134</v>
      </c>
      <c r="C145" s="20" t="s">
        <v>294</v>
      </c>
      <c r="D145" s="20" t="s">
        <v>111</v>
      </c>
      <c r="E145" s="20"/>
      <c r="F145" s="20" t="s">
        <v>93</v>
      </c>
      <c r="G145" s="23">
        <v>35</v>
      </c>
      <c r="H145" s="23">
        <v>35</v>
      </c>
      <c r="I145" s="109">
        <f t="shared" si="4"/>
        <v>1225</v>
      </c>
      <c r="J145" s="109">
        <f t="shared" si="5"/>
        <v>1225</v>
      </c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23"/>
      <c r="BB145" s="23"/>
      <c r="BC145" s="23"/>
      <c r="BD145" s="23"/>
      <c r="BE145" s="23"/>
      <c r="BF145" s="23"/>
      <c r="BG145" s="23"/>
      <c r="BH145" s="23"/>
      <c r="BI145" s="23"/>
      <c r="BJ145" s="23"/>
      <c r="BK145" s="23"/>
      <c r="BL145" s="23"/>
      <c r="BM145" s="23"/>
      <c r="BO145" s="23"/>
      <c r="BP145" s="23"/>
      <c r="BQ145" s="23"/>
      <c r="BR145" s="23"/>
      <c r="BS145" s="23"/>
      <c r="BT145" s="23"/>
      <c r="BU145" s="23"/>
      <c r="BV145" s="23"/>
      <c r="BW145" s="23"/>
      <c r="BX145" s="23"/>
      <c r="BY145" s="23"/>
      <c r="BZ145" s="23"/>
      <c r="CA145" s="23"/>
      <c r="CB145" s="23"/>
      <c r="CC145" s="23"/>
      <c r="CD145" s="23"/>
      <c r="CE145" s="23"/>
      <c r="CF145" s="23"/>
      <c r="CG145" s="23"/>
      <c r="CH145" s="23"/>
      <c r="CI145" s="23"/>
      <c r="CJ145" s="23"/>
      <c r="CK145" s="23"/>
      <c r="CL145" s="23"/>
      <c r="CM145" s="23"/>
      <c r="CN145" s="23"/>
      <c r="CO145" s="23"/>
      <c r="CP145" s="23"/>
      <c r="CQ145" s="23"/>
      <c r="CR145" s="23"/>
      <c r="CS145" s="23"/>
      <c r="CT145" s="23"/>
      <c r="CU145" s="23"/>
      <c r="CV145" s="23"/>
      <c r="CW145" s="23"/>
      <c r="CX145" s="23"/>
      <c r="CY145" s="23"/>
      <c r="CZ145" s="23">
        <v>30</v>
      </c>
      <c r="DA145" s="23"/>
      <c r="DB145" s="23"/>
      <c r="DC145" s="23"/>
      <c r="DD145" s="23"/>
      <c r="DE145" s="23"/>
      <c r="DF145" s="23"/>
      <c r="DG145" s="23"/>
      <c r="DH145" s="23"/>
      <c r="DI145" s="23"/>
      <c r="DJ145" s="23"/>
      <c r="DK145" s="23"/>
      <c r="DL145" s="23"/>
      <c r="DM145" s="23"/>
      <c r="DN145" s="23"/>
      <c r="DO145" s="23">
        <v>5</v>
      </c>
      <c r="DP145" s="23"/>
      <c r="DQ145" s="23"/>
      <c r="DR145" s="23"/>
      <c r="DS145" s="23"/>
      <c r="DT145" s="23"/>
      <c r="DU145" s="23"/>
      <c r="DV145" s="23"/>
      <c r="DW145" s="23"/>
      <c r="DX145" s="110"/>
    </row>
    <row r="146" spans="2:128" ht="33">
      <c r="B146" s="46">
        <v>135</v>
      </c>
      <c r="C146" s="20" t="s">
        <v>295</v>
      </c>
      <c r="D146" s="20" t="s">
        <v>296</v>
      </c>
      <c r="E146" s="20" t="s">
        <v>143</v>
      </c>
      <c r="F146" s="20" t="s">
        <v>229</v>
      </c>
      <c r="G146" s="23">
        <v>24</v>
      </c>
      <c r="H146" s="23">
        <v>2</v>
      </c>
      <c r="I146" s="109">
        <f t="shared" si="4"/>
        <v>48</v>
      </c>
      <c r="J146" s="109">
        <f t="shared" si="5"/>
        <v>48</v>
      </c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23"/>
      <c r="BB146" s="23"/>
      <c r="BC146" s="23"/>
      <c r="BD146" s="23"/>
      <c r="BE146" s="23"/>
      <c r="BF146" s="23"/>
      <c r="BG146" s="23"/>
      <c r="BH146" s="23"/>
      <c r="BI146" s="23"/>
      <c r="BJ146" s="23"/>
      <c r="BK146" s="23"/>
      <c r="BL146" s="23"/>
      <c r="BM146" s="23"/>
      <c r="BO146" s="23"/>
      <c r="BP146" s="23"/>
      <c r="BQ146" s="23"/>
      <c r="BR146" s="23"/>
      <c r="BS146" s="23"/>
      <c r="BT146" s="23"/>
      <c r="BU146" s="23"/>
      <c r="BV146" s="23"/>
      <c r="BW146" s="23"/>
      <c r="BX146" s="23"/>
      <c r="BY146" s="23"/>
      <c r="BZ146" s="23"/>
      <c r="CA146" s="23"/>
      <c r="CB146" s="23"/>
      <c r="CC146" s="23"/>
      <c r="CD146" s="23"/>
      <c r="CE146" s="23"/>
      <c r="CF146" s="23"/>
      <c r="CG146" s="23"/>
      <c r="CH146" s="23"/>
      <c r="CI146" s="23"/>
      <c r="CJ146" s="23"/>
      <c r="CK146" s="23"/>
      <c r="CL146" s="23"/>
      <c r="CM146" s="23"/>
      <c r="CN146" s="23"/>
      <c r="CO146" s="23"/>
      <c r="CP146" s="23"/>
      <c r="CQ146" s="23"/>
      <c r="CR146" s="23"/>
      <c r="CS146" s="23"/>
      <c r="CT146" s="23"/>
      <c r="CU146" s="23"/>
      <c r="CV146" s="23"/>
      <c r="CW146" s="23"/>
      <c r="CX146" s="23"/>
      <c r="CY146" s="23"/>
      <c r="CZ146" s="23"/>
      <c r="DA146" s="23"/>
      <c r="DB146" s="23"/>
      <c r="DC146" s="23"/>
      <c r="DD146" s="23"/>
      <c r="DE146" s="23"/>
      <c r="DF146" s="23"/>
      <c r="DG146" s="23"/>
      <c r="DH146" s="23"/>
      <c r="DI146" s="23"/>
      <c r="DJ146" s="23"/>
      <c r="DK146" s="23"/>
      <c r="DL146" s="23"/>
      <c r="DM146" s="23"/>
      <c r="DN146" s="23"/>
      <c r="DO146" s="23"/>
      <c r="DP146" s="23">
        <v>2</v>
      </c>
      <c r="DQ146" s="23"/>
      <c r="DR146" s="23"/>
      <c r="DS146" s="23"/>
      <c r="DT146" s="23"/>
      <c r="DU146" s="23"/>
      <c r="DV146" s="23"/>
      <c r="DW146" s="23"/>
      <c r="DX146" s="110">
        <f>SUM(CL146:DW146)</f>
        <v>2</v>
      </c>
    </row>
    <row r="147" spans="2:128" ht="16.5">
      <c r="B147" s="46">
        <v>136</v>
      </c>
      <c r="C147" s="20" t="s">
        <v>297</v>
      </c>
      <c r="D147" s="20" t="s">
        <v>298</v>
      </c>
      <c r="E147" s="20" t="s">
        <v>143</v>
      </c>
      <c r="F147" s="20" t="s">
        <v>229</v>
      </c>
      <c r="G147" s="23">
        <v>75</v>
      </c>
      <c r="H147" s="23">
        <v>1</v>
      </c>
      <c r="I147" s="109">
        <f t="shared" si="4"/>
        <v>75</v>
      </c>
      <c r="J147" s="109">
        <f t="shared" si="5"/>
        <v>75</v>
      </c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  <c r="BI147" s="23"/>
      <c r="BJ147" s="23"/>
      <c r="BK147" s="23"/>
      <c r="BL147" s="23"/>
      <c r="BM147" s="23"/>
      <c r="BO147" s="23"/>
      <c r="BP147" s="23"/>
      <c r="BQ147" s="23"/>
      <c r="BR147" s="23"/>
      <c r="BS147" s="23"/>
      <c r="BT147" s="23"/>
      <c r="BU147" s="23"/>
      <c r="BV147" s="23"/>
      <c r="BW147" s="23"/>
      <c r="BX147" s="23"/>
      <c r="BY147" s="23"/>
      <c r="BZ147" s="23"/>
      <c r="CA147" s="23"/>
      <c r="CB147" s="23"/>
      <c r="CC147" s="23"/>
      <c r="CD147" s="23"/>
      <c r="CE147" s="23"/>
      <c r="CF147" s="23"/>
      <c r="CG147" s="23"/>
      <c r="CH147" s="23"/>
      <c r="CI147" s="23"/>
      <c r="CJ147" s="23"/>
      <c r="CK147" s="23"/>
      <c r="CL147" s="23"/>
      <c r="CM147" s="23"/>
      <c r="CN147" s="23"/>
      <c r="CO147" s="23"/>
      <c r="CP147" s="23"/>
      <c r="CQ147" s="23"/>
      <c r="CR147" s="23"/>
      <c r="CS147" s="23"/>
      <c r="CT147" s="23"/>
      <c r="CU147" s="23"/>
      <c r="CV147" s="23"/>
      <c r="CW147" s="23"/>
      <c r="CX147" s="23"/>
      <c r="CY147" s="23"/>
      <c r="CZ147" s="23">
        <v>1</v>
      </c>
      <c r="DA147" s="23"/>
      <c r="DB147" s="23"/>
      <c r="DC147" s="23"/>
      <c r="DD147" s="23"/>
      <c r="DE147" s="23"/>
      <c r="DF147" s="23"/>
      <c r="DG147" s="23"/>
      <c r="DH147" s="23"/>
      <c r="DI147" s="23"/>
      <c r="DJ147" s="23"/>
      <c r="DK147" s="23"/>
      <c r="DL147" s="23"/>
      <c r="DM147" s="23"/>
      <c r="DN147" s="23"/>
      <c r="DO147" s="23"/>
      <c r="DP147" s="23"/>
      <c r="DQ147" s="23"/>
      <c r="DR147" s="23"/>
      <c r="DS147" s="23"/>
      <c r="DT147" s="23"/>
      <c r="DU147" s="23"/>
      <c r="DV147" s="23"/>
      <c r="DW147" s="23"/>
      <c r="DX147" s="110">
        <f>SUM(CL147:DW147)</f>
        <v>1</v>
      </c>
    </row>
    <row r="148" spans="2:128" ht="16.5">
      <c r="B148" s="46">
        <v>137</v>
      </c>
      <c r="C148" s="20" t="s">
        <v>136</v>
      </c>
      <c r="D148" s="20" t="s">
        <v>142</v>
      </c>
      <c r="E148" s="20" t="s">
        <v>143</v>
      </c>
      <c r="F148" s="20" t="s">
        <v>229</v>
      </c>
      <c r="G148" s="23">
        <v>26</v>
      </c>
      <c r="H148" s="23">
        <v>2</v>
      </c>
      <c r="I148" s="109">
        <f t="shared" si="4"/>
        <v>52</v>
      </c>
      <c r="J148" s="109">
        <f t="shared" si="5"/>
        <v>52</v>
      </c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  <c r="BI148" s="23"/>
      <c r="BJ148" s="23"/>
      <c r="BK148" s="23"/>
      <c r="BL148" s="23"/>
      <c r="BM148" s="23"/>
      <c r="BO148" s="23"/>
      <c r="BP148" s="23"/>
      <c r="BQ148" s="23"/>
      <c r="BR148" s="23"/>
      <c r="BS148" s="23"/>
      <c r="BT148" s="23"/>
      <c r="BU148" s="23"/>
      <c r="BV148" s="23"/>
      <c r="BW148" s="23"/>
      <c r="BX148" s="23"/>
      <c r="BY148" s="23"/>
      <c r="BZ148" s="23"/>
      <c r="CA148" s="23"/>
      <c r="CB148" s="23"/>
      <c r="CC148" s="23"/>
      <c r="CD148" s="23"/>
      <c r="CE148" s="23"/>
      <c r="CF148" s="23"/>
      <c r="CG148" s="23"/>
      <c r="CH148" s="23"/>
      <c r="CI148" s="23"/>
      <c r="CJ148" s="23"/>
      <c r="CK148" s="23"/>
      <c r="CL148" s="23"/>
      <c r="CM148" s="23"/>
      <c r="CN148" s="23"/>
      <c r="CO148" s="23"/>
      <c r="CP148" s="23"/>
      <c r="CQ148" s="23"/>
      <c r="CR148" s="23"/>
      <c r="CS148" s="23"/>
      <c r="CT148" s="23"/>
      <c r="CU148" s="23"/>
      <c r="CV148" s="23"/>
      <c r="CW148" s="23"/>
      <c r="CX148" s="23"/>
      <c r="CY148" s="23"/>
      <c r="CZ148" s="23">
        <v>1</v>
      </c>
      <c r="DA148" s="23"/>
      <c r="DB148" s="23"/>
      <c r="DC148" s="23"/>
      <c r="DD148" s="23"/>
      <c r="DE148" s="23"/>
      <c r="DF148" s="23"/>
      <c r="DG148" s="23"/>
      <c r="DH148" s="23"/>
      <c r="DI148" s="23"/>
      <c r="DJ148" s="23"/>
      <c r="DK148" s="23"/>
      <c r="DL148" s="23"/>
      <c r="DM148" s="23"/>
      <c r="DN148" s="23"/>
      <c r="DO148" s="23"/>
      <c r="DP148" s="23">
        <v>1</v>
      </c>
      <c r="DQ148" s="23"/>
      <c r="DR148" s="23"/>
      <c r="DS148" s="23"/>
      <c r="DT148" s="23"/>
      <c r="DU148" s="23"/>
      <c r="DV148" s="23"/>
      <c r="DW148" s="23"/>
      <c r="DX148" s="110">
        <f>SUM(CL148:DW148)</f>
        <v>2</v>
      </c>
    </row>
    <row r="149" spans="2:128" ht="16.5">
      <c r="B149" s="46">
        <v>138</v>
      </c>
      <c r="C149" s="20" t="s">
        <v>299</v>
      </c>
      <c r="D149" s="20" t="s">
        <v>300</v>
      </c>
      <c r="E149" s="20"/>
      <c r="F149" s="20" t="s">
        <v>93</v>
      </c>
      <c r="G149" s="23">
        <v>110</v>
      </c>
      <c r="H149" s="23">
        <v>1</v>
      </c>
      <c r="I149" s="109">
        <f t="shared" si="4"/>
        <v>110</v>
      </c>
      <c r="J149" s="109">
        <f t="shared" si="5"/>
        <v>110</v>
      </c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23"/>
      <c r="BB149" s="23"/>
      <c r="BC149" s="23"/>
      <c r="BD149" s="23"/>
      <c r="BE149" s="23"/>
      <c r="BF149" s="23"/>
      <c r="BG149" s="23"/>
      <c r="BH149" s="23"/>
      <c r="BI149" s="23"/>
      <c r="BJ149" s="23"/>
      <c r="BK149" s="23"/>
      <c r="BL149" s="23"/>
      <c r="BM149" s="23"/>
      <c r="BO149" s="23"/>
      <c r="BP149" s="23"/>
      <c r="BQ149" s="23"/>
      <c r="BR149" s="23"/>
      <c r="BS149" s="23"/>
      <c r="BT149" s="23"/>
      <c r="BU149" s="23"/>
      <c r="BV149" s="23"/>
      <c r="BW149" s="23"/>
      <c r="BX149" s="23"/>
      <c r="BY149" s="23"/>
      <c r="BZ149" s="23"/>
      <c r="CA149" s="23"/>
      <c r="CB149" s="23"/>
      <c r="CC149" s="23"/>
      <c r="CD149" s="23"/>
      <c r="CE149" s="23"/>
      <c r="CF149" s="23"/>
      <c r="CG149" s="23"/>
      <c r="CH149" s="23"/>
      <c r="CI149" s="23"/>
      <c r="CJ149" s="23"/>
      <c r="CK149" s="23"/>
      <c r="CL149" s="23"/>
      <c r="CM149" s="23"/>
      <c r="CN149" s="23"/>
      <c r="CO149" s="23"/>
      <c r="CP149" s="23"/>
      <c r="CQ149" s="23"/>
      <c r="CR149" s="23"/>
      <c r="CS149" s="23"/>
      <c r="CT149" s="23"/>
      <c r="CU149" s="23"/>
      <c r="CV149" s="23"/>
      <c r="CW149" s="23"/>
      <c r="CX149" s="23"/>
      <c r="CY149" s="23"/>
      <c r="CZ149" s="23">
        <v>1</v>
      </c>
      <c r="DA149" s="23"/>
      <c r="DB149" s="23"/>
      <c r="DC149" s="23"/>
      <c r="DD149" s="23"/>
      <c r="DE149" s="23"/>
      <c r="DF149" s="23"/>
      <c r="DG149" s="23"/>
      <c r="DH149" s="23"/>
      <c r="DI149" s="23"/>
      <c r="DJ149" s="23"/>
      <c r="DK149" s="23"/>
      <c r="DL149" s="23"/>
      <c r="DM149" s="23"/>
      <c r="DN149" s="23"/>
      <c r="DO149" s="23"/>
      <c r="DP149" s="23"/>
      <c r="DQ149" s="23"/>
      <c r="DR149" s="23"/>
      <c r="DS149" s="23"/>
      <c r="DT149" s="23"/>
      <c r="DU149" s="23"/>
      <c r="DV149" s="23"/>
      <c r="DW149" s="23"/>
      <c r="DX149" s="110">
        <f>SUM(CL149:DW149)</f>
        <v>1</v>
      </c>
    </row>
    <row r="150" spans="2:128" ht="16.5">
      <c r="B150" s="46">
        <v>139</v>
      </c>
      <c r="C150" s="20" t="s">
        <v>301</v>
      </c>
      <c r="D150" s="20" t="s">
        <v>145</v>
      </c>
      <c r="E150" s="20"/>
      <c r="F150" s="20" t="s">
        <v>93</v>
      </c>
      <c r="G150" s="23">
        <v>13.5</v>
      </c>
      <c r="H150" s="23">
        <v>15</v>
      </c>
      <c r="I150" s="109">
        <f t="shared" si="4"/>
        <v>202.5</v>
      </c>
      <c r="J150" s="109">
        <f t="shared" si="5"/>
        <v>202.5</v>
      </c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  <c r="BI150" s="23"/>
      <c r="BJ150" s="23"/>
      <c r="BK150" s="23"/>
      <c r="BL150" s="23"/>
      <c r="BM150" s="23"/>
      <c r="BO150" s="23"/>
      <c r="BP150" s="23"/>
      <c r="BQ150" s="23"/>
      <c r="BR150" s="23"/>
      <c r="BS150" s="23"/>
      <c r="BT150" s="23"/>
      <c r="BU150" s="23"/>
      <c r="BV150" s="23"/>
      <c r="BW150" s="23"/>
      <c r="BX150" s="23"/>
      <c r="BY150" s="23"/>
      <c r="BZ150" s="23"/>
      <c r="CA150" s="23"/>
      <c r="CB150" s="23"/>
      <c r="CC150" s="23"/>
      <c r="CD150" s="23"/>
      <c r="CE150" s="23"/>
      <c r="CF150" s="23"/>
      <c r="CG150" s="23"/>
      <c r="CH150" s="23"/>
      <c r="CI150" s="23"/>
      <c r="CJ150" s="23"/>
      <c r="CK150" s="23"/>
      <c r="CL150" s="23"/>
      <c r="CM150" s="23"/>
      <c r="CN150" s="23"/>
      <c r="CO150" s="23"/>
      <c r="CP150" s="23"/>
      <c r="CQ150" s="23"/>
      <c r="CR150" s="23"/>
      <c r="CS150" s="23"/>
      <c r="CT150" s="23"/>
      <c r="CU150" s="23"/>
      <c r="CV150" s="23"/>
      <c r="CW150" s="23"/>
      <c r="CX150" s="23"/>
      <c r="CY150" s="23"/>
      <c r="CZ150" s="23">
        <v>15</v>
      </c>
      <c r="DA150" s="23"/>
      <c r="DB150" s="23"/>
      <c r="DC150" s="23"/>
      <c r="DD150" s="23"/>
      <c r="DE150" s="23"/>
      <c r="DF150" s="23"/>
      <c r="DG150" s="23"/>
      <c r="DH150" s="23"/>
      <c r="DI150" s="23"/>
      <c r="DJ150" s="23"/>
      <c r="DK150" s="23"/>
      <c r="DL150" s="23"/>
      <c r="DM150" s="23"/>
      <c r="DN150" s="23"/>
      <c r="DO150" s="23"/>
      <c r="DP150" s="23"/>
      <c r="DQ150" s="23"/>
      <c r="DR150" s="23"/>
      <c r="DS150" s="23"/>
      <c r="DT150" s="23"/>
      <c r="DU150" s="23"/>
      <c r="DV150" s="23"/>
      <c r="DW150" s="23"/>
      <c r="DX150" s="110">
        <f>SUM(CL150:DW150)</f>
        <v>15</v>
      </c>
    </row>
    <row r="151" spans="2:128" ht="16.5">
      <c r="B151" s="46">
        <v>140</v>
      </c>
      <c r="C151" s="20" t="s">
        <v>301</v>
      </c>
      <c r="D151" s="20" t="s">
        <v>322</v>
      </c>
      <c r="E151" s="20"/>
      <c r="F151" s="20" t="s">
        <v>104</v>
      </c>
      <c r="G151" s="23">
        <v>74.8</v>
      </c>
      <c r="H151" s="23">
        <v>12</v>
      </c>
      <c r="I151" s="109">
        <f t="shared" si="4"/>
        <v>897.59999999999991</v>
      </c>
      <c r="J151" s="109">
        <f t="shared" si="5"/>
        <v>897.59999999999991</v>
      </c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  <c r="BI151" s="23"/>
      <c r="BJ151" s="23"/>
      <c r="BK151" s="23"/>
      <c r="BL151" s="23"/>
      <c r="BM151" s="23"/>
      <c r="BO151" s="23"/>
      <c r="BP151" s="23"/>
      <c r="BQ151" s="23"/>
      <c r="BR151" s="23"/>
      <c r="BS151" s="23"/>
      <c r="BT151" s="23"/>
      <c r="BU151" s="23"/>
      <c r="BV151" s="23"/>
      <c r="BW151" s="23"/>
      <c r="BX151" s="23"/>
      <c r="BY151" s="23"/>
      <c r="BZ151" s="23"/>
      <c r="CA151" s="23"/>
      <c r="CB151" s="23"/>
      <c r="CC151" s="23"/>
      <c r="CD151" s="23"/>
      <c r="CE151" s="23"/>
      <c r="CF151" s="23"/>
      <c r="CG151" s="23"/>
      <c r="CH151" s="23"/>
      <c r="CI151" s="23"/>
      <c r="CJ151" s="23"/>
      <c r="CK151" s="23"/>
      <c r="CL151" s="23"/>
      <c r="CM151" s="23"/>
      <c r="CN151" s="23"/>
      <c r="CO151" s="23"/>
      <c r="CP151" s="23"/>
      <c r="CQ151" s="23"/>
      <c r="CR151" s="23"/>
      <c r="CS151" s="23"/>
      <c r="CT151" s="23"/>
      <c r="CU151" s="23"/>
      <c r="CV151" s="23"/>
      <c r="CW151" s="23"/>
      <c r="CX151" s="23"/>
      <c r="CY151" s="23"/>
      <c r="CZ151" s="23">
        <v>1</v>
      </c>
      <c r="DA151" s="23"/>
      <c r="DB151" s="23"/>
      <c r="DC151" s="23"/>
      <c r="DD151" s="23"/>
      <c r="DE151" s="23"/>
      <c r="DF151" s="23"/>
      <c r="DG151" s="23"/>
      <c r="DH151" s="23"/>
      <c r="DI151" s="23"/>
      <c r="DJ151" s="23"/>
      <c r="DK151" s="23"/>
      <c r="DL151" s="23"/>
      <c r="DM151" s="23"/>
      <c r="DN151" s="23"/>
      <c r="DO151" s="23">
        <v>11</v>
      </c>
      <c r="DP151" s="23"/>
      <c r="DQ151" s="23"/>
      <c r="DR151" s="23"/>
      <c r="DS151" s="23"/>
      <c r="DT151" s="23"/>
      <c r="DU151" s="23"/>
      <c r="DV151" s="23"/>
      <c r="DW151" s="23"/>
      <c r="DX151" s="110">
        <f>SUM(CL151:DW151)</f>
        <v>12</v>
      </c>
    </row>
    <row r="152" spans="2:128" ht="16.5">
      <c r="B152" s="46">
        <v>141</v>
      </c>
      <c r="C152" s="20" t="s">
        <v>302</v>
      </c>
      <c r="D152" s="20" t="s">
        <v>258</v>
      </c>
      <c r="E152" s="20"/>
      <c r="F152" s="20" t="s">
        <v>93</v>
      </c>
      <c r="G152" s="23">
        <v>34</v>
      </c>
      <c r="H152" s="23">
        <v>10</v>
      </c>
      <c r="I152" s="109">
        <f t="shared" si="4"/>
        <v>340</v>
      </c>
      <c r="J152" s="109">
        <f t="shared" si="5"/>
        <v>340</v>
      </c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23"/>
      <c r="BB152" s="23"/>
      <c r="BC152" s="23"/>
      <c r="BD152" s="23"/>
      <c r="BE152" s="23"/>
      <c r="BF152" s="23"/>
      <c r="BG152" s="23"/>
      <c r="BH152" s="23"/>
      <c r="BI152" s="23"/>
      <c r="BJ152" s="23"/>
      <c r="BK152" s="23"/>
      <c r="BL152" s="23"/>
      <c r="BM152" s="23"/>
      <c r="BO152" s="23"/>
      <c r="BP152" s="23"/>
      <c r="BQ152" s="23"/>
      <c r="BR152" s="23"/>
      <c r="BS152" s="23"/>
      <c r="BT152" s="23"/>
      <c r="BU152" s="23"/>
      <c r="BV152" s="23"/>
      <c r="BW152" s="23"/>
      <c r="BX152" s="23"/>
      <c r="BY152" s="23"/>
      <c r="BZ152" s="23"/>
      <c r="CA152" s="23"/>
      <c r="CB152" s="23"/>
      <c r="CC152" s="23"/>
      <c r="CD152" s="23"/>
      <c r="CE152" s="23"/>
      <c r="CF152" s="23"/>
      <c r="CG152" s="23"/>
      <c r="CH152" s="23"/>
      <c r="CI152" s="23"/>
      <c r="CJ152" s="23"/>
      <c r="CK152" s="23"/>
      <c r="CL152" s="23"/>
      <c r="CM152" s="23"/>
      <c r="CN152" s="23"/>
      <c r="CO152" s="23"/>
      <c r="CP152" s="23"/>
      <c r="CQ152" s="23"/>
      <c r="CR152" s="23"/>
      <c r="CS152" s="23"/>
      <c r="CT152" s="23"/>
      <c r="CU152" s="23"/>
      <c r="CV152" s="23"/>
      <c r="CW152" s="23"/>
      <c r="CX152" s="23"/>
      <c r="CY152" s="23"/>
      <c r="CZ152" s="23">
        <v>10</v>
      </c>
      <c r="DA152" s="23"/>
      <c r="DB152" s="23"/>
      <c r="DC152" s="23"/>
      <c r="DD152" s="23"/>
      <c r="DE152" s="23"/>
      <c r="DF152" s="23"/>
      <c r="DG152" s="23"/>
      <c r="DH152" s="23"/>
      <c r="DI152" s="23"/>
      <c r="DJ152" s="23"/>
      <c r="DK152" s="23"/>
      <c r="DL152" s="23"/>
      <c r="DM152" s="23"/>
      <c r="DN152" s="23"/>
      <c r="DO152" s="23"/>
      <c r="DP152" s="23"/>
      <c r="DQ152" s="23"/>
      <c r="DR152" s="23"/>
      <c r="DS152" s="23"/>
      <c r="DT152" s="23"/>
      <c r="DU152" s="23"/>
      <c r="DV152" s="23"/>
      <c r="DW152" s="23"/>
      <c r="DX152" s="110">
        <f>SUM(CL152:DW152)</f>
        <v>10</v>
      </c>
    </row>
    <row r="153" spans="2:128" ht="16.5">
      <c r="B153" s="46">
        <v>142</v>
      </c>
      <c r="C153" s="20" t="s">
        <v>303</v>
      </c>
      <c r="D153" s="20" t="s">
        <v>251</v>
      </c>
      <c r="E153" s="20"/>
      <c r="F153" s="20" t="s">
        <v>93</v>
      </c>
      <c r="G153" s="23">
        <v>14</v>
      </c>
      <c r="H153" s="23">
        <v>30</v>
      </c>
      <c r="I153" s="109">
        <f t="shared" si="4"/>
        <v>420</v>
      </c>
      <c r="J153" s="109">
        <f t="shared" si="5"/>
        <v>420</v>
      </c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23"/>
      <c r="BB153" s="23"/>
      <c r="BC153" s="23"/>
      <c r="BD153" s="23"/>
      <c r="BE153" s="23"/>
      <c r="BF153" s="23"/>
      <c r="BG153" s="23"/>
      <c r="BH153" s="23"/>
      <c r="BI153" s="23"/>
      <c r="BJ153" s="23"/>
      <c r="BK153" s="23"/>
      <c r="BL153" s="23"/>
      <c r="BM153" s="23"/>
      <c r="BO153" s="23"/>
      <c r="BP153" s="23"/>
      <c r="BQ153" s="23"/>
      <c r="BR153" s="23"/>
      <c r="BS153" s="23"/>
      <c r="BT153" s="23"/>
      <c r="BU153" s="23"/>
      <c r="BV153" s="23"/>
      <c r="BW153" s="23"/>
      <c r="BX153" s="23"/>
      <c r="BY153" s="23"/>
      <c r="BZ153" s="23"/>
      <c r="CA153" s="23"/>
      <c r="CB153" s="23"/>
      <c r="CC153" s="23"/>
      <c r="CD153" s="23"/>
      <c r="CE153" s="23"/>
      <c r="CF153" s="23"/>
      <c r="CG153" s="23"/>
      <c r="CH153" s="23"/>
      <c r="CI153" s="23"/>
      <c r="CJ153" s="23"/>
      <c r="CK153" s="23"/>
      <c r="CL153" s="23"/>
      <c r="CM153" s="23"/>
      <c r="CN153" s="23"/>
      <c r="CO153" s="23"/>
      <c r="CP153" s="23"/>
      <c r="CQ153" s="23"/>
      <c r="CR153" s="23"/>
      <c r="CS153" s="23"/>
      <c r="CT153" s="23"/>
      <c r="CU153" s="23"/>
      <c r="CV153" s="23"/>
      <c r="CW153" s="23"/>
      <c r="CX153" s="23"/>
      <c r="CY153" s="23"/>
      <c r="CZ153" s="23">
        <v>15</v>
      </c>
      <c r="DA153" s="23"/>
      <c r="DB153" s="23"/>
      <c r="DC153" s="23"/>
      <c r="DD153" s="23"/>
      <c r="DE153" s="23"/>
      <c r="DF153" s="23"/>
      <c r="DG153" s="23"/>
      <c r="DH153" s="23"/>
      <c r="DI153" s="23"/>
      <c r="DJ153" s="23"/>
      <c r="DK153" s="23"/>
      <c r="DL153" s="23"/>
      <c r="DM153" s="23"/>
      <c r="DN153" s="23"/>
      <c r="DO153" s="23"/>
      <c r="DP153" s="23"/>
      <c r="DQ153" s="23"/>
      <c r="DR153" s="23">
        <v>15</v>
      </c>
      <c r="DS153" s="23"/>
      <c r="DT153" s="23"/>
      <c r="DU153" s="23"/>
      <c r="DV153" s="23"/>
      <c r="DW153" s="23"/>
      <c r="DX153" s="110">
        <f>SUM(CL153:DW153)</f>
        <v>30</v>
      </c>
    </row>
    <row r="154" spans="2:128" ht="16.5">
      <c r="B154" s="46">
        <v>143</v>
      </c>
      <c r="C154" s="20" t="s">
        <v>304</v>
      </c>
      <c r="D154" s="20" t="s">
        <v>114</v>
      </c>
      <c r="E154" s="20"/>
      <c r="F154" s="20" t="s">
        <v>93</v>
      </c>
      <c r="G154" s="23">
        <v>22</v>
      </c>
      <c r="H154" s="23">
        <v>41</v>
      </c>
      <c r="I154" s="109">
        <f t="shared" si="4"/>
        <v>902</v>
      </c>
      <c r="J154" s="109">
        <f t="shared" si="5"/>
        <v>902</v>
      </c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23"/>
      <c r="BB154" s="23"/>
      <c r="BC154" s="23"/>
      <c r="BD154" s="23"/>
      <c r="BE154" s="23"/>
      <c r="BF154" s="23"/>
      <c r="BG154" s="23"/>
      <c r="BH154" s="23"/>
      <c r="BI154" s="23"/>
      <c r="BJ154" s="23"/>
      <c r="BK154" s="23"/>
      <c r="BL154" s="23"/>
      <c r="BM154" s="23"/>
      <c r="BO154" s="23"/>
      <c r="BP154" s="23"/>
      <c r="BQ154" s="23"/>
      <c r="BR154" s="23"/>
      <c r="BS154" s="23"/>
      <c r="BT154" s="23"/>
      <c r="BU154" s="23"/>
      <c r="BV154" s="23"/>
      <c r="BW154" s="23"/>
      <c r="BX154" s="23"/>
      <c r="BY154" s="23"/>
      <c r="BZ154" s="23"/>
      <c r="CA154" s="23"/>
      <c r="CB154" s="23"/>
      <c r="CC154" s="23"/>
      <c r="CD154" s="23"/>
      <c r="CE154" s="23"/>
      <c r="CF154" s="23"/>
      <c r="CG154" s="23"/>
      <c r="CH154" s="23"/>
      <c r="CI154" s="23"/>
      <c r="CJ154" s="23"/>
      <c r="CK154" s="23"/>
      <c r="CL154" s="23"/>
      <c r="CM154" s="23"/>
      <c r="CN154" s="23"/>
      <c r="CO154" s="23"/>
      <c r="CP154" s="23"/>
      <c r="CQ154" s="23"/>
      <c r="CR154" s="23"/>
      <c r="CS154" s="23"/>
      <c r="CT154" s="23"/>
      <c r="CU154" s="23"/>
      <c r="CV154" s="23"/>
      <c r="CW154" s="23"/>
      <c r="CX154" s="23"/>
      <c r="CY154" s="23"/>
      <c r="CZ154" s="23">
        <v>38</v>
      </c>
      <c r="DA154" s="23"/>
      <c r="DB154" s="23"/>
      <c r="DC154" s="23"/>
      <c r="DD154" s="23"/>
      <c r="DE154" s="23"/>
      <c r="DF154" s="23"/>
      <c r="DG154" s="23"/>
      <c r="DH154" s="23"/>
      <c r="DI154" s="23"/>
      <c r="DJ154" s="23"/>
      <c r="DK154" s="23"/>
      <c r="DL154" s="23"/>
      <c r="DM154" s="23"/>
      <c r="DN154" s="23"/>
      <c r="DO154" s="23"/>
      <c r="DP154" s="23"/>
      <c r="DQ154" s="23"/>
      <c r="DR154" s="23">
        <v>3</v>
      </c>
      <c r="DS154" s="23"/>
      <c r="DT154" s="23"/>
      <c r="DU154" s="23"/>
      <c r="DV154" s="23"/>
      <c r="DW154" s="23"/>
      <c r="DX154" s="110">
        <f>SUM(CL154:DW154)</f>
        <v>41</v>
      </c>
    </row>
    <row r="155" spans="2:128" ht="16.5">
      <c r="B155" s="46">
        <v>144</v>
      </c>
      <c r="C155" s="20" t="s">
        <v>305</v>
      </c>
      <c r="D155" s="20" t="s">
        <v>114</v>
      </c>
      <c r="E155" s="20"/>
      <c r="F155" s="20" t="s">
        <v>93</v>
      </c>
      <c r="G155" s="23">
        <v>79.5</v>
      </c>
      <c r="H155" s="23">
        <v>15</v>
      </c>
      <c r="I155" s="109">
        <f t="shared" si="4"/>
        <v>1192.5</v>
      </c>
      <c r="J155" s="109">
        <f t="shared" si="5"/>
        <v>1192.5</v>
      </c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  <c r="BI155" s="23"/>
      <c r="BJ155" s="23"/>
      <c r="BK155" s="23"/>
      <c r="BL155" s="23"/>
      <c r="BM155" s="23"/>
      <c r="BO155" s="23"/>
      <c r="BP155" s="23"/>
      <c r="BQ155" s="23"/>
      <c r="BR155" s="23"/>
      <c r="BS155" s="23"/>
      <c r="BT155" s="23"/>
      <c r="BU155" s="23"/>
      <c r="BV155" s="23"/>
      <c r="BW155" s="23"/>
      <c r="BX155" s="23"/>
      <c r="BY155" s="23"/>
      <c r="BZ155" s="23"/>
      <c r="CA155" s="23"/>
      <c r="CB155" s="23"/>
      <c r="CC155" s="23"/>
      <c r="CD155" s="23"/>
      <c r="CE155" s="23"/>
      <c r="CF155" s="23"/>
      <c r="CG155" s="23"/>
      <c r="CH155" s="23"/>
      <c r="CI155" s="23"/>
      <c r="CJ155" s="23"/>
      <c r="CK155" s="23"/>
      <c r="CL155" s="23"/>
      <c r="CM155" s="23"/>
      <c r="CN155" s="23"/>
      <c r="CO155" s="23"/>
      <c r="CP155" s="23"/>
      <c r="CQ155" s="23"/>
      <c r="CR155" s="23"/>
      <c r="CS155" s="23"/>
      <c r="CT155" s="23"/>
      <c r="CU155" s="23"/>
      <c r="CV155" s="23"/>
      <c r="CW155" s="23"/>
      <c r="CX155" s="23"/>
      <c r="CY155" s="23"/>
      <c r="CZ155" s="23">
        <v>15</v>
      </c>
      <c r="DA155" s="23"/>
      <c r="DB155" s="23"/>
      <c r="DC155" s="23"/>
      <c r="DD155" s="23"/>
      <c r="DE155" s="23"/>
      <c r="DF155" s="23"/>
      <c r="DG155" s="23"/>
      <c r="DH155" s="23"/>
      <c r="DI155" s="23"/>
      <c r="DJ155" s="23"/>
      <c r="DK155" s="23"/>
      <c r="DL155" s="23"/>
      <c r="DM155" s="23"/>
      <c r="DN155" s="23"/>
      <c r="DO155" s="23"/>
      <c r="DP155" s="23"/>
      <c r="DQ155" s="23"/>
      <c r="DR155" s="23"/>
      <c r="DS155" s="23"/>
      <c r="DT155" s="23"/>
      <c r="DU155" s="23"/>
      <c r="DV155" s="23"/>
      <c r="DW155" s="23"/>
      <c r="DX155" s="110">
        <f>SUM(CL155:DW155)</f>
        <v>15</v>
      </c>
    </row>
    <row r="156" spans="2:128" ht="16.5">
      <c r="B156" s="46">
        <v>145</v>
      </c>
      <c r="C156" s="20" t="s">
        <v>306</v>
      </c>
      <c r="D156" s="20" t="s">
        <v>152</v>
      </c>
      <c r="E156" s="20"/>
      <c r="F156" s="20" t="s">
        <v>93</v>
      </c>
      <c r="G156" s="23">
        <v>30</v>
      </c>
      <c r="H156" s="23">
        <v>2</v>
      </c>
      <c r="I156" s="109">
        <f t="shared" si="4"/>
        <v>60</v>
      </c>
      <c r="J156" s="109">
        <f t="shared" si="5"/>
        <v>60</v>
      </c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23"/>
      <c r="BB156" s="23"/>
      <c r="BC156" s="23"/>
      <c r="BD156" s="23"/>
      <c r="BE156" s="23"/>
      <c r="BF156" s="23"/>
      <c r="BG156" s="23"/>
      <c r="BH156" s="23"/>
      <c r="BI156" s="23"/>
      <c r="BJ156" s="23"/>
      <c r="BK156" s="23"/>
      <c r="BL156" s="23"/>
      <c r="BM156" s="23"/>
      <c r="BO156" s="23"/>
      <c r="BP156" s="23"/>
      <c r="BQ156" s="23"/>
      <c r="BR156" s="23"/>
      <c r="BS156" s="23"/>
      <c r="BT156" s="23"/>
      <c r="BU156" s="23"/>
      <c r="BV156" s="23"/>
      <c r="BW156" s="23"/>
      <c r="BX156" s="23"/>
      <c r="BY156" s="23"/>
      <c r="BZ156" s="23"/>
      <c r="CA156" s="23"/>
      <c r="CB156" s="23"/>
      <c r="CC156" s="23"/>
      <c r="CD156" s="23"/>
      <c r="CE156" s="23"/>
      <c r="CF156" s="23"/>
      <c r="CG156" s="23"/>
      <c r="CH156" s="23"/>
      <c r="CI156" s="23"/>
      <c r="CJ156" s="23"/>
      <c r="CK156" s="23"/>
      <c r="CL156" s="23"/>
      <c r="CM156" s="23"/>
      <c r="CN156" s="23"/>
      <c r="CO156" s="23"/>
      <c r="CP156" s="23"/>
      <c r="CQ156" s="23"/>
      <c r="CR156" s="23"/>
      <c r="CS156" s="23"/>
      <c r="CT156" s="23"/>
      <c r="CU156" s="23"/>
      <c r="CV156" s="23"/>
      <c r="CW156" s="23"/>
      <c r="CX156" s="23"/>
      <c r="CY156" s="23"/>
      <c r="CZ156" s="23"/>
      <c r="DA156" s="23"/>
      <c r="DB156" s="23"/>
      <c r="DC156" s="23"/>
      <c r="DD156" s="23"/>
      <c r="DE156" s="23"/>
      <c r="DF156" s="23"/>
      <c r="DG156" s="23"/>
      <c r="DH156" s="23"/>
      <c r="DI156" s="23">
        <v>2</v>
      </c>
      <c r="DJ156" s="23"/>
      <c r="DK156" s="23"/>
      <c r="DL156" s="23"/>
      <c r="DM156" s="23"/>
      <c r="DN156" s="23"/>
      <c r="DO156" s="23"/>
      <c r="DP156" s="23"/>
      <c r="DQ156" s="23"/>
      <c r="DR156" s="23"/>
      <c r="DS156" s="23"/>
      <c r="DT156" s="23"/>
      <c r="DU156" s="23"/>
      <c r="DV156" s="23"/>
      <c r="DW156" s="23"/>
      <c r="DX156" s="110">
        <f>SUM(CL156:DW156)</f>
        <v>2</v>
      </c>
    </row>
    <row r="157" spans="2:128" ht="16.5">
      <c r="B157" s="46">
        <v>146</v>
      </c>
      <c r="C157" s="20" t="s">
        <v>307</v>
      </c>
      <c r="D157" s="20" t="s">
        <v>233</v>
      </c>
      <c r="E157" s="20"/>
      <c r="F157" s="20" t="s">
        <v>104</v>
      </c>
      <c r="G157" s="23">
        <v>96</v>
      </c>
      <c r="H157" s="23">
        <v>7</v>
      </c>
      <c r="I157" s="109">
        <f t="shared" si="4"/>
        <v>672</v>
      </c>
      <c r="J157" s="109">
        <f t="shared" si="5"/>
        <v>672</v>
      </c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23"/>
      <c r="BB157" s="23"/>
      <c r="BC157" s="23"/>
      <c r="BD157" s="23"/>
      <c r="BE157" s="23"/>
      <c r="BF157" s="23"/>
      <c r="BG157" s="23"/>
      <c r="BH157" s="23"/>
      <c r="BI157" s="23"/>
      <c r="BJ157" s="23"/>
      <c r="BK157" s="23"/>
      <c r="BL157" s="23"/>
      <c r="BM157" s="23"/>
      <c r="BO157" s="23"/>
      <c r="BP157" s="23"/>
      <c r="BQ157" s="23"/>
      <c r="BR157" s="23"/>
      <c r="BS157" s="23"/>
      <c r="BT157" s="23"/>
      <c r="BU157" s="23"/>
      <c r="BV157" s="23"/>
      <c r="BW157" s="23"/>
      <c r="BX157" s="23"/>
      <c r="BY157" s="23"/>
      <c r="BZ157" s="23"/>
      <c r="CA157" s="23"/>
      <c r="CB157" s="23"/>
      <c r="CC157" s="23"/>
      <c r="CD157" s="23"/>
      <c r="CE157" s="23"/>
      <c r="CF157" s="23"/>
      <c r="CG157" s="23"/>
      <c r="CH157" s="23"/>
      <c r="CI157" s="23"/>
      <c r="CJ157" s="23"/>
      <c r="CK157" s="23"/>
      <c r="CL157" s="23"/>
      <c r="CM157" s="23"/>
      <c r="CN157" s="23"/>
      <c r="CO157" s="23"/>
      <c r="CP157" s="23"/>
      <c r="CQ157" s="23"/>
      <c r="CR157" s="23"/>
      <c r="CS157" s="23"/>
      <c r="CT157" s="23"/>
      <c r="CU157" s="23"/>
      <c r="CV157" s="23"/>
      <c r="CW157" s="23"/>
      <c r="CX157" s="23"/>
      <c r="CY157" s="23"/>
      <c r="CZ157" s="23">
        <v>2</v>
      </c>
      <c r="DA157" s="23"/>
      <c r="DB157" s="23"/>
      <c r="DC157" s="23"/>
      <c r="DD157" s="23"/>
      <c r="DE157" s="23"/>
      <c r="DF157" s="23"/>
      <c r="DG157" s="23"/>
      <c r="DH157" s="23"/>
      <c r="DI157" s="23"/>
      <c r="DJ157" s="23"/>
      <c r="DK157" s="23"/>
      <c r="DL157" s="23"/>
      <c r="DM157" s="23"/>
      <c r="DN157" s="23"/>
      <c r="DO157" s="23">
        <v>3</v>
      </c>
      <c r="DP157" s="23"/>
      <c r="DQ157" s="23">
        <v>1</v>
      </c>
      <c r="DR157" s="23">
        <v>1</v>
      </c>
      <c r="DS157" s="23"/>
      <c r="DT157" s="23"/>
      <c r="DU157" s="23"/>
      <c r="DV157" s="23"/>
      <c r="DW157" s="23"/>
      <c r="DX157" s="110">
        <f>SUM(CL157:DW157)</f>
        <v>7</v>
      </c>
    </row>
    <row r="158" spans="2:128" ht="16.5">
      <c r="B158" s="46">
        <v>147</v>
      </c>
      <c r="C158" s="20" t="s">
        <v>308</v>
      </c>
      <c r="D158" s="20" t="s">
        <v>152</v>
      </c>
      <c r="E158" s="20"/>
      <c r="F158" s="20" t="s">
        <v>309</v>
      </c>
      <c r="G158" s="23">
        <v>130</v>
      </c>
      <c r="H158" s="23">
        <v>2</v>
      </c>
      <c r="I158" s="109">
        <f t="shared" si="4"/>
        <v>260</v>
      </c>
      <c r="J158" s="109">
        <f t="shared" si="5"/>
        <v>260</v>
      </c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  <c r="BI158" s="23"/>
      <c r="BJ158" s="23"/>
      <c r="BK158" s="23"/>
      <c r="BL158" s="23"/>
      <c r="BM158" s="23"/>
      <c r="BO158" s="23"/>
      <c r="BP158" s="23"/>
      <c r="BQ158" s="23"/>
      <c r="BR158" s="23"/>
      <c r="BS158" s="2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  <c r="CE158" s="23"/>
      <c r="CF158" s="23"/>
      <c r="CG158" s="23"/>
      <c r="CH158" s="23"/>
      <c r="CI158" s="23"/>
      <c r="CJ158" s="23"/>
      <c r="CK158" s="23"/>
      <c r="CL158" s="23"/>
      <c r="CM158" s="23"/>
      <c r="CN158" s="23"/>
      <c r="CO158" s="23"/>
      <c r="CP158" s="23"/>
      <c r="CQ158" s="23"/>
      <c r="CR158" s="23"/>
      <c r="CS158" s="23"/>
      <c r="CT158" s="23"/>
      <c r="CU158" s="23"/>
      <c r="CV158" s="23"/>
      <c r="CW158" s="23"/>
      <c r="CX158" s="23"/>
      <c r="CY158" s="23"/>
      <c r="CZ158" s="23"/>
      <c r="DA158" s="23"/>
      <c r="DB158" s="23"/>
      <c r="DC158" s="23"/>
      <c r="DD158" s="23"/>
      <c r="DE158" s="23"/>
      <c r="DF158" s="23"/>
      <c r="DG158" s="23"/>
      <c r="DH158" s="23"/>
      <c r="DI158" s="23"/>
      <c r="DJ158" s="23"/>
      <c r="DK158" s="23"/>
      <c r="DL158" s="23"/>
      <c r="DM158" s="23"/>
      <c r="DN158" s="23"/>
      <c r="DO158" s="23">
        <v>2</v>
      </c>
      <c r="DP158" s="23"/>
      <c r="DQ158" s="23"/>
      <c r="DR158" s="23"/>
      <c r="DS158" s="23"/>
      <c r="DT158" s="23"/>
      <c r="DU158" s="23"/>
      <c r="DV158" s="23"/>
      <c r="DW158" s="23"/>
      <c r="DX158" s="110">
        <f>SUM(CL158:DW158)</f>
        <v>2</v>
      </c>
    </row>
    <row r="159" spans="2:128" ht="16.5">
      <c r="B159" s="46">
        <v>148</v>
      </c>
      <c r="C159" s="20" t="s">
        <v>310</v>
      </c>
      <c r="D159" s="20" t="s">
        <v>311</v>
      </c>
      <c r="E159" s="20"/>
      <c r="F159" s="20" t="s">
        <v>104</v>
      </c>
      <c r="G159" s="23">
        <v>21</v>
      </c>
      <c r="H159" s="23">
        <v>5</v>
      </c>
      <c r="I159" s="109">
        <f t="shared" si="4"/>
        <v>105</v>
      </c>
      <c r="J159" s="109">
        <f t="shared" si="5"/>
        <v>105</v>
      </c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  <c r="AX159" s="23"/>
      <c r="AY159" s="23"/>
      <c r="AZ159" s="23"/>
      <c r="BA159" s="23"/>
      <c r="BB159" s="23"/>
      <c r="BC159" s="23"/>
      <c r="BD159" s="23"/>
      <c r="BE159" s="23"/>
      <c r="BF159" s="23"/>
      <c r="BG159" s="23"/>
      <c r="BH159" s="23"/>
      <c r="BI159" s="23"/>
      <c r="BJ159" s="23"/>
      <c r="BK159" s="23"/>
      <c r="BL159" s="23"/>
      <c r="BM159" s="23"/>
      <c r="BO159" s="23"/>
      <c r="BP159" s="23"/>
      <c r="BQ159" s="23"/>
      <c r="BR159" s="23"/>
      <c r="BS159" s="23"/>
      <c r="BT159" s="23"/>
      <c r="BU159" s="23"/>
      <c r="BV159" s="23"/>
      <c r="BW159" s="23"/>
      <c r="BX159" s="23"/>
      <c r="BY159" s="23"/>
      <c r="BZ159" s="23"/>
      <c r="CA159" s="23"/>
      <c r="CB159" s="23"/>
      <c r="CC159" s="23"/>
      <c r="CD159" s="23"/>
      <c r="CE159" s="23"/>
      <c r="CF159" s="23"/>
      <c r="CG159" s="23"/>
      <c r="CH159" s="23"/>
      <c r="CI159" s="23"/>
      <c r="CJ159" s="23"/>
      <c r="CK159" s="23"/>
      <c r="CL159" s="23"/>
      <c r="CM159" s="23"/>
      <c r="CN159" s="23"/>
      <c r="CO159" s="23"/>
      <c r="CP159" s="23"/>
      <c r="CQ159" s="23"/>
      <c r="CR159" s="23"/>
      <c r="CS159" s="23"/>
      <c r="CT159" s="23"/>
      <c r="CU159" s="23"/>
      <c r="CV159" s="23"/>
      <c r="CW159" s="23"/>
      <c r="CX159" s="23"/>
      <c r="CY159" s="23"/>
      <c r="CZ159" s="23"/>
      <c r="DA159" s="23"/>
      <c r="DB159" s="23"/>
      <c r="DC159" s="23"/>
      <c r="DD159" s="23"/>
      <c r="DE159" s="23"/>
      <c r="DF159" s="23"/>
      <c r="DG159" s="23"/>
      <c r="DH159" s="23"/>
      <c r="DI159" s="23"/>
      <c r="DJ159" s="23"/>
      <c r="DK159" s="23"/>
      <c r="DL159" s="23"/>
      <c r="DM159" s="23"/>
      <c r="DN159" s="23"/>
      <c r="DO159" s="23"/>
      <c r="DP159" s="23">
        <v>5</v>
      </c>
      <c r="DQ159" s="23"/>
      <c r="DR159" s="23"/>
      <c r="DS159" s="23"/>
      <c r="DT159" s="23"/>
      <c r="DU159" s="23"/>
      <c r="DV159" s="23"/>
      <c r="DW159" s="23"/>
      <c r="DX159" s="110">
        <f>SUM(CL159:DW159)</f>
        <v>5</v>
      </c>
    </row>
    <row r="160" spans="2:128" ht="16.5">
      <c r="B160" s="46">
        <v>149</v>
      </c>
      <c r="C160" s="20" t="s">
        <v>218</v>
      </c>
      <c r="D160" s="20" t="s">
        <v>150</v>
      </c>
      <c r="E160" s="20" t="s">
        <v>143</v>
      </c>
      <c r="F160" s="20" t="s">
        <v>229</v>
      </c>
      <c r="G160" s="23">
        <v>31.25</v>
      </c>
      <c r="H160" s="23">
        <v>4</v>
      </c>
      <c r="I160" s="109">
        <f t="shared" si="4"/>
        <v>125</v>
      </c>
      <c r="J160" s="109">
        <f t="shared" si="5"/>
        <v>125</v>
      </c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23"/>
      <c r="BB160" s="23"/>
      <c r="BC160" s="23"/>
      <c r="BD160" s="23"/>
      <c r="BE160" s="23"/>
      <c r="BF160" s="23"/>
      <c r="BG160" s="23"/>
      <c r="BH160" s="23"/>
      <c r="BI160" s="23"/>
      <c r="BJ160" s="23"/>
      <c r="BK160" s="23"/>
      <c r="BL160" s="23"/>
      <c r="BM160" s="23"/>
      <c r="BO160" s="23"/>
      <c r="BP160" s="23"/>
      <c r="BQ160" s="23"/>
      <c r="BR160" s="23"/>
      <c r="BS160" s="23"/>
      <c r="BT160" s="23"/>
      <c r="BU160" s="23"/>
      <c r="BV160" s="23"/>
      <c r="BW160" s="23"/>
      <c r="BX160" s="23"/>
      <c r="BY160" s="23"/>
      <c r="BZ160" s="23"/>
      <c r="CA160" s="23"/>
      <c r="CB160" s="23"/>
      <c r="CC160" s="23"/>
      <c r="CD160" s="23"/>
      <c r="CE160" s="23"/>
      <c r="CF160" s="23"/>
      <c r="CG160" s="23"/>
      <c r="CH160" s="23"/>
      <c r="CI160" s="23"/>
      <c r="CJ160" s="23"/>
      <c r="CK160" s="23"/>
      <c r="CL160" s="23"/>
      <c r="CM160" s="23"/>
      <c r="CN160" s="23"/>
      <c r="CO160" s="23"/>
      <c r="CP160" s="23"/>
      <c r="CQ160" s="23"/>
      <c r="CR160" s="23"/>
      <c r="CS160" s="23"/>
      <c r="CT160" s="23"/>
      <c r="CU160" s="23"/>
      <c r="CV160" s="23"/>
      <c r="CW160" s="23"/>
      <c r="CX160" s="23"/>
      <c r="CY160" s="23"/>
      <c r="CZ160" s="23"/>
      <c r="DA160" s="23"/>
      <c r="DB160" s="23"/>
      <c r="DC160" s="23"/>
      <c r="DD160" s="23"/>
      <c r="DE160" s="23"/>
      <c r="DF160" s="23"/>
      <c r="DG160" s="23"/>
      <c r="DH160" s="23"/>
      <c r="DI160" s="23"/>
      <c r="DJ160" s="23"/>
      <c r="DK160" s="23"/>
      <c r="DL160" s="23"/>
      <c r="DM160" s="23"/>
      <c r="DN160" s="23"/>
      <c r="DO160" s="23"/>
      <c r="DP160" s="23">
        <v>4</v>
      </c>
      <c r="DQ160" s="23"/>
      <c r="DR160" s="23"/>
      <c r="DS160" s="23"/>
      <c r="DT160" s="23"/>
      <c r="DU160" s="23"/>
      <c r="DV160" s="23"/>
      <c r="DW160" s="23"/>
      <c r="DX160" s="110">
        <f>SUM(CL160:DW160)</f>
        <v>4</v>
      </c>
    </row>
    <row r="161" spans="2:128" ht="16.5">
      <c r="B161" s="46">
        <v>150</v>
      </c>
      <c r="C161" s="20" t="s">
        <v>312</v>
      </c>
      <c r="D161" s="20"/>
      <c r="E161" s="20" t="s">
        <v>195</v>
      </c>
      <c r="F161" s="20" t="s">
        <v>135</v>
      </c>
      <c r="G161" s="23">
        <v>71.3</v>
      </c>
      <c r="H161" s="23">
        <v>9</v>
      </c>
      <c r="I161" s="109">
        <f t="shared" si="4"/>
        <v>641.69999999999993</v>
      </c>
      <c r="J161" s="109">
        <f t="shared" si="5"/>
        <v>641.69999999999993</v>
      </c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  <c r="BI161" s="23"/>
      <c r="BJ161" s="23"/>
      <c r="BK161" s="23"/>
      <c r="BL161" s="23"/>
      <c r="BM161" s="23"/>
      <c r="BO161" s="23"/>
      <c r="BP161" s="23"/>
      <c r="BQ161" s="23"/>
      <c r="BR161" s="23"/>
      <c r="BS161" s="23"/>
      <c r="BT161" s="23"/>
      <c r="BU161" s="23"/>
      <c r="BV161" s="23"/>
      <c r="BW161" s="23"/>
      <c r="BX161" s="23"/>
      <c r="BY161" s="23"/>
      <c r="BZ161" s="23"/>
      <c r="CA161" s="23"/>
      <c r="CB161" s="23"/>
      <c r="CC161" s="23"/>
      <c r="CD161" s="23"/>
      <c r="CE161" s="23"/>
      <c r="CF161" s="23"/>
      <c r="CG161" s="23"/>
      <c r="CH161" s="23"/>
      <c r="CI161" s="23"/>
      <c r="CJ161" s="23"/>
      <c r="CK161" s="23"/>
      <c r="CL161" s="23"/>
      <c r="CM161" s="23"/>
      <c r="CN161" s="23"/>
      <c r="CO161" s="23"/>
      <c r="CP161" s="23"/>
      <c r="CQ161" s="23"/>
      <c r="CR161" s="23"/>
      <c r="CS161" s="23"/>
      <c r="CT161" s="23"/>
      <c r="CU161" s="23"/>
      <c r="CV161" s="23"/>
      <c r="CW161" s="23"/>
      <c r="CX161" s="23"/>
      <c r="CY161" s="23"/>
      <c r="CZ161" s="23"/>
      <c r="DA161" s="23"/>
      <c r="DB161" s="23"/>
      <c r="DC161" s="23"/>
      <c r="DD161" s="23"/>
      <c r="DE161" s="23"/>
      <c r="DF161" s="23"/>
      <c r="DG161" s="23"/>
      <c r="DH161" s="23"/>
      <c r="DI161" s="23"/>
      <c r="DJ161" s="23"/>
      <c r="DK161" s="23"/>
      <c r="DL161" s="23"/>
      <c r="DM161" s="23"/>
      <c r="DN161" s="23"/>
      <c r="DO161" s="23"/>
      <c r="DP161" s="23">
        <v>9</v>
      </c>
      <c r="DQ161" s="23"/>
      <c r="DR161" s="23"/>
      <c r="DS161" s="23"/>
      <c r="DT161" s="23"/>
      <c r="DU161" s="23"/>
      <c r="DV161" s="23"/>
      <c r="DW161" s="23"/>
      <c r="DX161" s="110">
        <f>SUM(CL161:DW161)</f>
        <v>9</v>
      </c>
    </row>
    <row r="162" spans="2:128" ht="16.5">
      <c r="B162" s="46">
        <v>151</v>
      </c>
      <c r="C162" s="20" t="s">
        <v>201</v>
      </c>
      <c r="D162" s="20" t="s">
        <v>123</v>
      </c>
      <c r="E162" s="20" t="s">
        <v>163</v>
      </c>
      <c r="F162" s="20" t="s">
        <v>229</v>
      </c>
      <c r="G162" s="23">
        <v>30</v>
      </c>
      <c r="H162" s="23">
        <v>3</v>
      </c>
      <c r="I162" s="109">
        <f t="shared" si="4"/>
        <v>90</v>
      </c>
      <c r="J162" s="109">
        <f t="shared" si="5"/>
        <v>90</v>
      </c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  <c r="AX162" s="23"/>
      <c r="AY162" s="23"/>
      <c r="AZ162" s="23"/>
      <c r="BA162" s="23"/>
      <c r="BB162" s="23"/>
      <c r="BC162" s="23"/>
      <c r="BD162" s="23"/>
      <c r="BE162" s="23"/>
      <c r="BF162" s="23"/>
      <c r="BG162" s="23"/>
      <c r="BH162" s="23"/>
      <c r="BI162" s="23"/>
      <c r="BJ162" s="23"/>
      <c r="BK162" s="23"/>
      <c r="BL162" s="23"/>
      <c r="BM162" s="23"/>
      <c r="BO162" s="23"/>
      <c r="BP162" s="23"/>
      <c r="BQ162" s="23"/>
      <c r="BR162" s="23"/>
      <c r="BS162" s="23"/>
      <c r="BT162" s="23"/>
      <c r="BU162" s="23"/>
      <c r="BV162" s="23"/>
      <c r="BW162" s="23"/>
      <c r="BX162" s="23"/>
      <c r="BY162" s="23"/>
      <c r="BZ162" s="23"/>
      <c r="CA162" s="23"/>
      <c r="CB162" s="23"/>
      <c r="CC162" s="23"/>
      <c r="CD162" s="23"/>
      <c r="CE162" s="23"/>
      <c r="CF162" s="23"/>
      <c r="CG162" s="23"/>
      <c r="CH162" s="23"/>
      <c r="CI162" s="23"/>
      <c r="CJ162" s="23"/>
      <c r="CK162" s="23"/>
      <c r="CL162" s="23"/>
      <c r="CM162" s="23"/>
      <c r="CN162" s="23"/>
      <c r="CO162" s="23"/>
      <c r="CP162" s="23"/>
      <c r="CQ162" s="23"/>
      <c r="CR162" s="23"/>
      <c r="CS162" s="23"/>
      <c r="CT162" s="23"/>
      <c r="CU162" s="23"/>
      <c r="CV162" s="23"/>
      <c r="CW162" s="23"/>
      <c r="CX162" s="23"/>
      <c r="CY162" s="23"/>
      <c r="CZ162" s="23">
        <v>1</v>
      </c>
      <c r="DA162" s="23"/>
      <c r="DB162" s="23"/>
      <c r="DC162" s="23"/>
      <c r="DD162" s="23"/>
      <c r="DE162" s="23"/>
      <c r="DF162" s="23"/>
      <c r="DG162" s="23"/>
      <c r="DH162" s="23"/>
      <c r="DI162" s="23"/>
      <c r="DJ162" s="23"/>
      <c r="DK162" s="23"/>
      <c r="DL162" s="23"/>
      <c r="DM162" s="23"/>
      <c r="DN162" s="23"/>
      <c r="DO162" s="23"/>
      <c r="DP162" s="23">
        <v>2</v>
      </c>
      <c r="DQ162" s="23"/>
      <c r="DR162" s="23"/>
      <c r="DS162" s="23"/>
      <c r="DT162" s="23"/>
      <c r="DU162" s="23"/>
      <c r="DV162" s="23"/>
      <c r="DW162" s="23"/>
      <c r="DX162" s="110">
        <f>SUM(CL162:DW162)</f>
        <v>3</v>
      </c>
    </row>
    <row r="163" spans="2:128" ht="16.5">
      <c r="B163" s="46">
        <v>152</v>
      </c>
      <c r="C163" s="20" t="s">
        <v>313</v>
      </c>
      <c r="D163" s="20" t="s">
        <v>150</v>
      </c>
      <c r="E163" s="20" t="s">
        <v>143</v>
      </c>
      <c r="F163" s="20" t="s">
        <v>229</v>
      </c>
      <c r="G163" s="23">
        <v>235</v>
      </c>
      <c r="H163" s="23">
        <v>2</v>
      </c>
      <c r="I163" s="109">
        <f t="shared" si="4"/>
        <v>470</v>
      </c>
      <c r="J163" s="109">
        <f t="shared" si="5"/>
        <v>470</v>
      </c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  <c r="AX163" s="23"/>
      <c r="AY163" s="23"/>
      <c r="AZ163" s="23"/>
      <c r="BA163" s="23"/>
      <c r="BB163" s="23"/>
      <c r="BC163" s="23"/>
      <c r="BD163" s="23"/>
      <c r="BE163" s="23"/>
      <c r="BF163" s="23"/>
      <c r="BG163" s="23"/>
      <c r="BH163" s="23"/>
      <c r="BI163" s="23"/>
      <c r="BJ163" s="23"/>
      <c r="BK163" s="23"/>
      <c r="BL163" s="23"/>
      <c r="BM163" s="23"/>
      <c r="BO163" s="23"/>
      <c r="BP163" s="23"/>
      <c r="BQ163" s="23"/>
      <c r="BR163" s="23"/>
      <c r="BS163" s="23"/>
      <c r="BT163" s="23"/>
      <c r="BU163" s="23"/>
      <c r="BV163" s="23"/>
      <c r="BW163" s="23"/>
      <c r="BX163" s="23"/>
      <c r="BY163" s="23"/>
      <c r="BZ163" s="23"/>
      <c r="CA163" s="23"/>
      <c r="CB163" s="23"/>
      <c r="CC163" s="23"/>
      <c r="CD163" s="23"/>
      <c r="CE163" s="23"/>
      <c r="CF163" s="23"/>
      <c r="CG163" s="23"/>
      <c r="CH163" s="23"/>
      <c r="CI163" s="23"/>
      <c r="CJ163" s="23"/>
      <c r="CK163" s="23"/>
      <c r="CL163" s="23"/>
      <c r="CM163" s="23"/>
      <c r="CN163" s="23"/>
      <c r="CO163" s="23"/>
      <c r="CP163" s="23"/>
      <c r="CQ163" s="23"/>
      <c r="CR163" s="23"/>
      <c r="CS163" s="23"/>
      <c r="CT163" s="23"/>
      <c r="CU163" s="23"/>
      <c r="CV163" s="23"/>
      <c r="CW163" s="23"/>
      <c r="CX163" s="23"/>
      <c r="CY163" s="23"/>
      <c r="CZ163" s="23"/>
      <c r="DA163" s="23"/>
      <c r="DB163" s="23"/>
      <c r="DC163" s="23"/>
      <c r="DD163" s="23"/>
      <c r="DE163" s="23"/>
      <c r="DF163" s="23"/>
      <c r="DG163" s="23"/>
      <c r="DH163" s="23"/>
      <c r="DI163" s="23"/>
      <c r="DJ163" s="23"/>
      <c r="DK163" s="23"/>
      <c r="DL163" s="23"/>
      <c r="DM163" s="23"/>
      <c r="DN163" s="23"/>
      <c r="DO163" s="23"/>
      <c r="DP163" s="23">
        <v>2</v>
      </c>
      <c r="DQ163" s="23"/>
      <c r="DR163" s="23"/>
      <c r="DS163" s="23"/>
      <c r="DT163" s="23"/>
      <c r="DU163" s="23"/>
      <c r="DV163" s="23"/>
      <c r="DW163" s="23"/>
      <c r="DX163" s="110">
        <f>SUM(CL163:DW163)</f>
        <v>2</v>
      </c>
    </row>
    <row r="164" spans="2:128" ht="16.5">
      <c r="B164" s="46">
        <v>153</v>
      </c>
      <c r="C164" s="20" t="s">
        <v>314</v>
      </c>
      <c r="D164" s="20" t="s">
        <v>315</v>
      </c>
      <c r="E164" s="20"/>
      <c r="F164" s="20" t="s">
        <v>104</v>
      </c>
      <c r="G164" s="23">
        <v>1200</v>
      </c>
      <c r="H164" s="23">
        <v>1</v>
      </c>
      <c r="I164" s="109">
        <f t="shared" si="4"/>
        <v>1200</v>
      </c>
      <c r="J164" s="109">
        <f t="shared" si="5"/>
        <v>1200</v>
      </c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  <c r="AX164" s="23"/>
      <c r="AY164" s="23"/>
      <c r="AZ164" s="23"/>
      <c r="BA164" s="23"/>
      <c r="BB164" s="23"/>
      <c r="BC164" s="23"/>
      <c r="BD164" s="23"/>
      <c r="BE164" s="23"/>
      <c r="BF164" s="23"/>
      <c r="BG164" s="23"/>
      <c r="BH164" s="23"/>
      <c r="BI164" s="23"/>
      <c r="BJ164" s="23"/>
      <c r="BK164" s="23"/>
      <c r="BL164" s="23"/>
      <c r="BM164" s="23"/>
      <c r="BO164" s="23"/>
      <c r="BP164" s="23"/>
      <c r="BQ164" s="23"/>
      <c r="BR164" s="23"/>
      <c r="BS164" s="23"/>
      <c r="BT164" s="23"/>
      <c r="BU164" s="23"/>
      <c r="BV164" s="23"/>
      <c r="BW164" s="23"/>
      <c r="BX164" s="23"/>
      <c r="BY164" s="23"/>
      <c r="BZ164" s="23"/>
      <c r="CA164" s="23"/>
      <c r="CB164" s="23"/>
      <c r="CC164" s="23"/>
      <c r="CD164" s="23"/>
      <c r="CE164" s="23"/>
      <c r="CF164" s="23"/>
      <c r="CG164" s="23"/>
      <c r="CH164" s="23"/>
      <c r="CI164" s="23"/>
      <c r="CJ164" s="23"/>
      <c r="CK164" s="23"/>
      <c r="CL164" s="23"/>
      <c r="CM164" s="23"/>
      <c r="CN164" s="23"/>
      <c r="CO164" s="23"/>
      <c r="CP164" s="23"/>
      <c r="CQ164" s="23"/>
      <c r="CR164" s="23"/>
      <c r="CS164" s="23"/>
      <c r="CT164" s="23"/>
      <c r="CU164" s="23"/>
      <c r="CV164" s="23"/>
      <c r="CW164" s="23"/>
      <c r="CX164" s="23"/>
      <c r="CY164" s="23"/>
      <c r="CZ164" s="23"/>
      <c r="DA164" s="23"/>
      <c r="DB164" s="23"/>
      <c r="DC164" s="23"/>
      <c r="DD164" s="23"/>
      <c r="DE164" s="23"/>
      <c r="DF164" s="23"/>
      <c r="DG164" s="23"/>
      <c r="DH164" s="23"/>
      <c r="DI164" s="23"/>
      <c r="DJ164" s="23"/>
      <c r="DK164" s="23"/>
      <c r="DL164" s="23"/>
      <c r="DM164" s="23"/>
      <c r="DN164" s="23"/>
      <c r="DO164" s="23">
        <v>1</v>
      </c>
      <c r="DP164" s="23"/>
      <c r="DQ164" s="23"/>
      <c r="DR164" s="23"/>
      <c r="DS164" s="23"/>
      <c r="DT164" s="23"/>
      <c r="DU164" s="23"/>
      <c r="DV164" s="23"/>
      <c r="DW164" s="23"/>
      <c r="DX164" s="110">
        <f>SUM(CL164:DW164)</f>
        <v>1</v>
      </c>
    </row>
    <row r="165" spans="2:128" ht="16.5">
      <c r="B165" s="46">
        <v>154</v>
      </c>
      <c r="C165" s="20" t="s">
        <v>122</v>
      </c>
      <c r="D165" s="20"/>
      <c r="E165" s="20"/>
      <c r="F165" s="20" t="s">
        <v>116</v>
      </c>
      <c r="G165" s="23">
        <v>120</v>
      </c>
      <c r="H165" s="23">
        <v>2</v>
      </c>
      <c r="I165" s="109">
        <f t="shared" si="4"/>
        <v>240</v>
      </c>
      <c r="J165" s="109">
        <f t="shared" si="5"/>
        <v>240</v>
      </c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23"/>
      <c r="BB165" s="23"/>
      <c r="BC165" s="23"/>
      <c r="BD165" s="23"/>
      <c r="BE165" s="23"/>
      <c r="BF165" s="23"/>
      <c r="BG165" s="23"/>
      <c r="BH165" s="23"/>
      <c r="BI165" s="23"/>
      <c r="BJ165" s="23"/>
      <c r="BK165" s="23"/>
      <c r="BL165" s="23"/>
      <c r="BM165" s="23"/>
      <c r="BO165" s="23"/>
      <c r="BP165" s="23"/>
      <c r="BQ165" s="23"/>
      <c r="BR165" s="23"/>
      <c r="BS165" s="23"/>
      <c r="BT165" s="23"/>
      <c r="BU165" s="23"/>
      <c r="BV165" s="23"/>
      <c r="BW165" s="23"/>
      <c r="BX165" s="23"/>
      <c r="BY165" s="23"/>
      <c r="BZ165" s="23"/>
      <c r="CA165" s="23"/>
      <c r="CB165" s="23"/>
      <c r="CC165" s="23"/>
      <c r="CD165" s="23"/>
      <c r="CE165" s="23"/>
      <c r="CF165" s="23"/>
      <c r="CG165" s="23"/>
      <c r="CH165" s="23"/>
      <c r="CI165" s="23"/>
      <c r="CJ165" s="23"/>
      <c r="CK165" s="23"/>
      <c r="CL165" s="23"/>
      <c r="CM165" s="23"/>
      <c r="CN165" s="23"/>
      <c r="CO165" s="23"/>
      <c r="CP165" s="23"/>
      <c r="CQ165" s="23"/>
      <c r="CR165" s="23"/>
      <c r="CS165" s="23"/>
      <c r="CT165" s="23"/>
      <c r="CU165" s="23"/>
      <c r="CV165" s="23"/>
      <c r="CW165" s="23"/>
      <c r="CX165" s="23"/>
      <c r="CY165" s="23"/>
      <c r="CZ165" s="23"/>
      <c r="DA165" s="23"/>
      <c r="DB165" s="23"/>
      <c r="DC165" s="23"/>
      <c r="DD165" s="23"/>
      <c r="DE165" s="23"/>
      <c r="DF165" s="23"/>
      <c r="DG165" s="23"/>
      <c r="DH165" s="23"/>
      <c r="DI165" s="23"/>
      <c r="DJ165" s="23"/>
      <c r="DK165" s="23"/>
      <c r="DL165" s="23"/>
      <c r="DM165" s="23"/>
      <c r="DN165" s="23"/>
      <c r="DO165" s="23"/>
      <c r="DP165" s="23"/>
      <c r="DQ165" s="23">
        <v>2</v>
      </c>
      <c r="DR165" s="23"/>
      <c r="DS165" s="23"/>
      <c r="DT165" s="23"/>
      <c r="DU165" s="23"/>
      <c r="DV165" s="23"/>
      <c r="DW165" s="23"/>
      <c r="DX165" s="110">
        <f>SUM(CL165:DW165)</f>
        <v>2</v>
      </c>
    </row>
    <row r="166" spans="2:128" ht="16.5">
      <c r="B166" s="46">
        <v>155</v>
      </c>
      <c r="C166" s="20" t="s">
        <v>280</v>
      </c>
      <c r="D166" s="20" t="s">
        <v>209</v>
      </c>
      <c r="E166" s="20"/>
      <c r="F166" s="20" t="s">
        <v>93</v>
      </c>
      <c r="G166" s="23">
        <v>12.5</v>
      </c>
      <c r="H166" s="23">
        <v>18</v>
      </c>
      <c r="I166" s="109">
        <f t="shared" si="4"/>
        <v>225</v>
      </c>
      <c r="J166" s="109">
        <f t="shared" si="5"/>
        <v>225</v>
      </c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  <c r="AX166" s="23"/>
      <c r="AY166" s="23"/>
      <c r="AZ166" s="23"/>
      <c r="BA166" s="23"/>
      <c r="BB166" s="23"/>
      <c r="BC166" s="23"/>
      <c r="BD166" s="23"/>
      <c r="BE166" s="23"/>
      <c r="BF166" s="23"/>
      <c r="BG166" s="23"/>
      <c r="BH166" s="23"/>
      <c r="BI166" s="23"/>
      <c r="BJ166" s="23"/>
      <c r="BK166" s="23"/>
      <c r="BL166" s="23"/>
      <c r="BM166" s="23"/>
      <c r="BO166" s="23"/>
      <c r="BP166" s="23"/>
      <c r="BQ166" s="23"/>
      <c r="BR166" s="23"/>
      <c r="BS166" s="23"/>
      <c r="BT166" s="23"/>
      <c r="BU166" s="23"/>
      <c r="BV166" s="23"/>
      <c r="BW166" s="23"/>
      <c r="BX166" s="23"/>
      <c r="BY166" s="23"/>
      <c r="BZ166" s="23"/>
      <c r="CA166" s="23"/>
      <c r="CB166" s="23"/>
      <c r="CC166" s="23"/>
      <c r="CD166" s="23"/>
      <c r="CE166" s="23"/>
      <c r="CF166" s="23"/>
      <c r="CG166" s="23"/>
      <c r="CH166" s="23"/>
      <c r="CI166" s="23"/>
      <c r="CJ166" s="23"/>
      <c r="CK166" s="23"/>
      <c r="CL166" s="23"/>
      <c r="CM166" s="23"/>
      <c r="CN166" s="23"/>
      <c r="CO166" s="23"/>
      <c r="CP166" s="23"/>
      <c r="CQ166" s="23"/>
      <c r="CR166" s="23"/>
      <c r="CS166" s="23"/>
      <c r="CT166" s="23"/>
      <c r="CU166" s="23"/>
      <c r="CV166" s="23"/>
      <c r="CW166" s="23"/>
      <c r="CX166" s="23"/>
      <c r="CY166" s="23"/>
      <c r="CZ166" s="23">
        <v>9</v>
      </c>
      <c r="DA166" s="23"/>
      <c r="DB166" s="23"/>
      <c r="DC166" s="23"/>
      <c r="DD166" s="23"/>
      <c r="DE166" s="23"/>
      <c r="DF166" s="23"/>
      <c r="DG166" s="23"/>
      <c r="DH166" s="23"/>
      <c r="DI166" s="23"/>
      <c r="DJ166" s="23"/>
      <c r="DK166" s="23"/>
      <c r="DL166" s="23"/>
      <c r="DM166" s="23"/>
      <c r="DN166" s="23"/>
      <c r="DO166" s="23">
        <v>9</v>
      </c>
      <c r="DP166" s="23"/>
      <c r="DQ166" s="23"/>
      <c r="DR166" s="23"/>
      <c r="DS166" s="23"/>
      <c r="DT166" s="23"/>
      <c r="DU166" s="23"/>
      <c r="DV166" s="23"/>
      <c r="DW166" s="23"/>
      <c r="DX166" s="110">
        <f>SUM(CL166:DW166)</f>
        <v>18</v>
      </c>
    </row>
    <row r="167" spans="2:128" ht="16.5">
      <c r="B167" s="46">
        <v>156</v>
      </c>
      <c r="C167" s="20" t="s">
        <v>316</v>
      </c>
      <c r="D167" s="20" t="s">
        <v>114</v>
      </c>
      <c r="E167" s="20"/>
      <c r="F167" s="20" t="s">
        <v>317</v>
      </c>
      <c r="G167" s="23">
        <v>50</v>
      </c>
      <c r="H167" s="23">
        <v>21</v>
      </c>
      <c r="I167" s="109">
        <f t="shared" si="4"/>
        <v>1050</v>
      </c>
      <c r="J167" s="109">
        <f t="shared" si="5"/>
        <v>1050</v>
      </c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  <c r="AX167" s="23"/>
      <c r="AY167" s="23"/>
      <c r="AZ167" s="23"/>
      <c r="BA167" s="23"/>
      <c r="BB167" s="23"/>
      <c r="BC167" s="23"/>
      <c r="BD167" s="23"/>
      <c r="BE167" s="23"/>
      <c r="BF167" s="23"/>
      <c r="BG167" s="23"/>
      <c r="BH167" s="23"/>
      <c r="BI167" s="23"/>
      <c r="BJ167" s="23"/>
      <c r="BK167" s="23"/>
      <c r="BL167" s="23"/>
      <c r="BM167" s="23"/>
      <c r="BO167" s="23"/>
      <c r="BP167" s="23"/>
      <c r="BQ167" s="23"/>
      <c r="BR167" s="23"/>
      <c r="BS167" s="23"/>
      <c r="BT167" s="23"/>
      <c r="BU167" s="23"/>
      <c r="BV167" s="23"/>
      <c r="BW167" s="23"/>
      <c r="BX167" s="23"/>
      <c r="BY167" s="23"/>
      <c r="BZ167" s="23"/>
      <c r="CA167" s="23"/>
      <c r="CB167" s="23"/>
      <c r="CC167" s="23"/>
      <c r="CD167" s="23"/>
      <c r="CE167" s="23"/>
      <c r="CF167" s="23"/>
      <c r="CG167" s="23"/>
      <c r="CH167" s="23"/>
      <c r="CI167" s="23"/>
      <c r="CJ167" s="23"/>
      <c r="CK167" s="23"/>
      <c r="CL167" s="23"/>
      <c r="CM167" s="23"/>
      <c r="CN167" s="23"/>
      <c r="CO167" s="23"/>
      <c r="CP167" s="23"/>
      <c r="CQ167" s="23"/>
      <c r="CR167" s="23"/>
      <c r="CS167" s="23"/>
      <c r="CT167" s="23"/>
      <c r="CU167" s="23"/>
      <c r="CV167" s="23"/>
      <c r="CW167" s="23"/>
      <c r="CX167" s="23"/>
      <c r="CY167" s="23"/>
      <c r="CZ167" s="23">
        <v>1</v>
      </c>
      <c r="DA167" s="23"/>
      <c r="DB167" s="23"/>
      <c r="DC167" s="23"/>
      <c r="DD167" s="23"/>
      <c r="DE167" s="23"/>
      <c r="DF167" s="23"/>
      <c r="DG167" s="23"/>
      <c r="DH167" s="23"/>
      <c r="DI167" s="23"/>
      <c r="DJ167" s="23"/>
      <c r="DK167" s="23"/>
      <c r="DL167" s="23"/>
      <c r="DM167" s="23"/>
      <c r="DN167" s="23"/>
      <c r="DO167" s="23"/>
      <c r="DP167" s="23"/>
      <c r="DQ167" s="23">
        <v>20</v>
      </c>
      <c r="DR167" s="23"/>
      <c r="DS167" s="23"/>
      <c r="DT167" s="23"/>
      <c r="DU167" s="23"/>
      <c r="DV167" s="23"/>
      <c r="DW167" s="23"/>
      <c r="DX167" s="110">
        <f>SUM(CL167:DW167)</f>
        <v>21</v>
      </c>
    </row>
    <row r="168" spans="2:128" ht="16.5">
      <c r="B168" s="46">
        <v>157</v>
      </c>
      <c r="C168" s="20" t="s">
        <v>244</v>
      </c>
      <c r="D168" s="20" t="s">
        <v>114</v>
      </c>
      <c r="E168" s="20"/>
      <c r="F168" s="20" t="s">
        <v>93</v>
      </c>
      <c r="G168" s="23">
        <v>2.5</v>
      </c>
      <c r="H168" s="23">
        <v>18</v>
      </c>
      <c r="I168" s="109">
        <f t="shared" si="4"/>
        <v>45</v>
      </c>
      <c r="J168" s="109">
        <f t="shared" si="5"/>
        <v>45</v>
      </c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  <c r="AX168" s="23"/>
      <c r="AY168" s="23"/>
      <c r="AZ168" s="23"/>
      <c r="BA168" s="23"/>
      <c r="BB168" s="23"/>
      <c r="BC168" s="23"/>
      <c r="BD168" s="23"/>
      <c r="BE168" s="23"/>
      <c r="BF168" s="23"/>
      <c r="BG168" s="23"/>
      <c r="BH168" s="23"/>
      <c r="BI168" s="23"/>
      <c r="BJ168" s="23"/>
      <c r="BK168" s="23"/>
      <c r="BL168" s="23"/>
      <c r="BM168" s="23"/>
      <c r="BO168" s="23"/>
      <c r="BP168" s="23"/>
      <c r="BQ168" s="23"/>
      <c r="BR168" s="23"/>
      <c r="BS168" s="23"/>
      <c r="BT168" s="23"/>
      <c r="BU168" s="23"/>
      <c r="BV168" s="23"/>
      <c r="BW168" s="23"/>
      <c r="BX168" s="23"/>
      <c r="BY168" s="23"/>
      <c r="BZ168" s="23"/>
      <c r="CA168" s="23"/>
      <c r="CB168" s="23"/>
      <c r="CC168" s="23"/>
      <c r="CD168" s="23"/>
      <c r="CE168" s="23"/>
      <c r="CF168" s="23"/>
      <c r="CG168" s="23"/>
      <c r="CH168" s="23"/>
      <c r="CI168" s="23"/>
      <c r="CJ168" s="23"/>
      <c r="CK168" s="23"/>
      <c r="CL168" s="23"/>
      <c r="CM168" s="23"/>
      <c r="CN168" s="23"/>
      <c r="CO168" s="23"/>
      <c r="CP168" s="23"/>
      <c r="CQ168" s="23"/>
      <c r="CR168" s="23"/>
      <c r="CS168" s="23"/>
      <c r="CT168" s="23"/>
      <c r="CU168" s="23"/>
      <c r="CV168" s="23"/>
      <c r="CW168" s="23"/>
      <c r="CX168" s="23"/>
      <c r="CY168" s="23"/>
      <c r="CZ168" s="23"/>
      <c r="DA168" s="23"/>
      <c r="DB168" s="23"/>
      <c r="DC168" s="23"/>
      <c r="DD168" s="23"/>
      <c r="DE168" s="23"/>
      <c r="DF168" s="23"/>
      <c r="DG168" s="23"/>
      <c r="DH168" s="23"/>
      <c r="DI168" s="23"/>
      <c r="DJ168" s="23"/>
      <c r="DK168" s="23"/>
      <c r="DL168" s="23"/>
      <c r="DM168" s="23"/>
      <c r="DN168" s="23"/>
      <c r="DO168" s="23">
        <v>9</v>
      </c>
      <c r="DP168" s="23">
        <v>9</v>
      </c>
      <c r="DQ168" s="23"/>
      <c r="DR168" s="23"/>
      <c r="DS168" s="23"/>
      <c r="DT168" s="23"/>
      <c r="DU168" s="23"/>
      <c r="DV168" s="23"/>
      <c r="DW168" s="23"/>
      <c r="DX168" s="110">
        <f>SUM(CL168:DW168)</f>
        <v>18</v>
      </c>
    </row>
    <row r="169" spans="2:128" ht="16.5">
      <c r="B169" s="46">
        <v>158</v>
      </c>
      <c r="C169" s="20" t="s">
        <v>318</v>
      </c>
      <c r="D169" s="20" t="s">
        <v>319</v>
      </c>
      <c r="E169" s="20"/>
      <c r="F169" s="20" t="s">
        <v>93</v>
      </c>
      <c r="G169" s="23">
        <v>53</v>
      </c>
      <c r="H169" s="23">
        <v>14</v>
      </c>
      <c r="I169" s="109">
        <f t="shared" si="4"/>
        <v>742</v>
      </c>
      <c r="J169" s="109">
        <f t="shared" si="5"/>
        <v>742</v>
      </c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  <c r="BI169" s="23"/>
      <c r="BJ169" s="23"/>
      <c r="BK169" s="23"/>
      <c r="BL169" s="23"/>
      <c r="BM169" s="23"/>
      <c r="BO169" s="23"/>
      <c r="BP169" s="23"/>
      <c r="BQ169" s="23"/>
      <c r="BR169" s="23"/>
      <c r="BS169" s="23"/>
      <c r="BT169" s="23"/>
      <c r="BU169" s="23"/>
      <c r="BV169" s="23"/>
      <c r="BW169" s="23"/>
      <c r="BX169" s="23"/>
      <c r="BY169" s="23"/>
      <c r="BZ169" s="23"/>
      <c r="CA169" s="23"/>
      <c r="CB169" s="23"/>
      <c r="CC169" s="23"/>
      <c r="CD169" s="23"/>
      <c r="CE169" s="23"/>
      <c r="CF169" s="23"/>
      <c r="CG169" s="23"/>
      <c r="CH169" s="23"/>
      <c r="CI169" s="23"/>
      <c r="CJ169" s="23"/>
      <c r="CK169" s="23"/>
      <c r="CL169" s="23"/>
      <c r="CM169" s="23"/>
      <c r="CN169" s="23"/>
      <c r="CO169" s="23"/>
      <c r="CP169" s="23"/>
      <c r="CQ169" s="23"/>
      <c r="CR169" s="23"/>
      <c r="CS169" s="23"/>
      <c r="CT169" s="23"/>
      <c r="CU169" s="23"/>
      <c r="CV169" s="23"/>
      <c r="CW169" s="23"/>
      <c r="CX169" s="23"/>
      <c r="CY169" s="23"/>
      <c r="CZ169" s="23"/>
      <c r="DA169" s="23"/>
      <c r="DB169" s="23"/>
      <c r="DC169" s="23"/>
      <c r="DD169" s="23"/>
      <c r="DE169" s="23"/>
      <c r="DF169" s="23"/>
      <c r="DG169" s="23"/>
      <c r="DH169" s="23"/>
      <c r="DI169" s="23"/>
      <c r="DJ169" s="23"/>
      <c r="DK169" s="23"/>
      <c r="DL169" s="23"/>
      <c r="DM169" s="23"/>
      <c r="DN169" s="23"/>
      <c r="DO169" s="23">
        <v>14</v>
      </c>
      <c r="DP169" s="23"/>
      <c r="DQ169" s="23"/>
      <c r="DR169" s="23"/>
      <c r="DS169" s="23"/>
      <c r="DT169" s="23"/>
      <c r="DU169" s="23"/>
      <c r="DV169" s="23"/>
      <c r="DW169" s="23"/>
      <c r="DX169" s="110">
        <f>SUM(CL169:DW169)</f>
        <v>14</v>
      </c>
    </row>
    <row r="170" spans="2:128" ht="16.5">
      <c r="B170" s="46">
        <v>159</v>
      </c>
      <c r="C170" s="20" t="s">
        <v>320</v>
      </c>
      <c r="D170" s="20" t="s">
        <v>321</v>
      </c>
      <c r="E170" s="20"/>
      <c r="F170" s="20" t="s">
        <v>93</v>
      </c>
      <c r="G170" s="23">
        <v>9.5</v>
      </c>
      <c r="H170" s="23">
        <v>10</v>
      </c>
      <c r="I170" s="109">
        <f t="shared" si="4"/>
        <v>95</v>
      </c>
      <c r="J170" s="109">
        <f t="shared" si="5"/>
        <v>95</v>
      </c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  <c r="BC170" s="23"/>
      <c r="BD170" s="23"/>
      <c r="BE170" s="23"/>
      <c r="BF170" s="23"/>
      <c r="BG170" s="23"/>
      <c r="BH170" s="23"/>
      <c r="BI170" s="23"/>
      <c r="BJ170" s="23"/>
      <c r="BK170" s="23"/>
      <c r="BL170" s="23"/>
      <c r="BM170" s="23"/>
      <c r="BO170" s="23"/>
      <c r="BP170" s="23"/>
      <c r="BQ170" s="23"/>
      <c r="BR170" s="23"/>
      <c r="BS170" s="23"/>
      <c r="BT170" s="23"/>
      <c r="BU170" s="23"/>
      <c r="BV170" s="23"/>
      <c r="BW170" s="23"/>
      <c r="BX170" s="23"/>
      <c r="BY170" s="23"/>
      <c r="BZ170" s="23"/>
      <c r="CA170" s="23"/>
      <c r="CB170" s="23"/>
      <c r="CC170" s="23"/>
      <c r="CD170" s="23"/>
      <c r="CE170" s="23"/>
      <c r="CF170" s="23"/>
      <c r="CG170" s="23"/>
      <c r="CH170" s="23"/>
      <c r="CI170" s="23"/>
      <c r="CJ170" s="23"/>
      <c r="CK170" s="23"/>
      <c r="CL170" s="23"/>
      <c r="CM170" s="23"/>
      <c r="CN170" s="23"/>
      <c r="CO170" s="23"/>
      <c r="CP170" s="23"/>
      <c r="CQ170" s="23"/>
      <c r="CR170" s="23"/>
      <c r="CS170" s="23"/>
      <c r="CT170" s="23"/>
      <c r="CU170" s="23"/>
      <c r="CV170" s="23"/>
      <c r="CW170" s="23"/>
      <c r="CX170" s="23"/>
      <c r="CY170" s="23"/>
      <c r="CZ170" s="23"/>
      <c r="DA170" s="23"/>
      <c r="DB170" s="23"/>
      <c r="DC170" s="23"/>
      <c r="DD170" s="23"/>
      <c r="DE170" s="23"/>
      <c r="DF170" s="23"/>
      <c r="DG170" s="23"/>
      <c r="DH170" s="23"/>
      <c r="DI170" s="23"/>
      <c r="DJ170" s="23"/>
      <c r="DK170" s="23"/>
      <c r="DL170" s="23"/>
      <c r="DM170" s="23"/>
      <c r="DN170" s="23"/>
      <c r="DO170" s="23">
        <v>10</v>
      </c>
      <c r="DP170" s="23"/>
      <c r="DQ170" s="23"/>
      <c r="DR170" s="23"/>
      <c r="DS170" s="23"/>
      <c r="DT170" s="23"/>
      <c r="DU170" s="23"/>
      <c r="DV170" s="23"/>
      <c r="DW170" s="23"/>
      <c r="DX170" s="110">
        <f>SUM(CL170:DW170)</f>
        <v>10</v>
      </c>
    </row>
    <row r="171" spans="2:128" ht="16.5">
      <c r="B171" s="46">
        <v>160</v>
      </c>
      <c r="C171" s="20" t="s">
        <v>330</v>
      </c>
      <c r="D171" s="20" t="s">
        <v>145</v>
      </c>
      <c r="E171" s="20"/>
      <c r="F171" s="20" t="s">
        <v>93</v>
      </c>
      <c r="G171" s="23">
        <v>45</v>
      </c>
      <c r="H171" s="23">
        <v>26</v>
      </c>
      <c r="I171" s="109">
        <f t="shared" si="4"/>
        <v>1170</v>
      </c>
      <c r="J171" s="109">
        <f t="shared" si="5"/>
        <v>1170</v>
      </c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23"/>
      <c r="BH171" s="23"/>
      <c r="BI171" s="23"/>
      <c r="BJ171" s="23"/>
      <c r="BK171" s="23"/>
      <c r="BL171" s="23"/>
      <c r="BM171" s="23"/>
      <c r="BO171" s="23"/>
      <c r="BP171" s="23"/>
      <c r="BQ171" s="23"/>
      <c r="BR171" s="23"/>
      <c r="BS171" s="23"/>
      <c r="BT171" s="23"/>
      <c r="BU171" s="23"/>
      <c r="BV171" s="23"/>
      <c r="BW171" s="23"/>
      <c r="BX171" s="23"/>
      <c r="BY171" s="23"/>
      <c r="BZ171" s="23"/>
      <c r="CA171" s="23"/>
      <c r="CB171" s="23"/>
      <c r="CC171" s="23"/>
      <c r="CD171" s="23"/>
      <c r="CE171" s="23"/>
      <c r="CF171" s="23"/>
      <c r="CG171" s="23"/>
      <c r="CH171" s="23"/>
      <c r="CI171" s="23"/>
      <c r="CJ171" s="23"/>
      <c r="CK171" s="23"/>
      <c r="CL171" s="23"/>
      <c r="CM171" s="23"/>
      <c r="CN171" s="23"/>
      <c r="CO171" s="23"/>
      <c r="CP171" s="23"/>
      <c r="CQ171" s="23"/>
      <c r="CR171" s="23"/>
      <c r="CS171" s="23"/>
      <c r="CT171" s="23"/>
      <c r="CU171" s="23"/>
      <c r="CV171" s="23"/>
      <c r="CW171" s="23"/>
      <c r="CX171" s="23"/>
      <c r="CY171" s="23"/>
      <c r="CZ171" s="23"/>
      <c r="DA171" s="23"/>
      <c r="DB171" s="23"/>
      <c r="DC171" s="23"/>
      <c r="DD171" s="23"/>
      <c r="DE171" s="23"/>
      <c r="DF171" s="23"/>
      <c r="DG171" s="23"/>
      <c r="DH171" s="23"/>
      <c r="DI171" s="23"/>
      <c r="DJ171" s="23"/>
      <c r="DK171" s="23"/>
      <c r="DL171" s="23"/>
      <c r="DM171" s="23"/>
      <c r="DN171" s="23"/>
      <c r="DO171" s="23">
        <v>26</v>
      </c>
      <c r="DP171" s="23"/>
      <c r="DQ171" s="23"/>
      <c r="DR171" s="23"/>
      <c r="DS171" s="23"/>
      <c r="DT171" s="23"/>
      <c r="DU171" s="23"/>
      <c r="DV171" s="23"/>
      <c r="DW171" s="23"/>
      <c r="DX171" s="110">
        <f>SUM(CL171:DW171)</f>
        <v>26</v>
      </c>
    </row>
    <row r="172" spans="2:128" ht="16.5">
      <c r="B172" s="46">
        <v>161</v>
      </c>
      <c r="C172" s="20" t="s">
        <v>323</v>
      </c>
      <c r="D172" s="20" t="s">
        <v>145</v>
      </c>
      <c r="E172" s="20"/>
      <c r="F172" s="20" t="s">
        <v>146</v>
      </c>
      <c r="G172" s="23">
        <v>3.5</v>
      </c>
      <c r="H172" s="23">
        <v>3</v>
      </c>
      <c r="I172" s="109">
        <f t="shared" si="4"/>
        <v>10.5</v>
      </c>
      <c r="J172" s="109">
        <f t="shared" si="5"/>
        <v>10.5</v>
      </c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23"/>
      <c r="BB172" s="23"/>
      <c r="BC172" s="23"/>
      <c r="BD172" s="23"/>
      <c r="BE172" s="23"/>
      <c r="BF172" s="23"/>
      <c r="BG172" s="23"/>
      <c r="BH172" s="23"/>
      <c r="BI172" s="23"/>
      <c r="BJ172" s="23"/>
      <c r="BK172" s="23"/>
      <c r="BL172" s="23"/>
      <c r="BM172" s="23"/>
      <c r="BO172" s="23"/>
      <c r="BP172" s="23"/>
      <c r="BQ172" s="23"/>
      <c r="BR172" s="23"/>
      <c r="BS172" s="23"/>
      <c r="BT172" s="23"/>
      <c r="BU172" s="23"/>
      <c r="BV172" s="23"/>
      <c r="BW172" s="23"/>
      <c r="BX172" s="23"/>
      <c r="BY172" s="23"/>
      <c r="BZ172" s="23"/>
      <c r="CA172" s="23"/>
      <c r="CB172" s="23"/>
      <c r="CC172" s="23"/>
      <c r="CD172" s="23"/>
      <c r="CE172" s="23"/>
      <c r="CF172" s="23"/>
      <c r="CG172" s="23"/>
      <c r="CH172" s="23"/>
      <c r="CI172" s="23"/>
      <c r="CJ172" s="23"/>
      <c r="CK172" s="23"/>
      <c r="CL172" s="23"/>
      <c r="CM172" s="23"/>
      <c r="CN172" s="23"/>
      <c r="CO172" s="23"/>
      <c r="CP172" s="23"/>
      <c r="CQ172" s="23"/>
      <c r="CR172" s="23"/>
      <c r="CS172" s="23"/>
      <c r="CT172" s="23"/>
      <c r="CU172" s="23"/>
      <c r="CV172" s="23"/>
      <c r="CW172" s="23"/>
      <c r="CX172" s="23"/>
      <c r="CY172" s="23"/>
      <c r="CZ172" s="23">
        <v>3</v>
      </c>
      <c r="DA172" s="23"/>
      <c r="DB172" s="23"/>
      <c r="DC172" s="23"/>
      <c r="DD172" s="23"/>
      <c r="DE172" s="23"/>
      <c r="DF172" s="23"/>
      <c r="DG172" s="23"/>
      <c r="DH172" s="23"/>
      <c r="DI172" s="23"/>
      <c r="DJ172" s="23"/>
      <c r="DK172" s="23"/>
      <c r="DL172" s="23"/>
      <c r="DM172" s="23"/>
      <c r="DN172" s="23"/>
      <c r="DO172" s="23"/>
      <c r="DP172" s="23"/>
      <c r="DQ172" s="23"/>
      <c r="DR172" s="23"/>
      <c r="DS172" s="23"/>
      <c r="DT172" s="23"/>
      <c r="DU172" s="23"/>
      <c r="DV172" s="23"/>
      <c r="DW172" s="23"/>
      <c r="DX172" s="110">
        <f>SUM(CL172:DW172)</f>
        <v>3</v>
      </c>
    </row>
    <row r="173" spans="2:128" ht="16.5">
      <c r="B173" s="46">
        <v>162</v>
      </c>
      <c r="C173" s="20" t="s">
        <v>273</v>
      </c>
      <c r="D173" s="20" t="s">
        <v>324</v>
      </c>
      <c r="E173" s="20"/>
      <c r="F173" s="20" t="s">
        <v>93</v>
      </c>
      <c r="G173" s="23">
        <v>8</v>
      </c>
      <c r="H173" s="23">
        <v>5</v>
      </c>
      <c r="I173" s="109">
        <f t="shared" si="4"/>
        <v>40</v>
      </c>
      <c r="J173" s="109">
        <f t="shared" si="5"/>
        <v>40</v>
      </c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23"/>
      <c r="BB173" s="23"/>
      <c r="BC173" s="23"/>
      <c r="BD173" s="23"/>
      <c r="BE173" s="23"/>
      <c r="BF173" s="23"/>
      <c r="BG173" s="23"/>
      <c r="BH173" s="23"/>
      <c r="BI173" s="23"/>
      <c r="BJ173" s="23"/>
      <c r="BK173" s="23"/>
      <c r="BL173" s="23"/>
      <c r="BM173" s="23"/>
      <c r="BO173" s="23"/>
      <c r="BP173" s="23"/>
      <c r="BQ173" s="23"/>
      <c r="BR173" s="23"/>
      <c r="BS173" s="23"/>
      <c r="BT173" s="23"/>
      <c r="BU173" s="23"/>
      <c r="BV173" s="23"/>
      <c r="BW173" s="23"/>
      <c r="BX173" s="23"/>
      <c r="BY173" s="23"/>
      <c r="BZ173" s="23"/>
      <c r="CA173" s="23"/>
      <c r="CB173" s="23"/>
      <c r="CC173" s="23"/>
      <c r="CD173" s="23"/>
      <c r="CE173" s="23"/>
      <c r="CF173" s="23"/>
      <c r="CG173" s="23"/>
      <c r="CH173" s="23"/>
      <c r="CI173" s="23"/>
      <c r="CJ173" s="23"/>
      <c r="CK173" s="23"/>
      <c r="CL173" s="23"/>
      <c r="CM173" s="23"/>
      <c r="CN173" s="23"/>
      <c r="CO173" s="23"/>
      <c r="CP173" s="23"/>
      <c r="CQ173" s="23"/>
      <c r="CR173" s="23"/>
      <c r="CS173" s="23"/>
      <c r="CT173" s="23"/>
      <c r="CU173" s="23"/>
      <c r="CV173" s="23"/>
      <c r="CW173" s="23"/>
      <c r="CX173" s="23"/>
      <c r="CY173" s="23"/>
      <c r="CZ173" s="23"/>
      <c r="DA173" s="23"/>
      <c r="DB173" s="23"/>
      <c r="DC173" s="23"/>
      <c r="DD173" s="23"/>
      <c r="DE173" s="23"/>
      <c r="DF173" s="23"/>
      <c r="DG173" s="23"/>
      <c r="DH173" s="23"/>
      <c r="DI173" s="23"/>
      <c r="DJ173" s="23"/>
      <c r="DK173" s="23"/>
      <c r="DL173" s="23"/>
      <c r="DM173" s="23"/>
      <c r="DN173" s="23"/>
      <c r="DO173" s="23"/>
      <c r="DP173" s="23"/>
      <c r="DQ173" s="23"/>
      <c r="DR173" s="23">
        <v>5</v>
      </c>
      <c r="DS173" s="23"/>
      <c r="DT173" s="23"/>
      <c r="DU173" s="23"/>
      <c r="DV173" s="23"/>
      <c r="DW173" s="23"/>
      <c r="DX173" s="110">
        <f>SUM(CL173:DW173)</f>
        <v>5</v>
      </c>
    </row>
    <row r="174" spans="2:128" ht="33">
      <c r="B174" s="46">
        <v>163</v>
      </c>
      <c r="C174" s="20" t="s">
        <v>292</v>
      </c>
      <c r="D174" s="20"/>
      <c r="E174" s="20" t="s">
        <v>195</v>
      </c>
      <c r="F174" s="20" t="s">
        <v>135</v>
      </c>
      <c r="G174" s="23">
        <v>71.3</v>
      </c>
      <c r="H174" s="23">
        <v>8</v>
      </c>
      <c r="I174" s="109">
        <f t="shared" si="4"/>
        <v>570.4</v>
      </c>
      <c r="J174" s="109">
        <f t="shared" si="5"/>
        <v>570.4</v>
      </c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  <c r="AX174" s="23"/>
      <c r="AY174" s="23"/>
      <c r="AZ174" s="23"/>
      <c r="BA174" s="23"/>
      <c r="BB174" s="23"/>
      <c r="BC174" s="23"/>
      <c r="BD174" s="23"/>
      <c r="BE174" s="23"/>
      <c r="BF174" s="23"/>
      <c r="BG174" s="23"/>
      <c r="BH174" s="23"/>
      <c r="BI174" s="23"/>
      <c r="BJ174" s="23"/>
      <c r="BK174" s="23"/>
      <c r="BL174" s="23"/>
      <c r="BM174" s="23"/>
      <c r="BO174" s="23"/>
      <c r="BP174" s="23"/>
      <c r="BQ174" s="23"/>
      <c r="BR174" s="23"/>
      <c r="BS174" s="23"/>
      <c r="BT174" s="23"/>
      <c r="BU174" s="23"/>
      <c r="BV174" s="23"/>
      <c r="BW174" s="23"/>
      <c r="BX174" s="23"/>
      <c r="BY174" s="23"/>
      <c r="BZ174" s="23"/>
      <c r="CA174" s="23"/>
      <c r="CB174" s="23"/>
      <c r="CC174" s="23"/>
      <c r="CD174" s="23"/>
      <c r="CE174" s="23"/>
      <c r="CF174" s="23"/>
      <c r="CG174" s="23"/>
      <c r="CH174" s="23"/>
      <c r="CI174" s="23"/>
      <c r="CJ174" s="23"/>
      <c r="CK174" s="23"/>
      <c r="CL174" s="23"/>
      <c r="CM174" s="23"/>
      <c r="CN174" s="23"/>
      <c r="CO174" s="23"/>
      <c r="CP174" s="23"/>
      <c r="CQ174" s="23"/>
      <c r="CR174" s="23"/>
      <c r="CS174" s="23"/>
      <c r="CT174" s="23"/>
      <c r="CU174" s="23"/>
      <c r="CV174" s="23"/>
      <c r="CW174" s="23"/>
      <c r="CX174" s="23"/>
      <c r="CY174" s="23"/>
      <c r="CZ174" s="23"/>
      <c r="DA174" s="23"/>
      <c r="DB174" s="23"/>
      <c r="DC174" s="23"/>
      <c r="DD174" s="23"/>
      <c r="DE174" s="23"/>
      <c r="DF174" s="23"/>
      <c r="DG174" s="23"/>
      <c r="DH174" s="23"/>
      <c r="DI174" s="23"/>
      <c r="DJ174" s="23"/>
      <c r="DK174" s="23"/>
      <c r="DL174" s="23"/>
      <c r="DM174" s="23"/>
      <c r="DN174" s="23"/>
      <c r="DO174" s="23"/>
      <c r="DP174" s="23">
        <v>8</v>
      </c>
      <c r="DQ174" s="23"/>
      <c r="DR174" s="23"/>
      <c r="DS174" s="23"/>
      <c r="DT174" s="23"/>
      <c r="DU174" s="23"/>
      <c r="DV174" s="23"/>
      <c r="DW174" s="23"/>
      <c r="DX174" s="110">
        <f>SUM(CL174:DW174)</f>
        <v>8</v>
      </c>
    </row>
    <row r="175" spans="2:128" ht="16.5">
      <c r="B175" s="46">
        <v>164</v>
      </c>
      <c r="C175" s="20" t="s">
        <v>325</v>
      </c>
      <c r="D175" s="20" t="s">
        <v>258</v>
      </c>
      <c r="E175" s="20"/>
      <c r="F175" s="20" t="s">
        <v>93</v>
      </c>
      <c r="G175" s="23">
        <v>3</v>
      </c>
      <c r="H175" s="23">
        <v>55</v>
      </c>
      <c r="I175" s="109">
        <f t="shared" si="4"/>
        <v>165</v>
      </c>
      <c r="J175" s="109">
        <f t="shared" si="5"/>
        <v>165</v>
      </c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O175" s="23"/>
      <c r="BP175" s="23"/>
      <c r="BQ175" s="23"/>
      <c r="BR175" s="23"/>
      <c r="BS175" s="23"/>
      <c r="BT175" s="23"/>
      <c r="BU175" s="23"/>
      <c r="BV175" s="23"/>
      <c r="BW175" s="23"/>
      <c r="BX175" s="23"/>
      <c r="BY175" s="23"/>
      <c r="BZ175" s="23"/>
      <c r="CA175" s="23"/>
      <c r="CB175" s="23"/>
      <c r="CC175" s="23"/>
      <c r="CD175" s="23"/>
      <c r="CE175" s="23"/>
      <c r="CF175" s="23"/>
      <c r="CG175" s="23"/>
      <c r="CH175" s="23"/>
      <c r="CI175" s="23"/>
      <c r="CJ175" s="23"/>
      <c r="CK175" s="23"/>
      <c r="CL175" s="23"/>
      <c r="CM175" s="23"/>
      <c r="CN175" s="23"/>
      <c r="CO175" s="23"/>
      <c r="CP175" s="23"/>
      <c r="CQ175" s="23"/>
      <c r="CR175" s="23"/>
      <c r="CS175" s="23"/>
      <c r="CT175" s="23"/>
      <c r="CU175" s="23"/>
      <c r="CV175" s="23"/>
      <c r="CW175" s="23"/>
      <c r="CX175" s="23"/>
      <c r="CY175" s="23"/>
      <c r="CZ175" s="23">
        <v>24</v>
      </c>
      <c r="DA175" s="23"/>
      <c r="DB175" s="23"/>
      <c r="DC175" s="23"/>
      <c r="DD175" s="23"/>
      <c r="DE175" s="23"/>
      <c r="DF175" s="23"/>
      <c r="DG175" s="23"/>
      <c r="DH175" s="23"/>
      <c r="DI175" s="23"/>
      <c r="DJ175" s="23"/>
      <c r="DK175" s="23"/>
      <c r="DL175" s="23"/>
      <c r="DM175" s="23"/>
      <c r="DN175" s="23"/>
      <c r="DO175" s="23">
        <v>31</v>
      </c>
      <c r="DP175" s="23"/>
      <c r="DQ175" s="23"/>
      <c r="DR175" s="23"/>
      <c r="DS175" s="23"/>
      <c r="DT175" s="23"/>
      <c r="DU175" s="23"/>
      <c r="DV175" s="23"/>
      <c r="DW175" s="23"/>
      <c r="DX175" s="110">
        <f>SUM(CL175:DW175)</f>
        <v>55</v>
      </c>
    </row>
    <row r="176" spans="2:128" ht="16.5">
      <c r="B176" s="46">
        <v>165</v>
      </c>
      <c r="C176" s="20" t="s">
        <v>326</v>
      </c>
      <c r="D176" s="20" t="s">
        <v>237</v>
      </c>
      <c r="E176" s="20" t="s">
        <v>163</v>
      </c>
      <c r="F176" s="20" t="s">
        <v>104</v>
      </c>
      <c r="G176" s="23">
        <v>29.5</v>
      </c>
      <c r="H176" s="23">
        <v>14</v>
      </c>
      <c r="I176" s="109">
        <f t="shared" si="4"/>
        <v>413</v>
      </c>
      <c r="J176" s="109">
        <f t="shared" si="5"/>
        <v>413</v>
      </c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  <c r="AX176" s="23"/>
      <c r="AY176" s="23"/>
      <c r="AZ176" s="23"/>
      <c r="BA176" s="23"/>
      <c r="BB176" s="23"/>
      <c r="BC176" s="23"/>
      <c r="BD176" s="23"/>
      <c r="BE176" s="23"/>
      <c r="BF176" s="23"/>
      <c r="BG176" s="23"/>
      <c r="BH176" s="23"/>
      <c r="BI176" s="23"/>
      <c r="BJ176" s="23"/>
      <c r="BK176" s="23"/>
      <c r="BL176" s="23"/>
      <c r="BM176" s="23"/>
      <c r="BO176" s="23"/>
      <c r="BP176" s="23"/>
      <c r="BQ176" s="23"/>
      <c r="BR176" s="23"/>
      <c r="BS176" s="23"/>
      <c r="BT176" s="23"/>
      <c r="BU176" s="23"/>
      <c r="BV176" s="23"/>
      <c r="BW176" s="23"/>
      <c r="BX176" s="23"/>
      <c r="BY176" s="23"/>
      <c r="BZ176" s="23"/>
      <c r="CA176" s="23"/>
      <c r="CB176" s="23"/>
      <c r="CC176" s="23"/>
      <c r="CD176" s="23"/>
      <c r="CE176" s="23"/>
      <c r="CF176" s="23"/>
      <c r="CG176" s="23"/>
      <c r="CH176" s="23"/>
      <c r="CI176" s="23"/>
      <c r="CJ176" s="23"/>
      <c r="CK176" s="23"/>
      <c r="CL176" s="23"/>
      <c r="CM176" s="23"/>
      <c r="CN176" s="23"/>
      <c r="CO176" s="23"/>
      <c r="CP176" s="23"/>
      <c r="CQ176" s="23"/>
      <c r="CR176" s="23"/>
      <c r="CS176" s="23"/>
      <c r="CT176" s="23"/>
      <c r="CU176" s="23"/>
      <c r="CV176" s="23"/>
      <c r="CW176" s="23"/>
      <c r="CX176" s="23"/>
      <c r="CY176" s="23"/>
      <c r="CZ176" s="23"/>
      <c r="DA176" s="23"/>
      <c r="DB176" s="23"/>
      <c r="DC176" s="23"/>
      <c r="DD176" s="23"/>
      <c r="DE176" s="23"/>
      <c r="DF176" s="23"/>
      <c r="DG176" s="23"/>
      <c r="DH176" s="23"/>
      <c r="DI176" s="23"/>
      <c r="DJ176" s="23"/>
      <c r="DK176" s="23"/>
      <c r="DL176" s="23"/>
      <c r="DM176" s="23"/>
      <c r="DN176" s="23"/>
      <c r="DO176" s="23"/>
      <c r="DP176" s="23"/>
      <c r="DQ176" s="23"/>
      <c r="DR176" s="23">
        <v>14</v>
      </c>
      <c r="DS176" s="23"/>
      <c r="DT176" s="23"/>
      <c r="DU176" s="23"/>
      <c r="DV176" s="23"/>
      <c r="DW176" s="23"/>
      <c r="DX176" s="110">
        <f>SUM(CL176:DW176)</f>
        <v>14</v>
      </c>
    </row>
    <row r="177" spans="2:128" ht="16.5">
      <c r="B177" s="46">
        <v>166</v>
      </c>
      <c r="C177" s="20" t="s">
        <v>295</v>
      </c>
      <c r="D177" s="20" t="s">
        <v>145</v>
      </c>
      <c r="E177" s="20"/>
      <c r="F177" s="20" t="s">
        <v>93</v>
      </c>
      <c r="G177" s="23">
        <v>2.2000000000000002</v>
      </c>
      <c r="H177" s="23">
        <v>42</v>
      </c>
      <c r="I177" s="109">
        <f t="shared" si="4"/>
        <v>92.4</v>
      </c>
      <c r="J177" s="109">
        <f t="shared" si="5"/>
        <v>92.4</v>
      </c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  <c r="BI177" s="23"/>
      <c r="BJ177" s="23"/>
      <c r="BK177" s="23"/>
      <c r="BL177" s="23"/>
      <c r="BM177" s="23"/>
      <c r="BO177" s="23"/>
      <c r="BP177" s="23"/>
      <c r="BQ177" s="23"/>
      <c r="BR177" s="23"/>
      <c r="BS177" s="23"/>
      <c r="BT177" s="23"/>
      <c r="BU177" s="23"/>
      <c r="BV177" s="23"/>
      <c r="BW177" s="23"/>
      <c r="BX177" s="23"/>
      <c r="BY177" s="23"/>
      <c r="BZ177" s="23"/>
      <c r="CA177" s="23"/>
      <c r="CB177" s="23"/>
      <c r="CC177" s="23"/>
      <c r="CD177" s="23"/>
      <c r="CE177" s="23"/>
      <c r="CF177" s="23"/>
      <c r="CG177" s="23"/>
      <c r="CH177" s="23"/>
      <c r="CI177" s="23"/>
      <c r="CJ177" s="23"/>
      <c r="CK177" s="23"/>
      <c r="CL177" s="23"/>
      <c r="CM177" s="23"/>
      <c r="CN177" s="23"/>
      <c r="CO177" s="23"/>
      <c r="CP177" s="23"/>
      <c r="CQ177" s="23"/>
      <c r="CR177" s="23"/>
      <c r="CS177" s="23"/>
      <c r="CT177" s="23"/>
      <c r="CU177" s="23"/>
      <c r="CV177" s="23"/>
      <c r="CW177" s="23"/>
      <c r="CX177" s="23"/>
      <c r="CY177" s="23"/>
      <c r="CZ177" s="23">
        <v>28</v>
      </c>
      <c r="DA177" s="23"/>
      <c r="DB177" s="23"/>
      <c r="DC177" s="23"/>
      <c r="DD177" s="23"/>
      <c r="DE177" s="23"/>
      <c r="DF177" s="23"/>
      <c r="DG177" s="23"/>
      <c r="DH177" s="23"/>
      <c r="DI177" s="23"/>
      <c r="DJ177" s="23"/>
      <c r="DK177" s="23"/>
      <c r="DL177" s="23"/>
      <c r="DM177" s="23"/>
      <c r="DN177" s="23"/>
      <c r="DO177" s="23">
        <v>14</v>
      </c>
      <c r="DP177" s="23"/>
      <c r="DQ177" s="23"/>
      <c r="DR177" s="23"/>
      <c r="DS177" s="23"/>
      <c r="DT177" s="23"/>
      <c r="DU177" s="23"/>
      <c r="DV177" s="23"/>
      <c r="DW177" s="23"/>
      <c r="DX177" s="110">
        <f>SUM(CL177:DW177)</f>
        <v>42</v>
      </c>
    </row>
    <row r="178" spans="2:128" ht="16.5">
      <c r="B178" s="46">
        <v>167</v>
      </c>
      <c r="C178" s="20" t="s">
        <v>201</v>
      </c>
      <c r="D178" s="20" t="s">
        <v>145</v>
      </c>
      <c r="E178" s="20"/>
      <c r="F178" s="20" t="s">
        <v>146</v>
      </c>
      <c r="G178" s="23">
        <v>2.5</v>
      </c>
      <c r="H178" s="23">
        <v>21</v>
      </c>
      <c r="I178" s="109">
        <f t="shared" si="4"/>
        <v>52.5</v>
      </c>
      <c r="J178" s="109">
        <f t="shared" si="5"/>
        <v>52.5</v>
      </c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O178" s="23"/>
      <c r="BP178" s="23"/>
      <c r="BQ178" s="23"/>
      <c r="BR178" s="23"/>
      <c r="BS178" s="23"/>
      <c r="BT178" s="23"/>
      <c r="BU178" s="23"/>
      <c r="BV178" s="23"/>
      <c r="BW178" s="23"/>
      <c r="BX178" s="23"/>
      <c r="BY178" s="23"/>
      <c r="BZ178" s="23"/>
      <c r="CA178" s="23"/>
      <c r="CB178" s="23"/>
      <c r="CC178" s="23"/>
      <c r="CD178" s="23"/>
      <c r="CE178" s="23"/>
      <c r="CF178" s="23"/>
      <c r="CG178" s="23"/>
      <c r="CH178" s="23"/>
      <c r="CI178" s="23"/>
      <c r="CJ178" s="23"/>
      <c r="CK178" s="23"/>
      <c r="CL178" s="23"/>
      <c r="CM178" s="23"/>
      <c r="CN178" s="23"/>
      <c r="CO178" s="23"/>
      <c r="CP178" s="23"/>
      <c r="CQ178" s="23"/>
      <c r="CR178" s="23"/>
      <c r="CS178" s="23"/>
      <c r="CT178" s="23"/>
      <c r="CU178" s="23"/>
      <c r="CV178" s="23"/>
      <c r="CW178" s="23"/>
      <c r="CX178" s="23"/>
      <c r="CY178" s="23"/>
      <c r="CZ178" s="23">
        <v>21</v>
      </c>
      <c r="DA178" s="23"/>
      <c r="DB178" s="23"/>
      <c r="DC178" s="23"/>
      <c r="DD178" s="23"/>
      <c r="DE178" s="23"/>
      <c r="DF178" s="23"/>
      <c r="DG178" s="23"/>
      <c r="DH178" s="23"/>
      <c r="DI178" s="23"/>
      <c r="DJ178" s="23"/>
      <c r="DK178" s="23"/>
      <c r="DL178" s="23"/>
      <c r="DM178" s="23"/>
      <c r="DN178" s="23"/>
      <c r="DO178" s="23"/>
      <c r="DP178" s="23"/>
      <c r="DQ178" s="23"/>
      <c r="DR178" s="23"/>
      <c r="DS178" s="23"/>
      <c r="DT178" s="23"/>
      <c r="DU178" s="23"/>
      <c r="DV178" s="23"/>
      <c r="DW178" s="23"/>
      <c r="DX178" s="110">
        <f>SUM(CL178:DW178)</f>
        <v>21</v>
      </c>
    </row>
    <row r="179" spans="2:128" ht="16.5">
      <c r="B179" s="46">
        <v>168</v>
      </c>
      <c r="C179" s="20" t="s">
        <v>327</v>
      </c>
      <c r="D179" s="20" t="s">
        <v>328</v>
      </c>
      <c r="E179" s="20" t="s">
        <v>163</v>
      </c>
      <c r="F179" s="20" t="s">
        <v>116</v>
      </c>
      <c r="G179" s="23">
        <v>620</v>
      </c>
      <c r="H179" s="23">
        <v>1</v>
      </c>
      <c r="I179" s="109">
        <f t="shared" si="4"/>
        <v>620</v>
      </c>
      <c r="J179" s="109">
        <f t="shared" si="5"/>
        <v>620</v>
      </c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  <c r="AX179" s="23"/>
      <c r="AY179" s="23"/>
      <c r="AZ179" s="23"/>
      <c r="BA179" s="23"/>
      <c r="BB179" s="23"/>
      <c r="BC179" s="23"/>
      <c r="BD179" s="23"/>
      <c r="BE179" s="23"/>
      <c r="BF179" s="23"/>
      <c r="BG179" s="23"/>
      <c r="BH179" s="23"/>
      <c r="BI179" s="23"/>
      <c r="BJ179" s="23"/>
      <c r="BK179" s="23"/>
      <c r="BL179" s="23"/>
      <c r="BM179" s="23"/>
      <c r="BO179" s="23"/>
      <c r="BP179" s="23"/>
      <c r="BQ179" s="23"/>
      <c r="BR179" s="23"/>
      <c r="BS179" s="23"/>
      <c r="BT179" s="23"/>
      <c r="BU179" s="23"/>
      <c r="BV179" s="23"/>
      <c r="BW179" s="23"/>
      <c r="BX179" s="23"/>
      <c r="BY179" s="23"/>
      <c r="BZ179" s="23"/>
      <c r="CA179" s="23"/>
      <c r="CB179" s="23"/>
      <c r="CC179" s="23"/>
      <c r="CD179" s="23"/>
      <c r="CE179" s="23"/>
      <c r="CF179" s="23"/>
      <c r="CG179" s="23"/>
      <c r="CH179" s="23"/>
      <c r="CI179" s="23"/>
      <c r="CJ179" s="23"/>
      <c r="CK179" s="23"/>
      <c r="CL179" s="23"/>
      <c r="CM179" s="23"/>
      <c r="CN179" s="23"/>
      <c r="CO179" s="23"/>
      <c r="CP179" s="23"/>
      <c r="CQ179" s="23"/>
      <c r="CR179" s="23"/>
      <c r="CS179" s="23"/>
      <c r="CT179" s="23"/>
      <c r="CU179" s="23"/>
      <c r="CV179" s="23"/>
      <c r="CW179" s="23"/>
      <c r="CX179" s="23"/>
      <c r="CY179" s="23"/>
      <c r="CZ179" s="23">
        <v>1</v>
      </c>
      <c r="DA179" s="23"/>
      <c r="DB179" s="23"/>
      <c r="DC179" s="23"/>
      <c r="DD179" s="23"/>
      <c r="DE179" s="23"/>
      <c r="DF179" s="23"/>
      <c r="DG179" s="23"/>
      <c r="DH179" s="23"/>
      <c r="DI179" s="23"/>
      <c r="DJ179" s="23"/>
      <c r="DK179" s="23"/>
      <c r="DL179" s="23"/>
      <c r="DM179" s="23"/>
      <c r="DN179" s="23"/>
      <c r="DO179" s="23"/>
      <c r="DP179" s="23"/>
      <c r="DQ179" s="23"/>
      <c r="DR179" s="23"/>
      <c r="DS179" s="23"/>
      <c r="DT179" s="23"/>
      <c r="DU179" s="23"/>
      <c r="DV179" s="23"/>
      <c r="DW179" s="23"/>
      <c r="DX179" s="110">
        <f>SUM(CL179:DW179)</f>
        <v>1</v>
      </c>
    </row>
    <row r="180" spans="2:128" ht="16.5">
      <c r="B180" s="46">
        <v>169</v>
      </c>
      <c r="C180" s="20" t="s">
        <v>329</v>
      </c>
      <c r="D180" s="20" t="s">
        <v>328</v>
      </c>
      <c r="E180" s="20" t="s">
        <v>163</v>
      </c>
      <c r="F180" s="20" t="s">
        <v>116</v>
      </c>
      <c r="G180" s="23">
        <v>650</v>
      </c>
      <c r="H180" s="23">
        <v>2</v>
      </c>
      <c r="I180" s="109">
        <f t="shared" si="4"/>
        <v>1300</v>
      </c>
      <c r="J180" s="109">
        <f t="shared" si="5"/>
        <v>1300</v>
      </c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  <c r="BI180" s="23"/>
      <c r="BJ180" s="23"/>
      <c r="BK180" s="23"/>
      <c r="BL180" s="23"/>
      <c r="BM180" s="23"/>
      <c r="BO180" s="23"/>
      <c r="BP180" s="23"/>
      <c r="BQ180" s="23"/>
      <c r="BR180" s="23"/>
      <c r="BS180" s="23"/>
      <c r="BT180" s="23"/>
      <c r="BU180" s="23"/>
      <c r="BV180" s="23"/>
      <c r="BW180" s="23"/>
      <c r="BX180" s="23"/>
      <c r="BY180" s="23"/>
      <c r="BZ180" s="23"/>
      <c r="CA180" s="23"/>
      <c r="CB180" s="23"/>
      <c r="CC180" s="23"/>
      <c r="CD180" s="23"/>
      <c r="CE180" s="23"/>
      <c r="CF180" s="23"/>
      <c r="CG180" s="23"/>
      <c r="CH180" s="23"/>
      <c r="CI180" s="23"/>
      <c r="CJ180" s="23"/>
      <c r="CK180" s="23"/>
      <c r="CL180" s="23"/>
      <c r="CM180" s="23"/>
      <c r="CN180" s="23"/>
      <c r="CO180" s="23"/>
      <c r="CP180" s="23"/>
      <c r="CQ180" s="23"/>
      <c r="CR180" s="23"/>
      <c r="CS180" s="23"/>
      <c r="CT180" s="23"/>
      <c r="CU180" s="23"/>
      <c r="CV180" s="23"/>
      <c r="CW180" s="23"/>
      <c r="CX180" s="23"/>
      <c r="CY180" s="23"/>
      <c r="CZ180" s="23">
        <v>2</v>
      </c>
      <c r="DA180" s="23"/>
      <c r="DB180" s="23"/>
      <c r="DC180" s="23"/>
      <c r="DD180" s="23"/>
      <c r="DE180" s="23"/>
      <c r="DF180" s="23"/>
      <c r="DG180" s="23"/>
      <c r="DH180" s="23"/>
      <c r="DI180" s="23"/>
      <c r="DJ180" s="23"/>
      <c r="DK180" s="23"/>
      <c r="DL180" s="23"/>
      <c r="DM180" s="23"/>
      <c r="DN180" s="23"/>
      <c r="DO180" s="23"/>
      <c r="DP180" s="23"/>
      <c r="DQ180" s="23"/>
      <c r="DR180" s="23"/>
      <c r="DS180" s="23"/>
      <c r="DT180" s="23"/>
      <c r="DU180" s="23"/>
      <c r="DV180" s="23"/>
      <c r="DW180" s="23"/>
      <c r="DX180" s="110">
        <f>SUM(CL180:DW180)</f>
        <v>2</v>
      </c>
    </row>
    <row r="181" spans="2:128" ht="16.5">
      <c r="B181" s="46">
        <v>170</v>
      </c>
      <c r="C181" s="20" t="s">
        <v>270</v>
      </c>
      <c r="D181" s="20" t="s">
        <v>145</v>
      </c>
      <c r="E181" s="20"/>
      <c r="F181" s="20" t="s">
        <v>146</v>
      </c>
      <c r="G181" s="23">
        <v>6</v>
      </c>
      <c r="H181" s="23">
        <v>21</v>
      </c>
      <c r="I181" s="109">
        <f t="shared" si="4"/>
        <v>126</v>
      </c>
      <c r="J181" s="109">
        <f t="shared" si="5"/>
        <v>126</v>
      </c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  <c r="AX181" s="23"/>
      <c r="AY181" s="23"/>
      <c r="AZ181" s="23"/>
      <c r="BA181" s="23"/>
      <c r="BB181" s="23"/>
      <c r="BC181" s="23"/>
      <c r="BD181" s="23"/>
      <c r="BE181" s="23"/>
      <c r="BF181" s="23"/>
      <c r="BG181" s="23"/>
      <c r="BH181" s="23"/>
      <c r="BI181" s="23"/>
      <c r="BJ181" s="23"/>
      <c r="BK181" s="23"/>
      <c r="BL181" s="23"/>
      <c r="BM181" s="23"/>
      <c r="BO181" s="23"/>
      <c r="BP181" s="23"/>
      <c r="BQ181" s="23"/>
      <c r="BR181" s="23"/>
      <c r="BS181" s="23"/>
      <c r="BT181" s="23"/>
      <c r="BU181" s="23"/>
      <c r="BV181" s="23"/>
      <c r="BW181" s="23"/>
      <c r="BX181" s="23"/>
      <c r="BY181" s="23"/>
      <c r="BZ181" s="23"/>
      <c r="CA181" s="23"/>
      <c r="CB181" s="23"/>
      <c r="CC181" s="23"/>
      <c r="CD181" s="23"/>
      <c r="CE181" s="23"/>
      <c r="CF181" s="23"/>
      <c r="CG181" s="23"/>
      <c r="CH181" s="23"/>
      <c r="CI181" s="23"/>
      <c r="CJ181" s="23"/>
      <c r="CK181" s="23"/>
      <c r="CL181" s="23"/>
      <c r="CM181" s="23"/>
      <c r="CN181" s="23"/>
      <c r="CO181" s="23"/>
      <c r="CP181" s="23"/>
      <c r="CQ181" s="23"/>
      <c r="CR181" s="23"/>
      <c r="CS181" s="23"/>
      <c r="CT181" s="23"/>
      <c r="CU181" s="23"/>
      <c r="CV181" s="23"/>
      <c r="CW181" s="23"/>
      <c r="CX181" s="23"/>
      <c r="CY181" s="23"/>
      <c r="CZ181" s="23">
        <v>21</v>
      </c>
      <c r="DA181" s="23"/>
      <c r="DB181" s="23"/>
      <c r="DC181" s="23"/>
      <c r="DD181" s="23"/>
      <c r="DE181" s="23"/>
      <c r="DF181" s="23"/>
      <c r="DG181" s="23"/>
      <c r="DH181" s="23"/>
      <c r="DI181" s="23"/>
      <c r="DJ181" s="23"/>
      <c r="DK181" s="23"/>
      <c r="DL181" s="23"/>
      <c r="DM181" s="23"/>
      <c r="DN181" s="23"/>
      <c r="DO181" s="23"/>
      <c r="DP181" s="23"/>
      <c r="DQ181" s="23"/>
      <c r="DR181" s="23"/>
      <c r="DS181" s="23"/>
      <c r="DT181" s="23"/>
      <c r="DU181" s="23"/>
      <c r="DV181" s="23"/>
      <c r="DW181" s="23"/>
      <c r="DX181" s="110">
        <f>SUM(CL181:DW181)</f>
        <v>21</v>
      </c>
    </row>
    <row r="182" spans="2:128" ht="16.5">
      <c r="B182" s="46">
        <v>171</v>
      </c>
      <c r="C182" s="20" t="s">
        <v>136</v>
      </c>
      <c r="D182" s="20" t="s">
        <v>331</v>
      </c>
      <c r="E182" s="20"/>
      <c r="F182" s="20" t="s">
        <v>317</v>
      </c>
      <c r="G182" s="23">
        <v>19.8</v>
      </c>
      <c r="H182" s="23">
        <v>1</v>
      </c>
      <c r="I182" s="109">
        <f t="shared" si="4"/>
        <v>19.8</v>
      </c>
      <c r="J182" s="109">
        <f t="shared" si="5"/>
        <v>19.8</v>
      </c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  <c r="AX182" s="23"/>
      <c r="AY182" s="23"/>
      <c r="AZ182" s="23"/>
      <c r="BA182" s="23"/>
      <c r="BB182" s="23"/>
      <c r="BC182" s="23"/>
      <c r="BD182" s="23"/>
      <c r="BE182" s="23"/>
      <c r="BF182" s="23"/>
      <c r="BG182" s="23"/>
      <c r="BH182" s="23"/>
      <c r="BI182" s="23"/>
      <c r="BJ182" s="23"/>
      <c r="BK182" s="23"/>
      <c r="BL182" s="23"/>
      <c r="BM182" s="23"/>
      <c r="BO182" s="23"/>
      <c r="BP182" s="23"/>
      <c r="BQ182" s="23"/>
      <c r="BR182" s="23"/>
      <c r="BS182" s="23"/>
      <c r="BT182" s="23"/>
      <c r="BU182" s="23"/>
      <c r="BV182" s="23"/>
      <c r="BW182" s="23"/>
      <c r="BX182" s="23"/>
      <c r="BY182" s="23"/>
      <c r="BZ182" s="23"/>
      <c r="CA182" s="23"/>
      <c r="CB182" s="23"/>
      <c r="CC182" s="23"/>
      <c r="CD182" s="23"/>
      <c r="CE182" s="23"/>
      <c r="CF182" s="23"/>
      <c r="CG182" s="23"/>
      <c r="CH182" s="23"/>
      <c r="CI182" s="23"/>
      <c r="CJ182" s="23"/>
      <c r="CK182" s="23"/>
      <c r="CL182" s="23"/>
      <c r="CM182" s="23"/>
      <c r="CN182" s="23"/>
      <c r="CO182" s="23"/>
      <c r="CP182" s="23"/>
      <c r="CQ182" s="23"/>
      <c r="CR182" s="23"/>
      <c r="CS182" s="23"/>
      <c r="CT182" s="23"/>
      <c r="CU182" s="23"/>
      <c r="CV182" s="23"/>
      <c r="CW182" s="23"/>
      <c r="CX182" s="23"/>
      <c r="CY182" s="23"/>
      <c r="CZ182" s="23">
        <v>1</v>
      </c>
      <c r="DA182" s="23"/>
      <c r="DB182" s="23"/>
      <c r="DC182" s="23"/>
      <c r="DD182" s="23"/>
      <c r="DE182" s="23"/>
      <c r="DF182" s="23"/>
      <c r="DG182" s="23"/>
      <c r="DH182" s="23"/>
      <c r="DI182" s="23"/>
      <c r="DJ182" s="23"/>
      <c r="DK182" s="23"/>
      <c r="DL182" s="23"/>
      <c r="DM182" s="23"/>
      <c r="DN182" s="23"/>
      <c r="DO182" s="23"/>
      <c r="DP182" s="23"/>
      <c r="DQ182" s="23"/>
      <c r="DR182" s="23"/>
      <c r="DS182" s="23"/>
      <c r="DT182" s="23"/>
      <c r="DU182" s="23"/>
      <c r="DV182" s="23"/>
      <c r="DW182" s="23"/>
      <c r="DX182" s="110">
        <f>SUM(CL182:DW182)</f>
        <v>1</v>
      </c>
    </row>
    <row r="183" spans="2:128" ht="16.5">
      <c r="B183" s="46">
        <v>172</v>
      </c>
      <c r="C183" s="20" t="s">
        <v>332</v>
      </c>
      <c r="D183" s="20" t="s">
        <v>250</v>
      </c>
      <c r="E183" s="20"/>
      <c r="F183" s="20" t="s">
        <v>93</v>
      </c>
      <c r="G183" s="23">
        <v>4.5</v>
      </c>
      <c r="H183" s="23">
        <v>30</v>
      </c>
      <c r="I183" s="109">
        <f t="shared" si="4"/>
        <v>135</v>
      </c>
      <c r="J183" s="109">
        <f t="shared" si="5"/>
        <v>135</v>
      </c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  <c r="AX183" s="23"/>
      <c r="AY183" s="23"/>
      <c r="AZ183" s="23"/>
      <c r="BA183" s="23"/>
      <c r="BB183" s="23"/>
      <c r="BC183" s="23"/>
      <c r="BD183" s="23"/>
      <c r="BE183" s="23"/>
      <c r="BF183" s="23"/>
      <c r="BG183" s="23"/>
      <c r="BH183" s="23"/>
      <c r="BI183" s="23"/>
      <c r="BJ183" s="23"/>
      <c r="BK183" s="23"/>
      <c r="BL183" s="23"/>
      <c r="BM183" s="23"/>
      <c r="BO183" s="23"/>
      <c r="BP183" s="23"/>
      <c r="BQ183" s="23"/>
      <c r="BR183" s="23"/>
      <c r="BS183" s="23"/>
      <c r="BT183" s="23"/>
      <c r="BU183" s="23"/>
      <c r="BV183" s="23"/>
      <c r="BW183" s="23"/>
      <c r="BX183" s="23"/>
      <c r="BY183" s="23"/>
      <c r="BZ183" s="23"/>
      <c r="CA183" s="23"/>
      <c r="CB183" s="23"/>
      <c r="CC183" s="23"/>
      <c r="CD183" s="23"/>
      <c r="CE183" s="23"/>
      <c r="CF183" s="23"/>
      <c r="CG183" s="23"/>
      <c r="CH183" s="23"/>
      <c r="CI183" s="23"/>
      <c r="CJ183" s="23"/>
      <c r="CK183" s="23"/>
      <c r="CL183" s="23"/>
      <c r="CM183" s="23"/>
      <c r="CN183" s="23"/>
      <c r="CO183" s="23"/>
      <c r="CP183" s="23"/>
      <c r="CQ183" s="23"/>
      <c r="CR183" s="23"/>
      <c r="CS183" s="23"/>
      <c r="CT183" s="23"/>
      <c r="CU183" s="23"/>
      <c r="CV183" s="23"/>
      <c r="CW183" s="23"/>
      <c r="CX183" s="23"/>
      <c r="CY183" s="23"/>
      <c r="CZ183" s="23">
        <v>30</v>
      </c>
      <c r="DA183" s="23"/>
      <c r="DB183" s="23"/>
      <c r="DC183" s="23"/>
      <c r="DD183" s="23"/>
      <c r="DE183" s="23"/>
      <c r="DF183" s="23"/>
      <c r="DG183" s="23"/>
      <c r="DH183" s="23"/>
      <c r="DI183" s="23"/>
      <c r="DJ183" s="23"/>
      <c r="DK183" s="23"/>
      <c r="DL183" s="23"/>
      <c r="DM183" s="23"/>
      <c r="DN183" s="23"/>
      <c r="DO183" s="23"/>
      <c r="DP183" s="23"/>
      <c r="DQ183" s="23"/>
      <c r="DR183" s="23"/>
      <c r="DS183" s="23"/>
      <c r="DT183" s="23"/>
      <c r="DU183" s="23"/>
      <c r="DV183" s="23"/>
      <c r="DW183" s="23"/>
      <c r="DX183" s="110">
        <f>SUM(CL183:DW183)</f>
        <v>30</v>
      </c>
    </row>
    <row r="184" spans="2:128" ht="16.5">
      <c r="B184" s="46">
        <v>173</v>
      </c>
      <c r="C184" s="20" t="s">
        <v>333</v>
      </c>
      <c r="D184" s="20" t="s">
        <v>110</v>
      </c>
      <c r="E184" s="20"/>
      <c r="F184" s="20" t="s">
        <v>93</v>
      </c>
      <c r="G184" s="23">
        <v>38.5</v>
      </c>
      <c r="H184" s="23">
        <v>10</v>
      </c>
      <c r="I184" s="109">
        <f t="shared" si="4"/>
        <v>385</v>
      </c>
      <c r="J184" s="109">
        <f t="shared" si="5"/>
        <v>385</v>
      </c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/>
      <c r="BI184" s="23"/>
      <c r="BJ184" s="23"/>
      <c r="BK184" s="23"/>
      <c r="BL184" s="23"/>
      <c r="BM184" s="23"/>
      <c r="BO184" s="23"/>
      <c r="BP184" s="23"/>
      <c r="BQ184" s="23"/>
      <c r="BR184" s="23"/>
      <c r="BS184" s="23"/>
      <c r="BT184" s="23"/>
      <c r="BU184" s="23"/>
      <c r="BV184" s="23"/>
      <c r="BW184" s="23"/>
      <c r="BX184" s="23"/>
      <c r="BY184" s="23"/>
      <c r="BZ184" s="23"/>
      <c r="CA184" s="23"/>
      <c r="CB184" s="23"/>
      <c r="CC184" s="23"/>
      <c r="CD184" s="23"/>
      <c r="CE184" s="23"/>
      <c r="CF184" s="23"/>
      <c r="CG184" s="23"/>
      <c r="CH184" s="23"/>
      <c r="CI184" s="23"/>
      <c r="CJ184" s="23"/>
      <c r="CK184" s="23"/>
      <c r="CL184" s="23"/>
      <c r="CM184" s="23"/>
      <c r="CN184" s="23"/>
      <c r="CO184" s="23"/>
      <c r="CP184" s="23"/>
      <c r="CQ184" s="23"/>
      <c r="CR184" s="23"/>
      <c r="CS184" s="23"/>
      <c r="CT184" s="23"/>
      <c r="CU184" s="23"/>
      <c r="CV184" s="23"/>
      <c r="CW184" s="23"/>
      <c r="CX184" s="23"/>
      <c r="CY184" s="23"/>
      <c r="CZ184" s="23">
        <v>10</v>
      </c>
      <c r="DA184" s="23"/>
      <c r="DB184" s="23"/>
      <c r="DC184" s="23"/>
      <c r="DD184" s="23"/>
      <c r="DE184" s="23"/>
      <c r="DF184" s="23"/>
      <c r="DG184" s="23"/>
      <c r="DH184" s="23"/>
      <c r="DI184" s="23"/>
      <c r="DJ184" s="23"/>
      <c r="DK184" s="23"/>
      <c r="DL184" s="23"/>
      <c r="DM184" s="23"/>
      <c r="DN184" s="23"/>
      <c r="DO184" s="23"/>
      <c r="DP184" s="23"/>
      <c r="DQ184" s="23"/>
      <c r="DR184" s="23"/>
      <c r="DS184" s="23"/>
      <c r="DT184" s="23"/>
      <c r="DU184" s="23"/>
      <c r="DV184" s="23"/>
      <c r="DW184" s="23"/>
      <c r="DX184" s="110">
        <f>SUM(CL184:DW184)</f>
        <v>10</v>
      </c>
    </row>
    <row r="185" spans="2:128" ht="16.5">
      <c r="B185" s="46">
        <v>174</v>
      </c>
      <c r="C185" s="20" t="s">
        <v>334</v>
      </c>
      <c r="D185" s="20" t="s">
        <v>152</v>
      </c>
      <c r="E185" s="20"/>
      <c r="F185" s="20" t="s">
        <v>93</v>
      </c>
      <c r="G185" s="23">
        <v>98</v>
      </c>
      <c r="H185" s="23">
        <v>8</v>
      </c>
      <c r="I185" s="109">
        <f t="shared" si="4"/>
        <v>784</v>
      </c>
      <c r="J185" s="109">
        <f t="shared" si="5"/>
        <v>784</v>
      </c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O185" s="23"/>
      <c r="BP185" s="23"/>
      <c r="BQ185" s="23"/>
      <c r="BR185" s="23"/>
      <c r="BS185" s="23"/>
      <c r="BT185" s="23"/>
      <c r="BU185" s="23"/>
      <c r="BV185" s="23"/>
      <c r="BW185" s="23"/>
      <c r="BX185" s="23"/>
      <c r="BY185" s="23"/>
      <c r="BZ185" s="23"/>
      <c r="CA185" s="23"/>
      <c r="CB185" s="23"/>
      <c r="CC185" s="23"/>
      <c r="CD185" s="23"/>
      <c r="CE185" s="23"/>
      <c r="CF185" s="23"/>
      <c r="CG185" s="23"/>
      <c r="CH185" s="23"/>
      <c r="CI185" s="23"/>
      <c r="CJ185" s="23"/>
      <c r="CK185" s="23"/>
      <c r="CL185" s="23"/>
      <c r="CM185" s="23"/>
      <c r="CN185" s="23"/>
      <c r="CO185" s="23"/>
      <c r="CP185" s="23"/>
      <c r="CQ185" s="23"/>
      <c r="CR185" s="23"/>
      <c r="CS185" s="23"/>
      <c r="CT185" s="23"/>
      <c r="CU185" s="23"/>
      <c r="CV185" s="23"/>
      <c r="CW185" s="23"/>
      <c r="CX185" s="23"/>
      <c r="CY185" s="23"/>
      <c r="CZ185" s="23"/>
      <c r="DA185" s="23"/>
      <c r="DB185" s="23"/>
      <c r="DC185" s="23"/>
      <c r="DD185" s="23"/>
      <c r="DE185" s="23"/>
      <c r="DF185" s="23"/>
      <c r="DG185" s="23"/>
      <c r="DH185" s="23"/>
      <c r="DI185" s="23"/>
      <c r="DJ185" s="23"/>
      <c r="DK185" s="23"/>
      <c r="DL185" s="23"/>
      <c r="DM185" s="23"/>
      <c r="DN185" s="23"/>
      <c r="DO185" s="23">
        <v>8</v>
      </c>
      <c r="DP185" s="23"/>
      <c r="DQ185" s="23"/>
      <c r="DR185" s="23"/>
      <c r="DS185" s="23"/>
      <c r="DT185" s="23"/>
      <c r="DU185" s="23"/>
      <c r="DV185" s="23"/>
      <c r="DW185" s="23"/>
      <c r="DX185" s="110">
        <f>SUM(CL185:DW185)</f>
        <v>8</v>
      </c>
    </row>
    <row r="186" spans="2:128" ht="16.5">
      <c r="B186" s="46">
        <v>175</v>
      </c>
      <c r="C186" s="20" t="s">
        <v>335</v>
      </c>
      <c r="D186" s="20" t="s">
        <v>336</v>
      </c>
      <c r="E186" s="20" t="s">
        <v>143</v>
      </c>
      <c r="F186" s="20" t="s">
        <v>229</v>
      </c>
      <c r="G186" s="23">
        <v>30</v>
      </c>
      <c r="H186" s="23">
        <v>1</v>
      </c>
      <c r="I186" s="109">
        <f t="shared" si="4"/>
        <v>30</v>
      </c>
      <c r="J186" s="109">
        <f t="shared" si="5"/>
        <v>30</v>
      </c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  <c r="BC186" s="23"/>
      <c r="BD186" s="23"/>
      <c r="BE186" s="23"/>
      <c r="BF186" s="23"/>
      <c r="BG186" s="23"/>
      <c r="BH186" s="23"/>
      <c r="BI186" s="23"/>
      <c r="BJ186" s="23"/>
      <c r="BK186" s="23"/>
      <c r="BL186" s="23"/>
      <c r="BM186" s="23"/>
      <c r="BO186" s="23"/>
      <c r="BP186" s="23"/>
      <c r="BQ186" s="23"/>
      <c r="BR186" s="23"/>
      <c r="BS186" s="23"/>
      <c r="BT186" s="23"/>
      <c r="BU186" s="23"/>
      <c r="BV186" s="23"/>
      <c r="BW186" s="23"/>
      <c r="BX186" s="23"/>
      <c r="BY186" s="23"/>
      <c r="BZ186" s="23"/>
      <c r="CA186" s="23"/>
      <c r="CB186" s="23"/>
      <c r="CC186" s="23"/>
      <c r="CD186" s="23"/>
      <c r="CE186" s="23"/>
      <c r="CF186" s="23"/>
      <c r="CG186" s="23"/>
      <c r="CH186" s="23"/>
      <c r="CI186" s="23"/>
      <c r="CJ186" s="23"/>
      <c r="CK186" s="23"/>
      <c r="CL186" s="23"/>
      <c r="CM186" s="23"/>
      <c r="CN186" s="23"/>
      <c r="CO186" s="23"/>
      <c r="CP186" s="23"/>
      <c r="CQ186" s="23"/>
      <c r="CR186" s="23"/>
      <c r="CS186" s="23"/>
      <c r="CT186" s="23"/>
      <c r="CU186" s="23"/>
      <c r="CV186" s="23"/>
      <c r="CW186" s="23"/>
      <c r="CX186" s="23"/>
      <c r="CY186" s="23"/>
      <c r="CZ186" s="23"/>
      <c r="DA186" s="23"/>
      <c r="DB186" s="23"/>
      <c r="DC186" s="23"/>
      <c r="DD186" s="23"/>
      <c r="DE186" s="23"/>
      <c r="DF186" s="23"/>
      <c r="DG186" s="23"/>
      <c r="DH186" s="23"/>
      <c r="DI186" s="23"/>
      <c r="DJ186" s="23"/>
      <c r="DK186" s="23"/>
      <c r="DL186" s="23"/>
      <c r="DM186" s="23"/>
      <c r="DN186" s="23"/>
      <c r="DO186" s="23"/>
      <c r="DP186" s="23">
        <v>1</v>
      </c>
      <c r="DQ186" s="23"/>
      <c r="DR186" s="23"/>
      <c r="DS186" s="23"/>
      <c r="DT186" s="23"/>
      <c r="DU186" s="23"/>
      <c r="DV186" s="23"/>
      <c r="DW186" s="23"/>
      <c r="DX186" s="110">
        <f>SUM(CL186:DW186)</f>
        <v>1</v>
      </c>
    </row>
    <row r="187" spans="2:128" ht="16.5">
      <c r="B187" s="46">
        <v>176</v>
      </c>
      <c r="C187" s="20" t="s">
        <v>271</v>
      </c>
      <c r="D187" s="20" t="s">
        <v>337</v>
      </c>
      <c r="E187" s="20" t="s">
        <v>143</v>
      </c>
      <c r="F187" s="20" t="s">
        <v>229</v>
      </c>
      <c r="G187" s="23">
        <v>28</v>
      </c>
      <c r="H187" s="23">
        <v>1</v>
      </c>
      <c r="I187" s="109">
        <f t="shared" si="4"/>
        <v>28</v>
      </c>
      <c r="J187" s="109">
        <f t="shared" si="5"/>
        <v>28</v>
      </c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  <c r="BI187" s="23"/>
      <c r="BJ187" s="23"/>
      <c r="BK187" s="23"/>
      <c r="BL187" s="23"/>
      <c r="BM187" s="23"/>
      <c r="BO187" s="23"/>
      <c r="BP187" s="23"/>
      <c r="BQ187" s="23"/>
      <c r="BR187" s="23"/>
      <c r="BS187" s="23"/>
      <c r="BT187" s="23"/>
      <c r="BU187" s="23"/>
      <c r="BV187" s="23"/>
      <c r="BW187" s="23"/>
      <c r="BX187" s="23"/>
      <c r="BY187" s="23"/>
      <c r="BZ187" s="23"/>
      <c r="CA187" s="23"/>
      <c r="CB187" s="23"/>
      <c r="CC187" s="23"/>
      <c r="CD187" s="23"/>
      <c r="CE187" s="23"/>
      <c r="CF187" s="23"/>
      <c r="CG187" s="23"/>
      <c r="CH187" s="23"/>
      <c r="CI187" s="23"/>
      <c r="CJ187" s="23"/>
      <c r="CK187" s="23"/>
      <c r="CL187" s="23"/>
      <c r="CM187" s="23"/>
      <c r="CN187" s="23"/>
      <c r="CO187" s="23"/>
      <c r="CP187" s="23"/>
      <c r="CQ187" s="23"/>
      <c r="CR187" s="23"/>
      <c r="CS187" s="23"/>
      <c r="CT187" s="23"/>
      <c r="CU187" s="23"/>
      <c r="CV187" s="23"/>
      <c r="CW187" s="23"/>
      <c r="CX187" s="23"/>
      <c r="CY187" s="23"/>
      <c r="CZ187" s="23"/>
      <c r="DA187" s="23"/>
      <c r="DB187" s="23"/>
      <c r="DC187" s="23"/>
      <c r="DD187" s="23"/>
      <c r="DE187" s="23"/>
      <c r="DF187" s="23"/>
      <c r="DG187" s="23"/>
      <c r="DH187" s="23"/>
      <c r="DI187" s="23"/>
      <c r="DJ187" s="23"/>
      <c r="DK187" s="23"/>
      <c r="DL187" s="23"/>
      <c r="DM187" s="23"/>
      <c r="DN187" s="23"/>
      <c r="DO187" s="23"/>
      <c r="DP187" s="23">
        <v>1</v>
      </c>
      <c r="DQ187" s="23"/>
      <c r="DR187" s="23"/>
      <c r="DS187" s="23"/>
      <c r="DT187" s="23"/>
      <c r="DU187" s="23"/>
      <c r="DV187" s="23"/>
      <c r="DW187" s="23"/>
      <c r="DX187" s="110">
        <f>SUM(CL187:DW187)</f>
        <v>1</v>
      </c>
    </row>
    <row r="188" spans="2:128" ht="16.5">
      <c r="B188" s="46">
        <v>177</v>
      </c>
      <c r="C188" s="20" t="s">
        <v>180</v>
      </c>
      <c r="D188" s="20"/>
      <c r="E188" s="20" t="s">
        <v>143</v>
      </c>
      <c r="F188" s="20" t="s">
        <v>229</v>
      </c>
      <c r="G188" s="23">
        <v>118</v>
      </c>
      <c r="H188" s="23">
        <v>1</v>
      </c>
      <c r="I188" s="109">
        <f t="shared" si="4"/>
        <v>118</v>
      </c>
      <c r="J188" s="109">
        <f t="shared" si="5"/>
        <v>118</v>
      </c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/>
      <c r="BM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  <c r="BY188" s="23"/>
      <c r="BZ188" s="23"/>
      <c r="CA188" s="23"/>
      <c r="CB188" s="23"/>
      <c r="CC188" s="23"/>
      <c r="CD188" s="23"/>
      <c r="CE188" s="23"/>
      <c r="CF188" s="23"/>
      <c r="CG188" s="23"/>
      <c r="CH188" s="23"/>
      <c r="CI188" s="23"/>
      <c r="CJ188" s="23"/>
      <c r="CK188" s="23"/>
      <c r="CL188" s="23"/>
      <c r="CM188" s="23"/>
      <c r="CN188" s="23"/>
      <c r="CO188" s="23"/>
      <c r="CP188" s="23"/>
      <c r="CQ188" s="23"/>
      <c r="CR188" s="23"/>
      <c r="CS188" s="23"/>
      <c r="CT188" s="23"/>
      <c r="CU188" s="23"/>
      <c r="CV188" s="23"/>
      <c r="CW188" s="23"/>
      <c r="CX188" s="23"/>
      <c r="CY188" s="23"/>
      <c r="CZ188" s="23"/>
      <c r="DA188" s="23"/>
      <c r="DB188" s="23"/>
      <c r="DC188" s="23"/>
      <c r="DD188" s="23"/>
      <c r="DE188" s="23"/>
      <c r="DF188" s="23"/>
      <c r="DG188" s="23"/>
      <c r="DH188" s="23"/>
      <c r="DI188" s="23"/>
      <c r="DJ188" s="23"/>
      <c r="DK188" s="23"/>
      <c r="DL188" s="23"/>
      <c r="DM188" s="23"/>
      <c r="DN188" s="23"/>
      <c r="DO188" s="23"/>
      <c r="DP188" s="23">
        <v>1</v>
      </c>
      <c r="DQ188" s="23"/>
      <c r="DR188" s="23"/>
      <c r="DS188" s="23"/>
      <c r="DT188" s="23"/>
      <c r="DU188" s="23"/>
      <c r="DV188" s="23"/>
      <c r="DW188" s="23"/>
      <c r="DX188" s="110">
        <f>SUM(CL188:DW188)</f>
        <v>1</v>
      </c>
    </row>
    <row r="189" spans="2:128" ht="33">
      <c r="B189" s="46">
        <v>178</v>
      </c>
      <c r="C189" s="20" t="s">
        <v>338</v>
      </c>
      <c r="D189" s="20" t="s">
        <v>339</v>
      </c>
      <c r="E189" s="20"/>
      <c r="F189" s="20" t="s">
        <v>93</v>
      </c>
      <c r="G189" s="23"/>
      <c r="H189" s="23">
        <v>20</v>
      </c>
      <c r="I189" s="109">
        <f t="shared" si="4"/>
        <v>0</v>
      </c>
      <c r="J189" s="109">
        <f t="shared" si="5"/>
        <v>0</v>
      </c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  <c r="BI189" s="23"/>
      <c r="BJ189" s="23"/>
      <c r="BK189" s="23"/>
      <c r="BL189" s="23"/>
      <c r="BM189" s="23"/>
      <c r="BO189" s="23"/>
      <c r="BP189" s="23"/>
      <c r="BQ189" s="23"/>
      <c r="BR189" s="23"/>
      <c r="BS189" s="23"/>
      <c r="BT189" s="23"/>
      <c r="BU189" s="23"/>
      <c r="BV189" s="23"/>
      <c r="BW189" s="23"/>
      <c r="BX189" s="23"/>
      <c r="BY189" s="23"/>
      <c r="BZ189" s="23"/>
      <c r="CA189" s="23"/>
      <c r="CB189" s="23"/>
      <c r="CC189" s="23"/>
      <c r="CD189" s="23"/>
      <c r="CE189" s="23"/>
      <c r="CF189" s="23"/>
      <c r="CG189" s="23"/>
      <c r="CH189" s="23"/>
      <c r="CI189" s="23"/>
      <c r="CJ189" s="23"/>
      <c r="CK189" s="23"/>
      <c r="CL189" s="23"/>
      <c r="CM189" s="23"/>
      <c r="CN189" s="23"/>
      <c r="CO189" s="23"/>
      <c r="CP189" s="23"/>
      <c r="CQ189" s="23"/>
      <c r="CR189" s="23"/>
      <c r="CS189" s="23"/>
      <c r="CT189" s="23"/>
      <c r="CU189" s="23"/>
      <c r="CV189" s="23"/>
      <c r="CW189" s="23"/>
      <c r="CX189" s="23"/>
      <c r="CY189" s="23"/>
      <c r="CZ189" s="23">
        <v>10</v>
      </c>
      <c r="DA189" s="23"/>
      <c r="DB189" s="23"/>
      <c r="DC189" s="23"/>
      <c r="DD189" s="23"/>
      <c r="DE189" s="23"/>
      <c r="DF189" s="23"/>
      <c r="DG189" s="23"/>
      <c r="DH189" s="23"/>
      <c r="DI189" s="23"/>
      <c r="DJ189" s="23"/>
      <c r="DK189" s="23"/>
      <c r="DL189" s="23"/>
      <c r="DM189" s="23"/>
      <c r="DN189" s="23"/>
      <c r="DO189" s="23">
        <v>10</v>
      </c>
      <c r="DP189" s="23"/>
      <c r="DQ189" s="23"/>
      <c r="DR189" s="23"/>
      <c r="DS189" s="23"/>
      <c r="DT189" s="23"/>
      <c r="DU189" s="23"/>
      <c r="DV189" s="23"/>
      <c r="DW189" s="23"/>
      <c r="DX189" s="110">
        <f>SUM(CL189:DW189)</f>
        <v>20</v>
      </c>
    </row>
    <row r="190" spans="2:128" ht="16.5">
      <c r="B190" s="46">
        <v>179</v>
      </c>
      <c r="C190" s="20" t="s">
        <v>340</v>
      </c>
      <c r="D190" s="20" t="s">
        <v>145</v>
      </c>
      <c r="E190" s="20"/>
      <c r="F190" s="20" t="s">
        <v>146</v>
      </c>
      <c r="G190" s="23">
        <v>6.7</v>
      </c>
      <c r="H190" s="23">
        <v>16</v>
      </c>
      <c r="I190" s="109">
        <f t="shared" si="4"/>
        <v>107.2</v>
      </c>
      <c r="J190" s="109">
        <f t="shared" si="5"/>
        <v>107.2</v>
      </c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  <c r="BC190" s="23"/>
      <c r="BD190" s="23"/>
      <c r="BE190" s="23"/>
      <c r="BF190" s="23"/>
      <c r="BG190" s="23"/>
      <c r="BH190" s="23"/>
      <c r="BI190" s="23"/>
      <c r="BJ190" s="23"/>
      <c r="BK190" s="23"/>
      <c r="BL190" s="23"/>
      <c r="BM190" s="23"/>
      <c r="BO190" s="23"/>
      <c r="BP190" s="23"/>
      <c r="BQ190" s="23"/>
      <c r="BR190" s="23"/>
      <c r="BS190" s="23"/>
      <c r="BT190" s="23"/>
      <c r="BU190" s="23"/>
      <c r="BV190" s="23"/>
      <c r="BW190" s="23"/>
      <c r="BX190" s="23"/>
      <c r="BY190" s="23"/>
      <c r="BZ190" s="23"/>
      <c r="CA190" s="23"/>
      <c r="CB190" s="23"/>
      <c r="CC190" s="23"/>
      <c r="CD190" s="23"/>
      <c r="CE190" s="23"/>
      <c r="CF190" s="23"/>
      <c r="CG190" s="23"/>
      <c r="CH190" s="23"/>
      <c r="CI190" s="23"/>
      <c r="CJ190" s="23"/>
      <c r="CK190" s="23"/>
      <c r="CL190" s="23"/>
      <c r="CM190" s="23"/>
      <c r="CN190" s="23"/>
      <c r="CO190" s="23"/>
      <c r="CP190" s="23"/>
      <c r="CQ190" s="23"/>
      <c r="CR190" s="23"/>
      <c r="CS190" s="23"/>
      <c r="CT190" s="23"/>
      <c r="CU190" s="23"/>
      <c r="CV190" s="23"/>
      <c r="CW190" s="23"/>
      <c r="CX190" s="23"/>
      <c r="CY190" s="23"/>
      <c r="CZ190" s="23"/>
      <c r="DA190" s="23"/>
      <c r="DB190" s="23"/>
      <c r="DC190" s="23"/>
      <c r="DD190" s="23"/>
      <c r="DE190" s="23"/>
      <c r="DF190" s="23"/>
      <c r="DG190" s="23"/>
      <c r="DH190" s="23"/>
      <c r="DI190" s="23"/>
      <c r="DJ190" s="23"/>
      <c r="DK190" s="23"/>
      <c r="DL190" s="23"/>
      <c r="DM190" s="23"/>
      <c r="DN190" s="23"/>
      <c r="DO190" s="23">
        <v>16</v>
      </c>
      <c r="DP190" s="23"/>
      <c r="DQ190" s="23"/>
      <c r="DR190" s="23"/>
      <c r="DS190" s="23"/>
      <c r="DT190" s="23"/>
      <c r="DU190" s="23"/>
      <c r="DV190" s="23"/>
      <c r="DW190" s="23"/>
      <c r="DX190" s="110">
        <f>SUM(CL190:DW190)</f>
        <v>16</v>
      </c>
    </row>
    <row r="191" spans="2:128" ht="16.5">
      <c r="B191" s="46">
        <v>180</v>
      </c>
      <c r="C191" s="20" t="s">
        <v>341</v>
      </c>
      <c r="D191" s="20" t="s">
        <v>342</v>
      </c>
      <c r="E191" s="20"/>
      <c r="F191" s="20" t="s">
        <v>93</v>
      </c>
      <c r="G191" s="23">
        <v>15</v>
      </c>
      <c r="H191" s="23">
        <v>26</v>
      </c>
      <c r="I191" s="109">
        <f t="shared" si="4"/>
        <v>390</v>
      </c>
      <c r="J191" s="109">
        <f t="shared" si="5"/>
        <v>390</v>
      </c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  <c r="BC191" s="23"/>
      <c r="BD191" s="23"/>
      <c r="BE191" s="23"/>
      <c r="BF191" s="23"/>
      <c r="BG191" s="23"/>
      <c r="BH191" s="23"/>
      <c r="BI191" s="23"/>
      <c r="BJ191" s="23"/>
      <c r="BK191" s="23"/>
      <c r="BL191" s="23"/>
      <c r="BM191" s="23"/>
      <c r="BO191" s="23"/>
      <c r="BP191" s="23"/>
      <c r="BQ191" s="23"/>
      <c r="BR191" s="23"/>
      <c r="BS191" s="23"/>
      <c r="BT191" s="23"/>
      <c r="BU191" s="23"/>
      <c r="BV191" s="23"/>
      <c r="BW191" s="23"/>
      <c r="BX191" s="23"/>
      <c r="BY191" s="23"/>
      <c r="BZ191" s="23"/>
      <c r="CA191" s="23"/>
      <c r="CB191" s="23"/>
      <c r="CC191" s="23"/>
      <c r="CD191" s="23"/>
      <c r="CE191" s="23"/>
      <c r="CF191" s="23"/>
      <c r="CG191" s="23"/>
      <c r="CH191" s="23"/>
      <c r="CI191" s="23"/>
      <c r="CJ191" s="23"/>
      <c r="CK191" s="23"/>
      <c r="CL191" s="23"/>
      <c r="CM191" s="23"/>
      <c r="CN191" s="23"/>
      <c r="CO191" s="23"/>
      <c r="CP191" s="23"/>
      <c r="CQ191" s="23"/>
      <c r="CR191" s="23"/>
      <c r="CS191" s="23"/>
      <c r="CT191" s="23"/>
      <c r="CU191" s="23"/>
      <c r="CV191" s="23"/>
      <c r="CW191" s="23"/>
      <c r="CX191" s="23"/>
      <c r="CY191" s="23"/>
      <c r="CZ191" s="23"/>
      <c r="DA191" s="23"/>
      <c r="DB191" s="23"/>
      <c r="DC191" s="23"/>
      <c r="DD191" s="23"/>
      <c r="DE191" s="23"/>
      <c r="DF191" s="23"/>
      <c r="DG191" s="23"/>
      <c r="DH191" s="23"/>
      <c r="DI191" s="23"/>
      <c r="DJ191" s="23"/>
      <c r="DK191" s="23"/>
      <c r="DL191" s="23"/>
      <c r="DM191" s="23"/>
      <c r="DN191" s="23"/>
      <c r="DO191" s="23">
        <v>26</v>
      </c>
      <c r="DP191" s="23"/>
      <c r="DQ191" s="23"/>
      <c r="DR191" s="23"/>
      <c r="DS191" s="23"/>
      <c r="DT191" s="23"/>
      <c r="DU191" s="23"/>
      <c r="DV191" s="23"/>
      <c r="DW191" s="23"/>
      <c r="DX191" s="110">
        <f>SUM(CL191:DW191)</f>
        <v>26</v>
      </c>
    </row>
    <row r="192" spans="2:128" ht="16.5">
      <c r="B192" s="46">
        <v>181</v>
      </c>
      <c r="C192" s="20" t="s">
        <v>343</v>
      </c>
      <c r="D192" s="20" t="s">
        <v>215</v>
      </c>
      <c r="E192" s="20"/>
      <c r="F192" s="20" t="s">
        <v>104</v>
      </c>
      <c r="G192" s="23">
        <v>17</v>
      </c>
      <c r="H192" s="23">
        <v>1</v>
      </c>
      <c r="I192" s="109">
        <f t="shared" si="4"/>
        <v>17</v>
      </c>
      <c r="J192" s="109">
        <f t="shared" si="5"/>
        <v>17</v>
      </c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3"/>
      <c r="BE192" s="23"/>
      <c r="BF192" s="23"/>
      <c r="BG192" s="23"/>
      <c r="BH192" s="23"/>
      <c r="BI192" s="23"/>
      <c r="BJ192" s="23"/>
      <c r="BK192" s="23"/>
      <c r="BL192" s="23"/>
      <c r="BM192" s="23"/>
      <c r="BO192" s="23"/>
      <c r="BP192" s="23"/>
      <c r="BQ192" s="23"/>
      <c r="BR192" s="23"/>
      <c r="BS192" s="23"/>
      <c r="BT192" s="23"/>
      <c r="BU192" s="23"/>
      <c r="BV192" s="23"/>
      <c r="BW192" s="23"/>
      <c r="BX192" s="23"/>
      <c r="BY192" s="23"/>
      <c r="BZ192" s="23"/>
      <c r="CA192" s="23"/>
      <c r="CB192" s="23"/>
      <c r="CC192" s="23"/>
      <c r="CD192" s="23"/>
      <c r="CE192" s="23"/>
      <c r="CF192" s="23"/>
      <c r="CG192" s="23"/>
      <c r="CH192" s="23"/>
      <c r="CI192" s="23"/>
      <c r="CJ192" s="23"/>
      <c r="CK192" s="23"/>
      <c r="CL192" s="23"/>
      <c r="CM192" s="23"/>
      <c r="CN192" s="23"/>
      <c r="CO192" s="23"/>
      <c r="CP192" s="23"/>
      <c r="CQ192" s="23"/>
      <c r="CR192" s="23"/>
      <c r="CS192" s="23"/>
      <c r="CT192" s="23"/>
      <c r="CU192" s="23"/>
      <c r="CV192" s="23"/>
      <c r="CW192" s="23"/>
      <c r="CX192" s="23"/>
      <c r="CY192" s="23"/>
      <c r="CZ192" s="23">
        <v>1</v>
      </c>
      <c r="DA192" s="23"/>
      <c r="DB192" s="23"/>
      <c r="DC192" s="23"/>
      <c r="DD192" s="23"/>
      <c r="DE192" s="23"/>
      <c r="DF192" s="23"/>
      <c r="DG192" s="23"/>
      <c r="DH192" s="23"/>
      <c r="DI192" s="23"/>
      <c r="DJ192" s="23"/>
      <c r="DK192" s="23"/>
      <c r="DL192" s="23"/>
      <c r="DM192" s="23"/>
      <c r="DN192" s="23"/>
      <c r="DO192" s="23"/>
      <c r="DP192" s="23"/>
      <c r="DQ192" s="23"/>
      <c r="DR192" s="23"/>
      <c r="DS192" s="23"/>
      <c r="DT192" s="23"/>
      <c r="DU192" s="23"/>
      <c r="DV192" s="23"/>
      <c r="DW192" s="23"/>
      <c r="DX192" s="110">
        <f>SUM(CL192:DW192)</f>
        <v>1</v>
      </c>
    </row>
    <row r="193" spans="2:128" ht="16.5">
      <c r="B193" s="46">
        <v>182</v>
      </c>
      <c r="C193" s="20" t="s">
        <v>344</v>
      </c>
      <c r="D193" s="20" t="s">
        <v>152</v>
      </c>
      <c r="E193" s="20"/>
      <c r="F193" s="20" t="s">
        <v>93</v>
      </c>
      <c r="G193" s="23">
        <v>5</v>
      </c>
      <c r="H193" s="23">
        <v>2</v>
      </c>
      <c r="I193" s="109">
        <f t="shared" si="4"/>
        <v>10</v>
      </c>
      <c r="J193" s="109">
        <f t="shared" si="5"/>
        <v>10</v>
      </c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  <c r="AZ193" s="23"/>
      <c r="BA193" s="23"/>
      <c r="BB193" s="23"/>
      <c r="BC193" s="23"/>
      <c r="BD193" s="23"/>
      <c r="BE193" s="23"/>
      <c r="BF193" s="23"/>
      <c r="BG193" s="23"/>
      <c r="BH193" s="23"/>
      <c r="BI193" s="23"/>
      <c r="BJ193" s="23"/>
      <c r="BK193" s="23"/>
      <c r="BL193" s="23"/>
      <c r="BM193" s="23"/>
      <c r="BO193" s="23"/>
      <c r="BP193" s="23"/>
      <c r="BQ193" s="23"/>
      <c r="BR193" s="23"/>
      <c r="BS193" s="23"/>
      <c r="BT193" s="23"/>
      <c r="BU193" s="23"/>
      <c r="BV193" s="23"/>
      <c r="BW193" s="23"/>
      <c r="BX193" s="23"/>
      <c r="BY193" s="23"/>
      <c r="BZ193" s="23"/>
      <c r="CA193" s="23"/>
      <c r="CB193" s="23"/>
      <c r="CC193" s="23"/>
      <c r="CD193" s="23"/>
      <c r="CE193" s="23"/>
      <c r="CF193" s="23"/>
      <c r="CG193" s="23"/>
      <c r="CH193" s="23"/>
      <c r="CI193" s="23"/>
      <c r="CJ193" s="23"/>
      <c r="CK193" s="23"/>
      <c r="CL193" s="23"/>
      <c r="CM193" s="23"/>
      <c r="CN193" s="23"/>
      <c r="CO193" s="23"/>
      <c r="CP193" s="23"/>
      <c r="CQ193" s="23"/>
      <c r="CR193" s="23"/>
      <c r="CS193" s="23"/>
      <c r="CT193" s="23"/>
      <c r="CU193" s="23"/>
      <c r="CV193" s="23"/>
      <c r="CW193" s="23"/>
      <c r="CX193" s="23"/>
      <c r="CY193" s="23"/>
      <c r="CZ193" s="23">
        <v>2</v>
      </c>
      <c r="DA193" s="23"/>
      <c r="DB193" s="23"/>
      <c r="DC193" s="23"/>
      <c r="DD193" s="23"/>
      <c r="DE193" s="23"/>
      <c r="DF193" s="23"/>
      <c r="DG193" s="23"/>
      <c r="DH193" s="23"/>
      <c r="DI193" s="23"/>
      <c r="DJ193" s="23"/>
      <c r="DK193" s="23"/>
      <c r="DL193" s="23"/>
      <c r="DM193" s="23"/>
      <c r="DN193" s="23"/>
      <c r="DO193" s="23"/>
      <c r="DP193" s="23"/>
      <c r="DQ193" s="23"/>
      <c r="DR193" s="23"/>
      <c r="DS193" s="23"/>
      <c r="DT193" s="23"/>
      <c r="DU193" s="23"/>
      <c r="DV193" s="23"/>
      <c r="DW193" s="23"/>
      <c r="DX193" s="110">
        <f>SUM(CL193:DW193)</f>
        <v>2</v>
      </c>
    </row>
    <row r="194" spans="2:128" ht="16.5">
      <c r="B194" s="46">
        <v>183</v>
      </c>
      <c r="C194" s="20" t="s">
        <v>346</v>
      </c>
      <c r="D194" s="20" t="s">
        <v>345</v>
      </c>
      <c r="E194" s="20"/>
      <c r="F194" s="20" t="s">
        <v>146</v>
      </c>
      <c r="G194" s="23">
        <v>30</v>
      </c>
      <c r="H194" s="23">
        <v>7</v>
      </c>
      <c r="I194" s="109">
        <f t="shared" si="4"/>
        <v>210</v>
      </c>
      <c r="J194" s="109">
        <f t="shared" si="5"/>
        <v>210</v>
      </c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  <c r="AZ194" s="23"/>
      <c r="BA194" s="23"/>
      <c r="BB194" s="23"/>
      <c r="BC194" s="23"/>
      <c r="BD194" s="23"/>
      <c r="BE194" s="23"/>
      <c r="BF194" s="23"/>
      <c r="BG194" s="23"/>
      <c r="BH194" s="23"/>
      <c r="BI194" s="23"/>
      <c r="BJ194" s="23"/>
      <c r="BK194" s="23"/>
      <c r="BL194" s="23"/>
      <c r="BM194" s="23"/>
      <c r="BO194" s="23"/>
      <c r="BP194" s="23"/>
      <c r="BQ194" s="23"/>
      <c r="BR194" s="23"/>
      <c r="BS194" s="23"/>
      <c r="BT194" s="23"/>
      <c r="BU194" s="23"/>
      <c r="BV194" s="23"/>
      <c r="BW194" s="23"/>
      <c r="BX194" s="23"/>
      <c r="BY194" s="23"/>
      <c r="BZ194" s="23"/>
      <c r="CA194" s="23"/>
      <c r="CB194" s="23"/>
      <c r="CC194" s="23"/>
      <c r="CD194" s="23"/>
      <c r="CE194" s="23"/>
      <c r="CF194" s="23"/>
      <c r="CG194" s="23"/>
      <c r="CH194" s="23"/>
      <c r="CI194" s="23"/>
      <c r="CJ194" s="23"/>
      <c r="CK194" s="23"/>
      <c r="CL194" s="23"/>
      <c r="CM194" s="23"/>
      <c r="CN194" s="23"/>
      <c r="CO194" s="23"/>
      <c r="CP194" s="23"/>
      <c r="CQ194" s="23"/>
      <c r="CR194" s="23"/>
      <c r="CS194" s="23"/>
      <c r="CT194" s="23"/>
      <c r="CU194" s="23"/>
      <c r="CV194" s="23"/>
      <c r="CW194" s="23"/>
      <c r="CX194" s="23"/>
      <c r="CY194" s="23"/>
      <c r="CZ194" s="23">
        <v>7</v>
      </c>
      <c r="DA194" s="23"/>
      <c r="DB194" s="23"/>
      <c r="DC194" s="23"/>
      <c r="DD194" s="23"/>
      <c r="DE194" s="23"/>
      <c r="DF194" s="23"/>
      <c r="DG194" s="23"/>
      <c r="DH194" s="23"/>
      <c r="DI194" s="23"/>
      <c r="DJ194" s="23"/>
      <c r="DK194" s="23"/>
      <c r="DL194" s="23"/>
      <c r="DM194" s="23"/>
      <c r="DN194" s="23"/>
      <c r="DO194" s="23"/>
      <c r="DP194" s="23"/>
      <c r="DQ194" s="23"/>
      <c r="DR194" s="23"/>
      <c r="DS194" s="23"/>
      <c r="DT194" s="23"/>
      <c r="DU194" s="23"/>
      <c r="DV194" s="23"/>
      <c r="DW194" s="23"/>
      <c r="DX194" s="110">
        <f>SUM(CL194:DW194)</f>
        <v>7</v>
      </c>
    </row>
    <row r="195" spans="2:128" ht="16.5">
      <c r="B195" s="46">
        <v>184</v>
      </c>
      <c r="C195" s="20"/>
      <c r="D195" s="20"/>
      <c r="E195" s="20"/>
      <c r="F195" s="20"/>
      <c r="G195" s="23"/>
      <c r="H195" s="23"/>
      <c r="I195" s="109">
        <f t="shared" si="4"/>
        <v>0</v>
      </c>
      <c r="J195" s="109">
        <f t="shared" si="5"/>
        <v>0</v>
      </c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  <c r="AZ195" s="23"/>
      <c r="BA195" s="23"/>
      <c r="BB195" s="23"/>
      <c r="BC195" s="23"/>
      <c r="BD195" s="23"/>
      <c r="BE195" s="23"/>
      <c r="BF195" s="23"/>
      <c r="BG195" s="23"/>
      <c r="BH195" s="23"/>
      <c r="BI195" s="23"/>
      <c r="BJ195" s="23"/>
      <c r="BK195" s="23"/>
      <c r="BL195" s="23"/>
      <c r="BM195" s="23"/>
      <c r="BO195" s="23"/>
      <c r="BP195" s="23"/>
      <c r="BQ195" s="23"/>
      <c r="BR195" s="23"/>
      <c r="BS195" s="23"/>
      <c r="BT195" s="23"/>
      <c r="BU195" s="23"/>
      <c r="BV195" s="23"/>
      <c r="BW195" s="23"/>
      <c r="BX195" s="23"/>
      <c r="BY195" s="23"/>
      <c r="BZ195" s="23"/>
      <c r="CA195" s="23"/>
      <c r="CB195" s="23"/>
      <c r="CC195" s="23"/>
      <c r="CD195" s="23"/>
      <c r="CE195" s="23"/>
      <c r="CF195" s="23"/>
      <c r="CG195" s="23"/>
      <c r="CH195" s="23"/>
      <c r="CI195" s="23"/>
      <c r="CJ195" s="23"/>
      <c r="CK195" s="23"/>
      <c r="CL195" s="23"/>
      <c r="CM195" s="23"/>
      <c r="CN195" s="23"/>
      <c r="CO195" s="23"/>
      <c r="CP195" s="23"/>
      <c r="CQ195" s="23"/>
      <c r="CR195" s="23"/>
      <c r="CS195" s="23"/>
      <c r="CT195" s="23"/>
      <c r="CU195" s="23"/>
      <c r="CV195" s="23"/>
      <c r="CW195" s="23"/>
      <c r="CX195" s="23"/>
      <c r="CY195" s="23"/>
      <c r="CZ195" s="23"/>
      <c r="DA195" s="23"/>
      <c r="DB195" s="23"/>
      <c r="DC195" s="23"/>
      <c r="DD195" s="23"/>
      <c r="DE195" s="23"/>
      <c r="DF195" s="23"/>
      <c r="DG195" s="23"/>
      <c r="DH195" s="23"/>
      <c r="DI195" s="23"/>
      <c r="DJ195" s="23"/>
      <c r="DK195" s="23"/>
      <c r="DL195" s="23"/>
      <c r="DM195" s="23"/>
      <c r="DN195" s="23"/>
      <c r="DO195" s="23"/>
      <c r="DP195" s="23"/>
      <c r="DQ195" s="23"/>
      <c r="DR195" s="23"/>
      <c r="DS195" s="23"/>
      <c r="DT195" s="23"/>
      <c r="DU195" s="23"/>
      <c r="DV195" s="23"/>
      <c r="DW195" s="23"/>
      <c r="DX195" s="110">
        <f>SUM(CL195:DW195)</f>
        <v>0</v>
      </c>
    </row>
    <row r="196" spans="2:128" ht="16.5">
      <c r="B196" s="46">
        <v>185</v>
      </c>
      <c r="C196" s="20"/>
      <c r="D196" s="20"/>
      <c r="E196" s="20"/>
      <c r="F196" s="20"/>
      <c r="G196" s="23"/>
      <c r="H196" s="23"/>
      <c r="I196" s="109">
        <f t="shared" si="4"/>
        <v>0</v>
      </c>
      <c r="J196" s="109">
        <f t="shared" si="5"/>
        <v>0</v>
      </c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  <c r="AZ196" s="23"/>
      <c r="BA196" s="23"/>
      <c r="BB196" s="23"/>
      <c r="BC196" s="23"/>
      <c r="BD196" s="23"/>
      <c r="BE196" s="23"/>
      <c r="BF196" s="23"/>
      <c r="BG196" s="23"/>
      <c r="BH196" s="23"/>
      <c r="BI196" s="23"/>
      <c r="BJ196" s="23"/>
      <c r="BK196" s="23"/>
      <c r="BL196" s="23"/>
      <c r="BM196" s="23"/>
      <c r="BO196" s="23"/>
      <c r="BP196" s="23"/>
      <c r="BQ196" s="23"/>
      <c r="BR196" s="23"/>
      <c r="BS196" s="23"/>
      <c r="BT196" s="23"/>
      <c r="BU196" s="23"/>
      <c r="BV196" s="23"/>
      <c r="BW196" s="23"/>
      <c r="BX196" s="23"/>
      <c r="BY196" s="23"/>
      <c r="BZ196" s="23"/>
      <c r="CA196" s="23"/>
      <c r="CB196" s="23"/>
      <c r="CC196" s="23"/>
      <c r="CD196" s="23"/>
      <c r="CE196" s="23"/>
      <c r="CF196" s="23"/>
      <c r="CG196" s="23"/>
      <c r="CH196" s="23"/>
      <c r="CI196" s="23"/>
      <c r="CJ196" s="23"/>
      <c r="CK196" s="23"/>
      <c r="CL196" s="23"/>
      <c r="CM196" s="23"/>
      <c r="CN196" s="23"/>
      <c r="CO196" s="23"/>
      <c r="CP196" s="23"/>
      <c r="CQ196" s="23"/>
      <c r="CR196" s="23"/>
      <c r="CS196" s="23"/>
      <c r="CT196" s="23"/>
      <c r="CU196" s="23"/>
      <c r="CV196" s="23"/>
      <c r="CW196" s="23"/>
      <c r="CX196" s="23"/>
      <c r="CY196" s="23"/>
      <c r="CZ196" s="23"/>
      <c r="DA196" s="23"/>
      <c r="DB196" s="23"/>
      <c r="DC196" s="23"/>
      <c r="DD196" s="23"/>
      <c r="DE196" s="23"/>
      <c r="DF196" s="23"/>
      <c r="DG196" s="23"/>
      <c r="DH196" s="23"/>
      <c r="DI196" s="23"/>
      <c r="DJ196" s="23"/>
      <c r="DK196" s="23"/>
      <c r="DL196" s="23"/>
      <c r="DM196" s="23"/>
      <c r="DN196" s="23"/>
      <c r="DO196" s="23"/>
      <c r="DP196" s="23"/>
      <c r="DQ196" s="23"/>
      <c r="DR196" s="23"/>
      <c r="DS196" s="23"/>
      <c r="DT196" s="23"/>
      <c r="DU196" s="23"/>
      <c r="DV196" s="23"/>
      <c r="DW196" s="23"/>
      <c r="DX196" s="110">
        <f>SUM(CL196:DW196)</f>
        <v>0</v>
      </c>
    </row>
    <row r="197" spans="2:128" ht="16.5">
      <c r="B197" s="46">
        <v>186</v>
      </c>
      <c r="C197" s="20"/>
      <c r="D197" s="20"/>
      <c r="E197" s="20"/>
      <c r="F197" s="20"/>
      <c r="G197" s="23"/>
      <c r="H197" s="23"/>
      <c r="I197" s="109">
        <f t="shared" si="4"/>
        <v>0</v>
      </c>
      <c r="J197" s="109">
        <f t="shared" si="5"/>
        <v>0</v>
      </c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  <c r="AZ197" s="23"/>
      <c r="BA197" s="23"/>
      <c r="BB197" s="23"/>
      <c r="BC197" s="23"/>
      <c r="BD197" s="23"/>
      <c r="BE197" s="23"/>
      <c r="BF197" s="23"/>
      <c r="BG197" s="23"/>
      <c r="BH197" s="23"/>
      <c r="BI197" s="23"/>
      <c r="BJ197" s="23"/>
      <c r="BK197" s="23"/>
      <c r="BL197" s="23"/>
      <c r="BM197" s="23"/>
      <c r="BO197" s="23"/>
      <c r="BP197" s="23"/>
      <c r="BQ197" s="23"/>
      <c r="BR197" s="23"/>
      <c r="BS197" s="23"/>
      <c r="BT197" s="23"/>
      <c r="BU197" s="23"/>
      <c r="BV197" s="23"/>
      <c r="BW197" s="23"/>
      <c r="BX197" s="23"/>
      <c r="BY197" s="23"/>
      <c r="BZ197" s="23"/>
      <c r="CA197" s="23"/>
      <c r="CB197" s="23"/>
      <c r="CC197" s="23"/>
      <c r="CD197" s="23"/>
      <c r="CE197" s="23"/>
      <c r="CF197" s="23"/>
      <c r="CG197" s="23"/>
      <c r="CH197" s="23"/>
      <c r="CI197" s="23"/>
      <c r="CJ197" s="23"/>
      <c r="CK197" s="23"/>
      <c r="CL197" s="23"/>
      <c r="CM197" s="23"/>
      <c r="CN197" s="23"/>
      <c r="CO197" s="23"/>
      <c r="CP197" s="23"/>
      <c r="CQ197" s="23"/>
      <c r="CR197" s="23"/>
      <c r="CS197" s="23"/>
      <c r="CT197" s="23"/>
      <c r="CU197" s="23"/>
      <c r="CV197" s="23"/>
      <c r="CW197" s="23"/>
      <c r="CX197" s="23"/>
      <c r="CY197" s="23"/>
      <c r="CZ197" s="23"/>
      <c r="DA197" s="23"/>
      <c r="DB197" s="23"/>
      <c r="DC197" s="23"/>
      <c r="DD197" s="23"/>
      <c r="DE197" s="23"/>
      <c r="DF197" s="23"/>
      <c r="DG197" s="23"/>
      <c r="DH197" s="23"/>
      <c r="DI197" s="23"/>
      <c r="DJ197" s="23"/>
      <c r="DK197" s="23"/>
      <c r="DL197" s="23"/>
      <c r="DM197" s="23"/>
      <c r="DN197" s="23"/>
      <c r="DO197" s="23"/>
      <c r="DP197" s="23"/>
      <c r="DQ197" s="23"/>
      <c r="DR197" s="23"/>
      <c r="DS197" s="23"/>
      <c r="DT197" s="23"/>
      <c r="DU197" s="23"/>
      <c r="DV197" s="23"/>
      <c r="DW197" s="23"/>
      <c r="DX197" s="110">
        <f>SUM(CL197:DW197)</f>
        <v>0</v>
      </c>
    </row>
    <row r="198" spans="2:128" ht="16.5">
      <c r="B198" s="46">
        <v>187</v>
      </c>
      <c r="C198" s="20"/>
      <c r="D198" s="20"/>
      <c r="E198" s="20"/>
      <c r="F198" s="20"/>
      <c r="G198" s="23"/>
      <c r="H198" s="23"/>
      <c r="I198" s="109">
        <f t="shared" si="4"/>
        <v>0</v>
      </c>
      <c r="J198" s="109">
        <f t="shared" si="5"/>
        <v>0</v>
      </c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/>
      <c r="BH198" s="23"/>
      <c r="BI198" s="23"/>
      <c r="BJ198" s="23"/>
      <c r="BK198" s="23"/>
      <c r="BL198" s="23"/>
      <c r="BM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  <c r="BY198" s="23"/>
      <c r="BZ198" s="23"/>
      <c r="CA198" s="23"/>
      <c r="CB198" s="23"/>
      <c r="CC198" s="23"/>
      <c r="CD198" s="23"/>
      <c r="CE198" s="23"/>
      <c r="CF198" s="23"/>
      <c r="CG198" s="23"/>
      <c r="CH198" s="23"/>
      <c r="CI198" s="23"/>
      <c r="CJ198" s="23"/>
      <c r="CK198" s="23"/>
      <c r="CL198" s="23"/>
      <c r="CM198" s="23"/>
      <c r="CN198" s="23"/>
      <c r="CO198" s="23"/>
      <c r="CP198" s="23"/>
      <c r="CQ198" s="23"/>
      <c r="CR198" s="23"/>
      <c r="CS198" s="23"/>
      <c r="CT198" s="23"/>
      <c r="CU198" s="23"/>
      <c r="CV198" s="23"/>
      <c r="CW198" s="23"/>
      <c r="CX198" s="23"/>
      <c r="CY198" s="23"/>
      <c r="CZ198" s="23"/>
      <c r="DA198" s="23"/>
      <c r="DB198" s="23"/>
      <c r="DC198" s="23"/>
      <c r="DD198" s="23"/>
      <c r="DE198" s="23"/>
      <c r="DF198" s="23"/>
      <c r="DG198" s="23"/>
      <c r="DH198" s="23"/>
      <c r="DI198" s="23"/>
      <c r="DJ198" s="23"/>
      <c r="DK198" s="23"/>
      <c r="DL198" s="23"/>
      <c r="DM198" s="23"/>
      <c r="DN198" s="23"/>
      <c r="DO198" s="23"/>
      <c r="DP198" s="23"/>
      <c r="DQ198" s="23"/>
      <c r="DR198" s="23"/>
      <c r="DS198" s="23"/>
      <c r="DT198" s="23"/>
      <c r="DU198" s="23"/>
      <c r="DV198" s="23"/>
      <c r="DW198" s="23"/>
      <c r="DX198" s="110">
        <f>SUM(CL198:DW198)</f>
        <v>0</v>
      </c>
    </row>
    <row r="199" spans="2:128" ht="16.5">
      <c r="B199" s="46">
        <v>188</v>
      </c>
      <c r="C199" s="20"/>
      <c r="D199" s="20"/>
      <c r="E199" s="20"/>
      <c r="F199" s="20"/>
      <c r="G199" s="23"/>
      <c r="H199" s="23"/>
      <c r="I199" s="109">
        <f t="shared" si="4"/>
        <v>0</v>
      </c>
      <c r="J199" s="109">
        <f t="shared" si="5"/>
        <v>0</v>
      </c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  <c r="AZ199" s="23"/>
      <c r="BA199" s="23"/>
      <c r="BB199" s="23"/>
      <c r="BC199" s="23"/>
      <c r="BD199" s="23"/>
      <c r="BE199" s="23"/>
      <c r="BF199" s="23"/>
      <c r="BG199" s="23"/>
      <c r="BH199" s="23"/>
      <c r="BI199" s="23"/>
      <c r="BJ199" s="23"/>
      <c r="BK199" s="23"/>
      <c r="BL199" s="23"/>
      <c r="BM199" s="23"/>
      <c r="BO199" s="23"/>
      <c r="BP199" s="23"/>
      <c r="BQ199" s="23"/>
      <c r="BR199" s="23"/>
      <c r="BS199" s="23"/>
      <c r="BT199" s="23"/>
      <c r="BU199" s="23"/>
      <c r="BV199" s="23"/>
      <c r="BW199" s="23"/>
      <c r="BX199" s="23"/>
      <c r="BY199" s="23"/>
      <c r="BZ199" s="23"/>
      <c r="CA199" s="23"/>
      <c r="CB199" s="23"/>
      <c r="CC199" s="23"/>
      <c r="CD199" s="23"/>
      <c r="CE199" s="23"/>
      <c r="CF199" s="23"/>
      <c r="CG199" s="23"/>
      <c r="CH199" s="23"/>
      <c r="CI199" s="23"/>
      <c r="CJ199" s="23"/>
      <c r="CK199" s="23"/>
      <c r="CL199" s="23"/>
      <c r="CM199" s="23"/>
      <c r="CN199" s="23"/>
      <c r="CO199" s="23"/>
      <c r="CP199" s="23"/>
      <c r="CQ199" s="23"/>
      <c r="CR199" s="23"/>
      <c r="CS199" s="23"/>
      <c r="CT199" s="23"/>
      <c r="CU199" s="23"/>
      <c r="CV199" s="23"/>
      <c r="CW199" s="23"/>
      <c r="CX199" s="23"/>
      <c r="CY199" s="23"/>
      <c r="CZ199" s="23"/>
      <c r="DA199" s="23"/>
      <c r="DB199" s="23"/>
      <c r="DC199" s="23"/>
      <c r="DD199" s="23"/>
      <c r="DE199" s="23"/>
      <c r="DF199" s="23"/>
      <c r="DG199" s="23"/>
      <c r="DH199" s="23"/>
      <c r="DI199" s="23"/>
      <c r="DJ199" s="23"/>
      <c r="DK199" s="23"/>
      <c r="DL199" s="23"/>
      <c r="DM199" s="23"/>
      <c r="DN199" s="23"/>
      <c r="DO199" s="23"/>
      <c r="DP199" s="23"/>
      <c r="DQ199" s="23"/>
      <c r="DR199" s="23"/>
      <c r="DS199" s="23"/>
      <c r="DT199" s="23"/>
      <c r="DU199" s="23"/>
      <c r="DV199" s="23"/>
      <c r="DW199" s="23"/>
      <c r="DX199" s="110">
        <f>SUM(CL199:DW199)</f>
        <v>0</v>
      </c>
    </row>
    <row r="200" spans="2:128" ht="16.5">
      <c r="B200" s="46">
        <v>189</v>
      </c>
      <c r="C200" s="20"/>
      <c r="D200" s="20"/>
      <c r="E200" s="20"/>
      <c r="F200" s="20"/>
      <c r="G200" s="23"/>
      <c r="H200" s="23"/>
      <c r="I200" s="109">
        <f t="shared" si="4"/>
        <v>0</v>
      </c>
      <c r="J200" s="109">
        <f t="shared" si="5"/>
        <v>0</v>
      </c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  <c r="AZ200" s="23"/>
      <c r="BA200" s="23"/>
      <c r="BB200" s="23"/>
      <c r="BC200" s="23"/>
      <c r="BD200" s="23"/>
      <c r="BE200" s="23"/>
      <c r="BF200" s="23"/>
      <c r="BG200" s="23"/>
      <c r="BH200" s="23"/>
      <c r="BI200" s="23"/>
      <c r="BJ200" s="23"/>
      <c r="BK200" s="23"/>
      <c r="BL200" s="23"/>
      <c r="BM200" s="23"/>
      <c r="BO200" s="23"/>
      <c r="BP200" s="23"/>
      <c r="BQ200" s="23"/>
      <c r="BR200" s="23"/>
      <c r="BS200" s="23"/>
      <c r="BT200" s="23"/>
      <c r="BU200" s="23"/>
      <c r="BV200" s="23"/>
      <c r="BW200" s="23"/>
      <c r="BX200" s="23"/>
      <c r="BY200" s="23"/>
      <c r="BZ200" s="23"/>
      <c r="CA200" s="23"/>
      <c r="CB200" s="23"/>
      <c r="CC200" s="23"/>
      <c r="CD200" s="23"/>
      <c r="CE200" s="23"/>
      <c r="CF200" s="23"/>
      <c r="CG200" s="23"/>
      <c r="CH200" s="23"/>
      <c r="CI200" s="23"/>
      <c r="CJ200" s="23"/>
      <c r="CK200" s="23"/>
      <c r="CL200" s="23"/>
      <c r="CM200" s="23"/>
      <c r="CN200" s="23"/>
      <c r="CO200" s="23"/>
      <c r="CP200" s="23"/>
      <c r="CQ200" s="23"/>
      <c r="CR200" s="23"/>
      <c r="CS200" s="23"/>
      <c r="CT200" s="23"/>
      <c r="CU200" s="23"/>
      <c r="CV200" s="23"/>
      <c r="CW200" s="23"/>
      <c r="CX200" s="23"/>
      <c r="CY200" s="23"/>
      <c r="CZ200" s="23"/>
      <c r="DA200" s="23"/>
      <c r="DB200" s="23"/>
      <c r="DC200" s="23"/>
      <c r="DD200" s="23"/>
      <c r="DE200" s="23"/>
      <c r="DF200" s="23"/>
      <c r="DG200" s="23"/>
      <c r="DH200" s="23"/>
      <c r="DI200" s="23"/>
      <c r="DJ200" s="23"/>
      <c r="DK200" s="23"/>
      <c r="DL200" s="23"/>
      <c r="DM200" s="23"/>
      <c r="DN200" s="23"/>
      <c r="DO200" s="23"/>
      <c r="DP200" s="23"/>
      <c r="DQ200" s="23"/>
      <c r="DR200" s="23"/>
      <c r="DS200" s="23"/>
      <c r="DT200" s="23"/>
      <c r="DU200" s="23"/>
      <c r="DV200" s="23"/>
      <c r="DW200" s="23"/>
      <c r="DX200" s="110">
        <f>SUM(CL200:DW200)</f>
        <v>0</v>
      </c>
    </row>
    <row r="201" spans="2:128" ht="16.5">
      <c r="B201" s="46">
        <v>190</v>
      </c>
      <c r="C201" s="20"/>
      <c r="D201" s="20"/>
      <c r="E201" s="20"/>
      <c r="F201" s="20"/>
      <c r="G201" s="23"/>
      <c r="H201" s="23"/>
      <c r="I201" s="109">
        <f t="shared" si="4"/>
        <v>0</v>
      </c>
      <c r="J201" s="109">
        <f t="shared" si="5"/>
        <v>0</v>
      </c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  <c r="BC201" s="23"/>
      <c r="BD201" s="23"/>
      <c r="BE201" s="23"/>
      <c r="BF201" s="23"/>
      <c r="BG201" s="23"/>
      <c r="BH201" s="23"/>
      <c r="BI201" s="23"/>
      <c r="BJ201" s="23"/>
      <c r="BK201" s="23"/>
      <c r="BL201" s="23"/>
      <c r="BM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  <c r="BY201" s="23"/>
      <c r="BZ201" s="23"/>
      <c r="CA201" s="23"/>
      <c r="CB201" s="23"/>
      <c r="CC201" s="23"/>
      <c r="CD201" s="23"/>
      <c r="CE201" s="23"/>
      <c r="CF201" s="23"/>
      <c r="CG201" s="23"/>
      <c r="CH201" s="23"/>
      <c r="CI201" s="23"/>
      <c r="CJ201" s="23"/>
      <c r="CK201" s="23"/>
      <c r="CL201" s="23"/>
      <c r="CM201" s="23"/>
      <c r="CN201" s="23"/>
      <c r="CO201" s="23"/>
      <c r="CP201" s="23"/>
      <c r="CQ201" s="23"/>
      <c r="CR201" s="23"/>
      <c r="CS201" s="23"/>
      <c r="CT201" s="23"/>
      <c r="CU201" s="23"/>
      <c r="CV201" s="23"/>
      <c r="CW201" s="23"/>
      <c r="CX201" s="23"/>
      <c r="CY201" s="23"/>
      <c r="CZ201" s="23"/>
      <c r="DA201" s="23"/>
      <c r="DB201" s="23"/>
      <c r="DC201" s="23"/>
      <c r="DD201" s="23"/>
      <c r="DE201" s="23"/>
      <c r="DF201" s="23"/>
      <c r="DG201" s="23"/>
      <c r="DH201" s="23"/>
      <c r="DI201" s="23"/>
      <c r="DJ201" s="23"/>
      <c r="DK201" s="23"/>
      <c r="DL201" s="23"/>
      <c r="DM201" s="23"/>
      <c r="DN201" s="23"/>
      <c r="DO201" s="23"/>
      <c r="DP201" s="23"/>
      <c r="DQ201" s="23"/>
      <c r="DR201" s="23"/>
      <c r="DS201" s="23"/>
      <c r="DT201" s="23"/>
      <c r="DU201" s="23"/>
      <c r="DV201" s="23"/>
      <c r="DW201" s="23"/>
      <c r="DX201" s="110">
        <f>SUM(CL201:DW201)</f>
        <v>0</v>
      </c>
    </row>
    <row r="202" spans="2:128" ht="16.5">
      <c r="B202" s="46">
        <v>191</v>
      </c>
      <c r="C202" s="20"/>
      <c r="D202" s="20"/>
      <c r="E202" s="20"/>
      <c r="F202" s="20"/>
      <c r="G202" s="23"/>
      <c r="H202" s="23"/>
      <c r="I202" s="109">
        <f t="shared" si="4"/>
        <v>0</v>
      </c>
      <c r="J202" s="109">
        <f t="shared" si="5"/>
        <v>0</v>
      </c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  <c r="AX202" s="23"/>
      <c r="AY202" s="23"/>
      <c r="AZ202" s="23"/>
      <c r="BA202" s="23"/>
      <c r="BB202" s="23"/>
      <c r="BC202" s="23"/>
      <c r="BD202" s="23"/>
      <c r="BE202" s="23"/>
      <c r="BF202" s="23"/>
      <c r="BG202" s="23"/>
      <c r="BH202" s="23"/>
      <c r="BI202" s="23"/>
      <c r="BJ202" s="23"/>
      <c r="BK202" s="23"/>
      <c r="BL202" s="23"/>
      <c r="BM202" s="23"/>
      <c r="BO202" s="23"/>
      <c r="BP202" s="23"/>
      <c r="BQ202" s="23"/>
      <c r="BR202" s="23"/>
      <c r="BS202" s="23"/>
      <c r="BT202" s="23"/>
      <c r="BU202" s="23"/>
      <c r="BV202" s="23"/>
      <c r="BW202" s="23"/>
      <c r="BX202" s="23"/>
      <c r="BY202" s="23"/>
      <c r="BZ202" s="23"/>
      <c r="CA202" s="23"/>
      <c r="CB202" s="23"/>
      <c r="CC202" s="23"/>
      <c r="CD202" s="23"/>
      <c r="CE202" s="23"/>
      <c r="CF202" s="23"/>
      <c r="CG202" s="23"/>
      <c r="CH202" s="23"/>
      <c r="CI202" s="23"/>
      <c r="CJ202" s="23"/>
      <c r="CK202" s="23"/>
      <c r="CL202" s="23"/>
      <c r="CM202" s="23"/>
      <c r="CN202" s="23"/>
      <c r="CO202" s="23"/>
      <c r="CP202" s="23"/>
      <c r="CQ202" s="23"/>
      <c r="CR202" s="23"/>
      <c r="CS202" s="23"/>
      <c r="CT202" s="23"/>
      <c r="CU202" s="23"/>
      <c r="CV202" s="23"/>
      <c r="CW202" s="23"/>
      <c r="CX202" s="23"/>
      <c r="CY202" s="23"/>
      <c r="CZ202" s="23"/>
      <c r="DA202" s="23"/>
      <c r="DB202" s="23"/>
      <c r="DC202" s="23"/>
      <c r="DD202" s="23"/>
      <c r="DE202" s="23"/>
      <c r="DF202" s="23"/>
      <c r="DG202" s="23"/>
      <c r="DH202" s="23"/>
      <c r="DI202" s="23"/>
      <c r="DJ202" s="23"/>
      <c r="DK202" s="23"/>
      <c r="DL202" s="23"/>
      <c r="DM202" s="23"/>
      <c r="DN202" s="23"/>
      <c r="DO202" s="23"/>
      <c r="DP202" s="23"/>
      <c r="DQ202" s="23"/>
      <c r="DR202" s="23"/>
      <c r="DS202" s="23"/>
      <c r="DT202" s="23"/>
      <c r="DU202" s="23"/>
      <c r="DV202" s="23"/>
      <c r="DW202" s="23"/>
      <c r="DX202" s="110">
        <f>SUM(CL202:DW202)</f>
        <v>0</v>
      </c>
    </row>
    <row r="203" spans="2:128">
      <c r="I203" s="110">
        <f>SUM(I13:I202)</f>
        <v>312480.44</v>
      </c>
      <c r="J203" s="110">
        <f>SUM(J13:J202)</f>
        <v>312480.44</v>
      </c>
      <c r="DX203" s="4">
        <f>SUM(CM203:DW203)</f>
        <v>0</v>
      </c>
    </row>
  </sheetData>
  <sheetProtection formatColumns="0" formatRows="0" sort="0" autoFilter="0"/>
  <mergeCells count="7">
    <mergeCell ref="CG11:CY11"/>
    <mergeCell ref="CZ11:DW11"/>
    <mergeCell ref="B11:H11"/>
    <mergeCell ref="L11:AC11"/>
    <mergeCell ref="AD11:AU11"/>
    <mergeCell ref="AV11:BM11"/>
    <mergeCell ref="BO11:CF11"/>
  </mergeCells>
  <dataValidations count="1">
    <dataValidation type="decimal" operator="greaterThanOrEqual" allowBlank="1" showInputMessage="1" showErrorMessage="1" sqref="G13:BM202 BO13:DW202">
      <formula1>0</formula1>
    </dataValidation>
  </dataValidations>
  <pageMargins left="0" right="0" top="0.75" bottom="0.75" header="0.3" footer="0.3"/>
  <pageSetup paperSize="5" scale="62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dd_Drug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Pict="0" macro="[0]!Delete_Drug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</sheetPr>
  <dimension ref="B2:DS111"/>
  <sheetViews>
    <sheetView showGridLines="0" topLeftCell="A5" zoomScale="84" zoomScaleNormal="84" workbookViewId="0">
      <selection activeCell="I70" sqref="I70"/>
    </sheetView>
  </sheetViews>
  <sheetFormatPr defaultColWidth="8.7109375" defaultRowHeight="12.75" outlineLevelRow="1"/>
  <cols>
    <col min="1" max="1" width="3.42578125" style="3" customWidth="1"/>
    <col min="2" max="2" width="25.42578125" style="3" customWidth="1"/>
    <col min="3" max="3" width="34.42578125" style="3" customWidth="1"/>
    <col min="4" max="6" width="12.85546875" style="3" customWidth="1"/>
    <col min="7" max="7" width="1.42578125" style="4" customWidth="1"/>
    <col min="8" max="61" width="8.7109375" style="4" customWidth="1"/>
    <col min="62" max="62" width="1.7109375" style="5" customWidth="1"/>
    <col min="63" max="91" width="8.7109375" style="4" customWidth="1"/>
    <col min="92" max="99" width="8.7109375" style="4" hidden="1" customWidth="1"/>
    <col min="100" max="101" width="8.7109375" style="4" customWidth="1"/>
    <col min="102" max="108" width="8.7109375" style="4" hidden="1" customWidth="1"/>
    <col min="109" max="109" width="8.7109375" style="4" customWidth="1"/>
    <col min="110" max="113" width="8.7109375" style="4" hidden="1" customWidth="1"/>
    <col min="114" max="123" width="8.7109375" style="4" customWidth="1"/>
    <col min="124" max="16384" width="8.7109375" style="3"/>
  </cols>
  <sheetData>
    <row r="2" spans="2:123" ht="16.5">
      <c r="B2" s="6" t="s">
        <v>94</v>
      </c>
      <c r="D2" s="7"/>
      <c r="E2" s="7"/>
      <c r="BJ2" s="4"/>
    </row>
    <row r="3" spans="2:123" ht="16.5">
      <c r="B3" s="6"/>
      <c r="D3" s="7"/>
      <c r="E3" s="7"/>
    </row>
    <row r="4" spans="2:123" ht="16.5" hidden="1" outlineLevel="1">
      <c r="B4" s="8" t="s">
        <v>95</v>
      </c>
      <c r="C4" s="3">
        <v>99</v>
      </c>
      <c r="D4" s="7"/>
      <c r="E4" s="7"/>
    </row>
    <row r="5" spans="2:123" ht="27.4" customHeight="1" collapsed="1">
      <c r="B5" s="95" t="s">
        <v>96</v>
      </c>
      <c r="C5" s="96"/>
      <c r="D5" s="96"/>
      <c r="E5" s="96"/>
      <c r="F5" s="97"/>
    </row>
    <row r="6" spans="2:123" ht="16.5">
      <c r="B6" s="98" t="s">
        <v>84</v>
      </c>
      <c r="C6" s="99"/>
      <c r="D6" s="99"/>
      <c r="E6" s="99"/>
      <c r="F6" s="100"/>
    </row>
    <row r="7" spans="2:123" ht="16.5">
      <c r="B7" s="98" t="s">
        <v>3</v>
      </c>
      <c r="C7" s="99"/>
      <c r="D7" s="99"/>
      <c r="E7" s="99"/>
      <c r="F7" s="100"/>
    </row>
    <row r="8" spans="2:123" ht="16.5">
      <c r="B8" s="11" t="s">
        <v>4</v>
      </c>
      <c r="C8" s="12" t="s">
        <v>347</v>
      </c>
      <c r="D8" s="9"/>
      <c r="E8" s="9"/>
      <c r="F8" s="10"/>
    </row>
    <row r="9" spans="2:123" ht="41.65" customHeight="1">
      <c r="B9" s="101" t="s">
        <v>97</v>
      </c>
      <c r="C9" s="102"/>
      <c r="D9" s="102"/>
      <c r="E9" s="102"/>
      <c r="F9" s="103"/>
    </row>
    <row r="10" spans="2:123">
      <c r="C10" s="13"/>
    </row>
    <row r="11" spans="2:123" ht="12.95" customHeight="1">
      <c r="B11" s="104"/>
      <c r="C11" s="105"/>
      <c r="D11" s="105"/>
      <c r="E11" s="105"/>
      <c r="F11" s="106"/>
      <c r="G11" s="14"/>
      <c r="H11" s="92" t="s">
        <v>12</v>
      </c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2" t="s">
        <v>31</v>
      </c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4" t="s">
        <v>49</v>
      </c>
      <c r="AS11" s="93"/>
      <c r="AT11" s="93"/>
      <c r="AU11" s="93"/>
      <c r="AV11" s="93"/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  <c r="BI11" s="93"/>
      <c r="BJ11" s="25"/>
      <c r="BK11" s="87" t="s">
        <v>12</v>
      </c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5" t="s">
        <v>31</v>
      </c>
      <c r="CD11" s="86"/>
      <c r="CE11" s="86"/>
      <c r="CF11" s="86"/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6"/>
      <c r="CT11" s="86"/>
      <c r="CU11" s="86"/>
      <c r="CV11" s="87" t="s">
        <v>49</v>
      </c>
      <c r="CW11" s="87"/>
      <c r="CX11" s="87"/>
      <c r="CY11" s="87"/>
      <c r="CZ11" s="87"/>
      <c r="DA11" s="87"/>
      <c r="DB11" s="87"/>
      <c r="DC11" s="87"/>
      <c r="DD11" s="87"/>
      <c r="DE11" s="88"/>
      <c r="DF11" s="88"/>
      <c r="DG11" s="88"/>
      <c r="DH11" s="88"/>
      <c r="DI11" s="88"/>
      <c r="DJ11" s="88"/>
      <c r="DK11" s="88"/>
      <c r="DL11" s="88"/>
      <c r="DM11" s="88"/>
      <c r="DN11" s="88"/>
      <c r="DO11" s="88"/>
      <c r="DP11" s="88"/>
      <c r="DQ11" s="88"/>
      <c r="DR11" s="88"/>
      <c r="DS11" s="88"/>
    </row>
    <row r="12" spans="2:123" s="1" customFormat="1" ht="214.5">
      <c r="B12" s="15" t="s">
        <v>86</v>
      </c>
      <c r="C12" s="15" t="s">
        <v>98</v>
      </c>
      <c r="D12" s="16" t="s">
        <v>99</v>
      </c>
      <c r="E12" s="16" t="s">
        <v>91</v>
      </c>
      <c r="F12" s="16" t="s">
        <v>92</v>
      </c>
      <c r="G12" s="17"/>
      <c r="H12" s="18" t="s">
        <v>13</v>
      </c>
      <c r="I12" s="18" t="s">
        <v>14</v>
      </c>
      <c r="J12" s="18" t="s">
        <v>15</v>
      </c>
      <c r="K12" s="18" t="s">
        <v>16</v>
      </c>
      <c r="L12" s="18" t="s">
        <v>17</v>
      </c>
      <c r="M12" s="18" t="s">
        <v>18</v>
      </c>
      <c r="N12" s="18" t="s">
        <v>19</v>
      </c>
      <c r="O12" s="18" t="s">
        <v>20</v>
      </c>
      <c r="P12" s="18" t="s">
        <v>21</v>
      </c>
      <c r="Q12" s="18" t="s">
        <v>22</v>
      </c>
      <c r="R12" s="18" t="s">
        <v>23</v>
      </c>
      <c r="S12" s="18" t="s">
        <v>24</v>
      </c>
      <c r="T12" s="18" t="s">
        <v>25</v>
      </c>
      <c r="U12" s="18" t="s">
        <v>26</v>
      </c>
      <c r="V12" s="18" t="s">
        <v>27</v>
      </c>
      <c r="W12" s="18" t="s">
        <v>28</v>
      </c>
      <c r="X12" s="18" t="s">
        <v>29</v>
      </c>
      <c r="Y12" s="18" t="s">
        <v>30</v>
      </c>
      <c r="Z12" s="18" t="s">
        <v>32</v>
      </c>
      <c r="AA12" s="18" t="s">
        <v>33</v>
      </c>
      <c r="AB12" s="24" t="s">
        <v>34</v>
      </c>
      <c r="AC12" s="18" t="s">
        <v>35</v>
      </c>
      <c r="AD12" s="24" t="s">
        <v>36</v>
      </c>
      <c r="AE12" s="18" t="s">
        <v>37</v>
      </c>
      <c r="AF12" s="18" t="s">
        <v>38</v>
      </c>
      <c r="AG12" s="18" t="s">
        <v>39</v>
      </c>
      <c r="AH12" s="18" t="s">
        <v>40</v>
      </c>
      <c r="AI12" s="18" t="s">
        <v>41</v>
      </c>
      <c r="AJ12" s="18" t="s">
        <v>42</v>
      </c>
      <c r="AK12" s="18" t="s">
        <v>43</v>
      </c>
      <c r="AL12" s="18" t="s">
        <v>44</v>
      </c>
      <c r="AM12" s="18" t="s">
        <v>45</v>
      </c>
      <c r="AN12" s="18" t="s">
        <v>46</v>
      </c>
      <c r="AO12" s="24" t="s">
        <v>47</v>
      </c>
      <c r="AP12" s="24" t="s">
        <v>48</v>
      </c>
      <c r="AQ12" s="18" t="s">
        <v>30</v>
      </c>
      <c r="AR12" s="18" t="s">
        <v>50</v>
      </c>
      <c r="AS12" s="18" t="s">
        <v>51</v>
      </c>
      <c r="AT12" s="18" t="s">
        <v>52</v>
      </c>
      <c r="AU12" s="18" t="s">
        <v>53</v>
      </c>
      <c r="AV12" s="18" t="s">
        <v>54</v>
      </c>
      <c r="AW12" s="18" t="s">
        <v>55</v>
      </c>
      <c r="AX12" s="18" t="s">
        <v>56</v>
      </c>
      <c r="AY12" s="24" t="s">
        <v>57</v>
      </c>
      <c r="AZ12" s="18" t="s">
        <v>58</v>
      </c>
      <c r="BA12" s="18" t="s">
        <v>59</v>
      </c>
      <c r="BB12" s="18" t="s">
        <v>60</v>
      </c>
      <c r="BC12" s="18" t="s">
        <v>61</v>
      </c>
      <c r="BD12" s="18" t="s">
        <v>62</v>
      </c>
      <c r="BE12" s="18" t="s">
        <v>63</v>
      </c>
      <c r="BF12" s="18" t="s">
        <v>64</v>
      </c>
      <c r="BG12" s="18" t="s">
        <v>65</v>
      </c>
      <c r="BH12" s="18" t="s">
        <v>66</v>
      </c>
      <c r="BI12" s="18" t="s">
        <v>67</v>
      </c>
      <c r="BJ12" s="17"/>
      <c r="BK12" s="18" t="s">
        <v>13</v>
      </c>
      <c r="BL12" s="18" t="s">
        <v>68</v>
      </c>
      <c r="BM12" s="18" t="s">
        <v>15</v>
      </c>
      <c r="BN12" s="18" t="s">
        <v>16</v>
      </c>
      <c r="BO12" s="18" t="s">
        <v>17</v>
      </c>
      <c r="BP12" s="18" t="s">
        <v>18</v>
      </c>
      <c r="BQ12" s="18" t="s">
        <v>19</v>
      </c>
      <c r="BR12" s="18" t="s">
        <v>69</v>
      </c>
      <c r="BS12" s="18" t="s">
        <v>21</v>
      </c>
      <c r="BT12" s="18" t="s">
        <v>22</v>
      </c>
      <c r="BU12" s="18" t="s">
        <v>23</v>
      </c>
      <c r="BV12" s="18" t="s">
        <v>24</v>
      </c>
      <c r="BW12" s="18" t="s">
        <v>25</v>
      </c>
      <c r="BX12" s="18" t="s">
        <v>26</v>
      </c>
      <c r="BY12" s="18" t="s">
        <v>27</v>
      </c>
      <c r="BZ12" s="18" t="s">
        <v>28</v>
      </c>
      <c r="CA12" s="18" t="s">
        <v>70</v>
      </c>
      <c r="CB12" s="18" t="s">
        <v>30</v>
      </c>
      <c r="CC12" s="18" t="s">
        <v>32</v>
      </c>
      <c r="CD12" s="18" t="s">
        <v>33</v>
      </c>
      <c r="CE12" s="18" t="s">
        <v>34</v>
      </c>
      <c r="CF12" s="18" t="s">
        <v>35</v>
      </c>
      <c r="CG12" s="18" t="s">
        <v>36</v>
      </c>
      <c r="CH12" s="18" t="s">
        <v>37</v>
      </c>
      <c r="CI12" s="18" t="s">
        <v>38</v>
      </c>
      <c r="CJ12" s="18" t="s">
        <v>71</v>
      </c>
      <c r="CK12" s="18" t="s">
        <v>39</v>
      </c>
      <c r="CL12" s="18" t="s">
        <v>40</v>
      </c>
      <c r="CM12" s="18" t="s">
        <v>41</v>
      </c>
      <c r="CN12" s="18" t="s">
        <v>42</v>
      </c>
      <c r="CO12" s="18" t="s">
        <v>43</v>
      </c>
      <c r="CP12" s="18" t="s">
        <v>44</v>
      </c>
      <c r="CQ12" s="18" t="s">
        <v>45</v>
      </c>
      <c r="CR12" s="18" t="s">
        <v>46</v>
      </c>
      <c r="CS12" s="18" t="s">
        <v>47</v>
      </c>
      <c r="CT12" s="18" t="s">
        <v>48</v>
      </c>
      <c r="CU12" s="24" t="s">
        <v>30</v>
      </c>
      <c r="CV12" s="18" t="s">
        <v>72</v>
      </c>
      <c r="CW12" s="18" t="s">
        <v>51</v>
      </c>
      <c r="CX12" s="18" t="s">
        <v>52</v>
      </c>
      <c r="CY12" s="18" t="s">
        <v>53</v>
      </c>
      <c r="CZ12" s="18" t="s">
        <v>54</v>
      </c>
      <c r="DA12" s="18" t="s">
        <v>55</v>
      </c>
      <c r="DB12" s="18" t="s">
        <v>56</v>
      </c>
      <c r="DC12" s="26" t="s">
        <v>73</v>
      </c>
      <c r="DD12" s="18" t="s">
        <v>74</v>
      </c>
      <c r="DE12" s="18" t="s">
        <v>59</v>
      </c>
      <c r="DF12" s="18" t="s">
        <v>60</v>
      </c>
      <c r="DG12" s="18" t="s">
        <v>75</v>
      </c>
      <c r="DH12" s="18" t="s">
        <v>61</v>
      </c>
      <c r="DI12" s="18" t="s">
        <v>76</v>
      </c>
      <c r="DJ12" s="18" t="s">
        <v>62</v>
      </c>
      <c r="DK12" s="18" t="s">
        <v>63</v>
      </c>
      <c r="DL12" s="18" t="s">
        <v>64</v>
      </c>
      <c r="DM12" s="18" t="s">
        <v>65</v>
      </c>
      <c r="DN12" s="18" t="s">
        <v>66</v>
      </c>
      <c r="DO12" s="18" t="s">
        <v>67</v>
      </c>
      <c r="DP12" s="18" t="s">
        <v>77</v>
      </c>
      <c r="DQ12" s="18" t="s">
        <v>78</v>
      </c>
      <c r="DR12" s="18" t="s">
        <v>79</v>
      </c>
      <c r="DS12" s="18" t="s">
        <v>80</v>
      </c>
    </row>
    <row r="13" spans="2:123" s="2" customFormat="1" ht="16.5">
      <c r="B13" s="19">
        <v>1</v>
      </c>
      <c r="C13" s="20" t="s">
        <v>348</v>
      </c>
      <c r="D13" s="20" t="s">
        <v>349</v>
      </c>
      <c r="E13" s="21"/>
      <c r="F13" s="21">
        <v>0</v>
      </c>
      <c r="G13" s="4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5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</row>
    <row r="14" spans="2:123" ht="16.5">
      <c r="B14" s="22">
        <v>2</v>
      </c>
      <c r="C14" s="20" t="s">
        <v>350</v>
      </c>
      <c r="D14" s="20" t="s">
        <v>349</v>
      </c>
      <c r="E14" s="21">
        <v>460</v>
      </c>
      <c r="F14" s="21">
        <v>1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>
        <v>1</v>
      </c>
      <c r="DN14" s="23"/>
      <c r="DO14" s="23"/>
      <c r="DP14" s="23"/>
      <c r="DQ14" s="23"/>
      <c r="DR14" s="23"/>
      <c r="DS14" s="23"/>
    </row>
    <row r="15" spans="2:123" ht="16.5">
      <c r="B15" s="22">
        <v>3</v>
      </c>
      <c r="C15" s="20" t="s">
        <v>351</v>
      </c>
      <c r="D15" s="20" t="s">
        <v>349</v>
      </c>
      <c r="E15" s="21">
        <v>290</v>
      </c>
      <c r="F15" s="21">
        <v>2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>
        <v>1</v>
      </c>
      <c r="CW15" s="23"/>
      <c r="CX15" s="23"/>
      <c r="CY15" s="23"/>
      <c r="CZ15" s="23"/>
      <c r="DA15" s="23"/>
      <c r="DB15" s="23"/>
      <c r="DC15" s="23"/>
      <c r="DD15" s="23"/>
      <c r="DE15" s="23">
        <v>1</v>
      </c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</row>
    <row r="16" spans="2:123" ht="16.5">
      <c r="B16" s="22">
        <v>4</v>
      </c>
      <c r="C16" s="20" t="s">
        <v>352</v>
      </c>
      <c r="D16" s="20"/>
      <c r="E16" s="21"/>
      <c r="F16" s="21">
        <v>0</v>
      </c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</row>
    <row r="17" spans="2:123" ht="16.5">
      <c r="B17" s="22">
        <v>5</v>
      </c>
      <c r="C17" s="20" t="s">
        <v>353</v>
      </c>
      <c r="D17" s="20"/>
      <c r="E17" s="21"/>
      <c r="F17" s="21">
        <v>0</v>
      </c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</row>
    <row r="18" spans="2:123" ht="16.5">
      <c r="B18" s="22">
        <v>6</v>
      </c>
      <c r="C18" s="20" t="s">
        <v>354</v>
      </c>
      <c r="D18" s="20" t="s">
        <v>349</v>
      </c>
      <c r="E18" s="21">
        <v>290</v>
      </c>
      <c r="F18" s="21">
        <v>1</v>
      </c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>
        <v>1</v>
      </c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</row>
    <row r="19" spans="2:123" ht="16.5">
      <c r="B19" s="22">
        <v>7</v>
      </c>
      <c r="C19" s="20" t="s">
        <v>355</v>
      </c>
      <c r="D19" s="20"/>
      <c r="E19" s="21"/>
      <c r="F19" s="21">
        <v>0</v>
      </c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</row>
    <row r="20" spans="2:123" ht="16.5">
      <c r="B20" s="22">
        <v>8</v>
      </c>
      <c r="C20" s="20" t="s">
        <v>356</v>
      </c>
      <c r="D20" s="20"/>
      <c r="E20" s="21"/>
      <c r="F20" s="21">
        <v>0</v>
      </c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</row>
    <row r="21" spans="2:123" ht="33">
      <c r="B21" s="22">
        <v>9</v>
      </c>
      <c r="C21" s="20" t="s">
        <v>357</v>
      </c>
      <c r="D21" s="20" t="s">
        <v>358</v>
      </c>
      <c r="E21" s="21">
        <v>105</v>
      </c>
      <c r="F21" s="21">
        <v>11</v>
      </c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>
        <v>10</v>
      </c>
      <c r="DN21" s="23">
        <v>1</v>
      </c>
      <c r="DO21" s="23"/>
      <c r="DP21" s="23"/>
      <c r="DQ21" s="23"/>
      <c r="DR21" s="23"/>
      <c r="DS21" s="23"/>
    </row>
    <row r="22" spans="2:123" ht="16.5">
      <c r="B22" s="22">
        <v>10</v>
      </c>
      <c r="C22" s="20" t="s">
        <v>359</v>
      </c>
      <c r="D22" s="20"/>
      <c r="E22" s="21"/>
      <c r="F22" s="21">
        <v>0</v>
      </c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</row>
    <row r="23" spans="2:123" ht="33">
      <c r="B23" s="22">
        <v>11</v>
      </c>
      <c r="C23" s="20" t="s">
        <v>360</v>
      </c>
      <c r="D23" s="20"/>
      <c r="E23" s="21"/>
      <c r="F23" s="21">
        <v>0</v>
      </c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</row>
    <row r="24" spans="2:123" ht="33">
      <c r="B24" s="22">
        <v>12</v>
      </c>
      <c r="C24" s="20" t="s">
        <v>361</v>
      </c>
      <c r="D24" s="20"/>
      <c r="E24" s="21"/>
      <c r="F24" s="21">
        <v>0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/>
      <c r="DP24" s="23"/>
      <c r="DQ24" s="23"/>
      <c r="DR24" s="23"/>
      <c r="DS24" s="23"/>
    </row>
    <row r="25" spans="2:123" ht="16.5">
      <c r="B25" s="22">
        <v>13</v>
      </c>
      <c r="C25" s="20" t="s">
        <v>362</v>
      </c>
      <c r="D25" s="20"/>
      <c r="E25" s="21"/>
      <c r="F25" s="21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3"/>
      <c r="DN25" s="23"/>
      <c r="DO25" s="23"/>
      <c r="DP25" s="23"/>
      <c r="DQ25" s="23"/>
      <c r="DR25" s="23"/>
      <c r="DS25" s="23"/>
    </row>
    <row r="26" spans="2:123" ht="16.5">
      <c r="B26" s="22">
        <v>14</v>
      </c>
      <c r="C26" s="20" t="s">
        <v>363</v>
      </c>
      <c r="D26" s="20" t="s">
        <v>349</v>
      </c>
      <c r="E26" s="21">
        <v>600</v>
      </c>
      <c r="F26" s="21">
        <v>3</v>
      </c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>
        <v>3</v>
      </c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</row>
    <row r="27" spans="2:123" ht="33">
      <c r="B27" s="22">
        <v>15</v>
      </c>
      <c r="C27" s="20" t="s">
        <v>364</v>
      </c>
      <c r="D27" s="20" t="s">
        <v>349</v>
      </c>
      <c r="E27" s="21">
        <v>73</v>
      </c>
      <c r="F27" s="21">
        <v>107</v>
      </c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>
        <v>5</v>
      </c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>
        <v>10</v>
      </c>
      <c r="DF27" s="23"/>
      <c r="DG27" s="23"/>
      <c r="DH27" s="23"/>
      <c r="DI27" s="23"/>
      <c r="DJ27" s="23"/>
      <c r="DK27" s="23">
        <v>36</v>
      </c>
      <c r="DL27" s="23">
        <v>12</v>
      </c>
      <c r="DM27" s="23">
        <v>21</v>
      </c>
      <c r="DN27" s="23">
        <v>23</v>
      </c>
      <c r="DO27" s="23"/>
      <c r="DP27" s="23"/>
      <c r="DQ27" s="23"/>
      <c r="DR27" s="23"/>
      <c r="DS27" s="23"/>
    </row>
    <row r="28" spans="2:123" ht="16.5">
      <c r="B28" s="22">
        <v>16</v>
      </c>
      <c r="C28" s="20"/>
      <c r="D28" s="20"/>
      <c r="E28" s="21"/>
      <c r="F28" s="21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</row>
    <row r="29" spans="2:123" ht="16.5">
      <c r="B29" s="22">
        <v>17</v>
      </c>
      <c r="C29" s="20" t="s">
        <v>365</v>
      </c>
      <c r="D29" s="20" t="s">
        <v>349</v>
      </c>
      <c r="E29" s="21">
        <v>186</v>
      </c>
      <c r="F29" s="21">
        <v>22</v>
      </c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>
        <v>22</v>
      </c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</row>
    <row r="30" spans="2:123" ht="16.5">
      <c r="B30" s="22">
        <v>18</v>
      </c>
      <c r="C30" s="20" t="s">
        <v>366</v>
      </c>
      <c r="D30" s="20" t="s">
        <v>349</v>
      </c>
      <c r="E30" s="21">
        <v>186</v>
      </c>
      <c r="F30" s="21">
        <v>5</v>
      </c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>
        <v>5</v>
      </c>
      <c r="DK30" s="23"/>
      <c r="DL30" s="23"/>
      <c r="DM30" s="23"/>
      <c r="DN30" s="23"/>
      <c r="DO30" s="23"/>
      <c r="DP30" s="23"/>
      <c r="DQ30" s="23"/>
      <c r="DR30" s="23"/>
      <c r="DS30" s="23"/>
    </row>
    <row r="31" spans="2:123" ht="16.5">
      <c r="B31" s="22">
        <v>19</v>
      </c>
      <c r="C31" s="20" t="s">
        <v>367</v>
      </c>
      <c r="D31" s="20" t="s">
        <v>349</v>
      </c>
      <c r="E31" s="21">
        <v>4</v>
      </c>
      <c r="F31" s="21">
        <v>500</v>
      </c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>
        <v>18</v>
      </c>
      <c r="CM31" s="23">
        <v>20</v>
      </c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>
        <v>19</v>
      </c>
      <c r="DF31" s="23"/>
      <c r="DG31" s="23"/>
      <c r="DH31" s="23"/>
      <c r="DI31" s="23"/>
      <c r="DJ31" s="23"/>
      <c r="DK31" s="23">
        <v>173</v>
      </c>
      <c r="DL31" s="23">
        <v>91</v>
      </c>
      <c r="DM31" s="23">
        <v>158</v>
      </c>
      <c r="DN31" s="23">
        <v>21</v>
      </c>
      <c r="DO31" s="23"/>
      <c r="DP31" s="23"/>
      <c r="DQ31" s="23"/>
      <c r="DR31" s="23"/>
      <c r="DS31" s="23"/>
    </row>
    <row r="32" spans="2:123" ht="16.5">
      <c r="B32" s="22">
        <v>20</v>
      </c>
      <c r="C32" s="20" t="s">
        <v>368</v>
      </c>
      <c r="D32" s="20"/>
      <c r="E32" s="21"/>
      <c r="F32" s="21">
        <v>0</v>
      </c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</row>
    <row r="33" spans="2:123" ht="33">
      <c r="B33" s="22">
        <v>21</v>
      </c>
      <c r="C33" s="20" t="s">
        <v>369</v>
      </c>
      <c r="D33" s="20"/>
      <c r="E33" s="21"/>
      <c r="F33" s="21">
        <v>0</v>
      </c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</row>
    <row r="34" spans="2:123" ht="33">
      <c r="B34" s="22">
        <v>22</v>
      </c>
      <c r="C34" s="20" t="s">
        <v>370</v>
      </c>
      <c r="D34" s="20"/>
      <c r="E34" s="21"/>
      <c r="F34" s="21">
        <v>0</v>
      </c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</row>
    <row r="35" spans="2:123" ht="33">
      <c r="B35" s="22">
        <v>23</v>
      </c>
      <c r="C35" s="20" t="s">
        <v>371</v>
      </c>
      <c r="D35" s="20" t="s">
        <v>349</v>
      </c>
      <c r="E35" s="21">
        <v>30</v>
      </c>
      <c r="F35" s="21">
        <v>21</v>
      </c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>
        <v>2</v>
      </c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>
        <v>18</v>
      </c>
      <c r="DN35" s="23">
        <v>1</v>
      </c>
      <c r="DO35" s="23"/>
      <c r="DP35" s="23"/>
      <c r="DQ35" s="23"/>
      <c r="DR35" s="23"/>
      <c r="DS35" s="23"/>
    </row>
    <row r="36" spans="2:123" ht="33">
      <c r="B36" s="22">
        <v>24</v>
      </c>
      <c r="C36" s="20" t="s">
        <v>372</v>
      </c>
      <c r="D36" s="20" t="s">
        <v>349</v>
      </c>
      <c r="E36" s="21">
        <v>30</v>
      </c>
      <c r="F36" s="21">
        <v>25</v>
      </c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>
        <v>24</v>
      </c>
      <c r="CN36" s="23"/>
      <c r="CO36" s="23"/>
      <c r="CP36" s="23"/>
      <c r="CQ36" s="23"/>
      <c r="CR36" s="23"/>
      <c r="CS36" s="23"/>
      <c r="CT36" s="23"/>
      <c r="CU36" s="23"/>
      <c r="CV36" s="23">
        <v>1</v>
      </c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</row>
    <row r="37" spans="2:123" ht="16.5">
      <c r="B37" s="22">
        <v>25</v>
      </c>
      <c r="C37" s="20" t="s">
        <v>373</v>
      </c>
      <c r="D37" s="20"/>
      <c r="E37" s="21"/>
      <c r="F37" s="21">
        <v>0</v>
      </c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</row>
    <row r="38" spans="2:123" ht="16.5">
      <c r="B38" s="22">
        <v>26</v>
      </c>
      <c r="C38" s="20" t="s">
        <v>374</v>
      </c>
      <c r="D38" s="20" t="s">
        <v>349</v>
      </c>
      <c r="E38" s="21">
        <v>60</v>
      </c>
      <c r="F38" s="21">
        <v>4</v>
      </c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>
        <v>4</v>
      </c>
      <c r="DL38" s="23"/>
      <c r="DM38" s="23"/>
      <c r="DN38" s="23"/>
      <c r="DO38" s="23"/>
      <c r="DP38" s="23"/>
      <c r="DQ38" s="23"/>
      <c r="DR38" s="23"/>
      <c r="DS38" s="23"/>
    </row>
    <row r="39" spans="2:123" ht="33">
      <c r="B39" s="22">
        <v>27</v>
      </c>
      <c r="C39" s="20" t="s">
        <v>375</v>
      </c>
      <c r="D39" s="20" t="s">
        <v>349</v>
      </c>
      <c r="E39" s="21">
        <v>2.82</v>
      </c>
      <c r="F39" s="21">
        <v>1225</v>
      </c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>
        <v>152</v>
      </c>
      <c r="CM39" s="23">
        <v>185</v>
      </c>
      <c r="CN39" s="23"/>
      <c r="CO39" s="23"/>
      <c r="CP39" s="23"/>
      <c r="CQ39" s="23"/>
      <c r="CR39" s="23"/>
      <c r="CS39" s="23"/>
      <c r="CT39" s="23"/>
      <c r="CU39" s="23"/>
      <c r="CV39" s="23">
        <v>12</v>
      </c>
      <c r="CW39" s="23"/>
      <c r="CX39" s="23"/>
      <c r="CY39" s="23"/>
      <c r="CZ39" s="23"/>
      <c r="DA39" s="23"/>
      <c r="DB39" s="23"/>
      <c r="DC39" s="23"/>
      <c r="DD39" s="23"/>
      <c r="DE39" s="23">
        <v>112</v>
      </c>
      <c r="DF39" s="23"/>
      <c r="DG39" s="23"/>
      <c r="DH39" s="23"/>
      <c r="DI39" s="23"/>
      <c r="DJ39" s="23"/>
      <c r="DK39" s="23">
        <v>166</v>
      </c>
      <c r="DL39" s="23">
        <v>97</v>
      </c>
      <c r="DM39" s="23">
        <v>325</v>
      </c>
      <c r="DN39" s="23">
        <v>176</v>
      </c>
      <c r="DO39" s="23"/>
      <c r="DP39" s="23"/>
      <c r="DQ39" s="23"/>
      <c r="DR39" s="23"/>
      <c r="DS39" s="23"/>
    </row>
    <row r="40" spans="2:123" ht="16.5">
      <c r="B40" s="22">
        <v>28</v>
      </c>
      <c r="C40" s="20" t="s">
        <v>376</v>
      </c>
      <c r="D40" s="20"/>
      <c r="E40" s="21"/>
      <c r="F40" s="21">
        <v>0</v>
      </c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</row>
    <row r="41" spans="2:123" ht="16.5">
      <c r="B41" s="22">
        <v>29</v>
      </c>
      <c r="C41" s="20" t="s">
        <v>377</v>
      </c>
      <c r="D41" s="20" t="s">
        <v>349</v>
      </c>
      <c r="E41" s="21">
        <v>7</v>
      </c>
      <c r="F41" s="21">
        <v>245</v>
      </c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>
        <v>4</v>
      </c>
      <c r="CW41" s="23"/>
      <c r="CX41" s="23"/>
      <c r="CY41" s="23"/>
      <c r="CZ41" s="23"/>
      <c r="DA41" s="23"/>
      <c r="DB41" s="23"/>
      <c r="DC41" s="23"/>
      <c r="DD41" s="23"/>
      <c r="DE41" s="23">
        <v>2</v>
      </c>
      <c r="DF41" s="23"/>
      <c r="DG41" s="23"/>
      <c r="DH41" s="23"/>
      <c r="DI41" s="23"/>
      <c r="DJ41" s="23"/>
      <c r="DK41" s="23">
        <v>141</v>
      </c>
      <c r="DL41" s="23">
        <v>54</v>
      </c>
      <c r="DM41" s="23">
        <v>36</v>
      </c>
      <c r="DN41" s="23">
        <v>8</v>
      </c>
      <c r="DO41" s="23"/>
      <c r="DP41" s="23"/>
      <c r="DQ41" s="23"/>
      <c r="DR41" s="23"/>
      <c r="DS41" s="23"/>
    </row>
    <row r="42" spans="2:123" ht="16.5">
      <c r="B42" s="22">
        <v>30</v>
      </c>
      <c r="C42" s="20" t="s">
        <v>378</v>
      </c>
      <c r="D42" s="20" t="s">
        <v>349</v>
      </c>
      <c r="E42" s="21">
        <v>6</v>
      </c>
      <c r="F42" s="21">
        <v>462</v>
      </c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>
        <v>8</v>
      </c>
      <c r="CM42" s="23">
        <v>27</v>
      </c>
      <c r="CN42" s="23"/>
      <c r="CO42" s="23"/>
      <c r="CP42" s="23"/>
      <c r="CQ42" s="23"/>
      <c r="CR42" s="23"/>
      <c r="CS42" s="23"/>
      <c r="CT42" s="23"/>
      <c r="CU42" s="23"/>
      <c r="CV42" s="23">
        <v>17</v>
      </c>
      <c r="CW42" s="23"/>
      <c r="CX42" s="23"/>
      <c r="CY42" s="23"/>
      <c r="CZ42" s="23"/>
      <c r="DA42" s="23"/>
      <c r="DB42" s="23"/>
      <c r="DC42" s="23"/>
      <c r="DD42" s="23"/>
      <c r="DE42" s="23">
        <v>42</v>
      </c>
      <c r="DF42" s="23"/>
      <c r="DG42" s="23"/>
      <c r="DH42" s="23"/>
      <c r="DI42" s="23"/>
      <c r="DJ42" s="23"/>
      <c r="DK42" s="23">
        <v>164</v>
      </c>
      <c r="DL42" s="23">
        <v>124</v>
      </c>
      <c r="DM42" s="23">
        <v>65</v>
      </c>
      <c r="DN42" s="23">
        <v>15</v>
      </c>
      <c r="DO42" s="23"/>
      <c r="DP42" s="23"/>
      <c r="DQ42" s="23"/>
      <c r="DR42" s="23"/>
      <c r="DS42" s="23"/>
    </row>
    <row r="43" spans="2:123" ht="16.5">
      <c r="B43" s="22">
        <v>31</v>
      </c>
      <c r="C43" s="20" t="s">
        <v>379</v>
      </c>
      <c r="D43" s="20" t="s">
        <v>349</v>
      </c>
      <c r="E43" s="21">
        <v>20</v>
      </c>
      <c r="F43" s="21">
        <v>5</v>
      </c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>
        <v>1</v>
      </c>
      <c r="DL43" s="23"/>
      <c r="DM43" s="23"/>
      <c r="DN43" s="23">
        <v>4</v>
      </c>
      <c r="DO43" s="23"/>
      <c r="DP43" s="23"/>
      <c r="DQ43" s="23"/>
      <c r="DR43" s="23"/>
      <c r="DS43" s="23"/>
    </row>
    <row r="44" spans="2:123" ht="16.5">
      <c r="B44" s="22">
        <v>32</v>
      </c>
      <c r="C44" s="20" t="s">
        <v>380</v>
      </c>
      <c r="D44" s="20" t="s">
        <v>349</v>
      </c>
      <c r="E44" s="21">
        <v>5</v>
      </c>
      <c r="F44" s="21">
        <v>621</v>
      </c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>
        <v>25</v>
      </c>
      <c r="CM44" s="23">
        <v>14</v>
      </c>
      <c r="CN44" s="23"/>
      <c r="CO44" s="23"/>
      <c r="CP44" s="23"/>
      <c r="CQ44" s="23"/>
      <c r="CR44" s="23"/>
      <c r="CS44" s="23"/>
      <c r="CT44" s="23"/>
      <c r="CU44" s="23"/>
      <c r="CV44" s="23">
        <v>22</v>
      </c>
      <c r="CW44" s="23"/>
      <c r="CX44" s="23"/>
      <c r="CY44" s="23"/>
      <c r="CZ44" s="23"/>
      <c r="DA44" s="23"/>
      <c r="DB44" s="23"/>
      <c r="DC44" s="23"/>
      <c r="DD44" s="23"/>
      <c r="DE44" s="23">
        <v>73</v>
      </c>
      <c r="DF44" s="23"/>
      <c r="DG44" s="23"/>
      <c r="DH44" s="23"/>
      <c r="DI44" s="23"/>
      <c r="DJ44" s="23">
        <v>2</v>
      </c>
      <c r="DK44" s="23">
        <v>255</v>
      </c>
      <c r="DL44" s="23">
        <v>94</v>
      </c>
      <c r="DM44" s="23">
        <v>68</v>
      </c>
      <c r="DN44" s="23">
        <v>68</v>
      </c>
      <c r="DO44" s="23"/>
      <c r="DP44" s="23"/>
      <c r="DQ44" s="23"/>
      <c r="DR44" s="23"/>
      <c r="DS44" s="23"/>
    </row>
    <row r="45" spans="2:123" ht="16.5">
      <c r="B45" s="22">
        <v>33</v>
      </c>
      <c r="C45" s="20" t="s">
        <v>381</v>
      </c>
      <c r="D45" s="20" t="s">
        <v>349</v>
      </c>
      <c r="E45" s="21">
        <v>6</v>
      </c>
      <c r="F45" s="21">
        <v>260</v>
      </c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>
        <v>4</v>
      </c>
      <c r="CM45" s="23">
        <v>22</v>
      </c>
      <c r="CN45" s="23"/>
      <c r="CO45" s="23"/>
      <c r="CP45" s="23"/>
      <c r="CQ45" s="23"/>
      <c r="CR45" s="23"/>
      <c r="CS45" s="23"/>
      <c r="CT45" s="23"/>
      <c r="CU45" s="23"/>
      <c r="CV45" s="23">
        <v>2</v>
      </c>
      <c r="CW45" s="23"/>
      <c r="CX45" s="23"/>
      <c r="CY45" s="23"/>
      <c r="CZ45" s="23"/>
      <c r="DA45" s="23"/>
      <c r="DB45" s="23"/>
      <c r="DC45" s="23"/>
      <c r="DD45" s="23"/>
      <c r="DE45" s="23">
        <v>15</v>
      </c>
      <c r="DF45" s="23"/>
      <c r="DG45" s="23"/>
      <c r="DH45" s="23"/>
      <c r="DI45" s="23"/>
      <c r="DJ45" s="23"/>
      <c r="DK45" s="23">
        <v>110</v>
      </c>
      <c r="DL45" s="23">
        <v>67</v>
      </c>
      <c r="DM45" s="23">
        <v>25</v>
      </c>
      <c r="DN45" s="23">
        <v>15</v>
      </c>
      <c r="DO45" s="23"/>
      <c r="DP45" s="23"/>
      <c r="DQ45" s="23"/>
      <c r="DR45" s="23"/>
      <c r="DS45" s="23"/>
    </row>
    <row r="46" spans="2:123" ht="16.5">
      <c r="B46" s="22">
        <v>34</v>
      </c>
      <c r="C46" s="20" t="s">
        <v>382</v>
      </c>
      <c r="D46" s="20" t="s">
        <v>349</v>
      </c>
      <c r="E46" s="21">
        <v>148</v>
      </c>
      <c r="F46" s="21">
        <v>1</v>
      </c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>
        <v>1</v>
      </c>
      <c r="DL46" s="23"/>
      <c r="DM46" s="23"/>
      <c r="DN46" s="23"/>
      <c r="DO46" s="23"/>
      <c r="DP46" s="23"/>
      <c r="DQ46" s="23"/>
      <c r="DR46" s="23"/>
      <c r="DS46" s="23"/>
    </row>
    <row r="47" spans="2:123" ht="16.5">
      <c r="B47" s="22">
        <v>35</v>
      </c>
      <c r="C47" s="20" t="s">
        <v>383</v>
      </c>
      <c r="D47" s="20" t="s">
        <v>349</v>
      </c>
      <c r="E47" s="21">
        <v>4.8</v>
      </c>
      <c r="F47" s="21">
        <v>33</v>
      </c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>
        <v>4</v>
      </c>
      <c r="CM47" s="23">
        <v>29</v>
      </c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</row>
    <row r="48" spans="2:123" ht="16.5">
      <c r="B48" s="22">
        <v>36</v>
      </c>
      <c r="C48" s="20" t="s">
        <v>384</v>
      </c>
      <c r="D48" s="20" t="s">
        <v>385</v>
      </c>
      <c r="E48" s="21">
        <v>39.76</v>
      </c>
      <c r="F48" s="21">
        <v>133</v>
      </c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>
        <v>133</v>
      </c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</row>
    <row r="49" spans="2:123" ht="16.5">
      <c r="B49" s="22">
        <v>37</v>
      </c>
      <c r="C49" s="20" t="s">
        <v>386</v>
      </c>
      <c r="D49" s="20"/>
      <c r="E49" s="21">
        <v>0</v>
      </c>
      <c r="F49" s="21">
        <v>0</v>
      </c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  <c r="DA49" s="23"/>
      <c r="DB49" s="23"/>
      <c r="DC49" s="23"/>
      <c r="DD49" s="23"/>
      <c r="DE49" s="23"/>
      <c r="DF49" s="23"/>
      <c r="DG49" s="23"/>
      <c r="DH49" s="23"/>
      <c r="DI49" s="23"/>
      <c r="DJ49" s="23"/>
      <c r="DK49" s="23"/>
      <c r="DL49" s="23"/>
      <c r="DM49" s="23"/>
      <c r="DN49" s="23"/>
      <c r="DO49" s="23"/>
      <c r="DP49" s="23"/>
      <c r="DQ49" s="23"/>
      <c r="DR49" s="23"/>
      <c r="DS49" s="23"/>
    </row>
    <row r="50" spans="2:123" ht="16.5">
      <c r="B50" s="22">
        <v>38</v>
      </c>
      <c r="C50" s="20" t="s">
        <v>387</v>
      </c>
      <c r="D50" s="20" t="s">
        <v>349</v>
      </c>
      <c r="E50" s="21">
        <v>11.88</v>
      </c>
      <c r="F50" s="21">
        <v>43</v>
      </c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>
        <v>15</v>
      </c>
      <c r="CW50" s="23"/>
      <c r="CX50" s="23"/>
      <c r="CY50" s="23"/>
      <c r="CZ50" s="23"/>
      <c r="DA50" s="23"/>
      <c r="DB50" s="23"/>
      <c r="DC50" s="23"/>
      <c r="DD50" s="23"/>
      <c r="DE50" s="23">
        <v>3</v>
      </c>
      <c r="DF50" s="23"/>
      <c r="DG50" s="23"/>
      <c r="DH50" s="23"/>
      <c r="DI50" s="23"/>
      <c r="DJ50" s="23"/>
      <c r="DK50" s="23">
        <v>10</v>
      </c>
      <c r="DL50" s="23">
        <v>15</v>
      </c>
      <c r="DM50" s="23"/>
      <c r="DN50" s="23"/>
      <c r="DO50" s="23"/>
      <c r="DP50" s="23"/>
      <c r="DQ50" s="23"/>
      <c r="DR50" s="23"/>
      <c r="DS50" s="23"/>
    </row>
    <row r="51" spans="2:123" ht="16.5">
      <c r="B51" s="22">
        <v>39</v>
      </c>
      <c r="C51" s="20" t="s">
        <v>388</v>
      </c>
      <c r="D51" s="20"/>
      <c r="E51" s="21">
        <v>0</v>
      </c>
      <c r="F51" s="21">
        <v>0</v>
      </c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/>
      <c r="DP51" s="23"/>
      <c r="DQ51" s="23"/>
      <c r="DR51" s="23"/>
      <c r="DS51" s="23"/>
    </row>
    <row r="52" spans="2:123" ht="16.5">
      <c r="B52" s="22">
        <v>40</v>
      </c>
      <c r="C52" s="20" t="s">
        <v>389</v>
      </c>
      <c r="D52" s="20" t="s">
        <v>349</v>
      </c>
      <c r="E52" s="21">
        <v>70</v>
      </c>
      <c r="F52" s="21">
        <v>2</v>
      </c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>
        <v>2</v>
      </c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3"/>
      <c r="DH52" s="23"/>
      <c r="DI52" s="23"/>
      <c r="DJ52" s="23"/>
      <c r="DK52" s="23"/>
      <c r="DL52" s="23"/>
      <c r="DM52" s="23"/>
      <c r="DN52" s="23"/>
      <c r="DO52" s="23"/>
      <c r="DP52" s="23"/>
      <c r="DQ52" s="23"/>
      <c r="DR52" s="23"/>
      <c r="DS52" s="23"/>
    </row>
    <row r="53" spans="2:123" ht="33">
      <c r="B53" s="22">
        <v>41</v>
      </c>
      <c r="C53" s="20" t="s">
        <v>390</v>
      </c>
      <c r="D53" s="20" t="s">
        <v>349</v>
      </c>
      <c r="E53" s="21">
        <v>1.2</v>
      </c>
      <c r="F53" s="21">
        <v>12</v>
      </c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>
        <v>3</v>
      </c>
      <c r="DF53" s="23"/>
      <c r="DG53" s="23"/>
      <c r="DH53" s="23"/>
      <c r="DI53" s="23"/>
      <c r="DJ53" s="23"/>
      <c r="DK53" s="23">
        <v>5</v>
      </c>
      <c r="DL53" s="23">
        <v>4</v>
      </c>
      <c r="DM53" s="23"/>
      <c r="DN53" s="23"/>
      <c r="DO53" s="23"/>
      <c r="DP53" s="23"/>
      <c r="DQ53" s="23"/>
      <c r="DR53" s="23"/>
      <c r="DS53" s="23"/>
    </row>
    <row r="54" spans="2:123" ht="33">
      <c r="B54" s="22">
        <v>42</v>
      </c>
      <c r="C54" s="20" t="s">
        <v>391</v>
      </c>
      <c r="D54" s="20" t="s">
        <v>349</v>
      </c>
      <c r="E54" s="21">
        <v>186</v>
      </c>
      <c r="F54" s="21">
        <v>18</v>
      </c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>
        <v>10</v>
      </c>
      <c r="CM54" s="23">
        <v>3</v>
      </c>
      <c r="CN54" s="23"/>
      <c r="CO54" s="23"/>
      <c r="CP54" s="23"/>
      <c r="CQ54" s="23"/>
      <c r="CR54" s="23"/>
      <c r="CS54" s="23"/>
      <c r="CT54" s="23"/>
      <c r="CU54" s="23"/>
      <c r="CV54" s="23">
        <v>5</v>
      </c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3"/>
      <c r="DH54" s="23"/>
      <c r="DI54" s="23"/>
      <c r="DJ54" s="23"/>
      <c r="DK54" s="23"/>
      <c r="DL54" s="23"/>
      <c r="DM54" s="23"/>
      <c r="DN54" s="23"/>
      <c r="DO54" s="23"/>
      <c r="DP54" s="23"/>
      <c r="DQ54" s="23"/>
      <c r="DR54" s="23"/>
      <c r="DS54" s="23"/>
    </row>
    <row r="55" spans="2:123" ht="33">
      <c r="B55" s="22">
        <v>43</v>
      </c>
      <c r="C55" s="20" t="s">
        <v>392</v>
      </c>
      <c r="D55" s="20" t="s">
        <v>349</v>
      </c>
      <c r="E55" s="21">
        <v>249</v>
      </c>
      <c r="F55" s="21">
        <v>18</v>
      </c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>
        <v>1</v>
      </c>
      <c r="CM55" s="23">
        <v>17</v>
      </c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  <c r="DH55" s="23"/>
      <c r="DI55" s="23"/>
      <c r="DJ55" s="23"/>
      <c r="DK55" s="23"/>
      <c r="DL55" s="23"/>
      <c r="DM55" s="23"/>
      <c r="DN55" s="23"/>
      <c r="DO55" s="23"/>
      <c r="DP55" s="23"/>
      <c r="DQ55" s="23"/>
      <c r="DR55" s="23"/>
      <c r="DS55" s="23"/>
    </row>
    <row r="56" spans="2:123" ht="16.5">
      <c r="B56" s="22">
        <v>44</v>
      </c>
      <c r="C56" s="20" t="s">
        <v>393</v>
      </c>
      <c r="D56" s="20"/>
      <c r="E56" s="21">
        <v>0</v>
      </c>
      <c r="F56" s="21">
        <v>0</v>
      </c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3"/>
      <c r="DH56" s="23"/>
      <c r="DI56" s="23"/>
      <c r="DJ56" s="23"/>
      <c r="DK56" s="23"/>
      <c r="DL56" s="23"/>
      <c r="DM56" s="23"/>
      <c r="DN56" s="23"/>
      <c r="DO56" s="23"/>
      <c r="DP56" s="23"/>
      <c r="DQ56" s="23"/>
      <c r="DR56" s="23"/>
      <c r="DS56" s="23"/>
    </row>
    <row r="57" spans="2:123" ht="16.5">
      <c r="B57" s="22">
        <v>45</v>
      </c>
      <c r="C57" s="20" t="s">
        <v>394</v>
      </c>
      <c r="D57" s="20"/>
      <c r="E57" s="21">
        <v>0</v>
      </c>
      <c r="F57" s="21">
        <v>0</v>
      </c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3"/>
      <c r="DH57" s="23"/>
      <c r="DI57" s="23"/>
      <c r="DJ57" s="23"/>
      <c r="DK57" s="23"/>
      <c r="DL57" s="23"/>
      <c r="DM57" s="23"/>
      <c r="DN57" s="23"/>
      <c r="DO57" s="23"/>
      <c r="DP57" s="23"/>
      <c r="DQ57" s="23"/>
      <c r="DR57" s="23"/>
      <c r="DS57" s="23"/>
    </row>
    <row r="58" spans="2:123" ht="16.5">
      <c r="B58" s="22">
        <v>46</v>
      </c>
      <c r="C58" s="20" t="s">
        <v>395</v>
      </c>
      <c r="D58" s="20"/>
      <c r="E58" s="21">
        <v>0</v>
      </c>
      <c r="F58" s="21">
        <v>0</v>
      </c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3"/>
      <c r="DH58" s="23"/>
      <c r="DI58" s="23"/>
      <c r="DJ58" s="23"/>
      <c r="DK58" s="23"/>
      <c r="DL58" s="23"/>
      <c r="DM58" s="23"/>
      <c r="DN58" s="23"/>
      <c r="DO58" s="23"/>
      <c r="DP58" s="23"/>
      <c r="DQ58" s="23"/>
      <c r="DR58" s="23"/>
      <c r="DS58" s="23"/>
    </row>
    <row r="59" spans="2:123" ht="16.5">
      <c r="B59" s="22">
        <v>47</v>
      </c>
      <c r="C59" s="20" t="s">
        <v>396</v>
      </c>
      <c r="D59" s="20"/>
      <c r="E59" s="21">
        <v>0</v>
      </c>
      <c r="F59" s="21">
        <v>0</v>
      </c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3"/>
      <c r="DH59" s="23"/>
      <c r="DI59" s="23"/>
      <c r="DJ59" s="23"/>
      <c r="DK59" s="23"/>
      <c r="DL59" s="23"/>
      <c r="DM59" s="23"/>
      <c r="DN59" s="23"/>
      <c r="DO59" s="23"/>
      <c r="DP59" s="23"/>
      <c r="DQ59" s="23"/>
      <c r="DR59" s="23"/>
      <c r="DS59" s="23"/>
    </row>
    <row r="60" spans="2:123" ht="16.5">
      <c r="B60" s="22">
        <v>48</v>
      </c>
      <c r="C60" s="20" t="s">
        <v>397</v>
      </c>
      <c r="D60" s="20"/>
      <c r="E60" s="21">
        <v>0</v>
      </c>
      <c r="F60" s="21">
        <v>0</v>
      </c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3"/>
      <c r="DH60" s="23"/>
      <c r="DI60" s="23"/>
      <c r="DJ60" s="23"/>
      <c r="DK60" s="23"/>
      <c r="DL60" s="23"/>
      <c r="DM60" s="23"/>
      <c r="DN60" s="23"/>
      <c r="DO60" s="23"/>
      <c r="DP60" s="23"/>
      <c r="DQ60" s="23"/>
      <c r="DR60" s="23"/>
      <c r="DS60" s="23"/>
    </row>
    <row r="61" spans="2:123" ht="16.5">
      <c r="B61" s="22">
        <v>49</v>
      </c>
      <c r="C61" s="20" t="s">
        <v>398</v>
      </c>
      <c r="D61" s="20"/>
      <c r="E61" s="21">
        <v>0</v>
      </c>
      <c r="F61" s="21">
        <v>0</v>
      </c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23"/>
      <c r="DC61" s="23"/>
      <c r="DD61" s="23"/>
      <c r="DE61" s="23"/>
      <c r="DF61" s="23"/>
      <c r="DG61" s="23"/>
      <c r="DH61" s="23"/>
      <c r="DI61" s="23"/>
      <c r="DJ61" s="23"/>
      <c r="DK61" s="23"/>
      <c r="DL61" s="23"/>
      <c r="DM61" s="23"/>
      <c r="DN61" s="23"/>
      <c r="DO61" s="23"/>
      <c r="DP61" s="23"/>
      <c r="DQ61" s="23"/>
      <c r="DR61" s="23"/>
      <c r="DS61" s="23"/>
    </row>
    <row r="62" spans="2:123" ht="33">
      <c r="B62" s="22">
        <v>51</v>
      </c>
      <c r="C62" s="20" t="s">
        <v>399</v>
      </c>
      <c r="D62" s="20" t="s">
        <v>349</v>
      </c>
      <c r="E62" s="21">
        <v>48</v>
      </c>
      <c r="F62" s="21">
        <v>4</v>
      </c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>
        <v>1</v>
      </c>
      <c r="DF62" s="23"/>
      <c r="DG62" s="23"/>
      <c r="DH62" s="23"/>
      <c r="DI62" s="23"/>
      <c r="DJ62" s="23"/>
      <c r="DK62" s="23">
        <v>3</v>
      </c>
      <c r="DL62" s="23"/>
      <c r="DM62" s="23"/>
      <c r="DN62" s="23"/>
      <c r="DO62" s="23"/>
      <c r="DP62" s="23"/>
      <c r="DQ62" s="23"/>
      <c r="DR62" s="23"/>
      <c r="DS62" s="23"/>
    </row>
    <row r="63" spans="2:123" ht="33">
      <c r="B63" s="22">
        <v>52</v>
      </c>
      <c r="C63" s="20" t="s">
        <v>400</v>
      </c>
      <c r="D63" s="20"/>
      <c r="E63" s="21">
        <v>0</v>
      </c>
      <c r="F63" s="21">
        <v>0</v>
      </c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  <c r="DH63" s="23"/>
      <c r="DI63" s="23"/>
      <c r="DJ63" s="23"/>
      <c r="DK63" s="23"/>
      <c r="DL63" s="23"/>
      <c r="DM63" s="23"/>
      <c r="DN63" s="23"/>
      <c r="DO63" s="23"/>
      <c r="DP63" s="23"/>
      <c r="DQ63" s="23"/>
      <c r="DR63" s="23"/>
      <c r="DS63" s="23"/>
    </row>
    <row r="64" spans="2:123" ht="16.5">
      <c r="B64" s="22">
        <v>53</v>
      </c>
      <c r="C64" s="20" t="s">
        <v>401</v>
      </c>
      <c r="D64" s="20" t="s">
        <v>349</v>
      </c>
      <c r="E64" s="21">
        <v>20</v>
      </c>
      <c r="F64" s="21">
        <v>33</v>
      </c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>
        <v>3</v>
      </c>
      <c r="CW64" s="23"/>
      <c r="CX64" s="23"/>
      <c r="CY64" s="23"/>
      <c r="CZ64" s="23"/>
      <c r="DA64" s="23"/>
      <c r="DB64" s="23"/>
      <c r="DC64" s="23"/>
      <c r="DD64" s="23"/>
      <c r="DE64" s="23">
        <v>14</v>
      </c>
      <c r="DF64" s="23"/>
      <c r="DG64" s="23"/>
      <c r="DH64" s="23"/>
      <c r="DI64" s="23"/>
      <c r="DJ64" s="23"/>
      <c r="DK64" s="23">
        <v>12</v>
      </c>
      <c r="DL64" s="23">
        <v>4</v>
      </c>
      <c r="DM64" s="23"/>
      <c r="DN64" s="23"/>
      <c r="DO64" s="23"/>
      <c r="DP64" s="23"/>
      <c r="DQ64" s="23"/>
      <c r="DR64" s="23"/>
      <c r="DS64" s="23"/>
    </row>
    <row r="65" spans="2:123" ht="16.5">
      <c r="B65" s="22">
        <v>54</v>
      </c>
      <c r="C65" s="20" t="s">
        <v>402</v>
      </c>
      <c r="D65" s="20" t="s">
        <v>349</v>
      </c>
      <c r="E65" s="21">
        <v>90</v>
      </c>
      <c r="F65" s="21">
        <v>2</v>
      </c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>
        <v>1</v>
      </c>
      <c r="DF65" s="23"/>
      <c r="DG65" s="23"/>
      <c r="DH65" s="23"/>
      <c r="DI65" s="23"/>
      <c r="DJ65" s="23"/>
      <c r="DK65" s="23">
        <v>1</v>
      </c>
      <c r="DL65" s="23"/>
      <c r="DM65" s="23"/>
      <c r="DN65" s="23"/>
      <c r="DO65" s="23"/>
      <c r="DP65" s="23"/>
      <c r="DQ65" s="23"/>
      <c r="DR65" s="23"/>
      <c r="DS65" s="23"/>
    </row>
    <row r="66" spans="2:123" ht="33">
      <c r="B66" s="22">
        <v>55</v>
      </c>
      <c r="C66" s="20" t="s">
        <v>403</v>
      </c>
      <c r="D66" s="20" t="s">
        <v>349</v>
      </c>
      <c r="E66" s="21">
        <v>39</v>
      </c>
      <c r="F66" s="21">
        <v>50</v>
      </c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>
        <v>1</v>
      </c>
      <c r="CN66" s="23"/>
      <c r="CO66" s="23"/>
      <c r="CP66" s="23"/>
      <c r="CQ66" s="23"/>
      <c r="CR66" s="23"/>
      <c r="CS66" s="23"/>
      <c r="CT66" s="23"/>
      <c r="CU66" s="23"/>
      <c r="CV66" s="23">
        <v>1</v>
      </c>
      <c r="CW66" s="23"/>
      <c r="CX66" s="23"/>
      <c r="CY66" s="23"/>
      <c r="CZ66" s="23"/>
      <c r="DA66" s="23"/>
      <c r="DB66" s="23"/>
      <c r="DC66" s="23"/>
      <c r="DD66" s="23"/>
      <c r="DE66" s="23">
        <v>22</v>
      </c>
      <c r="DF66" s="23"/>
      <c r="DG66" s="23"/>
      <c r="DH66" s="23"/>
      <c r="DI66" s="23"/>
      <c r="DJ66" s="23"/>
      <c r="DK66" s="23">
        <v>17</v>
      </c>
      <c r="DL66" s="23"/>
      <c r="DM66" s="23">
        <v>8</v>
      </c>
      <c r="DN66" s="23">
        <v>1</v>
      </c>
      <c r="DO66" s="23"/>
      <c r="DP66" s="23"/>
      <c r="DQ66" s="23"/>
      <c r="DR66" s="23"/>
      <c r="DS66" s="23"/>
    </row>
    <row r="67" spans="2:123" ht="33">
      <c r="B67" s="22">
        <v>56</v>
      </c>
      <c r="C67" s="20" t="s">
        <v>404</v>
      </c>
      <c r="D67" s="20" t="s">
        <v>349</v>
      </c>
      <c r="E67" s="21">
        <v>42</v>
      </c>
      <c r="F67" s="21">
        <v>5</v>
      </c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>
        <v>2</v>
      </c>
      <c r="DF67" s="23"/>
      <c r="DG67" s="23"/>
      <c r="DH67" s="23"/>
      <c r="DI67" s="23"/>
      <c r="DJ67" s="23"/>
      <c r="DK67" s="23"/>
      <c r="DL67" s="23">
        <v>2</v>
      </c>
      <c r="DM67" s="23"/>
      <c r="DN67" s="23"/>
      <c r="DO67" s="23"/>
      <c r="DP67" s="23"/>
      <c r="DQ67" s="23"/>
      <c r="DR67" s="23"/>
      <c r="DS67" s="23"/>
    </row>
    <row r="68" spans="2:123" ht="33">
      <c r="B68" s="22">
        <v>57</v>
      </c>
      <c r="C68" s="20" t="s">
        <v>405</v>
      </c>
      <c r="D68" s="20" t="s">
        <v>349</v>
      </c>
      <c r="E68" s="21">
        <v>68</v>
      </c>
      <c r="F68" s="21">
        <v>1</v>
      </c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>
        <v>1</v>
      </c>
      <c r="DM68" s="23"/>
      <c r="DN68" s="23"/>
      <c r="DO68" s="23"/>
      <c r="DP68" s="23"/>
      <c r="DQ68" s="23"/>
      <c r="DR68" s="23"/>
      <c r="DS68" s="23"/>
    </row>
    <row r="69" spans="2:123" ht="33">
      <c r="B69" s="22">
        <v>58</v>
      </c>
      <c r="C69" s="20" t="s">
        <v>406</v>
      </c>
      <c r="D69" s="20"/>
      <c r="E69" s="21">
        <v>0</v>
      </c>
      <c r="F69" s="21">
        <v>0</v>
      </c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3"/>
      <c r="DH69" s="23"/>
      <c r="DI69" s="23"/>
      <c r="DJ69" s="23"/>
      <c r="DK69" s="23"/>
      <c r="DL69" s="23"/>
      <c r="DM69" s="23"/>
      <c r="DN69" s="23"/>
      <c r="DO69" s="23"/>
      <c r="DP69" s="23"/>
      <c r="DQ69" s="23"/>
      <c r="DR69" s="23"/>
      <c r="DS69" s="23"/>
    </row>
    <row r="70" spans="2:123" ht="16.5">
      <c r="B70" s="22">
        <v>59</v>
      </c>
      <c r="C70" s="20" t="s">
        <v>407</v>
      </c>
      <c r="D70" s="20" t="s">
        <v>349</v>
      </c>
      <c r="E70" s="21">
        <v>2.2999999999999998</v>
      </c>
      <c r="F70" s="21">
        <v>1850</v>
      </c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>
        <v>60</v>
      </c>
      <c r="CM70" s="23">
        <v>460</v>
      </c>
      <c r="CN70" s="23"/>
      <c r="CO70" s="23"/>
      <c r="CP70" s="23"/>
      <c r="CQ70" s="23"/>
      <c r="CR70" s="23"/>
      <c r="CS70" s="23"/>
      <c r="CT70" s="23"/>
      <c r="CU70" s="23"/>
      <c r="CV70" s="23">
        <v>110</v>
      </c>
      <c r="CW70" s="23"/>
      <c r="CX70" s="23"/>
      <c r="CY70" s="23"/>
      <c r="CZ70" s="23"/>
      <c r="DA70" s="23"/>
      <c r="DB70" s="23"/>
      <c r="DC70" s="23"/>
      <c r="DD70" s="23"/>
      <c r="DE70" s="23">
        <v>270</v>
      </c>
      <c r="DF70" s="23"/>
      <c r="DG70" s="23"/>
      <c r="DH70" s="23"/>
      <c r="DI70" s="23"/>
      <c r="DJ70" s="23">
        <v>30</v>
      </c>
      <c r="DK70" s="23">
        <v>130</v>
      </c>
      <c r="DL70" s="23">
        <v>40</v>
      </c>
      <c r="DM70" s="23">
        <v>600</v>
      </c>
      <c r="DN70" s="23">
        <v>150</v>
      </c>
      <c r="DO70" s="23"/>
      <c r="DP70" s="23"/>
      <c r="DQ70" s="23"/>
      <c r="DR70" s="23"/>
      <c r="DS70" s="23"/>
    </row>
    <row r="71" spans="2:123" ht="16.5">
      <c r="B71" s="22">
        <v>60</v>
      </c>
      <c r="C71" s="20" t="s">
        <v>408</v>
      </c>
      <c r="D71" s="20" t="s">
        <v>349</v>
      </c>
      <c r="E71" s="21">
        <v>55</v>
      </c>
      <c r="F71" s="21">
        <v>93</v>
      </c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>
        <v>93</v>
      </c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3"/>
      <c r="DH71" s="23"/>
      <c r="DI71" s="23"/>
      <c r="DJ71" s="23"/>
      <c r="DK71" s="23"/>
      <c r="DL71" s="23"/>
      <c r="DM71" s="23"/>
      <c r="DN71" s="23"/>
      <c r="DO71" s="23"/>
      <c r="DP71" s="23"/>
      <c r="DQ71" s="23"/>
      <c r="DR71" s="23"/>
      <c r="DS71" s="23"/>
    </row>
    <row r="72" spans="2:123" ht="16.5">
      <c r="B72" s="22">
        <v>61</v>
      </c>
      <c r="C72" s="20" t="s">
        <v>409</v>
      </c>
      <c r="D72" s="20" t="s">
        <v>349</v>
      </c>
      <c r="E72" s="21">
        <v>54</v>
      </c>
      <c r="F72" s="21">
        <v>120</v>
      </c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>
        <v>1</v>
      </c>
      <c r="CN72" s="23"/>
      <c r="CO72" s="23"/>
      <c r="CP72" s="23"/>
      <c r="CQ72" s="23"/>
      <c r="CR72" s="23"/>
      <c r="CS72" s="23"/>
      <c r="CT72" s="23"/>
      <c r="CU72" s="23"/>
      <c r="CV72" s="23">
        <v>2</v>
      </c>
      <c r="CW72" s="23"/>
      <c r="CX72" s="23"/>
      <c r="CY72" s="23"/>
      <c r="CZ72" s="23"/>
      <c r="DA72" s="23"/>
      <c r="DB72" s="23"/>
      <c r="DC72" s="23"/>
      <c r="DD72" s="23"/>
      <c r="DE72" s="23">
        <v>2</v>
      </c>
      <c r="DF72" s="23"/>
      <c r="DG72" s="23"/>
      <c r="DH72" s="23"/>
      <c r="DI72" s="23"/>
      <c r="DJ72" s="23"/>
      <c r="DK72" s="23">
        <v>37</v>
      </c>
      <c r="DL72" s="23">
        <v>23</v>
      </c>
      <c r="DM72" s="23">
        <v>44</v>
      </c>
      <c r="DN72" s="23">
        <v>11</v>
      </c>
      <c r="DO72" s="23"/>
      <c r="DP72" s="23"/>
      <c r="DQ72" s="23"/>
      <c r="DR72" s="23"/>
      <c r="DS72" s="23"/>
    </row>
    <row r="73" spans="2:123" ht="16.5">
      <c r="B73" s="22">
        <v>62</v>
      </c>
      <c r="C73" s="20" t="s">
        <v>410</v>
      </c>
      <c r="D73" s="20"/>
      <c r="E73" s="21">
        <v>0</v>
      </c>
      <c r="F73" s="21">
        <v>0</v>
      </c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3"/>
      <c r="DH73" s="23"/>
      <c r="DI73" s="23"/>
      <c r="DJ73" s="23"/>
      <c r="DK73" s="23"/>
      <c r="DL73" s="23"/>
      <c r="DM73" s="23"/>
      <c r="DN73" s="23"/>
      <c r="DO73" s="23"/>
      <c r="DP73" s="23"/>
      <c r="DQ73" s="23"/>
      <c r="DR73" s="23"/>
      <c r="DS73" s="23"/>
    </row>
    <row r="74" spans="2:123" ht="33">
      <c r="B74" s="22">
        <v>63</v>
      </c>
      <c r="C74" s="20" t="s">
        <v>411</v>
      </c>
      <c r="D74" s="20" t="s">
        <v>349</v>
      </c>
      <c r="E74" s="21">
        <v>190</v>
      </c>
      <c r="F74" s="21">
        <v>17</v>
      </c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>
        <v>17</v>
      </c>
      <c r="CN74" s="23"/>
      <c r="CO74" s="23"/>
      <c r="CP74" s="23"/>
      <c r="CQ74" s="23"/>
      <c r="CR74" s="23"/>
      <c r="CS74" s="23"/>
      <c r="CT74" s="23"/>
      <c r="CU74" s="23"/>
      <c r="CV74" s="23"/>
      <c r="CW74" s="23"/>
      <c r="CX74" s="23"/>
      <c r="CY74" s="23"/>
      <c r="CZ74" s="23"/>
      <c r="DA74" s="23"/>
      <c r="DB74" s="23"/>
      <c r="DC74" s="23"/>
      <c r="DD74" s="23"/>
      <c r="DE74" s="23"/>
      <c r="DF74" s="23"/>
      <c r="DG74" s="23"/>
      <c r="DH74" s="23"/>
      <c r="DI74" s="23"/>
      <c r="DJ74" s="23"/>
      <c r="DK74" s="23"/>
      <c r="DL74" s="23"/>
      <c r="DM74" s="23"/>
      <c r="DN74" s="23"/>
      <c r="DO74" s="23"/>
      <c r="DP74" s="23"/>
      <c r="DQ74" s="23"/>
      <c r="DR74" s="23"/>
      <c r="DS74" s="23"/>
    </row>
    <row r="75" spans="2:123" ht="16.5">
      <c r="B75" s="22">
        <v>64</v>
      </c>
      <c r="C75" s="20" t="s">
        <v>412</v>
      </c>
      <c r="D75" s="20" t="s">
        <v>349</v>
      </c>
      <c r="E75" s="21">
        <v>16</v>
      </c>
      <c r="F75" s="21">
        <v>1</v>
      </c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>
        <v>1</v>
      </c>
      <c r="CM75" s="23"/>
      <c r="CN75" s="23"/>
      <c r="CO75" s="23"/>
      <c r="CP75" s="23"/>
      <c r="CQ75" s="23"/>
      <c r="CR75" s="23"/>
      <c r="CS75" s="23"/>
      <c r="CT75" s="23"/>
      <c r="CU75" s="23"/>
      <c r="CV75" s="23"/>
      <c r="CW75" s="23"/>
      <c r="CX75" s="23"/>
      <c r="CY75" s="23"/>
      <c r="CZ75" s="23"/>
      <c r="DA75" s="23"/>
      <c r="DB75" s="23"/>
      <c r="DC75" s="23"/>
      <c r="DD75" s="23"/>
      <c r="DE75" s="23"/>
      <c r="DF75" s="23"/>
      <c r="DG75" s="23"/>
      <c r="DH75" s="23"/>
      <c r="DI75" s="23"/>
      <c r="DJ75" s="23"/>
      <c r="DK75" s="23"/>
      <c r="DL75" s="23"/>
      <c r="DM75" s="23"/>
      <c r="DN75" s="23"/>
      <c r="DO75" s="23"/>
      <c r="DP75" s="23"/>
      <c r="DQ75" s="23"/>
      <c r="DR75" s="23"/>
      <c r="DS75" s="23"/>
    </row>
    <row r="76" spans="2:123" ht="33">
      <c r="B76" s="22">
        <v>65</v>
      </c>
      <c r="C76" s="20" t="s">
        <v>413</v>
      </c>
      <c r="D76" s="20" t="s">
        <v>349</v>
      </c>
      <c r="E76" s="21">
        <v>15</v>
      </c>
      <c r="F76" s="21">
        <v>125</v>
      </c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/>
      <c r="CB76" s="23"/>
      <c r="CC76" s="23"/>
      <c r="CD76" s="23"/>
      <c r="CE76" s="23"/>
      <c r="CF76" s="23"/>
      <c r="CG76" s="23"/>
      <c r="CH76" s="23"/>
      <c r="CI76" s="23"/>
      <c r="CJ76" s="23"/>
      <c r="CK76" s="23"/>
      <c r="CL76" s="23">
        <v>10</v>
      </c>
      <c r="CM76" s="23"/>
      <c r="CN76" s="23"/>
      <c r="CO76" s="23"/>
      <c r="CP76" s="23"/>
      <c r="CQ76" s="23"/>
      <c r="CR76" s="23"/>
      <c r="CS76" s="23"/>
      <c r="CT76" s="23"/>
      <c r="CU76" s="23"/>
      <c r="CV76" s="23"/>
      <c r="CW76" s="23">
        <v>41</v>
      </c>
      <c r="CX76" s="23"/>
      <c r="CY76" s="23"/>
      <c r="CZ76" s="23"/>
      <c r="DA76" s="23"/>
      <c r="DB76" s="23"/>
      <c r="DC76" s="23"/>
      <c r="DD76" s="23"/>
      <c r="DE76" s="23">
        <v>3</v>
      </c>
      <c r="DF76" s="23"/>
      <c r="DG76" s="23"/>
      <c r="DH76" s="23"/>
      <c r="DI76" s="23"/>
      <c r="DJ76" s="23"/>
      <c r="DK76" s="23">
        <v>36</v>
      </c>
      <c r="DL76" s="23">
        <v>31</v>
      </c>
      <c r="DM76" s="23">
        <v>4</v>
      </c>
      <c r="DN76" s="23"/>
      <c r="DO76" s="23"/>
      <c r="DP76" s="23"/>
      <c r="DQ76" s="23"/>
      <c r="DR76" s="23"/>
      <c r="DS76" s="23"/>
    </row>
    <row r="77" spans="2:123" ht="16.5">
      <c r="B77" s="22">
        <v>66</v>
      </c>
      <c r="C77" s="20" t="s">
        <v>414</v>
      </c>
      <c r="D77" s="20"/>
      <c r="E77" s="21">
        <v>0</v>
      </c>
      <c r="F77" s="21">
        <v>0</v>
      </c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3"/>
      <c r="CG77" s="23"/>
      <c r="CH77" s="23"/>
      <c r="CI77" s="23"/>
      <c r="CJ77" s="23"/>
      <c r="CK77" s="23"/>
      <c r="CL77" s="23"/>
      <c r="CM77" s="23"/>
      <c r="CN77" s="23"/>
      <c r="CO77" s="23"/>
      <c r="CP77" s="23"/>
      <c r="CQ77" s="23"/>
      <c r="CR77" s="23"/>
      <c r="CS77" s="23"/>
      <c r="CT77" s="23"/>
      <c r="CU77" s="23"/>
      <c r="CV77" s="23"/>
      <c r="CW77" s="23"/>
      <c r="CX77" s="23"/>
      <c r="CY77" s="23"/>
      <c r="CZ77" s="23"/>
      <c r="DA77" s="23"/>
      <c r="DB77" s="23"/>
      <c r="DC77" s="23"/>
      <c r="DD77" s="23"/>
      <c r="DE77" s="23"/>
      <c r="DF77" s="23"/>
      <c r="DG77" s="23"/>
      <c r="DH77" s="23"/>
      <c r="DI77" s="23"/>
      <c r="DJ77" s="23"/>
      <c r="DK77" s="23"/>
      <c r="DL77" s="23"/>
      <c r="DM77" s="23"/>
      <c r="DN77" s="23"/>
      <c r="DO77" s="23"/>
      <c r="DP77" s="23"/>
      <c r="DQ77" s="23"/>
      <c r="DR77" s="23"/>
      <c r="DS77" s="23"/>
    </row>
    <row r="78" spans="2:123" ht="33">
      <c r="B78" s="22">
        <v>67</v>
      </c>
      <c r="C78" s="20" t="s">
        <v>415</v>
      </c>
      <c r="D78" s="20"/>
      <c r="E78" s="21">
        <v>0</v>
      </c>
      <c r="F78" s="21">
        <v>0</v>
      </c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  <c r="DH78" s="23"/>
      <c r="DI78" s="23"/>
      <c r="DJ78" s="23"/>
      <c r="DK78" s="23"/>
      <c r="DL78" s="23"/>
      <c r="DM78" s="23"/>
      <c r="DN78" s="23"/>
      <c r="DO78" s="23"/>
      <c r="DP78" s="23"/>
      <c r="DQ78" s="23"/>
      <c r="DR78" s="23"/>
      <c r="DS78" s="23"/>
    </row>
    <row r="79" spans="2:123" ht="33">
      <c r="B79" s="22">
        <v>68</v>
      </c>
      <c r="C79" s="20" t="s">
        <v>416</v>
      </c>
      <c r="D79" s="20" t="s">
        <v>417</v>
      </c>
      <c r="E79" s="21">
        <v>2700</v>
      </c>
      <c r="F79" s="21">
        <v>2</v>
      </c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>
        <v>2</v>
      </c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  <c r="DH79" s="23"/>
      <c r="DI79" s="23"/>
      <c r="DJ79" s="23"/>
      <c r="DK79" s="23"/>
      <c r="DL79" s="23"/>
      <c r="DM79" s="23"/>
      <c r="DN79" s="23"/>
      <c r="DO79" s="23"/>
      <c r="DP79" s="23"/>
      <c r="DQ79" s="23"/>
      <c r="DR79" s="23"/>
      <c r="DS79" s="23"/>
    </row>
    <row r="80" spans="2:123" ht="16.5">
      <c r="B80" s="22">
        <v>69</v>
      </c>
      <c r="C80" s="20" t="s">
        <v>418</v>
      </c>
      <c r="D80" s="20"/>
      <c r="E80" s="21">
        <v>0</v>
      </c>
      <c r="F80" s="21">
        <v>0</v>
      </c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3"/>
      <c r="DH80" s="23"/>
      <c r="DI80" s="23"/>
      <c r="DJ80" s="23"/>
      <c r="DK80" s="23"/>
      <c r="DL80" s="23"/>
      <c r="DM80" s="23"/>
      <c r="DN80" s="23"/>
      <c r="DO80" s="23"/>
      <c r="DP80" s="23"/>
      <c r="DQ80" s="23"/>
      <c r="DR80" s="23"/>
      <c r="DS80" s="23"/>
    </row>
    <row r="81" spans="2:123" ht="16.5">
      <c r="B81" s="22">
        <v>70</v>
      </c>
      <c r="C81" s="20" t="s">
        <v>419</v>
      </c>
      <c r="D81" s="20" t="s">
        <v>349</v>
      </c>
      <c r="E81" s="21">
        <v>371.92</v>
      </c>
      <c r="F81" s="21">
        <v>16</v>
      </c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>
        <v>16</v>
      </c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3"/>
      <c r="DH81" s="23"/>
      <c r="DI81" s="23"/>
      <c r="DJ81" s="23"/>
      <c r="DK81" s="23"/>
      <c r="DL81" s="23"/>
      <c r="DM81" s="23"/>
      <c r="DN81" s="23"/>
      <c r="DO81" s="23"/>
      <c r="DP81" s="23"/>
      <c r="DQ81" s="23"/>
      <c r="DR81" s="23"/>
      <c r="DS81" s="23"/>
    </row>
    <row r="82" spans="2:123" ht="16.5">
      <c r="B82" s="22">
        <v>71</v>
      </c>
      <c r="C82" s="20" t="s">
        <v>420</v>
      </c>
      <c r="D82" s="20"/>
      <c r="E82" s="21">
        <v>0</v>
      </c>
      <c r="F82" s="21">
        <v>0</v>
      </c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23"/>
      <c r="DP82" s="23"/>
      <c r="DQ82" s="23"/>
      <c r="DR82" s="23"/>
      <c r="DS82" s="23"/>
    </row>
    <row r="83" spans="2:123" ht="16.5">
      <c r="B83" s="22">
        <v>72</v>
      </c>
      <c r="C83" s="20" t="s">
        <v>421</v>
      </c>
      <c r="D83" s="20" t="s">
        <v>349</v>
      </c>
      <c r="E83" s="21">
        <v>255.08</v>
      </c>
      <c r="F83" s="21">
        <v>14</v>
      </c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>
        <v>14</v>
      </c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/>
      <c r="DP83" s="23"/>
      <c r="DQ83" s="23"/>
      <c r="DR83" s="23"/>
      <c r="DS83" s="23"/>
    </row>
    <row r="84" spans="2:123" ht="16.5">
      <c r="B84" s="22">
        <v>73</v>
      </c>
      <c r="C84" s="20" t="s">
        <v>422</v>
      </c>
      <c r="D84" s="20" t="s">
        <v>349</v>
      </c>
      <c r="E84" s="21">
        <v>182.17</v>
      </c>
      <c r="F84" s="21">
        <v>4</v>
      </c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>
        <v>4</v>
      </c>
      <c r="DF84" s="23"/>
      <c r="DG84" s="23"/>
      <c r="DH84" s="23"/>
      <c r="DI84" s="23"/>
      <c r="DJ84" s="23"/>
      <c r="DK84" s="23"/>
      <c r="DL84" s="23"/>
      <c r="DM84" s="23"/>
      <c r="DN84" s="23"/>
      <c r="DO84" s="23"/>
      <c r="DP84" s="23"/>
      <c r="DQ84" s="23"/>
      <c r="DR84" s="23"/>
      <c r="DS84" s="23"/>
    </row>
    <row r="85" spans="2:123" ht="16.5">
      <c r="B85" s="22">
        <v>74</v>
      </c>
      <c r="C85" s="20" t="s">
        <v>423</v>
      </c>
      <c r="D85" s="20" t="s">
        <v>349</v>
      </c>
      <c r="E85" s="21">
        <v>167</v>
      </c>
      <c r="F85" s="21">
        <v>6</v>
      </c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>
        <v>6</v>
      </c>
      <c r="DF85" s="23"/>
      <c r="DG85" s="23"/>
      <c r="DH85" s="23"/>
      <c r="DI85" s="23"/>
      <c r="DJ85" s="23"/>
      <c r="DK85" s="23"/>
      <c r="DL85" s="23"/>
      <c r="DM85" s="23"/>
      <c r="DN85" s="23"/>
      <c r="DO85" s="23"/>
      <c r="DP85" s="23"/>
      <c r="DQ85" s="23"/>
      <c r="DR85" s="23"/>
      <c r="DS85" s="23"/>
    </row>
    <row r="86" spans="2:123" ht="16.5">
      <c r="B86" s="22">
        <v>75</v>
      </c>
      <c r="C86" s="20" t="s">
        <v>424</v>
      </c>
      <c r="D86" s="20"/>
      <c r="E86" s="21">
        <v>0</v>
      </c>
      <c r="F86" s="21">
        <v>0</v>
      </c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  <c r="DH86" s="23"/>
      <c r="DI86" s="23"/>
      <c r="DJ86" s="23"/>
      <c r="DK86" s="23"/>
      <c r="DL86" s="23"/>
      <c r="DM86" s="23"/>
      <c r="DN86" s="23"/>
      <c r="DO86" s="23"/>
      <c r="DP86" s="23"/>
      <c r="DQ86" s="23"/>
      <c r="DR86" s="23"/>
      <c r="DS86" s="23"/>
    </row>
    <row r="87" spans="2:123" ht="16.5">
      <c r="B87" s="22">
        <v>76</v>
      </c>
      <c r="C87" s="20" t="s">
        <v>425</v>
      </c>
      <c r="D87" s="20" t="s">
        <v>349</v>
      </c>
      <c r="E87" s="21">
        <v>151.83000000000001</v>
      </c>
      <c r="F87" s="21">
        <v>5</v>
      </c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>
        <v>5</v>
      </c>
      <c r="DF87" s="23"/>
      <c r="DG87" s="23"/>
      <c r="DH87" s="23"/>
      <c r="DI87" s="23"/>
      <c r="DJ87" s="23"/>
      <c r="DK87" s="23"/>
      <c r="DL87" s="23"/>
      <c r="DM87" s="23"/>
      <c r="DN87" s="23"/>
      <c r="DO87" s="23"/>
      <c r="DP87" s="23"/>
      <c r="DQ87" s="23"/>
      <c r="DR87" s="23"/>
      <c r="DS87" s="23"/>
    </row>
    <row r="88" spans="2:123" ht="33">
      <c r="B88" s="22">
        <v>77</v>
      </c>
      <c r="C88" s="20" t="s">
        <v>426</v>
      </c>
      <c r="D88" s="20" t="s">
        <v>349</v>
      </c>
      <c r="E88" s="21">
        <v>22</v>
      </c>
      <c r="F88" s="21">
        <v>10</v>
      </c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>
        <v>6</v>
      </c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3"/>
      <c r="DH88" s="23"/>
      <c r="DI88" s="23"/>
      <c r="DJ88" s="23"/>
      <c r="DK88" s="23"/>
      <c r="DL88" s="23"/>
      <c r="DM88" s="23"/>
      <c r="DN88" s="23">
        <v>4</v>
      </c>
      <c r="DO88" s="23"/>
      <c r="DP88" s="23"/>
      <c r="DQ88" s="23"/>
      <c r="DR88" s="23"/>
      <c r="DS88" s="23"/>
    </row>
    <row r="89" spans="2:123" ht="33">
      <c r="B89" s="22">
        <v>78</v>
      </c>
      <c r="C89" s="20" t="s">
        <v>427</v>
      </c>
      <c r="D89" s="20" t="s">
        <v>349</v>
      </c>
      <c r="E89" s="21">
        <v>22</v>
      </c>
      <c r="F89" s="21">
        <v>58</v>
      </c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>
        <v>5</v>
      </c>
      <c r="CM89" s="23">
        <v>49</v>
      </c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3"/>
      <c r="DH89" s="23"/>
      <c r="DI89" s="23"/>
      <c r="DJ89" s="23"/>
      <c r="DK89" s="23"/>
      <c r="DL89" s="23"/>
      <c r="DM89" s="23"/>
      <c r="DN89" s="23">
        <v>4</v>
      </c>
      <c r="DO89" s="23"/>
      <c r="DP89" s="23"/>
      <c r="DQ89" s="23"/>
      <c r="DR89" s="23"/>
      <c r="DS89" s="23"/>
    </row>
    <row r="90" spans="2:123" ht="33">
      <c r="B90" s="22">
        <v>79</v>
      </c>
      <c r="C90" s="20" t="s">
        <v>428</v>
      </c>
      <c r="D90" s="20" t="s">
        <v>349</v>
      </c>
      <c r="E90" s="21">
        <v>22</v>
      </c>
      <c r="F90" s="21">
        <v>72</v>
      </c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>
        <v>7</v>
      </c>
      <c r="CM90" s="23">
        <v>56</v>
      </c>
      <c r="CN90" s="23"/>
      <c r="CO90" s="23"/>
      <c r="CP90" s="23"/>
      <c r="CQ90" s="23"/>
      <c r="CR90" s="23"/>
      <c r="CS90" s="23"/>
      <c r="CT90" s="23"/>
      <c r="CU90" s="23"/>
      <c r="CV90" s="23">
        <v>1</v>
      </c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  <c r="DH90" s="23"/>
      <c r="DI90" s="23"/>
      <c r="DJ90" s="23"/>
      <c r="DK90" s="23"/>
      <c r="DL90" s="23"/>
      <c r="DM90" s="23"/>
      <c r="DN90" s="23">
        <v>8</v>
      </c>
      <c r="DO90" s="23"/>
      <c r="DP90" s="23"/>
      <c r="DQ90" s="23"/>
      <c r="DR90" s="23"/>
      <c r="DS90" s="23"/>
    </row>
    <row r="91" spans="2:123" ht="16.5">
      <c r="B91" s="22">
        <v>80</v>
      </c>
      <c r="C91" s="20" t="s">
        <v>429</v>
      </c>
      <c r="D91" s="20" t="s">
        <v>349</v>
      </c>
      <c r="E91" s="21">
        <v>55</v>
      </c>
      <c r="F91" s="21">
        <v>14</v>
      </c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>
        <v>1</v>
      </c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  <c r="DH91" s="23"/>
      <c r="DI91" s="23"/>
      <c r="DJ91" s="23"/>
      <c r="DK91" s="23"/>
      <c r="DL91" s="23"/>
      <c r="DM91" s="23">
        <v>2</v>
      </c>
      <c r="DN91" s="23">
        <v>11</v>
      </c>
      <c r="DO91" s="23"/>
      <c r="DP91" s="23"/>
      <c r="DQ91" s="23"/>
      <c r="DR91" s="23"/>
      <c r="DS91" s="23"/>
    </row>
    <row r="92" spans="2:123" ht="16.5">
      <c r="B92" s="22">
        <v>81</v>
      </c>
      <c r="C92" s="20" t="s">
        <v>430</v>
      </c>
      <c r="D92" s="20" t="s">
        <v>349</v>
      </c>
      <c r="E92" s="21">
        <v>55</v>
      </c>
      <c r="F92" s="21">
        <v>85</v>
      </c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>
        <v>4</v>
      </c>
      <c r="CW92" s="23"/>
      <c r="CX92" s="23"/>
      <c r="CY92" s="23"/>
      <c r="CZ92" s="23"/>
      <c r="DA92" s="23"/>
      <c r="DB92" s="23"/>
      <c r="DC92" s="23"/>
      <c r="DD92" s="23"/>
      <c r="DE92" s="23">
        <v>14</v>
      </c>
      <c r="DF92" s="23"/>
      <c r="DG92" s="23"/>
      <c r="DH92" s="23"/>
      <c r="DI92" s="23"/>
      <c r="DJ92" s="23"/>
      <c r="DK92" s="23">
        <v>51</v>
      </c>
      <c r="DL92" s="23">
        <v>9</v>
      </c>
      <c r="DM92" s="23">
        <v>5</v>
      </c>
      <c r="DN92" s="23">
        <v>2</v>
      </c>
      <c r="DO92" s="23"/>
      <c r="DP92" s="23"/>
      <c r="DQ92" s="23"/>
      <c r="DR92" s="23"/>
      <c r="DS92" s="23"/>
    </row>
    <row r="93" spans="2:123" ht="16.5">
      <c r="B93" s="22">
        <v>82</v>
      </c>
      <c r="C93" s="20" t="s">
        <v>431</v>
      </c>
      <c r="D93" s="20" t="s">
        <v>349</v>
      </c>
      <c r="E93" s="21">
        <v>55</v>
      </c>
      <c r="F93" s="21">
        <v>67</v>
      </c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>
        <v>7</v>
      </c>
      <c r="DF93" s="23"/>
      <c r="DG93" s="23"/>
      <c r="DH93" s="23"/>
      <c r="DI93" s="23"/>
      <c r="DJ93" s="23"/>
      <c r="DK93" s="23">
        <v>30</v>
      </c>
      <c r="DL93" s="23">
        <v>30</v>
      </c>
      <c r="DM93" s="23"/>
      <c r="DN93" s="23"/>
      <c r="DO93" s="23"/>
      <c r="DP93" s="23"/>
      <c r="DQ93" s="23"/>
      <c r="DR93" s="23"/>
      <c r="DS93" s="23"/>
    </row>
    <row r="94" spans="2:123" ht="16.5">
      <c r="B94" s="22">
        <v>83</v>
      </c>
      <c r="C94" s="20" t="s">
        <v>432</v>
      </c>
      <c r="D94" s="20" t="s">
        <v>349</v>
      </c>
      <c r="E94" s="21">
        <v>55</v>
      </c>
      <c r="F94" s="21">
        <v>59</v>
      </c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>
        <v>42</v>
      </c>
      <c r="DF94" s="23"/>
      <c r="DG94" s="23"/>
      <c r="DH94" s="23"/>
      <c r="DI94" s="23"/>
      <c r="DJ94" s="23"/>
      <c r="DK94" s="23"/>
      <c r="DL94" s="23">
        <v>14</v>
      </c>
      <c r="DM94" s="23">
        <v>1</v>
      </c>
      <c r="DN94" s="23">
        <v>2</v>
      </c>
      <c r="DO94" s="23"/>
      <c r="DP94" s="23"/>
      <c r="DQ94" s="23"/>
      <c r="DR94" s="23"/>
      <c r="DS94" s="23"/>
    </row>
    <row r="95" spans="2:123" ht="16.5">
      <c r="B95" s="22">
        <v>84</v>
      </c>
      <c r="C95" s="20" t="s">
        <v>433</v>
      </c>
      <c r="D95" s="20" t="s">
        <v>349</v>
      </c>
      <c r="E95" s="21">
        <v>55</v>
      </c>
      <c r="F95" s="21">
        <v>28</v>
      </c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3"/>
      <c r="DH95" s="23"/>
      <c r="DI95" s="23"/>
      <c r="DJ95" s="23"/>
      <c r="DK95" s="23">
        <v>1</v>
      </c>
      <c r="DL95" s="23"/>
      <c r="DM95" s="23">
        <v>25</v>
      </c>
      <c r="DN95" s="23">
        <v>2</v>
      </c>
      <c r="DO95" s="23"/>
      <c r="DP95" s="23"/>
      <c r="DQ95" s="23"/>
      <c r="DR95" s="23"/>
      <c r="DS95" s="23"/>
    </row>
    <row r="96" spans="2:123" ht="16.5">
      <c r="B96" s="22">
        <v>85</v>
      </c>
      <c r="C96" s="20" t="s">
        <v>434</v>
      </c>
      <c r="D96" s="20" t="s">
        <v>349</v>
      </c>
      <c r="E96" s="21">
        <v>29</v>
      </c>
      <c r="F96" s="21">
        <v>83</v>
      </c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>
        <v>2</v>
      </c>
      <c r="CN96" s="23"/>
      <c r="CO96" s="23"/>
      <c r="CP96" s="23"/>
      <c r="CQ96" s="23"/>
      <c r="CR96" s="23"/>
      <c r="CS96" s="23"/>
      <c r="CT96" s="23"/>
      <c r="CU96" s="23"/>
      <c r="CV96" s="23">
        <v>1</v>
      </c>
      <c r="CW96" s="23"/>
      <c r="CX96" s="23"/>
      <c r="CY96" s="23"/>
      <c r="CZ96" s="23"/>
      <c r="DA96" s="23"/>
      <c r="DB96" s="23"/>
      <c r="DC96" s="23"/>
      <c r="DD96" s="23"/>
      <c r="DE96" s="23">
        <v>3</v>
      </c>
      <c r="DF96" s="23"/>
      <c r="DG96" s="23"/>
      <c r="DH96" s="23"/>
      <c r="DI96" s="23"/>
      <c r="DJ96" s="23"/>
      <c r="DK96" s="23">
        <v>36</v>
      </c>
      <c r="DL96" s="23">
        <v>4</v>
      </c>
      <c r="DM96" s="23">
        <v>24</v>
      </c>
      <c r="DN96" s="23">
        <v>13</v>
      </c>
      <c r="DO96" s="23"/>
      <c r="DP96" s="23"/>
      <c r="DQ96" s="23"/>
      <c r="DR96" s="23"/>
      <c r="DS96" s="23"/>
    </row>
    <row r="97" spans="2:123" ht="16.5">
      <c r="B97" s="22">
        <v>86</v>
      </c>
      <c r="C97" s="20" t="s">
        <v>435</v>
      </c>
      <c r="D97" s="20" t="s">
        <v>349</v>
      </c>
      <c r="E97" s="21">
        <v>22</v>
      </c>
      <c r="F97" s="21">
        <v>26</v>
      </c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>
        <v>21</v>
      </c>
      <c r="CN97" s="23"/>
      <c r="CO97" s="23"/>
      <c r="CP97" s="23"/>
      <c r="CQ97" s="23"/>
      <c r="CR97" s="23"/>
      <c r="CS97" s="23"/>
      <c r="CT97" s="23"/>
      <c r="CU97" s="23"/>
      <c r="CV97" s="23">
        <v>4</v>
      </c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3"/>
      <c r="DH97" s="23"/>
      <c r="DI97" s="23"/>
      <c r="DJ97" s="23"/>
      <c r="DK97" s="23">
        <v>1</v>
      </c>
      <c r="DL97" s="23"/>
      <c r="DM97" s="23"/>
      <c r="DN97" s="23"/>
      <c r="DO97" s="23"/>
      <c r="DP97" s="23"/>
      <c r="DQ97" s="23"/>
      <c r="DR97" s="23"/>
      <c r="DS97" s="23"/>
    </row>
    <row r="98" spans="2:123" ht="16.5">
      <c r="B98" s="22">
        <v>87</v>
      </c>
      <c r="C98" s="20" t="s">
        <v>436</v>
      </c>
      <c r="D98" s="20" t="s">
        <v>349</v>
      </c>
      <c r="E98" s="21">
        <v>6</v>
      </c>
      <c r="F98" s="21">
        <v>43</v>
      </c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>
        <v>11</v>
      </c>
      <c r="CW98" s="23"/>
      <c r="CX98" s="23"/>
      <c r="CY98" s="23"/>
      <c r="CZ98" s="23"/>
      <c r="DA98" s="23"/>
      <c r="DB98" s="23"/>
      <c r="DC98" s="23"/>
      <c r="DD98" s="23"/>
      <c r="DE98" s="23">
        <v>9</v>
      </c>
      <c r="DF98" s="23"/>
      <c r="DG98" s="23"/>
      <c r="DH98" s="23"/>
      <c r="DI98" s="23"/>
      <c r="DJ98" s="23"/>
      <c r="DK98" s="23"/>
      <c r="DL98" s="23">
        <v>23</v>
      </c>
      <c r="DM98" s="23"/>
      <c r="DN98" s="23"/>
      <c r="DO98" s="23"/>
      <c r="DP98" s="23"/>
      <c r="DQ98" s="23"/>
      <c r="DR98" s="23"/>
      <c r="DS98" s="23"/>
    </row>
    <row r="99" spans="2:123" ht="16.5">
      <c r="B99" s="22">
        <v>88</v>
      </c>
      <c r="C99" s="20" t="s">
        <v>437</v>
      </c>
      <c r="D99" s="20" t="s">
        <v>349</v>
      </c>
      <c r="E99" s="21">
        <v>31</v>
      </c>
      <c r="F99" s="21">
        <v>8</v>
      </c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>
        <v>8</v>
      </c>
      <c r="DM99" s="23"/>
      <c r="DN99" s="23"/>
      <c r="DO99" s="23"/>
      <c r="DP99" s="23"/>
      <c r="DQ99" s="23"/>
      <c r="DR99" s="23"/>
      <c r="DS99" s="23"/>
    </row>
    <row r="100" spans="2:123" ht="33">
      <c r="B100" s="22">
        <v>89</v>
      </c>
      <c r="C100" s="20" t="s">
        <v>438</v>
      </c>
      <c r="D100" s="20" t="s">
        <v>349</v>
      </c>
      <c r="E100" s="21">
        <v>50</v>
      </c>
      <c r="F100" s="21">
        <v>1</v>
      </c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>
        <v>1</v>
      </c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</row>
    <row r="101" spans="2:123" ht="16.5">
      <c r="B101" s="22">
        <v>90</v>
      </c>
      <c r="C101" s="20" t="s">
        <v>439</v>
      </c>
      <c r="D101" s="20"/>
      <c r="E101" s="21">
        <v>0</v>
      </c>
      <c r="F101" s="21">
        <v>0</v>
      </c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3"/>
      <c r="DH101" s="23"/>
      <c r="DI101" s="23"/>
      <c r="DJ101" s="23"/>
      <c r="DK101" s="23"/>
      <c r="DL101" s="23"/>
      <c r="DM101" s="23"/>
      <c r="DN101" s="23"/>
      <c r="DO101" s="23"/>
      <c r="DP101" s="23"/>
      <c r="DQ101" s="23"/>
      <c r="DR101" s="23"/>
      <c r="DS101" s="23"/>
    </row>
    <row r="102" spans="2:123" ht="16.5">
      <c r="B102" s="22">
        <v>91</v>
      </c>
      <c r="C102" s="20" t="s">
        <v>440</v>
      </c>
      <c r="D102" s="20"/>
      <c r="E102" s="21">
        <v>0</v>
      </c>
      <c r="F102" s="21">
        <v>0</v>
      </c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  <c r="DA102" s="23"/>
      <c r="DB102" s="23"/>
      <c r="DC102" s="23"/>
      <c r="DD102" s="23"/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  <c r="DO102" s="23"/>
      <c r="DP102" s="23"/>
      <c r="DQ102" s="23"/>
      <c r="DR102" s="23"/>
      <c r="DS102" s="23"/>
    </row>
    <row r="103" spans="2:123" ht="16.5">
      <c r="B103" s="22">
        <v>92</v>
      </c>
      <c r="C103" s="20" t="s">
        <v>441</v>
      </c>
      <c r="D103" s="20" t="s">
        <v>349</v>
      </c>
      <c r="E103" s="21">
        <v>33</v>
      </c>
      <c r="F103" s="21">
        <v>3</v>
      </c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>
        <v>1</v>
      </c>
      <c r="CW103" s="23"/>
      <c r="CX103" s="23"/>
      <c r="CY103" s="23"/>
      <c r="CZ103" s="23"/>
      <c r="DA103" s="23"/>
      <c r="DB103" s="23"/>
      <c r="DC103" s="23"/>
      <c r="DD103" s="23"/>
      <c r="DE103" s="23">
        <v>1</v>
      </c>
      <c r="DF103" s="23"/>
      <c r="DG103" s="23"/>
      <c r="DH103" s="23"/>
      <c r="DI103" s="23"/>
      <c r="DJ103" s="23"/>
      <c r="DK103" s="23">
        <v>1</v>
      </c>
      <c r="DL103" s="23"/>
      <c r="DM103" s="23"/>
      <c r="DN103" s="23"/>
      <c r="DO103" s="23"/>
      <c r="DP103" s="23"/>
      <c r="DQ103" s="23"/>
      <c r="DR103" s="23"/>
      <c r="DS103" s="23"/>
    </row>
    <row r="104" spans="2:123" ht="16.5">
      <c r="B104" s="22">
        <v>93</v>
      </c>
      <c r="C104" s="20" t="s">
        <v>442</v>
      </c>
      <c r="D104" s="20" t="s">
        <v>349</v>
      </c>
      <c r="E104" s="21">
        <v>33</v>
      </c>
      <c r="F104" s="21">
        <v>25</v>
      </c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3">
        <v>21</v>
      </c>
      <c r="CN104" s="23"/>
      <c r="CO104" s="23"/>
      <c r="CP104" s="23"/>
      <c r="CQ104" s="23"/>
      <c r="CR104" s="23"/>
      <c r="CS104" s="23"/>
      <c r="CT104" s="23"/>
      <c r="CU104" s="23"/>
      <c r="CV104" s="23">
        <v>3</v>
      </c>
      <c r="CW104" s="23"/>
      <c r="CX104" s="23"/>
      <c r="CY104" s="23"/>
      <c r="CZ104" s="23"/>
      <c r="DA104" s="23"/>
      <c r="DB104" s="23"/>
      <c r="DC104" s="23"/>
      <c r="DD104" s="23"/>
      <c r="DE104" s="23"/>
      <c r="DF104" s="23"/>
      <c r="DG104" s="23"/>
      <c r="DH104" s="23"/>
      <c r="DI104" s="23"/>
      <c r="DJ104" s="23"/>
      <c r="DK104" s="23"/>
      <c r="DL104" s="23"/>
      <c r="DM104" s="23"/>
      <c r="DN104" s="23">
        <v>1</v>
      </c>
      <c r="DO104" s="23"/>
      <c r="DP104" s="23"/>
      <c r="DQ104" s="23"/>
      <c r="DR104" s="23"/>
      <c r="DS104" s="23"/>
    </row>
    <row r="105" spans="2:123" ht="16.5">
      <c r="B105" s="22">
        <v>94</v>
      </c>
      <c r="C105" s="20" t="s">
        <v>443</v>
      </c>
      <c r="D105" s="20" t="s">
        <v>349</v>
      </c>
      <c r="E105" s="21">
        <v>5.0999999999999996</v>
      </c>
      <c r="F105" s="21">
        <v>49</v>
      </c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>
        <v>23</v>
      </c>
      <c r="CM105" s="23">
        <v>2</v>
      </c>
      <c r="CN105" s="23"/>
      <c r="CO105" s="23"/>
      <c r="CP105" s="23"/>
      <c r="CQ105" s="23"/>
      <c r="CR105" s="23"/>
      <c r="CS105" s="23"/>
      <c r="CT105" s="23"/>
      <c r="CU105" s="23"/>
      <c r="CV105" s="23"/>
      <c r="CW105" s="23"/>
      <c r="CX105" s="23"/>
      <c r="CY105" s="23"/>
      <c r="CZ105" s="23"/>
      <c r="DA105" s="23"/>
      <c r="DB105" s="23"/>
      <c r="DC105" s="23"/>
      <c r="DD105" s="23"/>
      <c r="DE105" s="23"/>
      <c r="DF105" s="23"/>
      <c r="DG105" s="23"/>
      <c r="DH105" s="23"/>
      <c r="DI105" s="23"/>
      <c r="DJ105" s="23"/>
      <c r="DK105" s="23"/>
      <c r="DL105" s="23">
        <v>23</v>
      </c>
      <c r="DM105" s="23">
        <v>1</v>
      </c>
      <c r="DN105" s="23"/>
      <c r="DO105" s="23"/>
      <c r="DP105" s="23"/>
      <c r="DQ105" s="23"/>
      <c r="DR105" s="23"/>
      <c r="DS105" s="23"/>
    </row>
    <row r="106" spans="2:123" ht="33">
      <c r="B106" s="22">
        <v>95</v>
      </c>
      <c r="C106" s="20" t="s">
        <v>444</v>
      </c>
      <c r="D106" s="20" t="s">
        <v>349</v>
      </c>
      <c r="E106" s="21">
        <v>210</v>
      </c>
      <c r="F106" s="21">
        <v>10</v>
      </c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>
        <v>10</v>
      </c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/>
      <c r="DA106" s="23"/>
      <c r="DB106" s="23"/>
      <c r="DC106" s="23"/>
      <c r="DD106" s="23"/>
      <c r="DE106" s="23"/>
      <c r="DF106" s="23"/>
      <c r="DG106" s="23"/>
      <c r="DH106" s="23"/>
      <c r="DI106" s="23"/>
      <c r="DJ106" s="23"/>
      <c r="DK106" s="23"/>
      <c r="DL106" s="23"/>
      <c r="DM106" s="23"/>
      <c r="DN106" s="23"/>
      <c r="DO106" s="23"/>
      <c r="DP106" s="23"/>
      <c r="DQ106" s="23"/>
      <c r="DR106" s="23"/>
      <c r="DS106" s="23"/>
    </row>
    <row r="107" spans="2:123" ht="16.5">
      <c r="B107" s="22">
        <v>96</v>
      </c>
      <c r="C107" s="20" t="s">
        <v>445</v>
      </c>
      <c r="D107" s="20" t="s">
        <v>349</v>
      </c>
      <c r="E107" s="21">
        <v>5.71</v>
      </c>
      <c r="F107" s="21">
        <v>70</v>
      </c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>
        <v>3</v>
      </c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/>
      <c r="DA107" s="23"/>
      <c r="DB107" s="23"/>
      <c r="DC107" s="23"/>
      <c r="DD107" s="23"/>
      <c r="DE107" s="23">
        <v>11</v>
      </c>
      <c r="DF107" s="23"/>
      <c r="DG107" s="23"/>
      <c r="DH107" s="23"/>
      <c r="DI107" s="23"/>
      <c r="DJ107" s="23"/>
      <c r="DK107" s="23">
        <v>21</v>
      </c>
      <c r="DL107" s="23">
        <v>23</v>
      </c>
      <c r="DM107" s="23">
        <v>9</v>
      </c>
      <c r="DN107" s="23">
        <v>3</v>
      </c>
      <c r="DO107" s="23"/>
      <c r="DP107" s="23"/>
      <c r="DQ107" s="23"/>
      <c r="DR107" s="23"/>
      <c r="DS107" s="23"/>
    </row>
    <row r="108" spans="2:123" ht="33">
      <c r="B108" s="22">
        <v>97</v>
      </c>
      <c r="C108" s="20" t="s">
        <v>446</v>
      </c>
      <c r="D108" s="20" t="s">
        <v>447</v>
      </c>
      <c r="E108" s="21">
        <v>10.199999999999999</v>
      </c>
      <c r="F108" s="21">
        <v>9</v>
      </c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K108" s="23"/>
      <c r="BL108" s="23"/>
      <c r="BM108" s="23"/>
      <c r="BN108" s="23"/>
      <c r="BO108" s="23"/>
      <c r="BP108" s="23"/>
      <c r="BQ108" s="23"/>
      <c r="BR108" s="23"/>
      <c r="BS108" s="23"/>
      <c r="BT108" s="23"/>
      <c r="BU108" s="23"/>
      <c r="BV108" s="23"/>
      <c r="BW108" s="23"/>
      <c r="BX108" s="23"/>
      <c r="BY108" s="23"/>
      <c r="BZ108" s="23"/>
      <c r="CA108" s="23"/>
      <c r="CB108" s="23"/>
      <c r="CC108" s="23"/>
      <c r="CD108" s="23"/>
      <c r="CE108" s="23"/>
      <c r="CF108" s="23"/>
      <c r="CG108" s="23"/>
      <c r="CH108" s="23"/>
      <c r="CI108" s="23"/>
      <c r="CJ108" s="23"/>
      <c r="CK108" s="23"/>
      <c r="CL108" s="23"/>
      <c r="CM108" s="23">
        <v>1</v>
      </c>
      <c r="CN108" s="23"/>
      <c r="CO108" s="23"/>
      <c r="CP108" s="23"/>
      <c r="CQ108" s="23"/>
      <c r="CR108" s="23"/>
      <c r="CS108" s="23"/>
      <c r="CT108" s="23"/>
      <c r="CU108" s="23"/>
      <c r="CV108" s="23">
        <v>4</v>
      </c>
      <c r="CW108" s="23"/>
      <c r="CX108" s="23"/>
      <c r="CY108" s="23"/>
      <c r="CZ108" s="23"/>
      <c r="DA108" s="23"/>
      <c r="DB108" s="23"/>
      <c r="DC108" s="23"/>
      <c r="DD108" s="23"/>
      <c r="DE108" s="23">
        <v>2</v>
      </c>
      <c r="DF108" s="23"/>
      <c r="DG108" s="23"/>
      <c r="DH108" s="23"/>
      <c r="DI108" s="23"/>
      <c r="DJ108" s="23"/>
      <c r="DK108" s="23">
        <v>2</v>
      </c>
      <c r="DL108" s="23"/>
      <c r="DM108" s="23"/>
      <c r="DN108" s="23"/>
      <c r="DO108" s="23"/>
      <c r="DP108" s="23"/>
      <c r="DQ108" s="23"/>
      <c r="DR108" s="23"/>
      <c r="DS108" s="23"/>
    </row>
    <row r="109" spans="2:123" ht="16.5">
      <c r="B109" s="22">
        <v>98</v>
      </c>
      <c r="C109" s="20" t="s">
        <v>448</v>
      </c>
      <c r="D109" s="20"/>
      <c r="E109" s="21">
        <v>0</v>
      </c>
      <c r="F109" s="21">
        <v>0</v>
      </c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K109" s="23"/>
      <c r="BL109" s="23"/>
      <c r="BM109" s="23"/>
      <c r="BN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3"/>
      <c r="CN109" s="23"/>
      <c r="CO109" s="23"/>
      <c r="CP109" s="23"/>
      <c r="CQ109" s="23"/>
      <c r="CR109" s="23"/>
      <c r="CS109" s="23"/>
      <c r="CT109" s="23"/>
      <c r="CU109" s="23"/>
      <c r="CV109" s="23"/>
      <c r="CW109" s="23"/>
      <c r="CX109" s="23"/>
      <c r="CY109" s="23"/>
      <c r="CZ109" s="23"/>
      <c r="DA109" s="23"/>
      <c r="DB109" s="23"/>
      <c r="DC109" s="23"/>
      <c r="DD109" s="23"/>
      <c r="DE109" s="23"/>
      <c r="DF109" s="23"/>
      <c r="DG109" s="23"/>
      <c r="DH109" s="23"/>
      <c r="DI109" s="23"/>
      <c r="DJ109" s="23"/>
      <c r="DK109" s="23"/>
      <c r="DL109" s="23"/>
      <c r="DM109" s="23"/>
      <c r="DN109" s="23"/>
      <c r="DO109" s="23"/>
      <c r="DP109" s="23"/>
      <c r="DQ109" s="23"/>
      <c r="DR109" s="23"/>
      <c r="DS109" s="23"/>
    </row>
    <row r="110" spans="2:123" ht="16.5">
      <c r="B110" s="22">
        <v>99</v>
      </c>
      <c r="C110" s="20" t="s">
        <v>449</v>
      </c>
      <c r="D110" s="20" t="s">
        <v>349</v>
      </c>
      <c r="E110" s="21">
        <v>64</v>
      </c>
      <c r="F110" s="21">
        <v>21</v>
      </c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K110" s="23"/>
      <c r="BL110" s="23"/>
      <c r="BM110" s="23"/>
      <c r="BN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  <c r="CP110" s="23"/>
      <c r="CQ110" s="23"/>
      <c r="CR110" s="23"/>
      <c r="CS110" s="23"/>
      <c r="CT110" s="23"/>
      <c r="CU110" s="23"/>
      <c r="CV110" s="23"/>
      <c r="CW110" s="23"/>
      <c r="CX110" s="23"/>
      <c r="CY110" s="23"/>
      <c r="CZ110" s="23"/>
      <c r="DA110" s="23"/>
      <c r="DB110" s="23"/>
      <c r="DC110" s="23"/>
      <c r="DD110" s="23"/>
      <c r="DE110" s="23">
        <v>5</v>
      </c>
      <c r="DF110" s="23"/>
      <c r="DG110" s="23"/>
      <c r="DH110" s="23"/>
      <c r="DI110" s="23"/>
      <c r="DJ110" s="23"/>
      <c r="DK110" s="23">
        <v>12</v>
      </c>
      <c r="DL110" s="23">
        <v>4</v>
      </c>
      <c r="DM110" s="23"/>
      <c r="DN110" s="23"/>
      <c r="DO110" s="23"/>
      <c r="DP110" s="23"/>
      <c r="DQ110" s="23"/>
      <c r="DR110" s="23"/>
      <c r="DS110" s="23"/>
    </row>
    <row r="111" spans="2:123" ht="16.5">
      <c r="B111" s="22">
        <v>50</v>
      </c>
      <c r="C111" s="20"/>
      <c r="D111" s="20"/>
      <c r="E111" s="21"/>
      <c r="F111" s="21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K111" s="23"/>
      <c r="BL111" s="23"/>
      <c r="BM111" s="23"/>
      <c r="BN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  <c r="CP111" s="23"/>
      <c r="CQ111" s="23"/>
      <c r="CR111" s="23"/>
      <c r="CS111" s="23"/>
      <c r="CT111" s="23"/>
      <c r="CU111" s="23"/>
      <c r="CV111" s="23"/>
      <c r="CW111" s="23"/>
      <c r="CX111" s="23"/>
      <c r="CY111" s="23"/>
      <c r="CZ111" s="23"/>
      <c r="DA111" s="23"/>
      <c r="DB111" s="23"/>
      <c r="DC111" s="23"/>
      <c r="DD111" s="23"/>
      <c r="DE111" s="23"/>
      <c r="DF111" s="23"/>
      <c r="DG111" s="23"/>
      <c r="DH111" s="23"/>
      <c r="DI111" s="23"/>
      <c r="DJ111" s="23"/>
      <c r="DK111" s="23"/>
      <c r="DL111" s="23"/>
      <c r="DM111" s="23"/>
      <c r="DN111" s="23"/>
      <c r="DO111" s="23"/>
      <c r="DP111" s="23"/>
      <c r="DQ111" s="23"/>
      <c r="DR111" s="23"/>
      <c r="DS111" s="23"/>
    </row>
  </sheetData>
  <sheetProtection formatColumns="0" formatRows="0" sort="0" autoFilter="0"/>
  <mergeCells count="11">
    <mergeCell ref="B5:F5"/>
    <mergeCell ref="B6:F6"/>
    <mergeCell ref="B7:F7"/>
    <mergeCell ref="B9:F9"/>
    <mergeCell ref="B11:F11"/>
    <mergeCell ref="CV11:DS11"/>
    <mergeCell ref="H11:Y11"/>
    <mergeCell ref="Z11:AQ11"/>
    <mergeCell ref="AR11:BI11"/>
    <mergeCell ref="BK11:CB11"/>
    <mergeCell ref="CC11:CU11"/>
  </mergeCells>
  <dataValidations count="1">
    <dataValidation type="decimal" operator="greaterThanOrEqual" allowBlank="1" showInputMessage="1" showErrorMessage="1" sqref="G13:BI111 BK13:DS111">
      <formula1>0</formula1>
    </dataValidation>
  </dataValidations>
  <pageMargins left="0" right="0" top="0.75" bottom="0.75" header="0.3" footer="0.3"/>
  <pageSetup paperSize="5" scale="6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Supplies" altText="Add Drug / Medication / Supply">
                <anchor moveWithCells="1">
                  <from>
                    <xdr:col>1</xdr:col>
                    <xdr:colOff>66675</xdr:colOff>
                    <xdr:row>12</xdr:row>
                    <xdr:rowOff>19050</xdr:rowOff>
                  </from>
                  <to>
                    <xdr:col>1</xdr:col>
                    <xdr:colOff>790575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Supplies" altText="Delete Drug / Medication / Supply">
                <anchor moveWithCells="1">
                  <from>
                    <xdr:col>1</xdr:col>
                    <xdr:colOff>828675</xdr:colOff>
                    <xdr:row>12</xdr:row>
                    <xdr:rowOff>19050</xdr:rowOff>
                  </from>
                  <to>
                    <xdr:col>1</xdr:col>
                    <xdr:colOff>1552575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HOMIS USER</cp:lastModifiedBy>
  <cp:lastPrinted>2018-04-04T05:41:00Z</cp:lastPrinted>
  <dcterms:created xsi:type="dcterms:W3CDTF">2018-04-02T14:39:00Z</dcterms:created>
  <dcterms:modified xsi:type="dcterms:W3CDTF">2018-08-23T08:12:02Z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