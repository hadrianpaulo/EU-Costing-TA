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c44O9NEa4W2Rr8w3wHLdT6qhpl0Kg4MJmWVdhSDUS1peMZF+1ZMybn/uj9tmkxJoI650hwk/zW8/3ktejs1IPw==" workbookSaltValue="zNhXjkdUXQhg1rNAplv1uw==" workbookSpinCount="100000" lockStructure="1"/>
  <bookViews>
    <workbookView xWindow="0" yWindow="0" windowWidth="15525" windowHeight="7050"/>
  </bookViews>
  <sheets>
    <sheet name="7.1CSO supplies costs" sheetId="1" r:id="rId1"/>
  </sheets>
  <externalReferences>
    <externalReference r:id="rId2"/>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34" i="1" l="1"/>
  <c r="BF34" i="1"/>
  <c r="BE34" i="1"/>
  <c r="BD34" i="1"/>
  <c r="BC34" i="1"/>
  <c r="BB34" i="1"/>
  <c r="BA34"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DQ34" i="1"/>
  <c r="DP34" i="1"/>
  <c r="DO34" i="1"/>
  <c r="DN34" i="1"/>
  <c r="DM34" i="1"/>
  <c r="DL34" i="1"/>
  <c r="DK34" i="1"/>
  <c r="DJ34" i="1"/>
  <c r="DI34" i="1"/>
  <c r="DH34" i="1"/>
  <c r="DG34" i="1"/>
  <c r="DF34" i="1"/>
  <c r="DE34" i="1"/>
  <c r="DD34" i="1"/>
  <c r="DC34" i="1"/>
  <c r="DB34" i="1"/>
  <c r="DA34" i="1"/>
  <c r="CZ34" i="1"/>
  <c r="CY34" i="1"/>
  <c r="CX34" i="1"/>
  <c r="CW34" i="1"/>
  <c r="CV34" i="1"/>
  <c r="CU34" i="1"/>
  <c r="CT34" i="1"/>
  <c r="CS34" i="1"/>
  <c r="CR34" i="1"/>
  <c r="CQ34" i="1"/>
  <c r="CP34" i="1"/>
  <c r="CO34" i="1"/>
  <c r="CN34" i="1"/>
  <c r="CM34" i="1"/>
  <c r="CL34" i="1"/>
  <c r="CK34" i="1"/>
  <c r="CJ34" i="1"/>
  <c r="CI34" i="1"/>
  <c r="CH34" i="1"/>
  <c r="CG34" i="1"/>
  <c r="CF34" i="1"/>
  <c r="CE34" i="1"/>
  <c r="CD34" i="1"/>
  <c r="CC34" i="1"/>
  <c r="CB34" i="1"/>
  <c r="CA34" i="1"/>
  <c r="BZ34" i="1"/>
  <c r="BY34" i="1"/>
  <c r="BX34" i="1"/>
  <c r="BW34" i="1"/>
  <c r="BV34" i="1"/>
  <c r="BU34" i="1"/>
  <c r="BT34" i="1"/>
  <c r="BS34" i="1"/>
  <c r="BR34" i="1"/>
  <c r="BQ34" i="1"/>
  <c r="BP34" i="1"/>
  <c r="BO34" i="1"/>
  <c r="BN34" i="1"/>
  <c r="BM34" i="1"/>
  <c r="BL34" i="1"/>
  <c r="BK34" i="1"/>
  <c r="BJ34" i="1"/>
  <c r="BI34" i="1"/>
  <c r="D34" i="1" l="1"/>
</calcChain>
</file>

<file path=xl/sharedStrings.xml><?xml version="1.0" encoding="utf-8"?>
<sst xmlns="http://schemas.openxmlformats.org/spreadsheetml/2006/main" count="143" uniqueCount="91">
  <si>
    <t>Delivery Room</t>
  </si>
  <si>
    <t>Category of supplies</t>
  </si>
  <si>
    <t>Housekeeping supplies</t>
  </si>
  <si>
    <r>
      <rPr>
        <b/>
        <sz val="11"/>
        <color theme="1"/>
        <rFont val="Arial Narrow"/>
        <family val="2"/>
      </rPr>
      <t>Objective:</t>
    </r>
    <r>
      <rPr>
        <sz val="11"/>
        <color theme="1"/>
        <rFont val="Arial Narrow"/>
        <family val="2"/>
      </rPr>
      <t xml:space="preserve"> Identify costs of supplies consumed in each unit/department of the hospital</t>
    </r>
  </si>
  <si>
    <t>Office supplies (Including Forms)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</si>
  <si>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</si>
  <si>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</si>
  <si>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</si>
  <si>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</si>
  <si>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</si>
  <si>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</si>
  <si>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</si>
  <si>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</si>
  <si>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</si>
  <si>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</si>
  <si>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</si>
  <si>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</si>
  <si>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</si>
  <si>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</si>
  <si>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</si>
  <si>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</si>
  <si>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</si>
  <si>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</si>
  <si>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</si>
  <si>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</si>
  <si>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</si>
  <si>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</si>
  <si>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</si>
  <si>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</si>
  <si>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</si>
  <si>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</si>
  <si>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</si>
  <si>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</si>
  <si>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</si>
  <si>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</si>
  <si>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</si>
  <si>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</si>
  <si>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</si>
  <si>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</si>
  <si>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</si>
  <si>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</si>
  <si>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</si>
  <si>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</si>
  <si>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</si>
  <si>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</si>
  <si>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</si>
  <si>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</si>
  <si>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</si>
  <si>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</si>
  <si>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</si>
  <si>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</si>
  <si>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</si>
  <si>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</si>
  <si>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</si>
  <si>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</si>
  <si>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</si>
  <si>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</si>
  <si>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</si>
  <si>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</si>
  <si>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</si>
  <si>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</si>
  <si>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</si>
  <si>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</si>
  <si>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</si>
  <si>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</si>
  <si>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</si>
  <si>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</si>
  <si>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</si>
  <si>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</si>
  <si>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</si>
  <si>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</si>
  <si>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</si>
  <si>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</si>
  <si>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</si>
  <si>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</si>
  <si>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</si>
  <si>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</si>
  <si>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</si>
  <si>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</si>
  <si>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</si>
  <si>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</si>
  <si>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</si>
  <si>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</si>
  <si>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JANUARY TO MAY 31 2018</t>
  </si>
  <si>
    <t>Accountable forms expenses</t>
  </si>
  <si>
    <t>Food Supplies expenses</t>
  </si>
  <si>
    <t xml:space="preserve">Laboratory </t>
  </si>
  <si>
    <t>Dental Supplies</t>
  </si>
  <si>
    <t>Medicine Supplies</t>
  </si>
  <si>
    <t>Medical Supplies</t>
  </si>
  <si>
    <t xml:space="preserve">Radiology Supplies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</si>
</sst>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8"/>
      <color rgb="FF008000"/>
      <name val="Calibri"/>
      <family val="2"/>
    </font>
    <font>
      <sz val="8"/>
      <color rgb="FF800000"/>
      <name val="Calibri"/>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3" fillId="4" borderId="1" xfId="1" applyFont="1" applyFill="1" applyBorder="1" applyAlignment="1">
      <alignment horizontal="left" vertical="center" wrapText="1"/>
    </xf>
    <xf numFmtId="0" fontId="17" fillId="4" borderId="1" xfId="1" applyFont="1" applyFill="1" applyBorder="1" applyAlignment="1">
      <alignment horizontal="left" vertical="center" wrapText="1"/>
    </xf>
    <xf numFmtId="0" fontId="14"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5"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5" fillId="3" borderId="1" xfId="1" applyFont="1" applyFill="1" applyBorder="1" applyAlignment="1">
      <alignment horizontal="center" vertical="center" wrapText="1"/>
    </xf>
    <xf numFmtId="0" fontId="16" fillId="3" borderId="1" xfId="1" applyFont="1" applyFill="1" applyBorder="1" applyAlignment="1">
      <alignment wrapText="1"/>
    </xf>
    <xf numFmtId="0" fontId="15" fillId="4" borderId="1" xfId="1" applyFont="1" applyFill="1" applyBorder="1" applyAlignment="1">
      <alignment horizontal="center" vertical="center" wrapText="1"/>
    </xf>
    <xf numFmtId="0" fontId="16"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3" fillId="3" borderId="3" xfId="1" applyFont="1" applyFill="1" applyBorder="1" applyAlignment="1">
      <alignment wrapText="1"/>
    </xf>
    <xf numFmtId="0" fontId="13" fillId="3" borderId="4" xfId="1" applyFont="1" applyFill="1" applyBorder="1" applyAlignment="1">
      <alignment wrapText="1"/>
    </xf>
    <xf numFmtId="0" fontId="13" fillId="3" borderId="5" xfId="1" applyFont="1" applyFill="1" applyBorder="1" applyAlignment="1">
      <alignment wrapText="1"/>
    </xf>
    <xf numFmtId="0" fontId="13" fillId="3" borderId="1" xfId="1" applyFont="1" applyFill="1" applyBorder="1" applyAlignment="1">
      <alignment wrapText="1"/>
    </xf>
    <xf numFmtId="0" fontId="14" fillId="3" borderId="1" xfId="1" applyFont="1" applyFill="1" applyBorder="1" applyAlignment="1">
      <alignment wrapText="1"/>
    </xf>
    <xf numFmtId="0" fontId="13"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809625</xdr:colOff>
          <xdr:row>14</xdr:row>
          <xdr:rowOff>19050</xdr:rowOff>
        </xdr:from>
        <xdr:to>
          <xdr:col>1</xdr:col>
          <xdr:colOff>1524000</xdr:colOff>
          <xdr:row>14</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10</xdr:row>
          <xdr:rowOff>0</xdr:rowOff>
        </xdr:from>
        <xdr:to>
          <xdr:col>2</xdr:col>
          <xdr:colOff>2886075</xdr:colOff>
          <xdr:row>11</xdr:row>
          <xdr:rowOff>9525</xdr:rowOff>
        </xdr:to>
        <xdr:sp macro="" textlink="">
          <xdr:nvSpPr>
            <xdr:cNvPr id="1027" name="SelectI"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3038475</xdr:colOff>
          <xdr:row>10</xdr:row>
          <xdr:rowOff>0</xdr:rowOff>
        </xdr:from>
        <xdr:to>
          <xdr:col>3</xdr:col>
          <xdr:colOff>790575</xdr:colOff>
          <xdr:row>11</xdr:row>
          <xdr:rowOff>9525</xdr:rowOff>
        </xdr:to>
        <xdr:sp macro="" textlink="">
          <xdr:nvSpPr>
            <xdr:cNvPr id="1028" name="SelectIIandIII"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Q35"/>
  <sheetViews>
    <sheetView showGridLines="0" tabSelected="1" topLeftCell="A11" zoomScale="85" zoomScaleNormal="85" workbookViewId="0">
      <selection activeCell="F15" sqref="F15"/>
    </sheetView>
  </sheetViews>
  <sheetFormatPr defaultColWidth="8.7109375" defaultRowHeight="16.5" outlineLevelRow="1" x14ac:dyDescent="0.3"/>
  <cols>
    <col min="1" max="1" width="3.85546875" style="2" customWidth="1"/>
    <col min="2" max="2" width="26.85546875" style="2" customWidth="1"/>
    <col min="3" max="3" width="46.42578125" style="2" customWidth="1"/>
    <col min="4" max="4" width="12.85546875" style="2" customWidth="1"/>
    <col min="5" max="5" width="1.42578125" style="6" customWidth="1"/>
    <col min="6" max="24" width="8.7109375" style="6" customWidth="1"/>
    <col min="25" max="25" width="10.28515625" style="6" customWidth="1"/>
    <col min="26" max="28" width="8.7109375" style="6" customWidth="1"/>
    <col min="29" max="29" width="9.7109375" style="6" customWidth="1"/>
    <col min="30" max="30" width="10" style="6" customWidth="1"/>
    <col min="31" max="32" width="8.7109375" style="6" customWidth="1"/>
    <col min="33" max="33" width="9.7109375" style="6" customWidth="1"/>
    <col min="34" max="50" width="8.7109375" style="6" customWidth="1"/>
    <col min="51" max="51" width="9.7109375" style="6" customWidth="1"/>
    <col min="52" max="53" width="8.7109375" style="6" customWidth="1"/>
    <col min="54" max="54" width="11.28515625" style="6" customWidth="1"/>
    <col min="55" max="55" width="10" style="6" customWidth="1"/>
    <col min="56" max="56" width="10.42578125" style="6" customWidth="1"/>
    <col min="57" max="57" width="10.85546875" style="6" customWidth="1"/>
    <col min="58" max="58" width="10" style="6" customWidth="1"/>
    <col min="59" max="59" width="10.7109375" style="6" customWidth="1"/>
    <col min="60" max="60" width="1.85546875" style="6" customWidth="1"/>
    <col min="61" max="121" width="8.7109375" style="6" hidden="1" customWidth="1"/>
    <col min="122" max="16384" width="8.7109375" style="2"/>
  </cols>
  <sheetData>
    <row r="2" spans="2:121" x14ac:dyDescent="0.3">
      <c r="B2" s="29" t="s">
        <v>66</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x14ac:dyDescent="0.3">
      <c r="B3" s="1"/>
    </row>
    <row r="4" spans="2:121" hidden="1" outlineLevel="1" x14ac:dyDescent="0.3">
      <c r="B4" s="2" t="s">
        <v>78</v>
      </c>
      <c r="C4" s="3">
        <v>18</v>
      </c>
    </row>
    <row r="5" spans="2:121" s="6" customFormat="1" ht="13.5" customHeight="1" collapsed="1" x14ac:dyDescent="0.3">
      <c r="B5" s="39" t="s">
        <v>3</v>
      </c>
      <c r="C5" s="40"/>
      <c r="D5" s="41"/>
    </row>
    <row r="6" spans="2:121" s="6" customFormat="1" x14ac:dyDescent="0.3">
      <c r="B6" s="24" t="s">
        <v>79</v>
      </c>
      <c r="C6" s="25"/>
      <c r="D6" s="26"/>
    </row>
    <row r="7" spans="2:121" s="6" customFormat="1" x14ac:dyDescent="0.3">
      <c r="B7" s="24" t="s">
        <v>80</v>
      </c>
      <c r="C7" s="25"/>
      <c r="D7" s="26"/>
    </row>
    <row r="8" spans="2:121" s="6" customFormat="1" x14ac:dyDescent="0.3">
      <c r="B8" s="27" t="s">
        <v>68</v>
      </c>
      <c r="C8" s="28" t="s">
        <v>83</v>
      </c>
      <c r="D8" s="26"/>
    </row>
    <row r="9" spans="2:121" s="6" customFormat="1" ht="68.099999999999994" customHeight="1" x14ac:dyDescent="0.3">
      <c r="B9" s="48" t="s">
        <v>81</v>
      </c>
      <c r="C9" s="49"/>
      <c r="D9" s="50"/>
    </row>
    <row r="10" spans="2:121" ht="12.75" x14ac:dyDescent="0.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x14ac:dyDescent="0.2">
      <c r="B11" s="31" t="s">
        <v>77</v>
      </c>
      <c r="C11" s="31"/>
    </row>
    <row r="12" spans="2:121" s="13" customFormat="1" x14ac:dyDescent="0.3">
      <c r="B12" s="32"/>
      <c r="C12" s="32"/>
      <c r="D12" s="33"/>
    </row>
    <row r="13" spans="2:121" ht="14.45" customHeight="1" x14ac:dyDescent="0.3">
      <c r="B13" s="21"/>
      <c r="C13" s="22"/>
      <c r="D13" s="23"/>
      <c r="E13" s="14"/>
      <c r="F13" s="42" t="s">
        <v>5</v>
      </c>
      <c r="G13" s="43"/>
      <c r="H13" s="43"/>
      <c r="I13" s="43"/>
      <c r="J13" s="43"/>
      <c r="K13" s="43"/>
      <c r="L13" s="43"/>
      <c r="M13" s="43"/>
      <c r="N13" s="43"/>
      <c r="O13" s="43"/>
      <c r="P13" s="43"/>
      <c r="Q13" s="43"/>
      <c r="R13" s="43"/>
      <c r="S13" s="43"/>
      <c r="T13" s="43"/>
      <c r="U13" s="43"/>
      <c r="V13" s="43"/>
      <c r="W13" s="44"/>
      <c r="X13" s="45" t="s">
        <v>21</v>
      </c>
      <c r="Y13" s="46"/>
      <c r="Z13" s="46"/>
      <c r="AA13" s="46"/>
      <c r="AB13" s="46"/>
      <c r="AC13" s="46"/>
      <c r="AD13" s="46"/>
      <c r="AE13" s="46"/>
      <c r="AF13" s="46"/>
      <c r="AG13" s="46"/>
      <c r="AH13" s="46"/>
      <c r="AI13" s="46"/>
      <c r="AJ13" s="46"/>
      <c r="AK13" s="46"/>
      <c r="AL13" s="46"/>
      <c r="AM13" s="46"/>
      <c r="AN13" s="46"/>
      <c r="AO13" s="46"/>
      <c r="AP13" s="47" t="s">
        <v>32</v>
      </c>
      <c r="AQ13" s="46"/>
      <c r="AR13" s="46"/>
      <c r="AS13" s="46"/>
      <c r="AT13" s="46"/>
      <c r="AU13" s="46"/>
      <c r="AV13" s="46"/>
      <c r="AW13" s="46"/>
      <c r="AX13" s="46"/>
      <c r="AY13" s="46"/>
      <c r="AZ13" s="46"/>
      <c r="BA13" s="46"/>
      <c r="BB13" s="46"/>
      <c r="BC13" s="46"/>
      <c r="BD13" s="46"/>
      <c r="BE13" s="46"/>
      <c r="BF13" s="46"/>
      <c r="BG13" s="46"/>
      <c r="BH13" s="14"/>
      <c r="BI13" s="35" t="s">
        <v>5</v>
      </c>
      <c r="BJ13" s="36"/>
      <c r="BK13" s="36"/>
      <c r="BL13" s="36"/>
      <c r="BM13" s="36"/>
      <c r="BN13" s="36"/>
      <c r="BO13" s="36"/>
      <c r="BP13" s="36"/>
      <c r="BQ13" s="36"/>
      <c r="BR13" s="36"/>
      <c r="BS13" s="36"/>
      <c r="BT13" s="36"/>
      <c r="BU13" s="36"/>
      <c r="BV13" s="36"/>
      <c r="BW13" s="36"/>
      <c r="BX13" s="36"/>
      <c r="BY13" s="36"/>
      <c r="BZ13" s="36"/>
      <c r="CA13" s="37" t="s">
        <v>21</v>
      </c>
      <c r="CB13" s="38"/>
      <c r="CC13" s="38"/>
      <c r="CD13" s="38"/>
      <c r="CE13" s="38"/>
      <c r="CF13" s="38"/>
      <c r="CG13" s="38"/>
      <c r="CH13" s="38"/>
      <c r="CI13" s="38"/>
      <c r="CJ13" s="38"/>
      <c r="CK13" s="38"/>
      <c r="CL13" s="38"/>
      <c r="CM13" s="38"/>
      <c r="CN13" s="38"/>
      <c r="CO13" s="38"/>
      <c r="CP13" s="38"/>
      <c r="CQ13" s="38"/>
      <c r="CR13" s="38"/>
      <c r="CS13" s="38"/>
      <c r="CT13" s="35" t="s">
        <v>32</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71.25" customHeight="1" x14ac:dyDescent="0.2">
      <c r="B14" s="34" t="s">
        <v>67</v>
      </c>
      <c r="C14" s="19" t="s">
        <v>1</v>
      </c>
      <c r="D14" s="20" t="s">
        <v>82</v>
      </c>
      <c r="E14" s="14"/>
      <c r="F14" s="15" t="s">
        <v>6</v>
      </c>
      <c r="G14" s="15" t="s">
        <v>69</v>
      </c>
      <c r="H14" s="15" t="s">
        <v>7</v>
      </c>
      <c r="I14" s="15" t="s">
        <v>8</v>
      </c>
      <c r="J14" s="15" t="s">
        <v>9</v>
      </c>
      <c r="K14" s="15" t="s">
        <v>10</v>
      </c>
      <c r="L14" s="15" t="s">
        <v>11</v>
      </c>
      <c r="M14" s="15" t="s">
        <v>70</v>
      </c>
      <c r="N14" s="15" t="s">
        <v>12</v>
      </c>
      <c r="O14" s="15" t="s">
        <v>13</v>
      </c>
      <c r="P14" s="15" t="s">
        <v>14</v>
      </c>
      <c r="Q14" s="15" t="s">
        <v>15</v>
      </c>
      <c r="R14" s="15" t="s">
        <v>16</v>
      </c>
      <c r="S14" s="15" t="s">
        <v>17</v>
      </c>
      <c r="T14" s="15" t="s">
        <v>18</v>
      </c>
      <c r="U14" s="15" t="s">
        <v>19</v>
      </c>
      <c r="V14" s="15" t="s">
        <v>20</v>
      </c>
      <c r="W14" s="15" t="s">
        <v>47</v>
      </c>
      <c r="X14" s="15" t="s">
        <v>22</v>
      </c>
      <c r="Y14" s="15" t="s">
        <v>25</v>
      </c>
      <c r="Z14" s="16" t="s">
        <v>48</v>
      </c>
      <c r="AA14" s="15" t="s">
        <v>24</v>
      </c>
      <c r="AB14" s="16" t="s">
        <v>23</v>
      </c>
      <c r="AC14" s="15" t="s">
        <v>49</v>
      </c>
      <c r="AD14" s="15" t="s">
        <v>50</v>
      </c>
      <c r="AE14" s="15" t="s">
        <v>51</v>
      </c>
      <c r="AF14" s="15" t="s">
        <v>0</v>
      </c>
      <c r="AG14" s="15" t="s">
        <v>26</v>
      </c>
      <c r="AH14" s="15" t="s">
        <v>52</v>
      </c>
      <c r="AI14" s="15" t="s">
        <v>27</v>
      </c>
      <c r="AJ14" s="15" t="s">
        <v>28</v>
      </c>
      <c r="AK14" s="15" t="s">
        <v>29</v>
      </c>
      <c r="AL14" s="15" t="s">
        <v>30</v>
      </c>
      <c r="AM14" s="16" t="s">
        <v>53</v>
      </c>
      <c r="AN14" s="16" t="s">
        <v>54</v>
      </c>
      <c r="AO14" s="15" t="s">
        <v>47</v>
      </c>
      <c r="AP14" s="15" t="s">
        <v>71</v>
      </c>
      <c r="AQ14" s="15" t="s">
        <v>55</v>
      </c>
      <c r="AR14" s="15" t="s">
        <v>56</v>
      </c>
      <c r="AS14" s="15" t="s">
        <v>57</v>
      </c>
      <c r="AT14" s="15" t="s">
        <v>58</v>
      </c>
      <c r="AU14" s="15" t="s">
        <v>59</v>
      </c>
      <c r="AV14" s="15" t="s">
        <v>60</v>
      </c>
      <c r="AW14" s="16" t="s">
        <v>72</v>
      </c>
      <c r="AX14" s="15" t="s">
        <v>73</v>
      </c>
      <c r="AY14" s="15" t="s">
        <v>34</v>
      </c>
      <c r="AZ14" s="15" t="s">
        <v>35</v>
      </c>
      <c r="BA14" s="15" t="s">
        <v>31</v>
      </c>
      <c r="BB14" s="15" t="s">
        <v>36</v>
      </c>
      <c r="BC14" s="15" t="s">
        <v>37</v>
      </c>
      <c r="BD14" s="15" t="s">
        <v>38</v>
      </c>
      <c r="BE14" s="15" t="s">
        <v>39</v>
      </c>
      <c r="BF14" s="15" t="s">
        <v>40</v>
      </c>
      <c r="BG14" s="15" t="s">
        <v>41</v>
      </c>
      <c r="BH14" s="14"/>
      <c r="BI14" s="15" t="s">
        <v>6</v>
      </c>
      <c r="BJ14" s="15" t="s">
        <v>74</v>
      </c>
      <c r="BK14" s="15" t="s">
        <v>7</v>
      </c>
      <c r="BL14" s="15" t="s">
        <v>8</v>
      </c>
      <c r="BM14" s="15" t="s">
        <v>9</v>
      </c>
      <c r="BN14" s="15" t="s">
        <v>10</v>
      </c>
      <c r="BO14" s="15" t="s">
        <v>11</v>
      </c>
      <c r="BP14" s="15" t="s">
        <v>75</v>
      </c>
      <c r="BQ14" s="15" t="s">
        <v>12</v>
      </c>
      <c r="BR14" s="15" t="s">
        <v>13</v>
      </c>
      <c r="BS14" s="15" t="s">
        <v>14</v>
      </c>
      <c r="BT14" s="15" t="s">
        <v>15</v>
      </c>
      <c r="BU14" s="15" t="s">
        <v>16</v>
      </c>
      <c r="BV14" s="15" t="s">
        <v>17</v>
      </c>
      <c r="BW14" s="15" t="s">
        <v>18</v>
      </c>
      <c r="BX14" s="15" t="s">
        <v>19</v>
      </c>
      <c r="BY14" s="15" t="s">
        <v>76</v>
      </c>
      <c r="BZ14" s="15" t="s">
        <v>47</v>
      </c>
      <c r="CA14" s="15" t="s">
        <v>22</v>
      </c>
      <c r="CB14" s="15" t="s">
        <v>25</v>
      </c>
      <c r="CC14" s="15" t="s">
        <v>48</v>
      </c>
      <c r="CD14" s="15" t="s">
        <v>24</v>
      </c>
      <c r="CE14" s="15" t="s">
        <v>23</v>
      </c>
      <c r="CF14" s="15" t="s">
        <v>49</v>
      </c>
      <c r="CG14" s="15" t="s">
        <v>50</v>
      </c>
      <c r="CH14" s="15" t="s">
        <v>61</v>
      </c>
      <c r="CI14" s="15" t="s">
        <v>51</v>
      </c>
      <c r="CJ14" s="15" t="s">
        <v>0</v>
      </c>
      <c r="CK14" s="15" t="s">
        <v>26</v>
      </c>
      <c r="CL14" s="15" t="s">
        <v>52</v>
      </c>
      <c r="CM14" s="15" t="s">
        <v>27</v>
      </c>
      <c r="CN14" s="15" t="s">
        <v>28</v>
      </c>
      <c r="CO14" s="15" t="s">
        <v>29</v>
      </c>
      <c r="CP14" s="15" t="s">
        <v>30</v>
      </c>
      <c r="CQ14" s="15" t="s">
        <v>53</v>
      </c>
      <c r="CR14" s="15" t="s">
        <v>54</v>
      </c>
      <c r="CS14" s="16" t="s">
        <v>47</v>
      </c>
      <c r="CT14" s="15" t="s">
        <v>33</v>
      </c>
      <c r="CU14" s="15" t="s">
        <v>55</v>
      </c>
      <c r="CV14" s="15" t="s">
        <v>56</v>
      </c>
      <c r="CW14" s="15" t="s">
        <v>57</v>
      </c>
      <c r="CX14" s="15" t="s">
        <v>58</v>
      </c>
      <c r="CY14" s="15" t="s">
        <v>59</v>
      </c>
      <c r="CZ14" s="15" t="s">
        <v>60</v>
      </c>
      <c r="DA14" s="17" t="s">
        <v>62</v>
      </c>
      <c r="DB14" s="15" t="s">
        <v>63</v>
      </c>
      <c r="DC14" s="15" t="s">
        <v>34</v>
      </c>
      <c r="DD14" s="15" t="s">
        <v>35</v>
      </c>
      <c r="DE14" s="15" t="s">
        <v>64</v>
      </c>
      <c r="DF14" s="15" t="s">
        <v>31</v>
      </c>
      <c r="DG14" s="15" t="s">
        <v>65</v>
      </c>
      <c r="DH14" s="15" t="s">
        <v>36</v>
      </c>
      <c r="DI14" s="15" t="s">
        <v>37</v>
      </c>
      <c r="DJ14" s="15" t="s">
        <v>38</v>
      </c>
      <c r="DK14" s="15" t="s">
        <v>39</v>
      </c>
      <c r="DL14" s="15" t="s">
        <v>40</v>
      </c>
      <c r="DM14" s="15" t="s">
        <v>41</v>
      </c>
      <c r="DN14" s="15" t="s">
        <v>42</v>
      </c>
      <c r="DO14" s="15" t="s">
        <v>43</v>
      </c>
      <c r="DP14" s="15" t="s">
        <v>44</v>
      </c>
      <c r="DQ14" s="15" t="s">
        <v>45</v>
      </c>
    </row>
    <row r="15" spans="2:121" s="5" customFormat="1" x14ac:dyDescent="0.3">
      <c r="B15" s="11">
        <v>1</v>
      </c>
      <c r="C15" s="12" t="s">
        <v>2</v>
      </c>
      <c r="D15" s="9">
        <v>393426.08</v>
      </c>
      <c r="E15" s="14"/>
      <c r="F15" s="18">
        <v>11240.745000000001</v>
      </c>
      <c r="G15" s="18">
        <v>11240.745000000001</v>
      </c>
      <c r="H15" s="18">
        <v>11240.75</v>
      </c>
      <c r="I15" s="18"/>
      <c r="J15" s="18"/>
      <c r="K15" s="18"/>
      <c r="L15" s="18"/>
      <c r="M15" s="18">
        <v>11240.745000000001</v>
      </c>
      <c r="N15" s="18">
        <v>11240.745000000001</v>
      </c>
      <c r="O15" s="18">
        <v>11240.745000000001</v>
      </c>
      <c r="P15" s="18">
        <v>11240.745000000001</v>
      </c>
      <c r="Q15" s="18">
        <v>11240.745000000001</v>
      </c>
      <c r="R15" s="18">
        <v>11240.745000000001</v>
      </c>
      <c r="S15" s="18">
        <v>11240.745000000001</v>
      </c>
      <c r="T15" s="18">
        <v>11240.745000000001</v>
      </c>
      <c r="U15" s="18">
        <v>11240.745000000001</v>
      </c>
      <c r="V15" s="18">
        <v>11240.745000000001</v>
      </c>
      <c r="W15" s="18">
        <v>11240.745000000001</v>
      </c>
      <c r="X15" s="18">
        <v>14753.477999999999</v>
      </c>
      <c r="Y15" s="18">
        <v>14753.477999999999</v>
      </c>
      <c r="Z15" s="18">
        <v>14753.477999999999</v>
      </c>
      <c r="AA15" s="18">
        <v>14753.477999999999</v>
      </c>
      <c r="AB15" s="18"/>
      <c r="AC15" s="18">
        <v>14753.477999999999</v>
      </c>
      <c r="AD15" s="18">
        <v>14753.477999999999</v>
      </c>
      <c r="AE15" s="18"/>
      <c r="AF15" s="18">
        <v>14753.477999999999</v>
      </c>
      <c r="AG15" s="18">
        <v>14753.477999999999</v>
      </c>
      <c r="AH15" s="18"/>
      <c r="AI15" s="18"/>
      <c r="AJ15" s="18"/>
      <c r="AK15" s="18"/>
      <c r="AL15" s="18"/>
      <c r="AM15" s="18"/>
      <c r="AN15" s="18"/>
      <c r="AO15" s="18"/>
      <c r="AP15" s="18">
        <v>14753.477999999999</v>
      </c>
      <c r="AQ15" s="18">
        <v>14753.477999999999</v>
      </c>
      <c r="AR15" s="18"/>
      <c r="AS15" s="18"/>
      <c r="AT15" s="18"/>
      <c r="AU15" s="18"/>
      <c r="AV15" s="18"/>
      <c r="AW15" s="18"/>
      <c r="AX15" s="18"/>
      <c r="AY15" s="18">
        <v>14753.477999999999</v>
      </c>
      <c r="AZ15" s="18">
        <v>0</v>
      </c>
      <c r="BA15" s="18">
        <v>0</v>
      </c>
      <c r="BB15" s="18">
        <v>14753.477999999999</v>
      </c>
      <c r="BC15" s="18">
        <v>0</v>
      </c>
      <c r="BD15" s="18">
        <v>14753.477999999999</v>
      </c>
      <c r="BE15" s="18">
        <v>14753.477999999999</v>
      </c>
      <c r="BF15" s="18">
        <v>14753.477999999999</v>
      </c>
      <c r="BG15" s="18">
        <v>14753.477999999999</v>
      </c>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x14ac:dyDescent="0.3">
      <c r="B16" s="11">
        <v>2</v>
      </c>
      <c r="C16" s="12" t="s">
        <v>4</v>
      </c>
      <c r="D16" s="9">
        <v>162372</v>
      </c>
      <c r="E16" s="14"/>
      <c r="F16" s="18">
        <v>4817.16</v>
      </c>
      <c r="G16" s="18">
        <v>11366.04</v>
      </c>
      <c r="H16" s="18">
        <v>16237.2</v>
      </c>
      <c r="I16" s="18"/>
      <c r="J16" s="18"/>
      <c r="K16" s="18"/>
      <c r="L16" s="18"/>
      <c r="M16" s="18"/>
      <c r="N16" s="18">
        <v>16237.2</v>
      </c>
      <c r="O16" s="18">
        <v>16237.2</v>
      </c>
      <c r="P16" s="18">
        <v>8118.6</v>
      </c>
      <c r="Q16" s="18">
        <v>16237.2</v>
      </c>
      <c r="R16" s="18">
        <v>8118.6</v>
      </c>
      <c r="S16" s="18">
        <v>19484.64</v>
      </c>
      <c r="T16" s="18">
        <v>19484.64</v>
      </c>
      <c r="U16" s="18"/>
      <c r="V16" s="18"/>
      <c r="W16" s="18"/>
      <c r="X16" s="18"/>
      <c r="Y16" s="18">
        <v>1623.72</v>
      </c>
      <c r="Z16" s="18"/>
      <c r="AA16" s="18">
        <v>8118.6</v>
      </c>
      <c r="AB16" s="18"/>
      <c r="AC16" s="18">
        <v>3247.44</v>
      </c>
      <c r="AD16" s="18">
        <v>3247.44</v>
      </c>
      <c r="AE16" s="18"/>
      <c r="AF16" s="18">
        <v>1623.72</v>
      </c>
      <c r="AG16" s="18">
        <v>1623.72</v>
      </c>
      <c r="AH16" s="18"/>
      <c r="AI16" s="18"/>
      <c r="AJ16" s="18"/>
      <c r="AK16" s="18"/>
      <c r="AL16" s="18"/>
      <c r="AM16" s="18"/>
      <c r="AN16" s="18"/>
      <c r="AO16" s="18"/>
      <c r="AP16" s="18">
        <v>1623.72</v>
      </c>
      <c r="AQ16" s="18">
        <v>1623.72</v>
      </c>
      <c r="AR16" s="18"/>
      <c r="AS16" s="18"/>
      <c r="AT16" s="18"/>
      <c r="AU16" s="18"/>
      <c r="AV16" s="18"/>
      <c r="AW16" s="18"/>
      <c r="AX16" s="18"/>
      <c r="AY16" s="18">
        <v>1623.72</v>
      </c>
      <c r="AZ16" s="18">
        <v>0</v>
      </c>
      <c r="BA16" s="18">
        <v>0</v>
      </c>
      <c r="BB16" s="18">
        <v>1623.72</v>
      </c>
      <c r="BC16" s="18">
        <v>0</v>
      </c>
      <c r="BD16" s="18">
        <v>0</v>
      </c>
      <c r="BE16" s="18">
        <v>0</v>
      </c>
      <c r="BF16" s="18">
        <v>0</v>
      </c>
      <c r="BG16" s="18">
        <v>0</v>
      </c>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x14ac:dyDescent="0.3">
      <c r="B17" s="11">
        <v>3</v>
      </c>
      <c r="C17" s="12" t="s">
        <v>89</v>
      </c>
      <c r="D17" s="9">
        <v>1953042</v>
      </c>
      <c r="E17" s="14"/>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v>195304.2</v>
      </c>
      <c r="AE17" s="18"/>
      <c r="AF17" s="18">
        <v>97652.1</v>
      </c>
      <c r="AG17" s="18">
        <v>390608.4</v>
      </c>
      <c r="AH17" s="18"/>
      <c r="AI17" s="18"/>
      <c r="AJ17" s="18"/>
      <c r="AK17" s="18"/>
      <c r="AL17" s="18"/>
      <c r="AM17" s="18"/>
      <c r="AN17" s="18"/>
      <c r="AO17" s="18"/>
      <c r="AP17" s="18">
        <v>97652.1</v>
      </c>
      <c r="AQ17" s="18">
        <v>97652.1</v>
      </c>
      <c r="AR17" s="18"/>
      <c r="AS17" s="18"/>
      <c r="AT17" s="18"/>
      <c r="AU17" s="18"/>
      <c r="AV17" s="18"/>
      <c r="AW17" s="18"/>
      <c r="AX17" s="18"/>
      <c r="AY17" s="18">
        <v>390608.4</v>
      </c>
      <c r="AZ17" s="18"/>
      <c r="BA17" s="18"/>
      <c r="BB17" s="18"/>
      <c r="BC17" s="18"/>
      <c r="BD17" s="18">
        <v>195304.2</v>
      </c>
      <c r="BE17" s="18">
        <v>195304.2</v>
      </c>
      <c r="BF17" s="18">
        <v>195304.2</v>
      </c>
      <c r="BG17" s="18">
        <v>97652.1</v>
      </c>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row>
    <row r="18" spans="2:121" x14ac:dyDescent="0.3">
      <c r="B18" s="11">
        <v>4</v>
      </c>
      <c r="C18" s="12" t="s">
        <v>85</v>
      </c>
      <c r="D18" s="9">
        <v>420461.28</v>
      </c>
      <c r="E18" s="14"/>
      <c r="F18" s="18"/>
      <c r="G18" s="18"/>
      <c r="H18" s="18"/>
      <c r="I18" s="18"/>
      <c r="J18" s="18"/>
      <c r="K18" s="18"/>
      <c r="L18" s="18"/>
      <c r="M18" s="18"/>
      <c r="N18" s="18"/>
      <c r="O18" s="18"/>
      <c r="P18" s="18"/>
      <c r="Q18" s="18"/>
      <c r="R18" s="18"/>
      <c r="S18" s="18"/>
      <c r="T18" s="18"/>
      <c r="U18" s="18"/>
      <c r="V18" s="18"/>
      <c r="W18" s="18"/>
      <c r="X18" s="18"/>
      <c r="Y18" s="18">
        <v>420461.28</v>
      </c>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x14ac:dyDescent="0.3">
      <c r="B19" s="11">
        <v>5</v>
      </c>
      <c r="C19" s="12" t="s">
        <v>84</v>
      </c>
      <c r="D19" s="9">
        <v>100000</v>
      </c>
      <c r="F19" s="18">
        <v>2500</v>
      </c>
      <c r="G19" s="18"/>
      <c r="H19" s="18">
        <v>2500</v>
      </c>
      <c r="I19" s="18"/>
      <c r="J19" s="18">
        <v>5000</v>
      </c>
      <c r="K19" s="18"/>
      <c r="L19" s="18"/>
      <c r="M19" s="18"/>
      <c r="N19" s="18"/>
      <c r="O19" s="18"/>
      <c r="P19" s="18"/>
      <c r="Q19" s="18"/>
      <c r="R19" s="18"/>
      <c r="S19" s="18"/>
      <c r="T19" s="18">
        <v>80000</v>
      </c>
      <c r="U19" s="18"/>
      <c r="V19" s="18"/>
      <c r="W19" s="18"/>
      <c r="X19" s="18"/>
      <c r="Y19" s="18">
        <v>5000</v>
      </c>
      <c r="Z19" s="18"/>
      <c r="AA19" s="18">
        <v>5000</v>
      </c>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x14ac:dyDescent="0.3">
      <c r="B20" s="11">
        <v>6</v>
      </c>
      <c r="C20" s="12" t="s">
        <v>88</v>
      </c>
      <c r="D20" s="9">
        <v>312480.44</v>
      </c>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v>53088.82</v>
      </c>
      <c r="AQ20" s="18">
        <v>1995</v>
      </c>
      <c r="AR20" s="18"/>
      <c r="AS20" s="18"/>
      <c r="AT20" s="18"/>
      <c r="AU20" s="18"/>
      <c r="AV20" s="18"/>
      <c r="AW20" s="18"/>
      <c r="AX20" s="18"/>
      <c r="AY20" s="18">
        <v>18549.8</v>
      </c>
      <c r="AZ20" s="18"/>
      <c r="BA20" s="18"/>
      <c r="BB20" s="18"/>
      <c r="BC20" s="18">
        <v>156749.72</v>
      </c>
      <c r="BD20" s="18">
        <v>38153</v>
      </c>
      <c r="BE20" s="18">
        <v>32873</v>
      </c>
      <c r="BF20" s="18">
        <v>11071.1</v>
      </c>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x14ac:dyDescent="0.3">
      <c r="B21" s="11">
        <v>7</v>
      </c>
      <c r="C21" s="12" t="s">
        <v>86</v>
      </c>
      <c r="D21" s="18">
        <v>976521</v>
      </c>
      <c r="F21" s="18"/>
      <c r="G21" s="18"/>
      <c r="H21" s="18"/>
      <c r="I21" s="18"/>
      <c r="J21" s="18"/>
      <c r="K21" s="18"/>
      <c r="L21" s="18"/>
      <c r="M21" s="18"/>
      <c r="N21" s="18"/>
      <c r="O21" s="18"/>
      <c r="P21" s="18"/>
      <c r="Q21" s="18"/>
      <c r="R21" s="18"/>
      <c r="S21" s="18"/>
      <c r="T21" s="18"/>
      <c r="U21" s="18"/>
      <c r="V21" s="18"/>
      <c r="W21" s="18"/>
      <c r="X21" s="18"/>
      <c r="Y21" s="18"/>
      <c r="Z21" s="18"/>
      <c r="AA21" s="18"/>
      <c r="AB21" s="18"/>
      <c r="AC21" s="18">
        <v>976521</v>
      </c>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x14ac:dyDescent="0.3">
      <c r="B22" s="11">
        <v>8</v>
      </c>
      <c r="C22" s="12" t="s">
        <v>87</v>
      </c>
      <c r="D22" s="18">
        <v>325507</v>
      </c>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v>325507</v>
      </c>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x14ac:dyDescent="0.3">
      <c r="B23" s="11">
        <v>9</v>
      </c>
      <c r="C23" s="12" t="s">
        <v>90</v>
      </c>
      <c r="D23" s="18">
        <v>195304.2</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v>195304.2</v>
      </c>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4" spans="2:121" x14ac:dyDescent="0.3">
      <c r="B34" s="7"/>
      <c r="C34" s="7" t="s">
        <v>46</v>
      </c>
      <c r="D34" s="10">
        <f>SUM(D15:D33)</f>
        <v>4839114.0000000009</v>
      </c>
      <c r="F34" s="10">
        <f t="shared" ref="F34:AK34" si="0">SUM(F15:F33)</f>
        <v>18557.904999999999</v>
      </c>
      <c r="G34" s="10">
        <f t="shared" si="0"/>
        <v>22606.785000000003</v>
      </c>
      <c r="H34" s="10">
        <f t="shared" si="0"/>
        <v>29977.95</v>
      </c>
      <c r="I34" s="10">
        <f t="shared" si="0"/>
        <v>0</v>
      </c>
      <c r="J34" s="10">
        <f t="shared" si="0"/>
        <v>5000</v>
      </c>
      <c r="K34" s="10">
        <f t="shared" si="0"/>
        <v>0</v>
      </c>
      <c r="L34" s="10">
        <f t="shared" si="0"/>
        <v>0</v>
      </c>
      <c r="M34" s="10">
        <f t="shared" si="0"/>
        <v>11240.745000000001</v>
      </c>
      <c r="N34" s="10">
        <f t="shared" si="0"/>
        <v>27477.945</v>
      </c>
      <c r="O34" s="10">
        <f t="shared" si="0"/>
        <v>27477.945</v>
      </c>
      <c r="P34" s="10">
        <f t="shared" si="0"/>
        <v>19359.345000000001</v>
      </c>
      <c r="Q34" s="10">
        <f t="shared" si="0"/>
        <v>27477.945</v>
      </c>
      <c r="R34" s="10">
        <f t="shared" si="0"/>
        <v>19359.345000000001</v>
      </c>
      <c r="S34" s="10">
        <f t="shared" si="0"/>
        <v>30725.385000000002</v>
      </c>
      <c r="T34" s="10">
        <f t="shared" si="0"/>
        <v>110725.38500000001</v>
      </c>
      <c r="U34" s="10">
        <f t="shared" si="0"/>
        <v>11240.745000000001</v>
      </c>
      <c r="V34" s="10">
        <f t="shared" si="0"/>
        <v>11240.745000000001</v>
      </c>
      <c r="W34" s="10">
        <f t="shared" si="0"/>
        <v>11240.745000000001</v>
      </c>
      <c r="X34" s="10">
        <f t="shared" si="0"/>
        <v>14753.477999999999</v>
      </c>
      <c r="Y34" s="10">
        <f t="shared" si="0"/>
        <v>441838.478</v>
      </c>
      <c r="Z34" s="10">
        <f t="shared" si="0"/>
        <v>14753.477999999999</v>
      </c>
      <c r="AA34" s="10">
        <f t="shared" si="0"/>
        <v>27872.078000000001</v>
      </c>
      <c r="AB34" s="10">
        <f t="shared" si="0"/>
        <v>0</v>
      </c>
      <c r="AC34" s="10">
        <f t="shared" si="0"/>
        <v>994521.91799999995</v>
      </c>
      <c r="AD34" s="10">
        <f t="shared" si="0"/>
        <v>408609.31800000003</v>
      </c>
      <c r="AE34" s="10">
        <f t="shared" si="0"/>
        <v>0</v>
      </c>
      <c r="AF34" s="10">
        <f t="shared" si="0"/>
        <v>114029.29800000001</v>
      </c>
      <c r="AG34" s="10">
        <f t="shared" si="0"/>
        <v>406985.598</v>
      </c>
      <c r="AH34" s="10">
        <f t="shared" si="0"/>
        <v>0</v>
      </c>
      <c r="AI34" s="10">
        <f t="shared" si="0"/>
        <v>0</v>
      </c>
      <c r="AJ34" s="10">
        <f t="shared" si="0"/>
        <v>0</v>
      </c>
      <c r="AK34" s="10">
        <f t="shared" si="0"/>
        <v>0</v>
      </c>
      <c r="AL34" s="10">
        <f t="shared" ref="AL34:BG34" si="1">SUM(AL15:AL33)</f>
        <v>0</v>
      </c>
      <c r="AM34" s="10">
        <f t="shared" si="1"/>
        <v>0</v>
      </c>
      <c r="AN34" s="10">
        <f t="shared" si="1"/>
        <v>0</v>
      </c>
      <c r="AO34" s="10">
        <f t="shared" si="1"/>
        <v>0</v>
      </c>
      <c r="AP34" s="10">
        <f t="shared" si="1"/>
        <v>167118.11800000002</v>
      </c>
      <c r="AQ34" s="10">
        <f t="shared" si="1"/>
        <v>116024.29800000001</v>
      </c>
      <c r="AR34" s="10">
        <f t="shared" si="1"/>
        <v>0</v>
      </c>
      <c r="AS34" s="10">
        <f t="shared" si="1"/>
        <v>0</v>
      </c>
      <c r="AT34" s="10">
        <f t="shared" si="1"/>
        <v>0</v>
      </c>
      <c r="AU34" s="10">
        <f t="shared" si="1"/>
        <v>0</v>
      </c>
      <c r="AV34" s="10">
        <f t="shared" si="1"/>
        <v>0</v>
      </c>
      <c r="AW34" s="10">
        <f t="shared" si="1"/>
        <v>0</v>
      </c>
      <c r="AX34" s="10">
        <f t="shared" si="1"/>
        <v>0</v>
      </c>
      <c r="AY34" s="10">
        <f t="shared" si="1"/>
        <v>425535.39799999999</v>
      </c>
      <c r="AZ34" s="10">
        <f t="shared" si="1"/>
        <v>0</v>
      </c>
      <c r="BA34" s="10">
        <f t="shared" si="1"/>
        <v>0</v>
      </c>
      <c r="BB34" s="10">
        <f t="shared" si="1"/>
        <v>341884.19799999997</v>
      </c>
      <c r="BC34" s="10">
        <f t="shared" si="1"/>
        <v>156749.72</v>
      </c>
      <c r="BD34" s="10">
        <f t="shared" si="1"/>
        <v>248210.67800000001</v>
      </c>
      <c r="BE34" s="10">
        <f t="shared" si="1"/>
        <v>242930.67800000001</v>
      </c>
      <c r="BF34" s="10">
        <f t="shared" si="1"/>
        <v>221128.77800000002</v>
      </c>
      <c r="BG34" s="10">
        <f t="shared" si="1"/>
        <v>112405.57800000001</v>
      </c>
      <c r="BI34" s="10">
        <f t="shared" ref="BI34:CN34" si="2">SUM(BI15:BI33)</f>
        <v>0</v>
      </c>
      <c r="BJ34" s="10">
        <f t="shared" si="2"/>
        <v>0</v>
      </c>
      <c r="BK34" s="10">
        <f t="shared" si="2"/>
        <v>0</v>
      </c>
      <c r="BL34" s="10">
        <f t="shared" si="2"/>
        <v>0</v>
      </c>
      <c r="BM34" s="10">
        <f t="shared" si="2"/>
        <v>0</v>
      </c>
      <c r="BN34" s="10">
        <f t="shared" si="2"/>
        <v>0</v>
      </c>
      <c r="BO34" s="10">
        <f t="shared" si="2"/>
        <v>0</v>
      </c>
      <c r="BP34" s="10">
        <f t="shared" si="2"/>
        <v>0</v>
      </c>
      <c r="BQ34" s="10">
        <f t="shared" si="2"/>
        <v>0</v>
      </c>
      <c r="BR34" s="10">
        <f t="shared" si="2"/>
        <v>0</v>
      </c>
      <c r="BS34" s="10">
        <f t="shared" si="2"/>
        <v>0</v>
      </c>
      <c r="BT34" s="10">
        <f t="shared" si="2"/>
        <v>0</v>
      </c>
      <c r="BU34" s="10">
        <f t="shared" si="2"/>
        <v>0</v>
      </c>
      <c r="BV34" s="10">
        <f t="shared" si="2"/>
        <v>0</v>
      </c>
      <c r="BW34" s="10">
        <f t="shared" si="2"/>
        <v>0</v>
      </c>
      <c r="BX34" s="10">
        <f t="shared" si="2"/>
        <v>0</v>
      </c>
      <c r="BY34" s="10">
        <f t="shared" si="2"/>
        <v>0</v>
      </c>
      <c r="BZ34" s="10">
        <f t="shared" si="2"/>
        <v>0</v>
      </c>
      <c r="CA34" s="10">
        <f t="shared" si="2"/>
        <v>0</v>
      </c>
      <c r="CB34" s="10">
        <f t="shared" si="2"/>
        <v>0</v>
      </c>
      <c r="CC34" s="10">
        <f t="shared" si="2"/>
        <v>0</v>
      </c>
      <c r="CD34" s="10">
        <f t="shared" si="2"/>
        <v>0</v>
      </c>
      <c r="CE34" s="10">
        <f t="shared" si="2"/>
        <v>0</v>
      </c>
      <c r="CF34" s="10">
        <f t="shared" si="2"/>
        <v>0</v>
      </c>
      <c r="CG34" s="10">
        <f t="shared" si="2"/>
        <v>0</v>
      </c>
      <c r="CH34" s="10">
        <f t="shared" si="2"/>
        <v>0</v>
      </c>
      <c r="CI34" s="10">
        <f t="shared" si="2"/>
        <v>0</v>
      </c>
      <c r="CJ34" s="10">
        <f t="shared" si="2"/>
        <v>0</v>
      </c>
      <c r="CK34" s="10">
        <f t="shared" si="2"/>
        <v>0</v>
      </c>
      <c r="CL34" s="10">
        <f t="shared" si="2"/>
        <v>0</v>
      </c>
      <c r="CM34" s="10">
        <f t="shared" si="2"/>
        <v>0</v>
      </c>
      <c r="CN34" s="10">
        <f t="shared" si="2"/>
        <v>0</v>
      </c>
      <c r="CO34" s="10">
        <f t="shared" ref="CO34:DQ34" si="3">SUM(CO15:CO33)</f>
        <v>0</v>
      </c>
      <c r="CP34" s="10">
        <f t="shared" si="3"/>
        <v>0</v>
      </c>
      <c r="CQ34" s="10">
        <f t="shared" si="3"/>
        <v>0</v>
      </c>
      <c r="CR34" s="10">
        <f t="shared" si="3"/>
        <v>0</v>
      </c>
      <c r="CS34" s="10">
        <f t="shared" si="3"/>
        <v>0</v>
      </c>
      <c r="CT34" s="10">
        <f t="shared" si="3"/>
        <v>0</v>
      </c>
      <c r="CU34" s="10">
        <f t="shared" si="3"/>
        <v>0</v>
      </c>
      <c r="CV34" s="10">
        <f t="shared" si="3"/>
        <v>0</v>
      </c>
      <c r="CW34" s="10">
        <f t="shared" si="3"/>
        <v>0</v>
      </c>
      <c r="CX34" s="10">
        <f t="shared" si="3"/>
        <v>0</v>
      </c>
      <c r="CY34" s="10">
        <f t="shared" si="3"/>
        <v>0</v>
      </c>
      <c r="CZ34" s="10">
        <f t="shared" si="3"/>
        <v>0</v>
      </c>
      <c r="DA34" s="10">
        <f t="shared" si="3"/>
        <v>0</v>
      </c>
      <c r="DB34" s="10">
        <f t="shared" si="3"/>
        <v>0</v>
      </c>
      <c r="DC34" s="10">
        <f t="shared" si="3"/>
        <v>0</v>
      </c>
      <c r="DD34" s="10">
        <f t="shared" si="3"/>
        <v>0</v>
      </c>
      <c r="DE34" s="10">
        <f t="shared" si="3"/>
        <v>0</v>
      </c>
      <c r="DF34" s="10">
        <f t="shared" si="3"/>
        <v>0</v>
      </c>
      <c r="DG34" s="10">
        <f t="shared" si="3"/>
        <v>0</v>
      </c>
      <c r="DH34" s="10">
        <f t="shared" si="3"/>
        <v>0</v>
      </c>
      <c r="DI34" s="10">
        <f t="shared" si="3"/>
        <v>0</v>
      </c>
      <c r="DJ34" s="10">
        <f t="shared" si="3"/>
        <v>0</v>
      </c>
      <c r="DK34" s="10">
        <f t="shared" si="3"/>
        <v>0</v>
      </c>
      <c r="DL34" s="10">
        <f t="shared" si="3"/>
        <v>0</v>
      </c>
      <c r="DM34" s="10">
        <f t="shared" si="3"/>
        <v>0</v>
      </c>
      <c r="DN34" s="10">
        <f t="shared" si="3"/>
        <v>0</v>
      </c>
      <c r="DO34" s="10">
        <f t="shared" si="3"/>
        <v>0</v>
      </c>
      <c r="DP34" s="10">
        <f t="shared" si="3"/>
        <v>0</v>
      </c>
      <c r="DQ34" s="10">
        <f t="shared" si="3"/>
        <v>0</v>
      </c>
    </row>
    <row r="35" spans="2:121" s="8" customFormat="1" x14ac:dyDescent="0.3">
      <c r="B35" s="2"/>
      <c r="C35" s="2"/>
      <c r="D35" s="2"/>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row>
  </sheetData>
  <sheetProtection algorithmName="SHA-512" hashValue="YfZ9U3ZT1iRhIRZ5tq5D141PsKIA66PQNdBCCcqwRh3q+zYeVoNB4NKCp+E3Ng4XGz5YEzbJ2MNwE1ToOc/dSg==" saltValue="tASTtyIvnmyx7fhbqHI1bA==" spinCount="100000" sheet="1" objects="1" scenarios="1"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32 F15:BG32">
      <formula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809625</xdr:colOff>
                    <xdr:row>14</xdr:row>
                    <xdr:rowOff>19050</xdr:rowOff>
                  </from>
                  <to>
                    <xdr:col>1</xdr:col>
                    <xdr:colOff>1524000</xdr:colOff>
                    <xdr:row>14</xdr:row>
                    <xdr:rowOff>161925</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1800225</xdr:colOff>
                    <xdr:row>10</xdr:row>
                    <xdr:rowOff>0</xdr:rowOff>
                  </from>
                  <to>
                    <xdr:col>2</xdr:col>
                    <xdr:colOff>2886075</xdr:colOff>
                    <xdr:row>11</xdr:row>
                    <xdr:rowOff>9525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3038475</xdr:colOff>
                    <xdr:row>10</xdr:row>
                    <xdr:rowOff>0</xdr:rowOff>
                  </from>
                  <to>
                    <xdr:col>3</xdr:col>
                    <xdr:colOff>790575</xdr:colOff>
                    <xdr:row>11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Botero, Ivana Kim B.</cp:lastModifiedBy>
  <dcterms:created xsi:type="dcterms:W3CDTF">2018-04-04T07:34:36Z</dcterms:created>
  <dcterms:modified xsi:type="dcterms:W3CDTF">2018-08-31T04:10:27Z</dcterms:modified>
</cp:coreProperties>
</file>