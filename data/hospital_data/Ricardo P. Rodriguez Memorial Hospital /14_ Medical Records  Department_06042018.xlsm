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DESKTOP FILES\FINAL OUTPUT\"/>
    </mc:Choice>
  </mc:AlternateContent>
  <workbookProtection workbookAlgorithmName="SHA-512" workbookHashValue="fPpNiSmILmlROfyOzf9xUz2or2KCpF/cwvCnJYkL9QNKnaYWQNK8U/2m6LqqTjNy5e5RUV/fd4izcegtvnVMFw==" workbookSaltValue="rZzXk0fh2rUxn2tBE3asAQ==" workbookSpinCount="100000" lockStructure="1"/>
  <bookViews>
    <workbookView xWindow="0" yWindow="0" windowWidth="15525" windowHeight="7050" activeTab="2"/>
  </bookViews>
  <sheets>
    <sheet name="11.1 Hospital Information" sheetId="1" r:id="rId1"/>
    <sheet name="11.2 Summary Statistics" sheetId="4" r:id="rId2"/>
    <sheet name="11.3 Discharge&amp;Beddays" sheetId="3" r:id="rId3"/>
  </sheets>
  <definedNames>
    <definedName name="bed_number_total">'11.1 Hospital Information'!$B$16</definedName>
    <definedName name="Hosp_days_total">'11.1 Hospital Information'!$B$22</definedName>
    <definedName name="IP_death_total">'11.1 Hospital Information'!$B$21</definedName>
    <definedName name="IP_discharge_total">'11.1 Hospital Information'!$B$20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4" l="1"/>
  <c r="G14" i="4"/>
  <c r="G15" i="4"/>
  <c r="G13" i="4"/>
  <c r="C30" i="1" l="1"/>
  <c r="C29" i="1"/>
</calcChain>
</file>

<file path=xl/comments1.xml><?xml version="1.0" encoding="utf-8"?>
<comments xmlns="http://schemas.openxmlformats.org/spreadsheetml/2006/main">
  <authors>
    <author>julienne</author>
  </authors>
  <commentList>
    <comment ref="B28" authorId="0" shapeId="0">
      <text>
        <r>
          <rPr>
            <b/>
            <sz val="9"/>
            <color indexed="81"/>
            <rFont val="Tahoma"/>
            <family val="2"/>
          </rPr>
          <t>julienne:</t>
        </r>
        <r>
          <rPr>
            <sz val="9"/>
            <color indexed="81"/>
            <rFont val="Tahoma"/>
            <family val="2"/>
          </rPr>
          <t xml:space="preserve">
Total Hospitalization Days, not in-patient service bed days.</t>
        </r>
      </text>
    </comment>
  </commentList>
</comments>
</file>

<file path=xl/sharedStrings.xml><?xml version="1.0" encoding="utf-8"?>
<sst xmlns="http://schemas.openxmlformats.org/spreadsheetml/2006/main" count="240" uniqueCount="152">
  <si>
    <t>Name of Healthcare Facility</t>
  </si>
  <si>
    <t>Address</t>
  </si>
  <si>
    <t>Region</t>
  </si>
  <si>
    <t>Level of Healthcare</t>
  </si>
  <si>
    <t>Type of Ownership</t>
  </si>
  <si>
    <t>Authorized Bed Capacity</t>
  </si>
  <si>
    <t>Implementing Bed Capacity</t>
  </si>
  <si>
    <t>Total Number of Implementing Beds:</t>
  </si>
  <si>
    <t>Total Number of Licensed Beds:</t>
  </si>
  <si>
    <t>Total Outpatient Visits:</t>
  </si>
  <si>
    <t>Total Inpatient Admissions:</t>
  </si>
  <si>
    <t>Total Inpatient Discharges:</t>
  </si>
  <si>
    <t>Total Inpatient Deaths:</t>
  </si>
  <si>
    <t>Bed Occupancy Rate (BOR) (%):</t>
  </si>
  <si>
    <t>Average Length of Stay (ALOS) (days)</t>
  </si>
  <si>
    <t>BASIC INFO</t>
  </si>
  <si>
    <t>Admissions</t>
  </si>
  <si>
    <t>Discharges</t>
  </si>
  <si>
    <t>Deaths</t>
  </si>
  <si>
    <t>ALOS</t>
  </si>
  <si>
    <t>General Information on Hospital operations and activities</t>
  </si>
  <si>
    <t>BASIC MEDICAL STATISTICS</t>
  </si>
  <si>
    <t>Total ER Visits:</t>
  </si>
  <si>
    <t>Hospitalization/Bed days</t>
  </si>
  <si>
    <t>Discharges and Beddays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</si>
  <si>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Statistical officer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</si>
  <si>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Annual Statistics Report and other primary records and logbooks</t>
    </r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</si>
  <si>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on hospital operations</t>
    </r>
  </si>
  <si>
    <t>Total Hospitalization Days/Beddays: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</si>
  <si>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Medical records/Admission staff</t>
    </r>
  </si>
  <si>
    <r>
      <rPr>
        <b/>
        <sz val="11"/>
        <color theme="1"/>
        <rFont val="Arial Narrow"/>
        <family val="2"/>
      </rPr>
      <t>Source Document:</t>
    </r>
    <r>
      <rPr>
        <sz val="11"/>
        <color theme="1"/>
        <rFont val="Arial Narrow"/>
        <family val="2"/>
      </rPr>
      <t xml:space="preserve"> Statistics Report/Logbook</t>
    </r>
  </si>
  <si>
    <t>Departments and Wards</t>
  </si>
  <si>
    <t>Time period covered:</t>
  </si>
  <si>
    <t>#</t>
  </si>
  <si>
    <t>1st</t>
  </si>
  <si>
    <t>2nd</t>
  </si>
  <si>
    <t>3rd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</si>
  <si>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record of number of discharges and beddays for each case</t>
    </r>
  </si>
  <si>
    <t>Pediatric Ward</t>
  </si>
  <si>
    <t>Surgical Ward</t>
  </si>
  <si>
    <t>Private Ward</t>
  </si>
  <si>
    <t>Discharges by INPATIENT wards</t>
  </si>
  <si>
    <t>Instructions: Record each cases discharged within specified time period and then assign or allocate by Different inpatient wards and units</t>
  </si>
  <si>
    <t>This sheet can be recorded everyday then summarized for the time priod covered for the cost data collection.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</si>
  <si>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</si>
  <si>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</si>
  <si>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</si>
  <si>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</si>
  <si>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</si>
  <si>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</si>
  <si>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Emergency Medicine Department</t>
  </si>
  <si>
    <t>Dialysis Unit</t>
  </si>
  <si>
    <t>Radiation Oncology Unit*</t>
  </si>
  <si>
    <t>Dental</t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</si>
  <si>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</si>
  <si>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Animal Bite Center</t>
  </si>
  <si>
    <t>TB Dots</t>
  </si>
  <si>
    <t>HIV Aids</t>
  </si>
  <si>
    <t>Family Planning Unit</t>
  </si>
  <si>
    <t>Smoking Cessation</t>
  </si>
  <si>
    <t>Malaria</t>
  </si>
  <si>
    <t>Respiratory Unit</t>
  </si>
  <si>
    <t>Medical ICU</t>
  </si>
  <si>
    <t>Neonatal ICU*</t>
  </si>
  <si>
    <t>Surgical ICU*</t>
  </si>
  <si>
    <t>Pediatric ICU*</t>
  </si>
  <si>
    <t>Burn Unit</t>
  </si>
  <si>
    <t>Outpatient Department</t>
  </si>
  <si>
    <t>Diabetes MAP</t>
  </si>
  <si>
    <t>Hypertension MAP</t>
  </si>
  <si>
    <t>Nuclear Medicine</t>
  </si>
  <si>
    <t>Endoscopy Unit</t>
  </si>
  <si>
    <t>Other (specify here)</t>
  </si>
  <si>
    <t>ICD-10 codes and / or Procedure codes</t>
  </si>
  <si>
    <t>Discharge diagnosis</t>
  </si>
  <si>
    <t># discharges</t>
  </si>
  <si>
    <t>PROCEDURES:</t>
  </si>
  <si>
    <t>Total numbers</t>
  </si>
  <si>
    <t>Total Endoscopy procedures</t>
  </si>
  <si>
    <t>Total OR procedures</t>
  </si>
  <si>
    <t>Total Deliveries</t>
  </si>
  <si>
    <t>Total Dialysis Sessions</t>
  </si>
  <si>
    <t>Total Rehabilitation sessions</t>
  </si>
  <si>
    <t>Total Laboratory Tests</t>
  </si>
  <si>
    <t>Total X-Rays</t>
  </si>
  <si>
    <t>Total Endoscopy tests</t>
  </si>
  <si>
    <t>Total MRI</t>
  </si>
  <si>
    <t>Total CT Scan</t>
  </si>
  <si>
    <t>Total PET Scan</t>
  </si>
  <si>
    <t>Total Ultrasound</t>
  </si>
  <si>
    <t>Total ECG</t>
  </si>
  <si>
    <t>Total hospitalization days</t>
  </si>
  <si>
    <t xml:space="preserve">Inpatient </t>
  </si>
  <si>
    <t>Inpatient Summary Statistics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</si>
  <si>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Obtain basic information and statistics of Inpatient wards and departments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</si>
  <si>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Hospital medical records officer, statistician</t>
    </r>
  </si>
  <si>
    <r>
      <rPr>
        <b/>
        <sz val="11"/>
        <color theme="1"/>
        <rFont val="Arial Narrow"/>
        <family val="2"/>
      </rPr>
      <t>Instructions</t>
    </r>
    <r>
      <rPr>
        <sz val="11"/>
        <color theme="1"/>
        <rFont val="Arial Narrow"/>
        <family val="2"/>
      </rPr>
      <t>:  For level I hopsitals, 4 major departmentalized Wards are compulsory.  The speciality Wards marked with asteriks mgiht be applicable to level III hospitals.</t>
    </r>
  </si>
  <si>
    <t>OTHER SERVICE OUTPUTS</t>
  </si>
  <si>
    <t>Total Prescriptions</t>
  </si>
  <si>
    <t>Total Blood Units</t>
  </si>
  <si>
    <t>Total Patient Meals</t>
  </si>
  <si>
    <t>Total Laundry (Kg)</t>
  </si>
  <si>
    <t>Outpatient Services</t>
  </si>
  <si>
    <t>Inpatient Services</t>
  </si>
  <si>
    <t>Blood Bank</t>
  </si>
  <si>
    <t>Heart Station</t>
  </si>
  <si>
    <t>Other outpatient (specify here)</t>
  </si>
  <si>
    <t>Delivery Room</t>
  </si>
  <si>
    <t>Operating Room / Aneasthesiology / PACU / Recovery Room</t>
  </si>
  <si>
    <t>Other inpatient (specify here)</t>
  </si>
  <si>
    <t>Total Number of Outputs delivered to various departments and wards</t>
  </si>
  <si>
    <t>RICARDO P. RODRIGUEZ MEMORIAL HOSPITAL MAIN</t>
  </si>
  <si>
    <t>BULAON RESETTLEMENT SITE, CITY OF SAN FERNANDO, PAMPANGA</t>
  </si>
  <si>
    <t>GOVERNMENT</t>
  </si>
  <si>
    <t>MEDICAL WARD</t>
  </si>
  <si>
    <t>N/A</t>
  </si>
  <si>
    <t>(MAY 21-25, 2018)                                    878</t>
  </si>
  <si>
    <t>(YEAR 2017)                                         17448</t>
  </si>
  <si>
    <t>NORMAL SPONTANEOUS DELIVERY</t>
  </si>
  <si>
    <t>PNEUMONIA</t>
  </si>
  <si>
    <t>CESARIAN SECTION</t>
  </si>
  <si>
    <t>ACUTE GASTROENTERITIS</t>
  </si>
  <si>
    <t>BILATERAL TUBAL LIGATION</t>
  </si>
  <si>
    <t>ACUTE PYELONEPHRITIS</t>
  </si>
  <si>
    <t>DENGUE FEVER</t>
  </si>
  <si>
    <t>URINARY TRACT INFECTION</t>
  </si>
  <si>
    <t>CEREBROVASCULAR ACCIDENT</t>
  </si>
  <si>
    <t>NEONATAL SEPSIS</t>
  </si>
  <si>
    <t>BRONCHIAL ASTHMA IN ACUTE EXACERBATION</t>
  </si>
  <si>
    <t>HYPERTENSION</t>
  </si>
  <si>
    <t>DILATATION AND CURETTAGE</t>
  </si>
  <si>
    <t>TOTAL ABDOMINAL HYSTERECTOMY BILATERAL SALPINGO OOPHORECTOMY</t>
  </si>
  <si>
    <t>BENIGN FEBRILE CONVULSION</t>
  </si>
  <si>
    <t>EXCISION OF MASS</t>
  </si>
  <si>
    <t>CHOLECYSTECTOMY</t>
  </si>
  <si>
    <t>SUBCUTANEOUS MASTECTOMY</t>
  </si>
  <si>
    <t>HERNIORRHAPHY</t>
  </si>
  <si>
    <t>EXPLORATORY LAPAROTOMY</t>
  </si>
  <si>
    <t>J18.92/ J18.93</t>
  </si>
  <si>
    <t>A09.9</t>
  </si>
  <si>
    <t>Z30.2</t>
  </si>
  <si>
    <t>N10</t>
  </si>
  <si>
    <t>A97.1</t>
  </si>
  <si>
    <t>N39.0</t>
  </si>
  <si>
    <t>I63.9</t>
  </si>
  <si>
    <t>P36.9</t>
  </si>
  <si>
    <t>J45.90</t>
  </si>
  <si>
    <t>I10.9</t>
  </si>
  <si>
    <t>(YEAR 2017)                                           148</t>
  </si>
  <si>
    <t>(MAY 28, 2018- JUNE 1, 2018)                   222</t>
  </si>
  <si>
    <t>NSD01</t>
  </si>
  <si>
    <t>59513/59514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</si>
</sst>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name val="Arial Narrow"/>
      <family val="2"/>
    </font>
    <font>
      <sz val="11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11"/>
      <color rgb="FF000000"/>
      <name val="Calibri"/>
      <family val="2"/>
    </font>
    <font>
      <b/>
      <i/>
      <sz val="11"/>
      <color theme="1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3" fillId="0" borderId="0"/>
  </cellStyleXfs>
  <cellXfs count="72">
    <xf numFmtId="0" fontId="0" fillId="0" borderId="0" xfId="0"/>
    <xf numFmtId="0" fontId="4" fillId="0" borderId="0" xfId="0" applyFont="1"/>
    <xf numFmtId="0" fontId="5" fillId="0" borderId="0" xfId="0" applyFont="1"/>
    <xf numFmtId="0" fontId="5" fillId="0" borderId="1" xfId="0" applyFont="1" applyBorder="1"/>
    <xf numFmtId="0" fontId="7" fillId="0" borderId="0" xfId="0" applyFont="1"/>
    <xf numFmtId="0" fontId="7" fillId="0" borderId="0" xfId="0" applyFont="1" applyAlignment="1">
      <alignment horizontal="center" wrapText="1"/>
    </xf>
    <xf numFmtId="0" fontId="5" fillId="2" borderId="1" xfId="0" applyFont="1" applyFill="1" applyBorder="1"/>
    <xf numFmtId="0" fontId="9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Alignment="1" applyProtection="1">
      <alignment horizontal="center"/>
    </xf>
    <xf numFmtId="0" fontId="9" fillId="0" borderId="0" xfId="0" applyFont="1" applyProtection="1"/>
    <xf numFmtId="0" fontId="0" fillId="0" borderId="0" xfId="0" applyFont="1" applyAlignment="1" applyProtection="1"/>
    <xf numFmtId="0" fontId="12" fillId="2" borderId="1" xfId="0" applyFont="1" applyFill="1" applyBorder="1" applyAlignment="1" applyProtection="1">
      <alignment wrapText="1"/>
      <protection locked="0"/>
    </xf>
    <xf numFmtId="0" fontId="12" fillId="2" borderId="1" xfId="0" applyFont="1" applyFill="1" applyBorder="1" applyAlignment="1" applyProtection="1">
      <alignment horizontal="center" vertical="center" wrapText="1"/>
      <protection locked="0"/>
    </xf>
    <xf numFmtId="164" fontId="12" fillId="2" borderId="1" xfId="1" applyFont="1" applyFill="1" applyBorder="1" applyProtection="1">
      <protection locked="0"/>
    </xf>
    <xf numFmtId="0" fontId="5" fillId="4" borderId="5" xfId="0" applyFont="1" applyFill="1" applyBorder="1"/>
    <xf numFmtId="0" fontId="5" fillId="4" borderId="6" xfId="0" applyFont="1" applyFill="1" applyBorder="1"/>
    <xf numFmtId="0" fontId="5" fillId="4" borderId="7" xfId="0" applyFont="1" applyFill="1" applyBorder="1"/>
    <xf numFmtId="0" fontId="5" fillId="4" borderId="8" xfId="0" applyFont="1" applyFill="1" applyBorder="1"/>
    <xf numFmtId="0" fontId="4" fillId="4" borderId="7" xfId="0" applyFont="1" applyFill="1" applyBorder="1"/>
    <xf numFmtId="0" fontId="5" fillId="4" borderId="9" xfId="0" applyFont="1" applyFill="1" applyBorder="1"/>
    <xf numFmtId="0" fontId="4" fillId="4" borderId="1" xfId="0" applyFont="1" applyFill="1" applyBorder="1"/>
    <xf numFmtId="0" fontId="5" fillId="4" borderId="1" xfId="0" applyFont="1" applyFill="1" applyBorder="1" applyAlignment="1">
      <alignment horizontal="right"/>
    </xf>
    <xf numFmtId="0" fontId="7" fillId="0" borderId="0" xfId="0" applyFont="1" applyProtection="1"/>
    <xf numFmtId="0" fontId="14" fillId="0" borderId="0" xfId="0" applyFont="1" applyProtection="1"/>
    <xf numFmtId="0" fontId="4" fillId="0" borderId="0" xfId="0" applyFont="1" applyProtection="1"/>
    <xf numFmtId="0" fontId="11" fillId="4" borderId="0" xfId="0" applyFont="1" applyFill="1" applyBorder="1" applyAlignment="1" applyProtection="1">
      <alignment horizontal="left" vertical="center"/>
    </xf>
    <xf numFmtId="0" fontId="11" fillId="0" borderId="0" xfId="0" applyFont="1" applyFill="1" applyBorder="1" applyAlignment="1" applyProtection="1">
      <alignment horizontal="left" vertical="center"/>
    </xf>
    <xf numFmtId="0" fontId="13" fillId="0" borderId="0" xfId="3" applyFont="1" applyAlignment="1" applyProtection="1"/>
    <xf numFmtId="0" fontId="6" fillId="4" borderId="1" xfId="0" applyFont="1" applyFill="1" applyBorder="1" applyAlignment="1">
      <alignment horizontal="center" wrapText="1"/>
    </xf>
    <xf numFmtId="0" fontId="5" fillId="4" borderId="11" xfId="0" applyFont="1" applyFill="1" applyBorder="1"/>
    <xf numFmtId="0" fontId="5" fillId="4" borderId="0" xfId="0" applyFont="1" applyFill="1" applyBorder="1"/>
    <xf numFmtId="0" fontId="5" fillId="4" borderId="10" xfId="0" applyFont="1" applyFill="1" applyBorder="1"/>
    <xf numFmtId="0" fontId="4" fillId="4" borderId="12" xfId="0" applyFont="1" applyFill="1" applyBorder="1"/>
    <xf numFmtId="9" fontId="4" fillId="0" borderId="1" xfId="2" applyFont="1" applyFill="1" applyBorder="1" applyAlignment="1">
      <alignment horizontal="center"/>
    </xf>
    <xf numFmtId="164" fontId="4" fillId="2" borderId="1" xfId="1" applyFont="1" applyFill="1" applyBorder="1" applyAlignment="1">
      <alignment horizontal="center"/>
    </xf>
    <xf numFmtId="17" fontId="6" fillId="4" borderId="1" xfId="0" applyNumberFormat="1" applyFont="1" applyFill="1" applyBorder="1" applyAlignment="1">
      <alignment horizontal="center" vertical="center"/>
    </xf>
    <xf numFmtId="0" fontId="11" fillId="0" borderId="1" xfId="3" applyFont="1" applyBorder="1" applyAlignment="1" applyProtection="1"/>
    <xf numFmtId="0" fontId="11" fillId="0" borderId="1" xfId="3" applyFont="1" applyBorder="1" applyProtection="1"/>
    <xf numFmtId="0" fontId="18" fillId="2" borderId="1" xfId="0" applyFont="1" applyFill="1" applyBorder="1" applyAlignment="1" applyProtection="1">
      <alignment wrapText="1"/>
      <protection locked="0"/>
    </xf>
    <xf numFmtId="0" fontId="11" fillId="4" borderId="1" xfId="3" applyFont="1" applyFill="1" applyBorder="1" applyAlignment="1" applyProtection="1">
      <alignment horizontal="center" textRotation="90"/>
    </xf>
    <xf numFmtId="0" fontId="18" fillId="2" borderId="1" xfId="0" applyFont="1" applyFill="1" applyBorder="1" applyAlignment="1" applyProtection="1">
      <alignment horizontal="center" textRotation="90" wrapText="1"/>
      <protection locked="0"/>
    </xf>
    <xf numFmtId="0" fontId="9" fillId="6" borderId="1" xfId="3" applyFont="1" applyFill="1" applyBorder="1"/>
    <xf numFmtId="14" fontId="5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1" fillId="4" borderId="1" xfId="3" applyFont="1" applyFill="1" applyBorder="1" applyAlignment="1" applyProtection="1">
      <alignment horizontal="center" textRotation="90" wrapText="1"/>
    </xf>
    <xf numFmtId="0" fontId="11" fillId="4" borderId="13" xfId="3" applyFont="1" applyFill="1" applyBorder="1" applyAlignment="1" applyProtection="1">
      <alignment horizontal="center" textRotation="90" wrapText="1"/>
    </xf>
    <xf numFmtId="0" fontId="7" fillId="0" borderId="0" xfId="0" applyFont="1" applyAlignment="1">
      <alignment horizontal="center" vertical="center" wrapText="1"/>
    </xf>
    <xf numFmtId="0" fontId="5" fillId="4" borderId="7" xfId="0" applyFont="1" applyFill="1" applyBorder="1" applyAlignment="1">
      <alignment horizontal="left" wrapText="1"/>
    </xf>
    <xf numFmtId="0" fontId="5" fillId="4" borderId="8" xfId="0" applyFont="1" applyFill="1" applyBorder="1" applyAlignment="1">
      <alignment horizontal="left" wrapText="1"/>
    </xf>
    <xf numFmtId="0" fontId="6" fillId="4" borderId="1" xfId="0" applyFont="1" applyFill="1" applyBorder="1" applyAlignment="1">
      <alignment horizontal="left"/>
    </xf>
    <xf numFmtId="0" fontId="9" fillId="5" borderId="1" xfId="3" applyFont="1" applyFill="1" applyBorder="1" applyAlignment="1" applyProtection="1">
      <alignment horizontal="center" vertical="top"/>
    </xf>
    <xf numFmtId="0" fontId="4" fillId="4" borderId="14" xfId="0" applyFont="1" applyFill="1" applyBorder="1" applyAlignment="1">
      <alignment horizontal="left" vertical="center" wrapText="1"/>
    </xf>
    <xf numFmtId="0" fontId="4" fillId="4" borderId="15" xfId="0" applyFont="1" applyFill="1" applyBorder="1" applyAlignment="1">
      <alignment horizontal="left" vertical="center" wrapText="1"/>
    </xf>
    <xf numFmtId="0" fontId="4" fillId="4" borderId="12" xfId="0" applyFont="1" applyFill="1" applyBorder="1" applyAlignment="1">
      <alignment horizontal="left" vertical="center" wrapText="1"/>
    </xf>
    <xf numFmtId="0" fontId="9" fillId="7" borderId="1" xfId="3" applyFont="1" applyFill="1" applyBorder="1" applyAlignment="1" applyProtection="1">
      <alignment horizontal="center" vertical="top"/>
    </xf>
    <xf numFmtId="0" fontId="9" fillId="3" borderId="2" xfId="3" applyFont="1" applyFill="1" applyBorder="1" applyAlignment="1" applyProtection="1">
      <alignment horizontal="center" vertical="top"/>
    </xf>
    <xf numFmtId="0" fontId="9" fillId="3" borderId="3" xfId="3" applyFont="1" applyFill="1" applyBorder="1" applyAlignment="1" applyProtection="1">
      <alignment horizontal="center" vertical="top"/>
    </xf>
    <xf numFmtId="0" fontId="6" fillId="5" borderId="1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0" fontId="8" fillId="5" borderId="3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left" wrapText="1"/>
    </xf>
    <xf numFmtId="0" fontId="5" fillId="4" borderId="6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6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7" fontId="6" fillId="4" borderId="1" xfId="0" applyNumberFormat="1" applyFont="1" applyFill="1" applyBorder="1" applyAlignment="1">
      <alignment horizontal="center" vertical="center"/>
    </xf>
    <xf numFmtId="17" fontId="6" fillId="5" borderId="2" xfId="0" applyNumberFormat="1" applyFont="1" applyFill="1" applyBorder="1" applyAlignment="1">
      <alignment horizontal="center" vertical="center"/>
    </xf>
    <xf numFmtId="17" fontId="6" fillId="5" borderId="4" xfId="0" applyNumberFormat="1" applyFont="1" applyFill="1" applyBorder="1" applyAlignment="1">
      <alignment horizontal="center" vertical="center"/>
    </xf>
    <xf numFmtId="17" fontId="6" fillId="5" borderId="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161925</xdr:rowOff>
        </xdr:from>
        <xdr:to>
          <xdr:col>2</xdr:col>
          <xdr:colOff>1209675</xdr:colOff>
          <xdr:row>8</xdr:row>
          <xdr:rowOff>161925</xdr:rowOff>
        </xdr:to>
        <xdr:sp macro="" textlink="">
          <xdr:nvSpPr>
            <xdr:cNvPr id="1026" name="SelectI" descr="Select Level I and II Health Faciliti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1476375</xdr:colOff>
          <xdr:row>7</xdr:row>
          <xdr:rowOff>161925</xdr:rowOff>
        </xdr:from>
        <xdr:to>
          <xdr:col>2</xdr:col>
          <xdr:colOff>2562225</xdr:colOff>
          <xdr:row>8</xdr:row>
          <xdr:rowOff>161925</xdr:rowOff>
        </xdr:to>
        <xdr:sp macro="" textlink="">
          <xdr:nvSpPr>
            <xdr:cNvPr id="1027" name="SelectIIandIII" descr="Select Level I and II Health Faciliti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13</xdr:row>
          <xdr:rowOff>9525</xdr:rowOff>
        </xdr:from>
        <xdr:to>
          <xdr:col>1</xdr:col>
          <xdr:colOff>752475</xdr:colOff>
          <xdr:row>13</xdr:row>
          <xdr:rowOff>152400</xdr:rowOff>
        </xdr:to>
        <xdr:sp macro="" textlink="">
          <xdr:nvSpPr>
            <xdr:cNvPr id="2049" name="Button 1" descr="Add Drug / Medication / Suppl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13</xdr:row>
          <xdr:rowOff>9525</xdr:rowOff>
        </xdr:from>
        <xdr:to>
          <xdr:col>1</xdr:col>
          <xdr:colOff>1524000</xdr:colOff>
          <xdr:row>13</xdr:row>
          <xdr:rowOff>152400</xdr:rowOff>
        </xdr:to>
        <xdr:sp macro="" textlink="">
          <xdr:nvSpPr>
            <xdr:cNvPr id="2050" name="Button 2" descr="Delete Drug / Medication / Suppl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2:CG58"/>
  <sheetViews>
    <sheetView topLeftCell="A43" zoomScale="80" zoomScaleNormal="80" workbookViewId="0">
      <selection activeCell="I6" sqref="I6:I7"/>
    </sheetView>
  </sheetViews>
  <sheetFormatPr defaultColWidth="8.7109375" defaultRowHeight="16.5" x14ac:dyDescent="0.3"/>
  <cols>
    <col min="1" max="1" width="3.85546875" style="2" customWidth="1"/>
    <col min="2" max="2" width="35.7109375" style="2" customWidth="1"/>
    <col min="3" max="3" width="38.42578125" style="2" customWidth="1"/>
    <col min="4" max="4" width="2.42578125" style="2" customWidth="1"/>
    <col min="5" max="14" width="9.5703125" style="2" customWidth="1"/>
    <col min="15" max="17" width="9.5703125" style="4" customWidth="1"/>
    <col min="18" max="23" width="9.5703125" style="2" customWidth="1"/>
    <col min="24" max="32" width="9.5703125" style="4" customWidth="1"/>
    <col min="33" max="35" width="9.5703125" style="2" customWidth="1"/>
    <col min="36" max="36" width="2.140625" style="2" customWidth="1"/>
    <col min="37" max="46" width="9.5703125" style="2" hidden="1" customWidth="1"/>
    <col min="47" max="51" width="9.5703125" style="4" hidden="1" customWidth="1"/>
    <col min="52" max="56" width="9.5703125" style="2" hidden="1" customWidth="1"/>
    <col min="57" max="65" width="9.5703125" style="4" hidden="1" customWidth="1"/>
    <col min="66" max="72" width="9.5703125" style="2" hidden="1" customWidth="1"/>
    <col min="73" max="73" width="10.5703125" style="4" customWidth="1"/>
    <col min="74" max="16384" width="8.7109375" style="2"/>
  </cols>
  <sheetData>
    <row r="2" spans="1:85" s="11" customFormat="1" ht="14.25" customHeight="1" x14ac:dyDescent="0.3">
      <c r="A2" s="7"/>
      <c r="B2" s="8" t="s">
        <v>20</v>
      </c>
      <c r="C2" s="8"/>
      <c r="D2" s="9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  <c r="BL2" s="23"/>
      <c r="BM2" s="23"/>
      <c r="BN2" s="23"/>
      <c r="BO2" s="23"/>
      <c r="BP2" s="23"/>
      <c r="BQ2" s="23"/>
      <c r="BR2" s="23"/>
      <c r="BS2" s="23"/>
      <c r="BT2" s="23"/>
      <c r="BU2" s="23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</row>
    <row r="4" spans="1:85" x14ac:dyDescent="0.3">
      <c r="B4" s="15" t="s">
        <v>27</v>
      </c>
      <c r="C4" s="16"/>
    </row>
    <row r="5" spans="1:85" x14ac:dyDescent="0.3">
      <c r="B5" s="17" t="s">
        <v>25</v>
      </c>
      <c r="C5" s="18"/>
    </row>
    <row r="6" spans="1:85" x14ac:dyDescent="0.3">
      <c r="B6" s="48" t="s">
        <v>26</v>
      </c>
      <c r="C6" s="49"/>
      <c r="O6" s="2"/>
      <c r="P6" s="43"/>
      <c r="Q6" s="2"/>
      <c r="X6" s="2"/>
      <c r="Y6" s="2"/>
      <c r="Z6" s="2"/>
      <c r="AA6" s="2"/>
      <c r="AB6" s="2"/>
      <c r="AC6" s="2"/>
      <c r="AD6" s="2"/>
      <c r="AE6" s="2"/>
      <c r="AF6" s="2"/>
      <c r="AU6" s="2"/>
      <c r="AV6" s="2"/>
      <c r="AW6" s="43"/>
      <c r="AX6" s="2"/>
      <c r="AY6" s="2"/>
      <c r="BE6" s="2"/>
      <c r="BF6" s="2"/>
      <c r="BG6" s="2"/>
      <c r="BH6" s="2"/>
      <c r="BI6" s="2"/>
      <c r="BJ6" s="2"/>
      <c r="BK6" s="2"/>
      <c r="BL6" s="2"/>
      <c r="BM6" s="2"/>
      <c r="BU6" s="2"/>
    </row>
    <row r="7" spans="1:85" x14ac:dyDescent="0.3">
      <c r="B7" s="33" t="s">
        <v>32</v>
      </c>
      <c r="C7" s="13">
        <v>2017</v>
      </c>
    </row>
    <row r="8" spans="1:85" s="23" customFormat="1" x14ac:dyDescent="0.3">
      <c r="B8" s="24"/>
      <c r="C8" s="24"/>
      <c r="D8" s="25"/>
      <c r="E8" s="2"/>
      <c r="F8" s="2"/>
      <c r="G8" s="2"/>
      <c r="H8" s="2"/>
      <c r="I8" s="2"/>
      <c r="J8" s="2"/>
      <c r="K8" s="2"/>
      <c r="L8" s="2"/>
      <c r="M8" s="2"/>
      <c r="N8" s="2"/>
      <c r="O8" s="4"/>
      <c r="P8" s="4"/>
      <c r="Q8" s="4"/>
      <c r="R8" s="2"/>
      <c r="S8" s="2"/>
      <c r="T8" s="2"/>
      <c r="U8" s="2"/>
      <c r="V8" s="2"/>
      <c r="W8" s="2"/>
      <c r="X8" s="4"/>
      <c r="Y8" s="4"/>
      <c r="Z8" s="4"/>
      <c r="AA8" s="4"/>
      <c r="AB8" s="4"/>
      <c r="AC8" s="4"/>
      <c r="AD8" s="4"/>
      <c r="AE8" s="4"/>
      <c r="AF8" s="4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4"/>
      <c r="AV8" s="4"/>
      <c r="AW8" s="4"/>
      <c r="AX8" s="4"/>
      <c r="AY8" s="4"/>
      <c r="AZ8" s="2"/>
      <c r="BA8" s="2"/>
      <c r="BB8" s="2"/>
      <c r="BC8" s="2"/>
      <c r="BD8" s="2"/>
      <c r="BE8" s="4"/>
      <c r="BF8" s="4"/>
      <c r="BG8" s="4"/>
      <c r="BH8" s="4"/>
      <c r="BI8" s="4"/>
      <c r="BJ8" s="4"/>
      <c r="BK8" s="4"/>
      <c r="BL8" s="4"/>
      <c r="BM8" s="4"/>
      <c r="BN8" s="2"/>
      <c r="BO8" s="2"/>
      <c r="BP8" s="2"/>
      <c r="BQ8" s="2"/>
      <c r="BR8" s="2"/>
      <c r="BS8" s="2"/>
      <c r="BT8" s="2"/>
      <c r="BU8" s="4"/>
    </row>
    <row r="9" spans="1:85" s="23" customFormat="1" x14ac:dyDescent="0.3">
      <c r="B9" s="26" t="s">
        <v>54</v>
      </c>
      <c r="C9" s="27"/>
      <c r="E9" s="2"/>
      <c r="F9" s="2"/>
      <c r="G9" s="2"/>
      <c r="H9" s="2"/>
      <c r="I9" s="2"/>
      <c r="J9" s="2"/>
      <c r="K9" s="2"/>
      <c r="L9" s="2"/>
      <c r="M9" s="2"/>
      <c r="N9" s="2"/>
      <c r="O9" s="4"/>
      <c r="P9" s="4"/>
      <c r="Q9" s="4"/>
      <c r="R9" s="2"/>
      <c r="S9" s="2"/>
      <c r="T9" s="2"/>
      <c r="U9" s="2"/>
      <c r="V9" s="2"/>
      <c r="W9" s="2"/>
      <c r="X9" s="4"/>
      <c r="Y9" s="4"/>
      <c r="Z9" s="4"/>
      <c r="AA9" s="4"/>
      <c r="AB9" s="4"/>
      <c r="AC9" s="4"/>
      <c r="AD9" s="4"/>
      <c r="AE9" s="4"/>
      <c r="AF9" s="4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4"/>
      <c r="AV9" s="4"/>
      <c r="AW9" s="4"/>
      <c r="AX9" s="4"/>
      <c r="AY9" s="4"/>
      <c r="AZ9" s="2"/>
      <c r="BA9" s="2"/>
      <c r="BB9" s="2"/>
      <c r="BC9" s="2"/>
      <c r="BD9" s="2"/>
      <c r="BE9" s="4"/>
      <c r="BF9" s="4"/>
      <c r="BG9" s="4"/>
      <c r="BH9" s="4"/>
      <c r="BI9" s="4"/>
      <c r="BJ9" s="4"/>
      <c r="BK9" s="4"/>
      <c r="BL9" s="4"/>
      <c r="BM9" s="4"/>
      <c r="BN9" s="2"/>
      <c r="BO9" s="2"/>
      <c r="BP9" s="2"/>
      <c r="BQ9" s="2"/>
      <c r="BR9" s="2"/>
      <c r="BS9" s="2"/>
      <c r="BT9" s="2"/>
      <c r="BU9" s="4"/>
    </row>
    <row r="10" spans="1:85" s="23" customFormat="1" x14ac:dyDescent="0.3">
      <c r="B10" s="24"/>
      <c r="C10" s="24"/>
      <c r="D10" s="25"/>
      <c r="E10" s="2"/>
      <c r="F10" s="2"/>
      <c r="G10" s="2"/>
      <c r="H10" s="2"/>
      <c r="I10" s="2"/>
      <c r="J10" s="2"/>
      <c r="K10" s="2"/>
      <c r="L10" s="2"/>
      <c r="M10" s="2"/>
      <c r="N10" s="2"/>
      <c r="O10" s="4"/>
      <c r="P10" s="4"/>
      <c r="Q10" s="4"/>
      <c r="R10" s="2"/>
      <c r="S10" s="2"/>
      <c r="T10" s="2"/>
      <c r="U10" s="2"/>
      <c r="V10" s="2"/>
      <c r="W10" s="2"/>
      <c r="X10" s="4"/>
      <c r="Y10" s="4"/>
      <c r="Z10" s="4"/>
      <c r="AA10" s="4"/>
      <c r="AB10" s="4"/>
      <c r="AC10" s="4"/>
      <c r="AD10" s="4"/>
      <c r="AE10" s="4"/>
      <c r="AF10" s="4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4"/>
      <c r="AV10" s="4"/>
      <c r="AW10" s="4"/>
      <c r="AX10" s="4"/>
      <c r="AY10" s="4"/>
      <c r="AZ10" s="2"/>
      <c r="BA10" s="2"/>
      <c r="BB10" s="2"/>
      <c r="BC10" s="2"/>
      <c r="BD10" s="2"/>
      <c r="BE10" s="4"/>
      <c r="BF10" s="4"/>
      <c r="BG10" s="4"/>
      <c r="BH10" s="4"/>
      <c r="BI10" s="4"/>
      <c r="BJ10" s="4"/>
      <c r="BK10" s="4"/>
      <c r="BL10" s="4"/>
      <c r="BM10" s="4"/>
      <c r="BN10" s="2"/>
      <c r="BO10" s="2"/>
      <c r="BP10" s="2"/>
      <c r="BQ10" s="2"/>
      <c r="BR10" s="2"/>
      <c r="BS10" s="2"/>
      <c r="BT10" s="2"/>
      <c r="BU10" s="4"/>
    </row>
    <row r="11" spans="1:85" x14ac:dyDescent="0.3">
      <c r="B11" s="21" t="s">
        <v>15</v>
      </c>
      <c r="C11" s="22"/>
    </row>
    <row r="12" spans="1:85" ht="33" x14ac:dyDescent="0.3">
      <c r="B12" s="3" t="s">
        <v>0</v>
      </c>
      <c r="C12" s="12" t="s">
        <v>111</v>
      </c>
      <c r="BU12" s="44"/>
    </row>
    <row r="13" spans="1:85" ht="33" x14ac:dyDescent="0.3">
      <c r="B13" s="3" t="s">
        <v>1</v>
      </c>
      <c r="C13" s="12" t="s">
        <v>112</v>
      </c>
      <c r="BU13" s="47"/>
    </row>
    <row r="14" spans="1:85" x14ac:dyDescent="0.3">
      <c r="B14" s="3" t="s">
        <v>2</v>
      </c>
      <c r="C14" s="12">
        <v>3</v>
      </c>
    </row>
    <row r="15" spans="1:85" x14ac:dyDescent="0.3">
      <c r="B15" s="3" t="s">
        <v>3</v>
      </c>
      <c r="C15" s="12">
        <v>1</v>
      </c>
    </row>
    <row r="16" spans="1:85" x14ac:dyDescent="0.3">
      <c r="B16" s="3" t="s">
        <v>4</v>
      </c>
      <c r="C16" s="12" t="s">
        <v>113</v>
      </c>
    </row>
    <row r="17" spans="2:3" x14ac:dyDescent="0.3">
      <c r="B17" s="3" t="s">
        <v>5</v>
      </c>
      <c r="C17" s="14">
        <v>25</v>
      </c>
    </row>
    <row r="18" spans="2:3" x14ac:dyDescent="0.3">
      <c r="B18" s="3" t="s">
        <v>6</v>
      </c>
      <c r="C18" s="14">
        <v>50</v>
      </c>
    </row>
    <row r="20" spans="2:3" x14ac:dyDescent="0.3">
      <c r="B20" s="21" t="s">
        <v>21</v>
      </c>
      <c r="C20" s="21"/>
    </row>
    <row r="21" spans="2:3" x14ac:dyDescent="0.3">
      <c r="B21" s="6" t="s">
        <v>7</v>
      </c>
      <c r="C21" s="14">
        <v>50</v>
      </c>
    </row>
    <row r="22" spans="2:3" x14ac:dyDescent="0.3">
      <c r="B22" s="6" t="s">
        <v>8</v>
      </c>
      <c r="C22" s="14">
        <v>25</v>
      </c>
    </row>
    <row r="23" spans="2:3" x14ac:dyDescent="0.3">
      <c r="B23" s="6" t="s">
        <v>9</v>
      </c>
      <c r="C23" s="14">
        <v>27288</v>
      </c>
    </row>
    <row r="24" spans="2:3" x14ac:dyDescent="0.3">
      <c r="B24" s="6" t="s">
        <v>22</v>
      </c>
      <c r="C24" s="14">
        <v>9504</v>
      </c>
    </row>
    <row r="25" spans="2:3" x14ac:dyDescent="0.3">
      <c r="B25" s="6" t="s">
        <v>10</v>
      </c>
      <c r="C25" s="14">
        <v>5826</v>
      </c>
    </row>
    <row r="26" spans="2:3" x14ac:dyDescent="0.3">
      <c r="B26" s="6" t="s">
        <v>11</v>
      </c>
      <c r="C26" s="14">
        <v>5777</v>
      </c>
    </row>
    <row r="27" spans="2:3" x14ac:dyDescent="0.3">
      <c r="B27" s="6" t="s">
        <v>12</v>
      </c>
      <c r="C27" s="14">
        <v>56</v>
      </c>
    </row>
    <row r="28" spans="2:3" x14ac:dyDescent="0.3">
      <c r="B28" s="6" t="s">
        <v>28</v>
      </c>
      <c r="C28" s="14">
        <v>16080</v>
      </c>
    </row>
    <row r="29" spans="2:3" x14ac:dyDescent="0.3">
      <c r="B29" s="6" t="s">
        <v>13</v>
      </c>
      <c r="C29" s="34">
        <f>IFERROR(C28/C21,"Calculated automatically")</f>
        <v>321.60000000000002</v>
      </c>
    </row>
    <row r="30" spans="2:3" x14ac:dyDescent="0.3">
      <c r="B30" s="6" t="s">
        <v>14</v>
      </c>
      <c r="C30" s="35">
        <f>IFERROR(C28/(C26+C27),"Calculated automatically")</f>
        <v>2.7567289559403396</v>
      </c>
    </row>
    <row r="32" spans="2:3" x14ac:dyDescent="0.3">
      <c r="B32" s="21" t="s">
        <v>76</v>
      </c>
      <c r="C32" s="21" t="s">
        <v>77</v>
      </c>
    </row>
    <row r="33" spans="2:72" x14ac:dyDescent="0.3">
      <c r="B33" s="42" t="s">
        <v>78</v>
      </c>
      <c r="C33" s="12" t="s">
        <v>115</v>
      </c>
    </row>
    <row r="34" spans="2:72" x14ac:dyDescent="0.3">
      <c r="B34" s="42" t="s">
        <v>79</v>
      </c>
      <c r="C34" s="12">
        <v>995</v>
      </c>
    </row>
    <row r="35" spans="2:72" x14ac:dyDescent="0.3">
      <c r="B35" s="42" t="s">
        <v>80</v>
      </c>
      <c r="C35" s="12">
        <v>2051</v>
      </c>
    </row>
    <row r="36" spans="2:72" x14ac:dyDescent="0.3">
      <c r="B36" s="42" t="s">
        <v>81</v>
      </c>
      <c r="C36" s="12" t="s">
        <v>115</v>
      </c>
    </row>
    <row r="37" spans="2:72" x14ac:dyDescent="0.3">
      <c r="B37" s="42" t="s">
        <v>82</v>
      </c>
      <c r="C37" s="12" t="s">
        <v>115</v>
      </c>
    </row>
    <row r="38" spans="2:72" x14ac:dyDescent="0.3">
      <c r="B38" s="42" t="s">
        <v>83</v>
      </c>
      <c r="C38" s="12">
        <v>77828</v>
      </c>
    </row>
    <row r="39" spans="2:72" x14ac:dyDescent="0.3">
      <c r="B39" s="42" t="s">
        <v>84</v>
      </c>
      <c r="C39" s="12">
        <v>7244</v>
      </c>
    </row>
    <row r="40" spans="2:72" x14ac:dyDescent="0.3">
      <c r="B40" s="42" t="s">
        <v>85</v>
      </c>
      <c r="C40" s="12" t="s">
        <v>115</v>
      </c>
    </row>
    <row r="41" spans="2:72" x14ac:dyDescent="0.3">
      <c r="B41" s="42" t="s">
        <v>86</v>
      </c>
      <c r="C41" s="12" t="s">
        <v>115</v>
      </c>
    </row>
    <row r="42" spans="2:72" x14ac:dyDescent="0.3">
      <c r="B42" s="42" t="s">
        <v>87</v>
      </c>
      <c r="C42" s="12" t="s">
        <v>115</v>
      </c>
    </row>
    <row r="43" spans="2:72" x14ac:dyDescent="0.3">
      <c r="B43" s="42" t="s">
        <v>88</v>
      </c>
      <c r="C43" s="12" t="s">
        <v>115</v>
      </c>
    </row>
    <row r="44" spans="2:72" x14ac:dyDescent="0.3">
      <c r="B44" s="42" t="s">
        <v>89</v>
      </c>
      <c r="C44" s="12" t="s">
        <v>115</v>
      </c>
    </row>
    <row r="45" spans="2:72" x14ac:dyDescent="0.3">
      <c r="B45" s="42" t="s">
        <v>90</v>
      </c>
      <c r="C45" s="12">
        <v>3616</v>
      </c>
    </row>
    <row r="47" spans="2:72" x14ac:dyDescent="0.3">
      <c r="B47" s="52" t="s">
        <v>97</v>
      </c>
      <c r="C47" s="52" t="s">
        <v>77</v>
      </c>
      <c r="E47" s="50" t="s">
        <v>110</v>
      </c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K47" s="50" t="s">
        <v>110</v>
      </c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</row>
    <row r="48" spans="2:72" x14ac:dyDescent="0.3">
      <c r="B48" s="53"/>
      <c r="C48" s="53"/>
      <c r="E48" s="55" t="s">
        <v>102</v>
      </c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6"/>
      <c r="W48" s="57"/>
      <c r="X48" s="51" t="s">
        <v>103</v>
      </c>
      <c r="Y48" s="51"/>
      <c r="Z48" s="51"/>
      <c r="AA48" s="51"/>
      <c r="AB48" s="51"/>
      <c r="AC48" s="51"/>
      <c r="AD48" s="51"/>
      <c r="AE48" s="51"/>
      <c r="AF48" s="51"/>
      <c r="AG48" s="51"/>
      <c r="AH48" s="51"/>
      <c r="AI48" s="51"/>
      <c r="AK48" s="55" t="s">
        <v>102</v>
      </c>
      <c r="AL48" s="55"/>
      <c r="AM48" s="55"/>
      <c r="AN48" s="55"/>
      <c r="AO48" s="55"/>
      <c r="AP48" s="55"/>
      <c r="AQ48" s="55"/>
      <c r="AR48" s="55"/>
      <c r="AS48" s="55"/>
      <c r="AT48" s="55"/>
      <c r="AU48" s="55"/>
      <c r="AV48" s="55"/>
      <c r="AW48" s="55"/>
      <c r="AX48" s="55"/>
      <c r="AY48" s="55"/>
      <c r="AZ48" s="55"/>
      <c r="BA48" s="55"/>
      <c r="BB48" s="55"/>
      <c r="BC48" s="56"/>
      <c r="BD48" s="57"/>
      <c r="BE48" s="51" t="s">
        <v>103</v>
      </c>
      <c r="BF48" s="51"/>
      <c r="BG48" s="51"/>
      <c r="BH48" s="51"/>
      <c r="BI48" s="51"/>
      <c r="BJ48" s="51"/>
      <c r="BK48" s="51"/>
      <c r="BL48" s="51"/>
      <c r="BM48" s="51"/>
      <c r="BN48" s="51"/>
      <c r="BO48" s="51"/>
      <c r="BP48" s="51"/>
      <c r="BQ48" s="51"/>
      <c r="BR48" s="51"/>
      <c r="BS48" s="51"/>
      <c r="BT48" s="51"/>
    </row>
    <row r="49" spans="2:72" ht="173.25" thickBot="1" x14ac:dyDescent="0.35">
      <c r="B49" s="54"/>
      <c r="C49" s="54"/>
      <c r="E49" s="45" t="s">
        <v>67</v>
      </c>
      <c r="F49" s="45" t="s">
        <v>55</v>
      </c>
      <c r="G49" s="45" t="s">
        <v>56</v>
      </c>
      <c r="H49" s="45" t="s">
        <v>57</v>
      </c>
      <c r="I49" s="45" t="s">
        <v>58</v>
      </c>
      <c r="J49" s="45" t="s">
        <v>59</v>
      </c>
      <c r="K49" s="45" t="s">
        <v>60</v>
      </c>
      <c r="L49" s="45" t="s">
        <v>68</v>
      </c>
      <c r="M49" s="45" t="s">
        <v>69</v>
      </c>
      <c r="N49" s="45" t="s">
        <v>50</v>
      </c>
      <c r="O49" s="45" t="s">
        <v>51</v>
      </c>
      <c r="P49" s="45" t="s">
        <v>52</v>
      </c>
      <c r="Q49" s="45" t="s">
        <v>53</v>
      </c>
      <c r="R49" s="45" t="s">
        <v>104</v>
      </c>
      <c r="S49" s="45" t="s">
        <v>105</v>
      </c>
      <c r="T49" s="45" t="s">
        <v>61</v>
      </c>
      <c r="U49" s="41" t="s">
        <v>106</v>
      </c>
      <c r="V49" s="45" t="s">
        <v>107</v>
      </c>
      <c r="W49" s="45" t="s">
        <v>108</v>
      </c>
      <c r="X49" s="45" t="s">
        <v>44</v>
      </c>
      <c r="Y49" s="45" t="s">
        <v>38</v>
      </c>
      <c r="Z49" s="45" t="s">
        <v>39</v>
      </c>
      <c r="AA49" s="45" t="s">
        <v>45</v>
      </c>
      <c r="AB49" s="45" t="s">
        <v>40</v>
      </c>
      <c r="AC49" s="45" t="s">
        <v>62</v>
      </c>
      <c r="AD49" s="45" t="s">
        <v>63</v>
      </c>
      <c r="AE49" s="45" t="s">
        <v>64</v>
      </c>
      <c r="AF49" s="45" t="s">
        <v>65</v>
      </c>
      <c r="AG49" s="45" t="s">
        <v>66</v>
      </c>
      <c r="AH49" s="45" t="s">
        <v>61</v>
      </c>
      <c r="AI49" s="41" t="s">
        <v>109</v>
      </c>
      <c r="AK49" s="45" t="s">
        <v>67</v>
      </c>
      <c r="AL49" s="45" t="s">
        <v>55</v>
      </c>
      <c r="AM49" s="45" t="s">
        <v>56</v>
      </c>
      <c r="AN49" s="45" t="s">
        <v>57</v>
      </c>
      <c r="AO49" s="45" t="s">
        <v>58</v>
      </c>
      <c r="AP49" s="45" t="s">
        <v>59</v>
      </c>
      <c r="AQ49" s="45" t="s">
        <v>60</v>
      </c>
      <c r="AR49" s="45" t="s">
        <v>68</v>
      </c>
      <c r="AS49" s="45" t="s">
        <v>69</v>
      </c>
      <c r="AT49" s="45" t="s">
        <v>50</v>
      </c>
      <c r="AU49" s="45" t="s">
        <v>51</v>
      </c>
      <c r="AV49" s="45" t="s">
        <v>70</v>
      </c>
      <c r="AW49" s="45" t="s">
        <v>52</v>
      </c>
      <c r="AX49" s="45" t="s">
        <v>71</v>
      </c>
      <c r="AY49" s="45" t="s">
        <v>53</v>
      </c>
      <c r="AZ49" s="45" t="s">
        <v>104</v>
      </c>
      <c r="BA49" s="45" t="s">
        <v>105</v>
      </c>
      <c r="BB49" s="41" t="s">
        <v>106</v>
      </c>
      <c r="BC49" s="45" t="s">
        <v>107</v>
      </c>
      <c r="BD49" s="45" t="s">
        <v>108</v>
      </c>
      <c r="BE49" s="45" t="s">
        <v>44</v>
      </c>
      <c r="BF49" s="45" t="s">
        <v>38</v>
      </c>
      <c r="BG49" s="45" t="s">
        <v>39</v>
      </c>
      <c r="BH49" s="45" t="s">
        <v>45</v>
      </c>
      <c r="BI49" s="45" t="s">
        <v>40</v>
      </c>
      <c r="BJ49" s="45" t="s">
        <v>46</v>
      </c>
      <c r="BK49" s="45" t="s">
        <v>47</v>
      </c>
      <c r="BL49" s="45" t="s">
        <v>48</v>
      </c>
      <c r="BM49" s="46" t="s">
        <v>49</v>
      </c>
      <c r="BN49" s="45" t="s">
        <v>62</v>
      </c>
      <c r="BO49" s="45" t="s">
        <v>63</v>
      </c>
      <c r="BP49" s="45" t="s">
        <v>64</v>
      </c>
      <c r="BQ49" s="45" t="s">
        <v>65</v>
      </c>
      <c r="BR49" s="45" t="s">
        <v>66</v>
      </c>
      <c r="BS49" s="45" t="s">
        <v>61</v>
      </c>
      <c r="BT49" s="41" t="s">
        <v>109</v>
      </c>
    </row>
    <row r="50" spans="2:72" ht="17.25" thickTop="1" x14ac:dyDescent="0.3">
      <c r="B50" s="42" t="s">
        <v>98</v>
      </c>
      <c r="C50" s="12" t="s">
        <v>116</v>
      </c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14"/>
      <c r="BO50" s="14"/>
      <c r="BP50" s="14"/>
      <c r="BQ50" s="14"/>
      <c r="BR50" s="14"/>
      <c r="BS50" s="14"/>
      <c r="BT50" s="14"/>
    </row>
    <row r="51" spans="2:72" x14ac:dyDescent="0.3">
      <c r="B51" s="42" t="s">
        <v>99</v>
      </c>
      <c r="C51" s="12" t="s">
        <v>148</v>
      </c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>
        <v>66</v>
      </c>
      <c r="Y51" s="14"/>
      <c r="Z51" s="14">
        <v>50</v>
      </c>
      <c r="AA51" s="14">
        <v>32</v>
      </c>
      <c r="AB51" s="14"/>
      <c r="AC51" s="14"/>
      <c r="AD51" s="14"/>
      <c r="AE51" s="14"/>
      <c r="AF51" s="14"/>
      <c r="AG51" s="14"/>
      <c r="AH51" s="14"/>
      <c r="AI51" s="14"/>
      <c r="AK51" s="14"/>
      <c r="AL51" s="14"/>
      <c r="AM51" s="14"/>
      <c r="AN51" s="14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14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</row>
    <row r="52" spans="2:72" x14ac:dyDescent="0.3">
      <c r="B52" s="42" t="s">
        <v>100</v>
      </c>
      <c r="C52" s="12" t="s">
        <v>117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>
        <v>4668</v>
      </c>
      <c r="Y52" s="14">
        <v>4710</v>
      </c>
      <c r="Z52" s="14">
        <v>3522</v>
      </c>
      <c r="AA52" s="14">
        <v>4548</v>
      </c>
      <c r="AB52" s="14"/>
      <c r="AC52" s="14"/>
      <c r="AD52" s="14"/>
      <c r="AE52" s="14"/>
      <c r="AF52" s="14"/>
      <c r="AG52" s="14"/>
      <c r="AH52" s="14"/>
      <c r="AI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14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</row>
    <row r="53" spans="2:72" x14ac:dyDescent="0.3">
      <c r="B53" s="42" t="s">
        <v>101</v>
      </c>
      <c r="C53" s="12" t="s">
        <v>149</v>
      </c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K53" s="14"/>
      <c r="AL53" s="14"/>
      <c r="AM53" s="14"/>
      <c r="AN53" s="14"/>
      <c r="AO53" s="14"/>
      <c r="AP53" s="14"/>
      <c r="AQ53" s="14"/>
      <c r="AR53" s="14"/>
      <c r="AS53" s="14"/>
      <c r="AT53" s="14"/>
      <c r="AU53" s="14"/>
      <c r="AV53" s="14"/>
      <c r="AW53" s="14"/>
      <c r="AX53" s="14"/>
      <c r="AY53" s="14"/>
      <c r="AZ53" s="14"/>
      <c r="BA53" s="14"/>
      <c r="BB53" s="14"/>
      <c r="BC53" s="14"/>
      <c r="BD53" s="14"/>
      <c r="BE53" s="14"/>
      <c r="BF53" s="14"/>
      <c r="BG53" s="14"/>
      <c r="BH53" s="14"/>
      <c r="BI53" s="14"/>
      <c r="BJ53" s="14"/>
      <c r="BK53" s="14"/>
      <c r="BL53" s="14"/>
      <c r="BM53" s="14"/>
      <c r="BN53" s="14"/>
      <c r="BO53" s="14"/>
      <c r="BP53" s="14"/>
      <c r="BQ53" s="14"/>
      <c r="BR53" s="14"/>
      <c r="BS53" s="14"/>
      <c r="BT53" s="14"/>
    </row>
    <row r="56" spans="2:72" x14ac:dyDescent="0.3">
      <c r="E56" s="4"/>
      <c r="F56" s="4"/>
      <c r="G56" s="4"/>
      <c r="H56" s="4"/>
      <c r="I56" s="4"/>
      <c r="J56" s="4"/>
      <c r="K56" s="4"/>
      <c r="L56" s="4"/>
      <c r="M56" s="4"/>
      <c r="N56" s="4"/>
      <c r="R56" s="4"/>
      <c r="S56" s="4"/>
      <c r="T56" s="4"/>
      <c r="U56" s="4"/>
      <c r="V56" s="4"/>
      <c r="W56" s="4"/>
      <c r="AG56" s="4"/>
      <c r="AH56" s="4"/>
      <c r="AI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Z56" s="4"/>
      <c r="BA56" s="4"/>
      <c r="BB56" s="4"/>
      <c r="BC56" s="4"/>
      <c r="BD56" s="4"/>
      <c r="BN56" s="4"/>
      <c r="BO56" s="4"/>
      <c r="BP56" s="4"/>
      <c r="BQ56" s="4"/>
      <c r="BR56" s="4"/>
      <c r="BS56" s="4"/>
      <c r="BT56" s="4"/>
    </row>
    <row r="57" spans="2:72" x14ac:dyDescent="0.3">
      <c r="E57" s="4"/>
      <c r="F57" s="4"/>
      <c r="G57" s="4"/>
      <c r="H57" s="4"/>
      <c r="I57" s="4"/>
      <c r="J57" s="4"/>
      <c r="K57" s="4"/>
      <c r="L57" s="4"/>
      <c r="M57" s="4"/>
      <c r="N57" s="4"/>
      <c r="R57" s="4"/>
      <c r="S57" s="4"/>
      <c r="T57" s="4"/>
      <c r="U57" s="4"/>
      <c r="V57" s="4"/>
      <c r="W57" s="4"/>
      <c r="AG57" s="4"/>
      <c r="AH57" s="4"/>
      <c r="AI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Z57" s="4"/>
      <c r="BA57" s="4"/>
      <c r="BB57" s="4"/>
      <c r="BC57" s="4"/>
      <c r="BD57" s="4"/>
      <c r="BN57" s="4"/>
      <c r="BO57" s="4"/>
      <c r="BP57" s="4"/>
      <c r="BQ57" s="4"/>
      <c r="BR57" s="4"/>
      <c r="BS57" s="4"/>
      <c r="BT57" s="4"/>
    </row>
    <row r="58" spans="2:72" x14ac:dyDescent="0.3">
      <c r="E58" s="4"/>
      <c r="F58" s="4"/>
      <c r="G58" s="4"/>
      <c r="H58" s="4"/>
      <c r="I58" s="4"/>
      <c r="J58" s="4"/>
      <c r="K58" s="4"/>
      <c r="L58" s="4"/>
      <c r="M58" s="4"/>
      <c r="N58" s="4"/>
      <c r="R58" s="4"/>
      <c r="S58" s="4"/>
      <c r="T58" s="4"/>
      <c r="U58" s="4"/>
      <c r="V58" s="4"/>
      <c r="W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Z58" s="4"/>
      <c r="BA58" s="4"/>
      <c r="BB58" s="4"/>
      <c r="BC58" s="4"/>
      <c r="BD58" s="4"/>
      <c r="BN58" s="4"/>
      <c r="BO58" s="4"/>
      <c r="BP58" s="4"/>
      <c r="BQ58" s="4"/>
      <c r="BR58" s="4"/>
      <c r="BS58" s="4"/>
      <c r="BT58" s="4"/>
    </row>
  </sheetData>
  <sheetProtection algorithmName="SHA-512" hashValue="e4Q3AHhzjM9mu1of6bm9YMhCxL+RAVqEOT/lCLZnPhxIChJ4j7Me57lpS4LUsC0vm3Fjll+vfjVwvH/v9n2QDg==" saltValue="4/gn1ftfzD0UTEu1SOCPDQ==" spinCount="100000" sheet="1" objects="1" scenarios="1" formatColumns="0" formatRows="0" sort="0" autoFilter="0"/>
  <mergeCells count="11">
    <mergeCell ref="B6:C6"/>
    <mergeCell ref="E47:AI47"/>
    <mergeCell ref="AK47:BT47"/>
    <mergeCell ref="BE48:BT48"/>
    <mergeCell ref="B47:B49"/>
    <mergeCell ref="C47:C49"/>
    <mergeCell ref="E48:U48"/>
    <mergeCell ref="V48:W48"/>
    <mergeCell ref="X48:AI48"/>
    <mergeCell ref="AK48:BB48"/>
    <mergeCell ref="BC48:BD48"/>
  </mergeCells>
  <dataValidations count="1">
    <dataValidation type="decimal" operator="greaterThanOrEqual" allowBlank="1" showInputMessage="1" showErrorMessage="1" sqref="C17:C18 C21:C28 E50:AI53 AK50:BT53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electI">
              <controlPr defaultSize="0" print="0" autoFill="0" autoPict="0" macro="[0]!Select_LevelI" altText="Select Level I and II Health Facilities">
                <anchor moveWithCells="1">
                  <from>
                    <xdr:col>2</xdr:col>
                    <xdr:colOff>123825</xdr:colOff>
                    <xdr:row>7</xdr:row>
                    <xdr:rowOff>161925</xdr:rowOff>
                  </from>
                  <to>
                    <xdr:col>2</xdr:col>
                    <xdr:colOff>1209675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SelectIIandIII">
              <controlPr defaultSize="0" print="0" autoFill="0" autoPict="0" macro="[0]!Select_LevelIIandIII" altText="Select Level I and II Health Facilities">
                <anchor moveWithCells="1">
                  <from>
                    <xdr:col>2</xdr:col>
                    <xdr:colOff>1476375</xdr:colOff>
                    <xdr:row>7</xdr:row>
                    <xdr:rowOff>161925</xdr:rowOff>
                  </from>
                  <to>
                    <xdr:col>2</xdr:col>
                    <xdr:colOff>2562225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2:O28"/>
  <sheetViews>
    <sheetView zoomScale="80" zoomScaleNormal="80" workbookViewId="0">
      <selection activeCell="B17" sqref="B17"/>
    </sheetView>
  </sheetViews>
  <sheetFormatPr defaultColWidth="8.7109375" defaultRowHeight="12.75" x14ac:dyDescent="0.2"/>
  <cols>
    <col min="1" max="1" width="3.7109375" style="4" customWidth="1"/>
    <col min="2" max="2" width="37.140625" style="4" bestFit="1" customWidth="1"/>
    <col min="3" max="3" width="22.140625" style="4" customWidth="1"/>
    <col min="4" max="4" width="15.42578125" style="4" customWidth="1"/>
    <col min="5" max="8" width="12.85546875" style="4" customWidth="1"/>
    <col min="9" max="16384" width="8.7109375" style="4"/>
  </cols>
  <sheetData>
    <row r="2" spans="1:15" s="11" customFormat="1" ht="14.25" customHeight="1" x14ac:dyDescent="0.3">
      <c r="A2" s="7"/>
      <c r="B2" s="8" t="s">
        <v>93</v>
      </c>
      <c r="C2" s="8"/>
      <c r="D2" s="9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</row>
    <row r="3" spans="1:15" s="2" customFormat="1" ht="16.5" x14ac:dyDescent="0.3"/>
    <row r="4" spans="1:15" s="2" customFormat="1" ht="25.5" customHeight="1" x14ac:dyDescent="0.3">
      <c r="B4" s="62" t="s">
        <v>94</v>
      </c>
      <c r="C4" s="63"/>
      <c r="D4" s="64" t="s">
        <v>96</v>
      </c>
      <c r="E4" s="64"/>
    </row>
    <row r="5" spans="1:15" s="2" customFormat="1" ht="16.5" x14ac:dyDescent="0.3">
      <c r="B5" s="17" t="s">
        <v>95</v>
      </c>
      <c r="C5" s="18"/>
      <c r="D5" s="64"/>
      <c r="E5" s="64"/>
    </row>
    <row r="6" spans="1:15" s="2" customFormat="1" ht="16.5" x14ac:dyDescent="0.3">
      <c r="B6" s="48" t="s">
        <v>30</v>
      </c>
      <c r="C6" s="49"/>
      <c r="D6" s="64"/>
      <c r="E6" s="64"/>
    </row>
    <row r="7" spans="1:15" s="2" customFormat="1" ht="16.5" x14ac:dyDescent="0.3">
      <c r="B7" s="33" t="s">
        <v>32</v>
      </c>
      <c r="C7" s="13">
        <v>2017</v>
      </c>
      <c r="D7" s="64"/>
      <c r="E7" s="64"/>
    </row>
    <row r="9" spans="1:15" ht="15" customHeight="1" x14ac:dyDescent="0.2">
      <c r="B9" s="58" t="s">
        <v>31</v>
      </c>
      <c r="C9" s="59" t="s">
        <v>92</v>
      </c>
      <c r="D9" s="60"/>
      <c r="E9" s="60"/>
      <c r="F9" s="60"/>
      <c r="G9" s="61"/>
    </row>
    <row r="10" spans="1:15" s="5" customFormat="1" x14ac:dyDescent="0.2">
      <c r="B10" s="58"/>
      <c r="C10" s="29" t="s">
        <v>23</v>
      </c>
      <c r="D10" s="29" t="s">
        <v>16</v>
      </c>
      <c r="E10" s="29" t="s">
        <v>17</v>
      </c>
      <c r="F10" s="29" t="s">
        <v>18</v>
      </c>
      <c r="G10" s="29" t="s">
        <v>19</v>
      </c>
    </row>
    <row r="11" spans="1:15" ht="4.1500000000000004" customHeight="1" x14ac:dyDescent="0.2"/>
    <row r="12" spans="1:15" s="28" customFormat="1" ht="16.5" x14ac:dyDescent="0.3">
      <c r="B12" s="37" t="s">
        <v>44</v>
      </c>
      <c r="C12" s="14"/>
      <c r="D12" s="14"/>
      <c r="E12" s="14"/>
      <c r="F12" s="14"/>
      <c r="G12" s="14"/>
    </row>
    <row r="13" spans="1:15" s="28" customFormat="1" ht="16.5" x14ac:dyDescent="0.3">
      <c r="B13" s="37" t="s">
        <v>38</v>
      </c>
      <c r="C13" s="14">
        <v>5790</v>
      </c>
      <c r="D13" s="14">
        <v>1570</v>
      </c>
      <c r="E13" s="14">
        <v>1571</v>
      </c>
      <c r="F13" s="14">
        <v>6</v>
      </c>
      <c r="G13" s="14">
        <f>SUM(C13/ (E13+F13))</f>
        <v>3.6715282181357005</v>
      </c>
    </row>
    <row r="14" spans="1:15" s="28" customFormat="1" ht="16.5" x14ac:dyDescent="0.3">
      <c r="B14" s="37" t="s">
        <v>39</v>
      </c>
      <c r="C14" s="14">
        <v>2504</v>
      </c>
      <c r="D14" s="14">
        <v>1174</v>
      </c>
      <c r="E14" s="14">
        <v>1173</v>
      </c>
      <c r="F14" s="14">
        <v>0</v>
      </c>
      <c r="G14" s="14">
        <f t="shared" ref="G14:G15" si="0">SUM(C14/ (E14+F14))</f>
        <v>2.1346973572037511</v>
      </c>
    </row>
    <row r="15" spans="1:15" s="28" customFormat="1" ht="16.5" x14ac:dyDescent="0.3">
      <c r="B15" s="37" t="s">
        <v>45</v>
      </c>
      <c r="C15" s="14">
        <v>5992</v>
      </c>
      <c r="D15" s="14">
        <v>1516</v>
      </c>
      <c r="E15" s="14">
        <v>1515</v>
      </c>
      <c r="F15" s="14">
        <v>0</v>
      </c>
      <c r="G15" s="14">
        <f t="shared" si="0"/>
        <v>3.9551155115511549</v>
      </c>
    </row>
    <row r="16" spans="1:15" s="28" customFormat="1" ht="16.5" x14ac:dyDescent="0.3">
      <c r="B16" s="37" t="s">
        <v>40</v>
      </c>
      <c r="C16" s="14"/>
      <c r="D16" s="14"/>
      <c r="E16" s="14"/>
      <c r="F16" s="14"/>
      <c r="G16" s="14"/>
    </row>
    <row r="17" spans="2:7" s="28" customFormat="1" ht="16.5" x14ac:dyDescent="0.3">
      <c r="B17" s="39" t="s">
        <v>114</v>
      </c>
      <c r="C17" s="14">
        <v>5741</v>
      </c>
      <c r="D17" s="14">
        <v>1556</v>
      </c>
      <c r="E17" s="14">
        <v>1559</v>
      </c>
      <c r="F17" s="14">
        <v>50</v>
      </c>
      <c r="G17" s="14">
        <f>SUM(C17/ (E17+F17))</f>
        <v>3.5680546923555001</v>
      </c>
    </row>
    <row r="18" spans="2:7" ht="3.4" customHeight="1" x14ac:dyDescent="0.2"/>
    <row r="19" spans="2:7" ht="16.5" hidden="1" x14ac:dyDescent="0.3">
      <c r="B19" s="38" t="s">
        <v>44</v>
      </c>
      <c r="C19" s="14"/>
      <c r="D19" s="14"/>
      <c r="E19" s="14"/>
      <c r="F19" s="14"/>
      <c r="G19" s="14"/>
    </row>
    <row r="20" spans="2:7" ht="16.5" hidden="1" x14ac:dyDescent="0.3">
      <c r="B20" s="38" t="s">
        <v>38</v>
      </c>
      <c r="C20" s="14"/>
      <c r="D20" s="14"/>
      <c r="E20" s="14"/>
      <c r="F20" s="14"/>
      <c r="G20" s="14"/>
    </row>
    <row r="21" spans="2:7" ht="16.5" hidden="1" x14ac:dyDescent="0.3">
      <c r="B21" s="38" t="s">
        <v>39</v>
      </c>
      <c r="C21" s="14"/>
      <c r="D21" s="14"/>
      <c r="E21" s="14"/>
      <c r="F21" s="14"/>
      <c r="G21" s="14"/>
    </row>
    <row r="22" spans="2:7" ht="16.5" hidden="1" x14ac:dyDescent="0.3">
      <c r="B22" s="38" t="s">
        <v>45</v>
      </c>
      <c r="C22" s="14"/>
      <c r="D22" s="14"/>
      <c r="E22" s="14"/>
      <c r="F22" s="14"/>
      <c r="G22" s="14"/>
    </row>
    <row r="23" spans="2:7" ht="16.5" hidden="1" x14ac:dyDescent="0.3">
      <c r="B23" s="38" t="s">
        <v>40</v>
      </c>
      <c r="C23" s="14"/>
      <c r="D23" s="14"/>
      <c r="E23" s="14"/>
      <c r="F23" s="14"/>
      <c r="G23" s="14"/>
    </row>
    <row r="24" spans="2:7" ht="16.5" hidden="1" x14ac:dyDescent="0.3">
      <c r="B24" s="38" t="s">
        <v>46</v>
      </c>
      <c r="C24" s="14"/>
      <c r="D24" s="14"/>
      <c r="E24" s="14"/>
      <c r="F24" s="14"/>
      <c r="G24" s="14"/>
    </row>
    <row r="25" spans="2:7" ht="16.5" hidden="1" x14ac:dyDescent="0.3">
      <c r="B25" s="38" t="s">
        <v>47</v>
      </c>
      <c r="C25" s="14"/>
      <c r="D25" s="14"/>
      <c r="E25" s="14"/>
      <c r="F25" s="14"/>
      <c r="G25" s="14"/>
    </row>
    <row r="26" spans="2:7" ht="16.5" hidden="1" x14ac:dyDescent="0.3">
      <c r="B26" s="38" t="s">
        <v>48</v>
      </c>
      <c r="C26" s="14"/>
      <c r="D26" s="14"/>
      <c r="E26" s="14"/>
      <c r="F26" s="14"/>
      <c r="G26" s="14"/>
    </row>
    <row r="27" spans="2:7" ht="16.5" hidden="1" x14ac:dyDescent="0.3">
      <c r="B27" s="38" t="s">
        <v>49</v>
      </c>
      <c r="C27" s="14"/>
      <c r="D27" s="14"/>
      <c r="E27" s="14"/>
      <c r="F27" s="14"/>
      <c r="G27" s="14"/>
    </row>
    <row r="28" spans="2:7" ht="16.5" hidden="1" x14ac:dyDescent="0.3">
      <c r="B28" s="39" t="s">
        <v>72</v>
      </c>
      <c r="C28" s="14"/>
      <c r="D28" s="14"/>
      <c r="E28" s="14"/>
      <c r="F28" s="14"/>
      <c r="G28" s="14"/>
    </row>
  </sheetData>
  <sheetProtection algorithmName="SHA-512" hashValue="SC1A5le2YDTUrbSKfq60enbLF+6zNXOh4ubMQpthmGumgHAdm9BJjLe1Ar8PYEUfGsNwQya6jiNUAC9btYajXA==" saltValue="UMsiGe0VLiCnjcb4P+U8Wg==" spinCount="100000" sheet="1" objects="1" scenarios="1" formatColumns="0" formatRows="0" sort="0" autoFilter="0"/>
  <mergeCells count="5">
    <mergeCell ref="B9:B10"/>
    <mergeCell ref="B6:C6"/>
    <mergeCell ref="C9:G9"/>
    <mergeCell ref="B4:C4"/>
    <mergeCell ref="D4:E7"/>
  </mergeCells>
  <dataValidations count="1">
    <dataValidation type="decimal" operator="greaterThanOrEqual" allowBlank="1" showInputMessage="1" showErrorMessage="1" sqref="C12:G17 C19:G28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70C0"/>
  </sheetPr>
  <dimension ref="B2:AK33"/>
  <sheetViews>
    <sheetView tabSelected="1" topLeftCell="A11" zoomScale="80" zoomScaleNormal="80" workbookViewId="0">
      <pane xSplit="7" ySplit="5" topLeftCell="H16" activePane="bottomRight" state="frozen"/>
      <selection activeCell="A11" sqref="A11"/>
      <selection pane="topRight" activeCell="H11" sqref="H11"/>
      <selection pane="bottomLeft" activeCell="A16" sqref="A16"/>
      <selection pane="bottomRight" activeCell="G16" sqref="G16"/>
    </sheetView>
  </sheetViews>
  <sheetFormatPr defaultColWidth="8.7109375" defaultRowHeight="16.5" outlineLevelRow="1" x14ac:dyDescent="0.3"/>
  <cols>
    <col min="1" max="1" width="3.42578125" style="2" customWidth="1"/>
    <col min="2" max="2" width="26.140625" style="2" customWidth="1"/>
    <col min="3" max="3" width="22.42578125" style="2" customWidth="1"/>
    <col min="4" max="6" width="17" style="2" customWidth="1"/>
    <col min="7" max="7" width="14.42578125" style="2" customWidth="1"/>
    <col min="8" max="8" width="2.140625" style="2" customWidth="1"/>
    <col min="9" max="20" width="9.5703125" style="2" customWidth="1"/>
    <col min="21" max="21" width="1.5703125" style="2" customWidth="1"/>
    <col min="22" max="37" width="9.5703125" style="2" hidden="1" customWidth="1"/>
    <col min="38" max="16384" width="8.7109375" style="2"/>
  </cols>
  <sheetData>
    <row r="2" spans="2:37" x14ac:dyDescent="0.3">
      <c r="B2" s="1" t="s">
        <v>24</v>
      </c>
    </row>
    <row r="4" spans="2:37" hidden="1" outlineLevel="1" x14ac:dyDescent="0.3">
      <c r="B4" s="2" t="s">
        <v>75</v>
      </c>
      <c r="C4" s="2">
        <v>20</v>
      </c>
    </row>
    <row r="5" spans="2:37" collapsed="1" x14ac:dyDescent="0.3">
      <c r="B5" s="15" t="s">
        <v>37</v>
      </c>
      <c r="C5" s="30"/>
      <c r="D5" s="30"/>
      <c r="E5" s="30"/>
      <c r="F5" s="30"/>
      <c r="G5" s="30"/>
    </row>
    <row r="6" spans="2:37" x14ac:dyDescent="0.3">
      <c r="B6" s="17" t="s">
        <v>29</v>
      </c>
      <c r="C6" s="31"/>
      <c r="D6" s="31"/>
      <c r="E6" s="31"/>
      <c r="F6" s="31"/>
      <c r="G6" s="31"/>
    </row>
    <row r="7" spans="2:37" x14ac:dyDescent="0.3">
      <c r="B7" s="17" t="s">
        <v>30</v>
      </c>
      <c r="C7" s="31"/>
      <c r="D7" s="31"/>
      <c r="E7" s="31"/>
      <c r="F7" s="31"/>
      <c r="G7" s="31"/>
    </row>
    <row r="8" spans="2:37" x14ac:dyDescent="0.3">
      <c r="B8" s="19" t="s">
        <v>32</v>
      </c>
      <c r="C8" s="13">
        <v>2017</v>
      </c>
      <c r="D8" s="31"/>
      <c r="E8" s="31"/>
      <c r="F8" s="31"/>
      <c r="G8" s="31"/>
    </row>
    <row r="9" spans="2:37" x14ac:dyDescent="0.3">
      <c r="B9" s="19" t="s">
        <v>42</v>
      </c>
      <c r="C9" s="31"/>
      <c r="D9" s="31"/>
      <c r="E9" s="31"/>
      <c r="F9" s="31"/>
      <c r="G9" s="31"/>
    </row>
    <row r="10" spans="2:37" x14ac:dyDescent="0.3">
      <c r="B10" s="20" t="s">
        <v>43</v>
      </c>
      <c r="C10" s="32"/>
      <c r="D10" s="32"/>
      <c r="E10" s="32"/>
      <c r="F10" s="32"/>
      <c r="G10" s="32"/>
    </row>
    <row r="12" spans="2:37" ht="29.25" customHeight="1" x14ac:dyDescent="0.3">
      <c r="B12" s="66" t="s">
        <v>33</v>
      </c>
      <c r="C12" s="67" t="s">
        <v>74</v>
      </c>
      <c r="D12" s="68" t="s">
        <v>73</v>
      </c>
      <c r="E12" s="69"/>
      <c r="F12" s="70"/>
      <c r="G12" s="71" t="s">
        <v>91</v>
      </c>
      <c r="I12" s="65" t="s">
        <v>41</v>
      </c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V12" s="65" t="s">
        <v>41</v>
      </c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</row>
    <row r="13" spans="2:37" ht="112.5" x14ac:dyDescent="0.3">
      <c r="B13" s="66"/>
      <c r="C13" s="67"/>
      <c r="D13" s="36" t="s">
        <v>34</v>
      </c>
      <c r="E13" s="36" t="s">
        <v>35</v>
      </c>
      <c r="F13" s="36" t="s">
        <v>36</v>
      </c>
      <c r="G13" s="71"/>
      <c r="I13" s="40" t="s">
        <v>44</v>
      </c>
      <c r="J13" s="40" t="s">
        <v>38</v>
      </c>
      <c r="K13" s="40" t="s">
        <v>39</v>
      </c>
      <c r="L13" s="40" t="s">
        <v>45</v>
      </c>
      <c r="M13" s="40" t="s">
        <v>40</v>
      </c>
      <c r="N13" s="40" t="s">
        <v>62</v>
      </c>
      <c r="O13" s="40" t="s">
        <v>63</v>
      </c>
      <c r="P13" s="40" t="s">
        <v>64</v>
      </c>
      <c r="Q13" s="40" t="s">
        <v>65</v>
      </c>
      <c r="R13" s="40" t="s">
        <v>66</v>
      </c>
      <c r="S13" s="40" t="s">
        <v>61</v>
      </c>
      <c r="T13" s="41" t="s">
        <v>72</v>
      </c>
      <c r="V13" s="40" t="s">
        <v>44</v>
      </c>
      <c r="W13" s="40" t="s">
        <v>38</v>
      </c>
      <c r="X13" s="40" t="s">
        <v>39</v>
      </c>
      <c r="Y13" s="40" t="s">
        <v>45</v>
      </c>
      <c r="Z13" s="40" t="s">
        <v>40</v>
      </c>
      <c r="AA13" s="40" t="s">
        <v>46</v>
      </c>
      <c r="AB13" s="40" t="s">
        <v>47</v>
      </c>
      <c r="AC13" s="40" t="s">
        <v>48</v>
      </c>
      <c r="AD13" s="40" t="s">
        <v>49</v>
      </c>
      <c r="AE13" s="40" t="s">
        <v>62</v>
      </c>
      <c r="AF13" s="40" t="s">
        <v>63</v>
      </c>
      <c r="AG13" s="40" t="s">
        <v>64</v>
      </c>
      <c r="AH13" s="40" t="s">
        <v>65</v>
      </c>
      <c r="AI13" s="40" t="s">
        <v>66</v>
      </c>
      <c r="AJ13" s="40" t="s">
        <v>61</v>
      </c>
      <c r="AK13" s="41" t="s">
        <v>72</v>
      </c>
    </row>
    <row r="14" spans="2:37" ht="49.5" x14ac:dyDescent="0.3">
      <c r="B14" s="3">
        <v>1</v>
      </c>
      <c r="C14" s="12" t="s">
        <v>118</v>
      </c>
      <c r="D14" s="12" t="s">
        <v>150</v>
      </c>
      <c r="E14" s="12"/>
      <c r="F14" s="12"/>
      <c r="G14" s="14">
        <v>1692</v>
      </c>
      <c r="I14" s="14"/>
      <c r="J14" s="14"/>
      <c r="K14" s="14"/>
      <c r="L14" s="14">
        <v>1281</v>
      </c>
      <c r="M14" s="14"/>
      <c r="N14" s="14"/>
      <c r="O14" s="14"/>
      <c r="P14" s="14"/>
      <c r="Q14" s="14"/>
      <c r="R14" s="14"/>
      <c r="S14" s="14"/>
      <c r="T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</row>
    <row r="15" spans="2:37" x14ac:dyDescent="0.3">
      <c r="B15" s="3">
        <v>2</v>
      </c>
      <c r="C15" s="12" t="s">
        <v>119</v>
      </c>
      <c r="D15" s="12" t="s">
        <v>138</v>
      </c>
      <c r="E15" s="12"/>
      <c r="F15" s="12"/>
      <c r="G15" s="14">
        <v>3786</v>
      </c>
      <c r="I15" s="14">
        <v>314</v>
      </c>
      <c r="J15" s="14">
        <v>557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</row>
    <row r="16" spans="2:37" x14ac:dyDescent="0.3">
      <c r="B16" s="3">
        <v>3</v>
      </c>
      <c r="C16" s="12" t="s">
        <v>120</v>
      </c>
      <c r="D16" s="12" t="s">
        <v>151</v>
      </c>
      <c r="E16" s="12"/>
      <c r="F16" s="12"/>
      <c r="G16" s="14">
        <v>1882</v>
      </c>
      <c r="I16" s="14"/>
      <c r="J16" s="14"/>
      <c r="K16" s="14">
        <v>770</v>
      </c>
      <c r="L16" s="14"/>
      <c r="M16" s="14"/>
      <c r="N16" s="14"/>
      <c r="O16" s="14"/>
      <c r="P16" s="14"/>
      <c r="Q16" s="14"/>
      <c r="R16" s="14"/>
      <c r="S16" s="14"/>
      <c r="T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</row>
    <row r="17" spans="2:37" ht="33" x14ac:dyDescent="0.3">
      <c r="B17" s="3">
        <v>4</v>
      </c>
      <c r="C17" s="12" t="s">
        <v>121</v>
      </c>
      <c r="D17" s="12" t="s">
        <v>139</v>
      </c>
      <c r="E17" s="12"/>
      <c r="F17" s="12"/>
      <c r="G17" s="14">
        <v>1366</v>
      </c>
      <c r="I17" s="14">
        <v>123</v>
      </c>
      <c r="J17" s="14">
        <v>331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</row>
    <row r="18" spans="2:37" ht="33" x14ac:dyDescent="0.3">
      <c r="B18" s="3">
        <v>5</v>
      </c>
      <c r="C18" s="12" t="s">
        <v>122</v>
      </c>
      <c r="D18" s="12" t="s">
        <v>140</v>
      </c>
      <c r="E18" s="12"/>
      <c r="F18" s="12"/>
      <c r="G18" s="14">
        <v>637</v>
      </c>
      <c r="I18" s="14"/>
      <c r="J18" s="14"/>
      <c r="K18" s="14">
        <v>326</v>
      </c>
      <c r="L18" s="14"/>
      <c r="M18" s="14"/>
      <c r="N18" s="14"/>
      <c r="O18" s="14"/>
      <c r="P18" s="14"/>
      <c r="Q18" s="14"/>
      <c r="R18" s="14"/>
      <c r="S18" s="14"/>
      <c r="T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</row>
    <row r="19" spans="2:37" ht="33" x14ac:dyDescent="0.3">
      <c r="B19" s="3">
        <v>6</v>
      </c>
      <c r="C19" s="12" t="s">
        <v>123</v>
      </c>
      <c r="D19" s="12" t="s">
        <v>141</v>
      </c>
      <c r="E19" s="12"/>
      <c r="F19" s="12"/>
      <c r="G19" s="14">
        <v>606</v>
      </c>
      <c r="I19" s="14">
        <v>106</v>
      </c>
      <c r="J19" s="14">
        <v>33</v>
      </c>
      <c r="K19" s="14"/>
      <c r="L19" s="14"/>
      <c r="M19" s="14"/>
      <c r="N19" s="14"/>
      <c r="O19" s="14"/>
      <c r="P19" s="14"/>
      <c r="Q19" s="14"/>
      <c r="R19" s="14"/>
      <c r="S19" s="14"/>
      <c r="T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</row>
    <row r="20" spans="2:37" x14ac:dyDescent="0.3">
      <c r="B20" s="3">
        <v>7</v>
      </c>
      <c r="C20" s="12" t="s">
        <v>124</v>
      </c>
      <c r="D20" s="12" t="s">
        <v>142</v>
      </c>
      <c r="E20" s="12"/>
      <c r="F20" s="12"/>
      <c r="G20" s="14">
        <v>574</v>
      </c>
      <c r="I20" s="14">
        <v>69</v>
      </c>
      <c r="J20" s="14">
        <v>96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</row>
    <row r="21" spans="2:37" ht="33" x14ac:dyDescent="0.3">
      <c r="B21" s="3">
        <v>8</v>
      </c>
      <c r="C21" s="12" t="s">
        <v>125</v>
      </c>
      <c r="D21" s="12" t="s">
        <v>143</v>
      </c>
      <c r="E21" s="12"/>
      <c r="F21" s="12"/>
      <c r="G21" s="14">
        <v>475</v>
      </c>
      <c r="I21" s="14">
        <v>68</v>
      </c>
      <c r="J21" s="14">
        <v>59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</row>
    <row r="22" spans="2:37" ht="33" x14ac:dyDescent="0.3">
      <c r="B22" s="3">
        <v>9</v>
      </c>
      <c r="C22" s="12" t="s">
        <v>126</v>
      </c>
      <c r="D22" s="12" t="s">
        <v>144</v>
      </c>
      <c r="E22" s="12"/>
      <c r="F22" s="12"/>
      <c r="G22" s="14">
        <v>401</v>
      </c>
      <c r="I22" s="14">
        <v>87</v>
      </c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</row>
    <row r="23" spans="2:37" x14ac:dyDescent="0.3">
      <c r="B23" s="3">
        <v>10</v>
      </c>
      <c r="C23" s="12" t="s">
        <v>127</v>
      </c>
      <c r="D23" s="12" t="s">
        <v>145</v>
      </c>
      <c r="E23" s="12"/>
      <c r="F23" s="12"/>
      <c r="G23" s="14">
        <v>734</v>
      </c>
      <c r="I23" s="14"/>
      <c r="J23" s="14">
        <v>169</v>
      </c>
      <c r="K23" s="14"/>
      <c r="L23" s="14"/>
      <c r="M23" s="14"/>
      <c r="N23" s="14"/>
      <c r="O23" s="14"/>
      <c r="P23" s="14"/>
      <c r="Q23" s="14"/>
      <c r="R23" s="14"/>
      <c r="S23" s="14"/>
      <c r="T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</row>
    <row r="24" spans="2:37" ht="33" x14ac:dyDescent="0.3">
      <c r="B24" s="3">
        <v>11</v>
      </c>
      <c r="C24" s="12" t="s">
        <v>128</v>
      </c>
      <c r="D24" s="12" t="s">
        <v>146</v>
      </c>
      <c r="E24" s="12"/>
      <c r="F24" s="12"/>
      <c r="G24" s="14">
        <v>251</v>
      </c>
      <c r="I24" s="14">
        <v>57</v>
      </c>
      <c r="J24" s="14">
        <v>31</v>
      </c>
      <c r="K24" s="14"/>
      <c r="L24" s="14"/>
      <c r="M24" s="14"/>
      <c r="N24" s="14"/>
      <c r="O24" s="14"/>
      <c r="P24" s="14"/>
      <c r="Q24" s="14"/>
      <c r="R24" s="14"/>
      <c r="S24" s="14"/>
      <c r="T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</row>
    <row r="25" spans="2:37" x14ac:dyDescent="0.3">
      <c r="B25" s="3">
        <v>12</v>
      </c>
      <c r="C25" s="12" t="s">
        <v>129</v>
      </c>
      <c r="D25" s="12" t="s">
        <v>147</v>
      </c>
      <c r="E25" s="12"/>
      <c r="F25" s="12"/>
      <c r="G25" s="14">
        <v>401</v>
      </c>
      <c r="I25" s="14">
        <v>57</v>
      </c>
      <c r="J25" s="14">
        <v>31</v>
      </c>
      <c r="K25" s="14"/>
      <c r="L25" s="14"/>
      <c r="M25" s="14"/>
      <c r="N25" s="14"/>
      <c r="O25" s="14"/>
      <c r="P25" s="14"/>
      <c r="Q25" s="14"/>
      <c r="R25" s="14"/>
      <c r="S25" s="14"/>
      <c r="T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</row>
    <row r="26" spans="2:37" ht="66" x14ac:dyDescent="0.3">
      <c r="B26" s="3">
        <v>13</v>
      </c>
      <c r="C26" s="12" t="s">
        <v>131</v>
      </c>
      <c r="D26" s="12">
        <v>58150</v>
      </c>
      <c r="E26" s="12"/>
      <c r="F26" s="12"/>
      <c r="G26" s="14">
        <v>348</v>
      </c>
      <c r="I26" s="14"/>
      <c r="J26" s="14"/>
      <c r="K26" s="14">
        <v>90</v>
      </c>
      <c r="L26" s="14"/>
      <c r="M26" s="14"/>
      <c r="N26" s="14"/>
      <c r="O26" s="14"/>
      <c r="P26" s="14"/>
      <c r="Q26" s="14"/>
      <c r="R26" s="14"/>
      <c r="S26" s="14"/>
      <c r="T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</row>
    <row r="27" spans="2:37" ht="33" x14ac:dyDescent="0.3">
      <c r="B27" s="3">
        <v>14</v>
      </c>
      <c r="C27" s="12" t="s">
        <v>130</v>
      </c>
      <c r="D27" s="12">
        <v>58120</v>
      </c>
      <c r="E27" s="12"/>
      <c r="F27" s="12"/>
      <c r="G27" s="14">
        <v>88</v>
      </c>
      <c r="I27" s="14"/>
      <c r="J27" s="14"/>
      <c r="K27" s="14"/>
      <c r="L27" s="14">
        <v>83</v>
      </c>
      <c r="M27" s="14"/>
      <c r="N27" s="14"/>
      <c r="O27" s="14"/>
      <c r="P27" s="14"/>
      <c r="Q27" s="14"/>
      <c r="R27" s="14"/>
      <c r="S27" s="14"/>
      <c r="T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</row>
    <row r="28" spans="2:37" ht="33" x14ac:dyDescent="0.3">
      <c r="B28" s="3">
        <v>15</v>
      </c>
      <c r="C28" s="12" t="s">
        <v>132</v>
      </c>
      <c r="D28" s="12"/>
      <c r="E28" s="12"/>
      <c r="F28" s="12"/>
      <c r="G28" s="14">
        <v>204</v>
      </c>
      <c r="I28" s="14">
        <v>5</v>
      </c>
      <c r="J28" s="14">
        <v>65</v>
      </c>
      <c r="K28" s="14"/>
      <c r="L28" s="14"/>
      <c r="M28" s="14"/>
      <c r="N28" s="14"/>
      <c r="O28" s="14"/>
      <c r="P28" s="14"/>
      <c r="Q28" s="14"/>
      <c r="R28" s="14"/>
      <c r="S28" s="14"/>
      <c r="T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</row>
    <row r="29" spans="2:37" x14ac:dyDescent="0.3">
      <c r="B29" s="3">
        <v>16</v>
      </c>
      <c r="C29" s="12" t="s">
        <v>133</v>
      </c>
      <c r="D29" s="12">
        <v>11400</v>
      </c>
      <c r="E29" s="12"/>
      <c r="F29" s="12"/>
      <c r="G29" s="14">
        <v>62</v>
      </c>
      <c r="I29" s="14"/>
      <c r="J29" s="14"/>
      <c r="K29" s="14">
        <v>51</v>
      </c>
      <c r="L29" s="14"/>
      <c r="M29" s="14"/>
      <c r="N29" s="14"/>
      <c r="O29" s="14"/>
      <c r="P29" s="14"/>
      <c r="Q29" s="14"/>
      <c r="R29" s="14"/>
      <c r="S29" s="14"/>
      <c r="T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</row>
    <row r="30" spans="2:37" x14ac:dyDescent="0.3">
      <c r="B30" s="3">
        <v>17</v>
      </c>
      <c r="C30" s="12" t="s">
        <v>134</v>
      </c>
      <c r="D30" s="12">
        <v>47600</v>
      </c>
      <c r="E30" s="12"/>
      <c r="F30" s="12"/>
      <c r="G30" s="14">
        <v>153</v>
      </c>
      <c r="I30" s="14"/>
      <c r="J30" s="14"/>
      <c r="K30" s="14">
        <v>48</v>
      </c>
      <c r="L30" s="14"/>
      <c r="M30" s="14"/>
      <c r="N30" s="14"/>
      <c r="O30" s="14"/>
      <c r="P30" s="14"/>
      <c r="Q30" s="14"/>
      <c r="R30" s="14"/>
      <c r="S30" s="14"/>
      <c r="T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</row>
    <row r="31" spans="2:37" ht="33" x14ac:dyDescent="0.3">
      <c r="B31" s="3">
        <v>18</v>
      </c>
      <c r="C31" s="12" t="s">
        <v>135</v>
      </c>
      <c r="D31" s="12">
        <v>19182</v>
      </c>
      <c r="E31" s="12"/>
      <c r="F31" s="12"/>
      <c r="G31" s="14">
        <v>42</v>
      </c>
      <c r="I31" s="14"/>
      <c r="J31" s="14"/>
      <c r="K31" s="14">
        <v>36</v>
      </c>
      <c r="L31" s="14"/>
      <c r="M31" s="14"/>
      <c r="N31" s="14"/>
      <c r="O31" s="14"/>
      <c r="P31" s="14"/>
      <c r="Q31" s="14"/>
      <c r="R31" s="14"/>
      <c r="S31" s="14"/>
      <c r="T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</row>
    <row r="32" spans="2:37" x14ac:dyDescent="0.3">
      <c r="B32" s="3">
        <v>19</v>
      </c>
      <c r="C32" s="12" t="s">
        <v>136</v>
      </c>
      <c r="D32" s="12">
        <v>49507</v>
      </c>
      <c r="E32" s="12"/>
      <c r="F32" s="12"/>
      <c r="G32" s="14">
        <v>29</v>
      </c>
      <c r="I32" s="14"/>
      <c r="J32" s="14"/>
      <c r="K32" s="14">
        <v>25</v>
      </c>
      <c r="L32" s="14"/>
      <c r="M32" s="14"/>
      <c r="N32" s="14"/>
      <c r="O32" s="14"/>
      <c r="P32" s="14"/>
      <c r="Q32" s="14"/>
      <c r="R32" s="14"/>
      <c r="S32" s="14"/>
      <c r="T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</row>
    <row r="33" spans="2:37" ht="33" x14ac:dyDescent="0.3">
      <c r="B33" s="3">
        <v>20</v>
      </c>
      <c r="C33" s="12" t="s">
        <v>137</v>
      </c>
      <c r="D33" s="12">
        <v>49000</v>
      </c>
      <c r="E33" s="12"/>
      <c r="F33" s="12"/>
      <c r="G33" s="14">
        <v>63</v>
      </c>
      <c r="I33" s="14"/>
      <c r="J33" s="14"/>
      <c r="K33" s="14">
        <v>16</v>
      </c>
      <c r="L33" s="14"/>
      <c r="M33" s="14"/>
      <c r="N33" s="14"/>
      <c r="O33" s="14"/>
      <c r="P33" s="14"/>
      <c r="Q33" s="14"/>
      <c r="R33" s="14"/>
      <c r="S33" s="14"/>
      <c r="T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</row>
  </sheetData>
  <sheetProtection algorithmName="SHA-512" hashValue="BCjPFZZ7mrhnAP2OzYJsi6gMh1v9ZaVwDnivVs3p02b4ZQib/u/Sp1DxfDm7iFHSICO/hjHqKhoNzVo0SXplJQ==" saltValue="Wh1eyQRcYEiHgulASt+VsA==" spinCount="100000" sheet="1" objects="1" scenarios="1" formatColumns="0" formatRows="0" sort="0" autoFilter="0"/>
  <mergeCells count="6">
    <mergeCell ref="V12:AK12"/>
    <mergeCell ref="B12:B13"/>
    <mergeCell ref="C12:C13"/>
    <mergeCell ref="D12:F12"/>
    <mergeCell ref="I12:T12"/>
    <mergeCell ref="G12:G13"/>
  </mergeCells>
  <dataValidations count="1">
    <dataValidation type="decimal" operator="greaterThanOrEqual" allowBlank="1" showInputMessage="1" showErrorMessage="1" sqref="G14:G33 I14:T33 V14:AK33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ischarges" altText="Add Drug / Medication / Supply">
                <anchor moveWithCells="1">
                  <from>
                    <xdr:col>1</xdr:col>
                    <xdr:colOff>28575</xdr:colOff>
                    <xdr:row>13</xdr:row>
                    <xdr:rowOff>9525</xdr:rowOff>
                  </from>
                  <to>
                    <xdr:col>1</xdr:col>
                    <xdr:colOff>752475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ischarges" altText="Delete Drug / Medication / Supply">
                <anchor moveWithCells="1">
                  <from>
                    <xdr:col>1</xdr:col>
                    <xdr:colOff>800100</xdr:colOff>
                    <xdr:row>13</xdr:row>
                    <xdr:rowOff>9525</xdr:rowOff>
                  </from>
                  <to>
                    <xdr:col>1</xdr:col>
                    <xdr:colOff>1524000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11.1 Hospital Information</vt:lpstr>
      <vt:lpstr>11.2 Summary Statistics</vt:lpstr>
      <vt:lpstr>11.3 Discharge&amp;Beddays</vt:lpstr>
      <vt:lpstr>bed_number_total</vt:lpstr>
      <vt:lpstr>Hosp_days_total</vt:lpstr>
      <vt:lpstr>IP_death_total</vt:lpstr>
      <vt:lpstr>IP_discharge_total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HOMIS USER</cp:lastModifiedBy>
  <dcterms:created xsi:type="dcterms:W3CDTF">2018-04-04T01:58:18Z</dcterms:created>
  <dcterms:modified xsi:type="dcterms:W3CDTF">2018-08-23T08:14:25Z</dcterms:modified>
</cp:coreProperties>
</file>