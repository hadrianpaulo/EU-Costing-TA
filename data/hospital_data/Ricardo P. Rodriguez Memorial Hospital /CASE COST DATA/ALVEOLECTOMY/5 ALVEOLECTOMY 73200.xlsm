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LVEO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0" i="9" l="1"/>
  <c r="G21" i="9"/>
  <c r="G22" i="9"/>
  <c r="G23" i="9"/>
  <c r="G24" i="9"/>
  <c r="G17" i="9"/>
  <c r="G16" i="9"/>
  <c r="G25" i="9" s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<sst xmlns="http://schemas.openxmlformats.org/spreadsheetml/2006/main" count="461" uniqueCount="176">
  <si>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</si>
  <si>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</si>
  <si>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</si>
  <si>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</si>
  <si>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</si>
  <si>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</si>
  <si>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</si>
  <si>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</si>
  <si>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</si>
  <si>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</si>
  <si>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</si>
  <si>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</si>
  <si>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</si>
  <si>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</si>
  <si>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</si>
  <si>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</si>
  <si>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</si>
  <si>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</si>
  <si>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</si>
  <si>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</si>
  <si>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</si>
  <si>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</si>
  <si>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</si>
  <si>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</si>
  <si>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</si>
  <si>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</si>
  <si>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</si>
  <si>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</si>
  <si>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</si>
  <si>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</si>
  <si>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</si>
  <si>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</si>
  <si>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</si>
  <si>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</si>
  <si>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</si>
  <si>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</si>
  <si>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</si>
  <si>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</si>
  <si>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</si>
  <si>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</si>
  <si>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</si>
  <si>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</si>
  <si>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</si>
  <si>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</si>
  <si>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</si>
  <si>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</si>
  <si>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</si>
  <si>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</si>
  <si>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</si>
  <si>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</si>
  <si>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</si>
  <si>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</si>
  <si>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</si>
  <si>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</si>
  <si>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</si>
  <si>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</si>
  <si>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</si>
  <si>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</si>
  <si>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</si>
  <si>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</si>
  <si>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</si>
  <si>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</si>
  <si>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</si>
  <si>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</si>
  <si>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</si>
  <si>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</si>
  <si>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</si>
  <si>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</si>
  <si>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</si>
  <si>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</si>
  <si>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</si>
  <si>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</si>
  <si>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</si>
  <si>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</si>
  <si>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</si>
  <si>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</si>
  <si>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</si>
  <si>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</si>
  <si>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</si>
  <si>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</si>
  <si>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</si>
  <si>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</si>
  <si>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</si>
  <si>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</si>
  <si>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</si>
  <si>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</si>
  <si>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</si>
  <si>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</si>
  <si>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</si>
  <si>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</si>
  <si>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</si>
  <si>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</si>
  <si>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</si>
  <si>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</si>
  <si>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</si>
  <si>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</si>
  <si>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</si>
  <si>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</si>
  <si>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</si>
  <si>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</si>
  <si>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</si>
  <si>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</si>
  <si>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</si>
  <si>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</si>
  <si>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</si>
  <si>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</si>
  <si>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</si>
  <si>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</si>
  <si>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</si>
  <si>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</si>
  <si>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</si>
  <si>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</si>
  <si>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</si>
  <si>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</si>
  <si>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</si>
  <si>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</si>
  <si>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</si>
  <si>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</si>
  <si>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</si>
  <si>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</si>
  <si>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</si>
  <si>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</si>
  <si>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</si>
  <si>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</si>
  <si>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</si>
  <si>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</si>
  <si>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</si>
  <si>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</si>
  <si>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</si>
  <si>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</si>
  <si>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</si>
  <si>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</si>
  <si>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</si>
  <si>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</si>
  <si>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</si>
  <si>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</si>
  <si>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</si>
  <si>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</si>
  <si>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</si>
  <si>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</si>
  <si>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</si>
  <si>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</si>
  <si>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</si>
  <si>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</si>
  <si>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</si>
  <si>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</si>
  <si>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</si>
  <si>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</si>
  <si>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</si>
  <si>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</si>
  <si>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</si>
  <si>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</si>
  <si>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</si>
  <si>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</si>
  <si>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</si>
  <si>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</si>
  <si>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</si>
  <si>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</si>
  <si>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</si>
  <si>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</si>
  <si>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</si>
  <si>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</si>
  <si>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</si>
  <si>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</si>
  <si>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MEDICAL SUPPLIES</t>
  </si>
  <si>
    <t>ALVEOLECTOMY</t>
  </si>
  <si>
    <t>DRUGS AND MEDICINES</t>
  </si>
  <si>
    <t>PROFFESIONAL FEE</t>
  </si>
  <si>
    <t>MEFENAMIC ACID</t>
  </si>
  <si>
    <t>CAPSULE/ORAL</t>
  </si>
  <si>
    <t>500.00 mg</t>
  </si>
  <si>
    <t>VIAL/INJECT</t>
  </si>
  <si>
    <t>LIDOCAINE W/ EPINEPHRINE</t>
  </si>
  <si>
    <t>CHROMIC 3.0</t>
  </si>
  <si>
    <t>DENTAL NEEDLE GAUZE 27</t>
  </si>
  <si>
    <t>Dentist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</si>
</sst>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I24" sqref="I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31">
        <v>41830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125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324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305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>
        <v>3360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3989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3" sqref="J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ALVEOLECTOMY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169</v>
      </c>
      <c r="E11" s="27" t="s">
        <v>170</v>
      </c>
      <c r="F11" s="55"/>
      <c r="G11" s="55"/>
      <c r="H11" s="55">
        <v>6</v>
      </c>
      <c r="I11" s="55">
        <v>4</v>
      </c>
      <c r="J11" s="55">
        <f>H11*I11</f>
        <v>24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171</v>
      </c>
      <c r="E12" s="27"/>
      <c r="F12" s="55"/>
      <c r="G12" s="55"/>
      <c r="H12" s="55">
        <v>6</v>
      </c>
      <c r="I12" s="55">
        <v>22</v>
      </c>
      <c r="J12" s="55">
        <v>132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173</v>
      </c>
      <c r="D16" s="70" t="s">
        <v>29</v>
      </c>
      <c r="E16" s="55">
        <v>1</v>
      </c>
      <c r="F16" s="55">
        <v>205</v>
      </c>
      <c r="G16" s="55">
        <f>E16*F16</f>
        <v>205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29</v>
      </c>
      <c r="E17" s="55">
        <v>1</v>
      </c>
      <c r="F17" s="55">
        <v>100</v>
      </c>
      <c r="G17" s="55">
        <f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ref="G20:G24" si="0"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>SUM(G16:G19)</f>
        <v>305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21" sqref="J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>
        <v>40</v>
      </c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0</v>
      </c>
      <c r="P30" s="89">
        <f>SUM(P13:P22)</f>
        <v>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2018-06-04T06:34:32Z</dcterms:modified>
</cp:coreProperties>
</file>