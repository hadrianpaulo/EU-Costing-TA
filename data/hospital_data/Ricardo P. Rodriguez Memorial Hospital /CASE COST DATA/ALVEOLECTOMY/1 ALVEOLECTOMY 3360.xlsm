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ALVEO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20" i="9" l="1"/>
  <c r="G21" i="9"/>
  <c r="G22" i="9"/>
  <c r="G23" i="9"/>
  <c r="G24" i="9"/>
  <c r="G17" i="9"/>
  <c r="G16" i="9"/>
  <c r="G25" i="9" s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<sst xmlns="http://schemas.openxmlformats.org/spreadsheetml/2006/main" count="464" uniqueCount="177">
  <si>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</si>
  <si>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</si>
  <si>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</si>
  <si>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</si>
  <si>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</si>
  <si>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</si>
  <si>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</si>
  <si>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</si>
  <si>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</si>
  <si>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</si>
  <si>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</si>
  <si>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</si>
  <si>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</si>
  <si>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</si>
  <si>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</si>
  <si>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</si>
  <si>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</si>
  <si>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</si>
  <si>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</si>
  <si>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</si>
  <si>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</si>
  <si>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</si>
  <si>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</si>
  <si>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</si>
  <si>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</si>
  <si>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</si>
  <si>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</si>
  <si>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</si>
  <si>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</si>
  <si>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</si>
  <si>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</si>
  <si>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</si>
  <si>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</si>
  <si>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</si>
  <si>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</si>
  <si>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</si>
  <si>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</si>
  <si>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</si>
  <si>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</si>
  <si>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</si>
  <si>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</si>
  <si>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</si>
  <si>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</si>
  <si>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</si>
  <si>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</si>
  <si>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</si>
  <si>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</si>
  <si>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</si>
  <si>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</si>
  <si>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</si>
  <si>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</si>
  <si>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</si>
  <si>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</si>
  <si>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</si>
  <si>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</si>
  <si>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</si>
  <si>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</si>
  <si>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</si>
  <si>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</si>
  <si>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</si>
  <si>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</si>
  <si>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</si>
  <si>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</si>
  <si>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</si>
  <si>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</si>
  <si>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</si>
  <si>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</si>
  <si>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</si>
  <si>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</si>
  <si>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</si>
  <si>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</si>
  <si>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</si>
  <si>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</si>
  <si>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</si>
  <si>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</si>
  <si>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</si>
  <si>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</si>
  <si>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</si>
  <si>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</si>
  <si>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</si>
  <si>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</si>
  <si>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</si>
  <si>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</si>
  <si>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</si>
  <si>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</si>
  <si>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</si>
  <si>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</si>
  <si>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</si>
  <si>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</si>
  <si>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</si>
  <si>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</si>
  <si>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</si>
  <si>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</si>
  <si>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</si>
  <si>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</si>
  <si>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</si>
  <si>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</si>
  <si>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</si>
  <si>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</si>
  <si>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</si>
  <si>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</si>
  <si>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</si>
  <si>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</si>
  <si>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</si>
  <si>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</si>
  <si>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</si>
  <si>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</si>
  <si>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</si>
  <si>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</si>
  <si>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</si>
  <si>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</si>
  <si>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</si>
  <si>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</si>
  <si>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</si>
  <si>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</si>
  <si>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</si>
  <si>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</si>
  <si>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</si>
  <si>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</si>
  <si>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</si>
  <si>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</si>
  <si>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</si>
  <si>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</si>
  <si>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</si>
  <si>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</si>
  <si>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</si>
  <si>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</si>
  <si>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</si>
  <si>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</si>
  <si>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</si>
  <si>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</si>
  <si>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</si>
  <si>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</si>
  <si>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</si>
  <si>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</si>
  <si>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</si>
  <si>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</si>
  <si>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</si>
  <si>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</si>
  <si>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</si>
  <si>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</si>
  <si>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</si>
  <si>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</si>
  <si>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</si>
  <si>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</si>
  <si>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</si>
  <si>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</si>
  <si>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</si>
  <si>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</si>
  <si>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</si>
  <si>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</si>
  <si>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</si>
  <si>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</si>
  <si>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</si>
  <si>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</si>
  <si>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</si>
  <si>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</si>
  <si>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</si>
  <si>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</si>
  <si>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</si>
  <si>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</si>
  <si>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</si>
  <si>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</si>
  <si>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</si>
  <si>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MEDICAL SUPPLIES</t>
  </si>
  <si>
    <t>ALVEOLECTOMY</t>
  </si>
  <si>
    <t>DRUGS AND MEDICINES</t>
  </si>
  <si>
    <t>PROFFESIONAL FEE</t>
  </si>
  <si>
    <t>MEFENAMIC ACID</t>
  </si>
  <si>
    <t>CAPSULE/ORAL</t>
  </si>
  <si>
    <t>500.00 mg</t>
  </si>
  <si>
    <t>VIAL/INJECT</t>
  </si>
  <si>
    <t>CHROMIC 3.0</t>
  </si>
  <si>
    <t>CEFALEXIN</t>
  </si>
  <si>
    <t>DENTAL NEEDLE GAUZE 27</t>
  </si>
  <si>
    <t>Dentist</t>
  </si>
  <si>
    <t xml:space="preserve">LIDOCAINE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</si>
</sst>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topLeftCell="A15" zoomScaleNormal="100" workbookViewId="0">
      <selection activeCell="C24" sqref="C2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41830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125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324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164</v>
      </c>
      <c r="D61" s="55">
        <v>305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167</v>
      </c>
      <c r="D62" s="55">
        <v>3360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3989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C25" sqref="C2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ALVEOLECTOMY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169</v>
      </c>
      <c r="E11" s="27" t="s">
        <v>170</v>
      </c>
      <c r="F11" s="55"/>
      <c r="G11" s="55"/>
      <c r="H11" s="55">
        <v>21</v>
      </c>
      <c r="I11" s="55">
        <v>8</v>
      </c>
      <c r="J11" s="55">
        <f>H11*I11</f>
        <v>168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168</v>
      </c>
      <c r="D12" s="27" t="s">
        <v>169</v>
      </c>
      <c r="E12" s="27" t="s">
        <v>170</v>
      </c>
      <c r="F12" s="55"/>
      <c r="G12" s="55"/>
      <c r="H12" s="55">
        <v>6</v>
      </c>
      <c r="I12" s="55">
        <v>4</v>
      </c>
      <c r="J12" s="55">
        <v>24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176</v>
      </c>
      <c r="D13" s="27" t="s">
        <v>171</v>
      </c>
      <c r="E13" s="27"/>
      <c r="F13" s="55"/>
      <c r="G13" s="55"/>
      <c r="H13" s="55">
        <v>6</v>
      </c>
      <c r="I13" s="55">
        <v>22</v>
      </c>
      <c r="J13" s="55">
        <v>132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/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C18" sqref="C1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ALVEOLECTOMY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172</v>
      </c>
      <c r="D16" s="70" t="s">
        <v>29</v>
      </c>
      <c r="E16" s="55">
        <v>1</v>
      </c>
      <c r="F16" s="55">
        <v>205</v>
      </c>
      <c r="G16" s="55">
        <f>E16*F16</f>
        <v>205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174</v>
      </c>
      <c r="D17" s="70" t="s">
        <v>29</v>
      </c>
      <c r="E17" s="55">
        <v>1</v>
      </c>
      <c r="F17" s="55">
        <v>100</v>
      </c>
      <c r="G17" s="55">
        <f>E17*F17</f>
        <v>100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ref="G20:G24" si="0"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>SUM(G16:G19)</f>
        <v>305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30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E21" sqref="E21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ALVEOLECTOMY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175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/>
      <c r="F13" s="55"/>
      <c r="G13" s="55"/>
      <c r="H13" s="55"/>
      <c r="I13" s="55"/>
      <c r="J13" s="55"/>
      <c r="K13" s="55"/>
      <c r="L13" s="55"/>
      <c r="M13" s="55">
        <v>40</v>
      </c>
      <c r="N13" s="55"/>
      <c r="P13" s="88">
        <f>SUM(D13:N13)</f>
        <v>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40</v>
      </c>
      <c r="N30" s="88">
        <f t="shared" si="1"/>
        <v>0</v>
      </c>
      <c r="P30" s="89">
        <f>SUM(P13:P22)</f>
        <v>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2018-06-04T06:33:07Z</dcterms:modified>
</cp:coreProperties>
</file>