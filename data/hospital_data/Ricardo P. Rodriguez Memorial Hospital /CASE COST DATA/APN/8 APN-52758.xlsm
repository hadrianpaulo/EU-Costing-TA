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PN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1" i="9" l="1"/>
  <c r="G30" i="9"/>
  <c r="G29" i="9"/>
  <c r="G28" i="9"/>
  <c r="J21" i="2"/>
  <c r="J20" i="2"/>
  <c r="G18" i="9" l="1"/>
  <c r="G19" i="9" l="1"/>
  <c r="G20" i="9"/>
  <c r="G21" i="9"/>
  <c r="G22" i="9"/>
  <c r="G23" i="9"/>
  <c r="G24" i="9"/>
  <c r="G25" i="9"/>
  <c r="G26" i="9"/>
  <c r="G27" i="9"/>
  <c r="G33" i="9" s="1"/>
  <c r="G16" i="9"/>
  <c r="G17" i="9" l="1"/>
  <c r="J13" i="2"/>
  <c r="J14" i="2"/>
  <c r="J15" i="2"/>
  <c r="J16" i="2"/>
  <c r="J17" i="2"/>
  <c r="J18" i="2"/>
  <c r="J19" i="2"/>
  <c r="J12" i="2"/>
  <c r="G36" i="9" l="1"/>
  <c r="G37" i="9"/>
  <c r="G38" i="9"/>
  <c r="G39" i="9"/>
  <c r="G40" i="9"/>
  <c r="G41" i="9"/>
  <c r="G42" i="9"/>
  <c r="G43" i="9"/>
  <c r="G35" i="9"/>
  <c r="J22" i="2"/>
  <c r="J23" i="2"/>
  <c r="J24" i="2"/>
  <c r="J25" i="2"/>
  <c r="J26" i="2"/>
  <c r="G4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<sst xmlns="http://schemas.openxmlformats.org/spreadsheetml/2006/main" count="527" uniqueCount="221">
  <si>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</si>
  <si>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</si>
  <si>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</si>
  <si>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</si>
  <si>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</si>
  <si>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</si>
  <si>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</si>
  <si>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</si>
  <si>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</si>
  <si>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</si>
  <si>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</si>
  <si>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</si>
  <si>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</si>
  <si>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</si>
  <si>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</si>
  <si>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</si>
  <si>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</si>
  <si>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</si>
  <si>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</si>
  <si>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</si>
  <si>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</si>
  <si>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</si>
  <si>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</si>
  <si>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</si>
  <si>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</si>
  <si>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</si>
  <si>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</si>
  <si>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</si>
  <si>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</si>
  <si>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</si>
  <si>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</si>
  <si>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</si>
  <si>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</si>
  <si>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</si>
  <si>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</si>
  <si>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</si>
  <si>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</si>
  <si>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</si>
  <si>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</si>
  <si>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</si>
  <si>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</si>
  <si>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</si>
  <si>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</si>
  <si>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</si>
  <si>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</si>
  <si>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</si>
  <si>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</si>
  <si>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</si>
  <si>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</si>
  <si>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</si>
  <si>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</si>
  <si>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</si>
  <si>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</si>
  <si>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</si>
  <si>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</si>
  <si>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</si>
  <si>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</si>
  <si>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</si>
  <si>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</si>
  <si>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</si>
  <si>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</si>
  <si>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</si>
  <si>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</si>
  <si>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</si>
  <si>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</si>
  <si>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</si>
  <si>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</si>
  <si>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</si>
  <si>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</si>
  <si>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</si>
  <si>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</si>
  <si>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</si>
  <si>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</si>
  <si>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</si>
  <si>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</si>
  <si>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</si>
  <si>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</si>
  <si>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</si>
  <si>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</si>
  <si>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</si>
  <si>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</si>
  <si>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</si>
  <si>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</si>
  <si>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</si>
  <si>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</si>
  <si>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</si>
  <si>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</si>
  <si>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</si>
  <si>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</si>
  <si>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</si>
  <si>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</si>
  <si>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</si>
  <si>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</si>
  <si>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</si>
  <si>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</si>
  <si>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</si>
  <si>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</si>
  <si>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</si>
  <si>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</si>
  <si>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</si>
  <si>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</si>
  <si>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</si>
  <si>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</si>
  <si>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</si>
  <si>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</si>
  <si>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</si>
  <si>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</si>
  <si>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</si>
  <si>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</si>
  <si>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</si>
  <si>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</si>
  <si>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</si>
  <si>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</si>
  <si>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</si>
  <si>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</si>
  <si>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</si>
  <si>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</si>
  <si>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</si>
  <si>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</si>
  <si>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</si>
  <si>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</si>
  <si>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</si>
  <si>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</si>
  <si>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</si>
  <si>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</si>
  <si>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</si>
  <si>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</si>
  <si>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</si>
  <si>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</si>
  <si>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</si>
  <si>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</si>
  <si>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</si>
  <si>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</si>
  <si>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</si>
  <si>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</si>
  <si>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</si>
  <si>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</si>
  <si>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</si>
  <si>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</si>
  <si>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</si>
  <si>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</si>
  <si>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</si>
  <si>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</si>
  <si>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</si>
  <si>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</si>
  <si>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</si>
  <si>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</si>
  <si>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</si>
  <si>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</si>
  <si>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</si>
  <si>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</si>
  <si>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</si>
  <si>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</si>
  <si>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</si>
  <si>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</si>
  <si>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</si>
  <si>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</si>
  <si>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</si>
  <si>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</si>
  <si>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</si>
  <si>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</si>
  <si>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</si>
  <si>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</si>
  <si>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</si>
  <si>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</si>
  <si>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</si>
  <si>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</si>
  <si>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</si>
  <si>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500 mg</t>
  </si>
  <si>
    <t>DIGITAL THERMOMETER</t>
  </si>
  <si>
    <t>DISPOSABLE MASK</t>
  </si>
  <si>
    <t>3CC SYRINGE</t>
  </si>
  <si>
    <t>MEDICAL TECHNOLOGIST</t>
  </si>
  <si>
    <t>RADIOLOGIC TECHNOLOGIST</t>
  </si>
  <si>
    <t>ACUTE PYELONEPHRITIS</t>
  </si>
  <si>
    <t>N10</t>
  </si>
  <si>
    <t>CBC PLATELET COUNT</t>
  </si>
  <si>
    <t>LABORATORY</t>
  </si>
  <si>
    <t>BOTTLE/IV</t>
  </si>
  <si>
    <t>VIAL/IV</t>
  </si>
  <si>
    <t>PARACETAMOL</t>
  </si>
  <si>
    <t>IV SET ADULT</t>
  </si>
  <si>
    <t>10CC SYRINGE</t>
  </si>
  <si>
    <t>5CC SYRINGE</t>
  </si>
  <si>
    <t>GLOVES UNSTERILE MEDIUM</t>
  </si>
  <si>
    <t>1CC SYRINGE</t>
  </si>
  <si>
    <t>AMPULE/IV</t>
  </si>
  <si>
    <t>150 mg/ml</t>
  </si>
  <si>
    <t>HEPLOCK</t>
  </si>
  <si>
    <t>RADIOLOGY</t>
  </si>
  <si>
    <t>TABLET/ORAL</t>
  </si>
  <si>
    <t xml:space="preserve">0.9 SODIUM CHLORIDE </t>
  </si>
  <si>
    <t>1000 ml</t>
  </si>
  <si>
    <t>750 mg</t>
  </si>
  <si>
    <t>CAPSULE/ORAL</t>
  </si>
  <si>
    <t>50 mg</t>
  </si>
  <si>
    <t>IV CATHETER G 22</t>
  </si>
  <si>
    <t>Procedure</t>
  </si>
  <si>
    <t>ADHESIVE PLASTER</t>
  </si>
  <si>
    <t>Consultation in the ER</t>
  </si>
  <si>
    <t>URINALYSIS</t>
  </si>
  <si>
    <t>ELECTROLYTES</t>
  </si>
  <si>
    <t>CHEST PA 14X14</t>
  </si>
  <si>
    <t>ECG</t>
  </si>
  <si>
    <t>STERILE WATER FOR INJECTION</t>
  </si>
  <si>
    <t>POLYMAPULE/IV</t>
  </si>
  <si>
    <t>10 ml</t>
  </si>
  <si>
    <t>IV SPLINT ADULT</t>
  </si>
  <si>
    <t>IV CATHETER G 24</t>
  </si>
  <si>
    <t>RANDOM BLOOD SUGAR</t>
  </si>
  <si>
    <t>CEFUROXIME (ZIOMET)</t>
  </si>
  <si>
    <t xml:space="preserve">CEFUROXIME </t>
  </si>
  <si>
    <t>LEVOFLOXACIN</t>
  </si>
  <si>
    <t>AMPICILLIN</t>
  </si>
  <si>
    <t>ACETYLCYSTEINE</t>
  </si>
  <si>
    <t>600 mg</t>
  </si>
  <si>
    <t>METOPROLOL</t>
  </si>
  <si>
    <t>METFORMIN</t>
  </si>
  <si>
    <t>NASAL CANNULA ADULT</t>
  </si>
  <si>
    <t>FOLEY CATHETER F18</t>
  </si>
  <si>
    <t>URINE BAG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</si>
</sst>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28575</xdr:rowOff>
        </xdr:from>
        <xdr:to>
          <xdr:col>1</xdr:col>
          <xdr:colOff>762000</xdr:colOff>
          <xdr:row>34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34</xdr:row>
          <xdr:rowOff>28575</xdr:rowOff>
        </xdr:from>
        <xdr:to>
          <xdr:col>1</xdr:col>
          <xdr:colOff>1533525</xdr:colOff>
          <xdr:row>34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1" zoomScaleNormal="100" workbookViewId="0">
      <selection activeCell="E70" sqref="E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200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201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209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/>
      <c r="D38" s="23"/>
      <c r="E38" s="57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/>
      <c r="D39" s="23"/>
      <c r="E39" s="57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/>
      <c r="D40" s="23"/>
      <c r="E40" s="57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/>
      <c r="D41" s="23"/>
      <c r="E41" s="57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202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163</v>
      </c>
      <c r="D62" s="55">
        <v>1134.4000000000001</v>
      </c>
      <c r="E62" s="55">
        <v>1265.5999999999999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164</v>
      </c>
      <c r="D63" s="55"/>
      <c r="E63" s="55">
        <v>60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165</v>
      </c>
      <c r="D64" s="55">
        <v>3421.6</v>
      </c>
      <c r="E64" s="55">
        <v>855.4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166</v>
      </c>
      <c r="D65" s="55">
        <v>1100</v>
      </c>
      <c r="E65" s="55">
        <v>275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177</v>
      </c>
      <c r="D66" s="55">
        <v>1120</v>
      </c>
      <c r="E66" s="55">
        <v>280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189</v>
      </c>
      <c r="D67" s="55">
        <v>128</v>
      </c>
      <c r="E67" s="55">
        <v>32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 t="s">
        <v>167</v>
      </c>
      <c r="D68" s="55">
        <v>3000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 t="s">
        <v>203</v>
      </c>
      <c r="D69" s="55">
        <v>96</v>
      </c>
      <c r="E69" s="55">
        <v>24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10000</v>
      </c>
      <c r="E73" s="59">
        <f>SUM(E62:E72)</f>
        <v>2792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T1D3KA//JAZDhNFmPNcUt47oWBFSTdYSO0r8DCQQ/lsqS3p2BsTylOuZW2JYaoEZ7BHRYfvLz7+PEius5Y6ssA==" saltValue="UFssuU3tKFl8Z0k5i2/x0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7:F47"/>
  </mergeCells>
  <dataValidations count="1">
    <dataValidation type="decimal" operator="greaterThanOrEqual" allowBlank="1" showInputMessage="1" showErrorMessage="1" sqref="E32 E43:E44 E46 E23:F27 E48:F51 E53:F58 D62:F71 E34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22" sqref="J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PYELONEPHRITIS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210</v>
      </c>
      <c r="D11" s="27" t="s">
        <v>179</v>
      </c>
      <c r="E11" s="27" t="s">
        <v>193</v>
      </c>
      <c r="F11" s="55"/>
      <c r="G11" s="55"/>
      <c r="H11" s="55">
        <v>3</v>
      </c>
      <c r="I11" s="55">
        <v>495</v>
      </c>
      <c r="J11" s="55">
        <f>H11*I11</f>
        <v>1485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178</v>
      </c>
      <c r="E12" s="27" t="s">
        <v>192</v>
      </c>
      <c r="F12" s="55"/>
      <c r="G12" s="55"/>
      <c r="H12" s="55">
        <v>6</v>
      </c>
      <c r="I12" s="55">
        <v>80</v>
      </c>
      <c r="J12" s="55">
        <f t="shared" ref="J12:J26" si="0">H12*I12</f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211</v>
      </c>
      <c r="D13" s="27" t="s">
        <v>179</v>
      </c>
      <c r="E13" s="27" t="s">
        <v>193</v>
      </c>
      <c r="F13" s="55"/>
      <c r="G13" s="55"/>
      <c r="H13" s="55">
        <v>11</v>
      </c>
      <c r="I13" s="55">
        <v>55</v>
      </c>
      <c r="J13" s="55">
        <f t="shared" si="0"/>
        <v>605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212</v>
      </c>
      <c r="D14" s="27" t="s">
        <v>194</v>
      </c>
      <c r="E14" s="27" t="s">
        <v>193</v>
      </c>
      <c r="F14" s="55"/>
      <c r="G14" s="55"/>
      <c r="H14" s="55">
        <v>5</v>
      </c>
      <c r="I14" s="55">
        <v>88</v>
      </c>
      <c r="J14" s="55">
        <f t="shared" si="0"/>
        <v>440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204</v>
      </c>
      <c r="D15" s="27" t="s">
        <v>205</v>
      </c>
      <c r="E15" s="27" t="s">
        <v>206</v>
      </c>
      <c r="F15" s="55"/>
      <c r="G15" s="55"/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213</v>
      </c>
      <c r="D16" s="27" t="s">
        <v>179</v>
      </c>
      <c r="E16" s="27" t="s">
        <v>168</v>
      </c>
      <c r="F16" s="55"/>
      <c r="G16" s="55"/>
      <c r="H16" s="55">
        <v>24</v>
      </c>
      <c r="I16" s="55">
        <v>23</v>
      </c>
      <c r="J16" s="55">
        <f t="shared" si="0"/>
        <v>552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180</v>
      </c>
      <c r="D17" s="27" t="s">
        <v>186</v>
      </c>
      <c r="E17" s="27" t="s">
        <v>187</v>
      </c>
      <c r="F17" s="55"/>
      <c r="G17" s="55"/>
      <c r="H17" s="55">
        <v>6</v>
      </c>
      <c r="I17" s="55">
        <v>35</v>
      </c>
      <c r="J17" s="55">
        <f t="shared" si="0"/>
        <v>210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214</v>
      </c>
      <c r="D18" s="27" t="s">
        <v>190</v>
      </c>
      <c r="E18" s="27" t="s">
        <v>215</v>
      </c>
      <c r="F18" s="55"/>
      <c r="G18" s="55"/>
      <c r="H18" s="55">
        <v>5</v>
      </c>
      <c r="I18" s="55">
        <v>68</v>
      </c>
      <c r="J18" s="55">
        <f t="shared" si="0"/>
        <v>340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216</v>
      </c>
      <c r="D19" s="27" t="s">
        <v>190</v>
      </c>
      <c r="E19" s="27" t="s">
        <v>195</v>
      </c>
      <c r="F19" s="55"/>
      <c r="G19" s="55"/>
      <c r="H19" s="55">
        <v>5</v>
      </c>
      <c r="I19" s="55">
        <v>5</v>
      </c>
      <c r="J19" s="55">
        <f t="shared" si="0"/>
        <v>25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217</v>
      </c>
      <c r="D20" s="27" t="s">
        <v>190</v>
      </c>
      <c r="E20" s="27" t="s">
        <v>168</v>
      </c>
      <c r="F20" s="55"/>
      <c r="G20" s="55"/>
      <c r="H20" s="55">
        <v>20</v>
      </c>
      <c r="I20" s="55">
        <v>3</v>
      </c>
      <c r="J20" s="55">
        <f t="shared" si="0"/>
        <v>60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>SUM(J11:J20)</f>
        <v>4277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opLeftCell="A13" workbookViewId="0">
      <selection activeCell="J33" sqref="J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18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208</v>
      </c>
      <c r="D16" s="70" t="s">
        <v>29</v>
      </c>
      <c r="E16" s="55">
        <v>3</v>
      </c>
      <c r="F16" s="55">
        <v>61</v>
      </c>
      <c r="G16" s="55">
        <f>E16*F16</f>
        <v>183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32</v>
      </c>
      <c r="G17" s="55">
        <f t="shared" ref="G17:G32" si="0">E17*F17</f>
        <v>32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 t="s">
        <v>29</v>
      </c>
      <c r="E18" s="55">
        <v>1</v>
      </c>
      <c r="F18" s="55">
        <v>110</v>
      </c>
      <c r="G18" s="55">
        <f t="shared" si="0"/>
        <v>110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29</v>
      </c>
      <c r="E19" s="55">
        <v>22</v>
      </c>
      <c r="F19" s="55">
        <v>6</v>
      </c>
      <c r="G19" s="55">
        <f t="shared" si="0"/>
        <v>132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29</v>
      </c>
      <c r="E20" s="55">
        <v>13</v>
      </c>
      <c r="F20" s="55">
        <v>8</v>
      </c>
      <c r="G20" s="55">
        <f t="shared" si="0"/>
        <v>104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29</v>
      </c>
      <c r="E21" s="55">
        <v>13</v>
      </c>
      <c r="F21" s="55">
        <v>7</v>
      </c>
      <c r="G21" s="55">
        <f t="shared" si="0"/>
        <v>91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171</v>
      </c>
      <c r="D22" s="70" t="s">
        <v>29</v>
      </c>
      <c r="E22" s="55">
        <v>20</v>
      </c>
      <c r="F22" s="55">
        <v>6</v>
      </c>
      <c r="G22" s="55">
        <f t="shared" si="0"/>
        <v>120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185</v>
      </c>
      <c r="D23" s="70" t="s">
        <v>29</v>
      </c>
      <c r="E23" s="55">
        <v>5</v>
      </c>
      <c r="F23" s="55">
        <v>7</v>
      </c>
      <c r="G23" s="55">
        <f t="shared" si="0"/>
        <v>35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198</v>
      </c>
      <c r="D24" s="70" t="s">
        <v>29</v>
      </c>
      <c r="E24" s="55">
        <v>2</v>
      </c>
      <c r="F24" s="55">
        <v>65</v>
      </c>
      <c r="G24" s="55">
        <f t="shared" si="0"/>
        <v>130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184</v>
      </c>
      <c r="D25" s="70" t="s">
        <v>29</v>
      </c>
      <c r="E25" s="55">
        <v>10</v>
      </c>
      <c r="F25" s="55">
        <v>4</v>
      </c>
      <c r="G25" s="55">
        <f t="shared" si="0"/>
        <v>40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169</v>
      </c>
      <c r="D26" s="70" t="s">
        <v>29</v>
      </c>
      <c r="E26" s="55">
        <v>1</v>
      </c>
      <c r="F26" s="55">
        <v>85</v>
      </c>
      <c r="G26" s="55">
        <f t="shared" si="0"/>
        <v>85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188</v>
      </c>
      <c r="D27" s="70" t="s">
        <v>29</v>
      </c>
      <c r="E27" s="55">
        <v>1</v>
      </c>
      <c r="F27" s="55">
        <v>22</v>
      </c>
      <c r="G27" s="55">
        <f t="shared" si="0"/>
        <v>22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218</v>
      </c>
      <c r="D28" s="70" t="s">
        <v>29</v>
      </c>
      <c r="E28" s="55">
        <v>1</v>
      </c>
      <c r="F28" s="55">
        <v>43</v>
      </c>
      <c r="G28" s="55">
        <f t="shared" ref="G28:G31" si="1">E28*F28</f>
        <v>43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196</v>
      </c>
      <c r="D29" s="70" t="s">
        <v>29</v>
      </c>
      <c r="E29" s="55">
        <v>3</v>
      </c>
      <c r="F29" s="55">
        <v>61</v>
      </c>
      <c r="G29" s="55">
        <f t="shared" si="1"/>
        <v>183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219</v>
      </c>
      <c r="D30" s="70" t="s">
        <v>29</v>
      </c>
      <c r="E30" s="55">
        <v>1</v>
      </c>
      <c r="F30" s="55">
        <v>40</v>
      </c>
      <c r="G30" s="55">
        <f t="shared" si="1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220</v>
      </c>
      <c r="D31" s="70" t="s">
        <v>29</v>
      </c>
      <c r="E31" s="55">
        <v>1</v>
      </c>
      <c r="F31" s="55">
        <v>25</v>
      </c>
      <c r="G31" s="55">
        <f t="shared" si="1"/>
        <v>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>SUM(G16:G32)</f>
        <v>1375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136" t="s">
        <v>77</v>
      </c>
      <c r="C34" s="137"/>
      <c r="D34" s="137"/>
      <c r="E34" s="137"/>
      <c r="F34" s="137"/>
      <c r="G34" s="138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</v>
      </c>
      <c r="C35" s="69"/>
      <c r="D35" s="70"/>
      <c r="E35" s="55"/>
      <c r="F35" s="55"/>
      <c r="G35" s="55">
        <f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</v>
      </c>
      <c r="C36" s="69"/>
      <c r="D36" s="70"/>
      <c r="E36" s="55"/>
      <c r="F36" s="55"/>
      <c r="G36" s="55">
        <f t="shared" ref="G36:G43" si="2"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3</v>
      </c>
      <c r="C37" s="69"/>
      <c r="D37" s="70"/>
      <c r="E37" s="55"/>
      <c r="F37" s="55"/>
      <c r="G37" s="55">
        <f t="shared" si="2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4</v>
      </c>
      <c r="C38" s="69"/>
      <c r="D38" s="70"/>
      <c r="E38" s="55"/>
      <c r="F38" s="55"/>
      <c r="G38" s="55">
        <f t="shared" si="2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5</v>
      </c>
      <c r="C39" s="69"/>
      <c r="D39" s="70"/>
      <c r="E39" s="55"/>
      <c r="F39" s="55"/>
      <c r="G39" s="55">
        <f t="shared" si="2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6</v>
      </c>
      <c r="C40" s="69"/>
      <c r="D40" s="70"/>
      <c r="E40" s="55"/>
      <c r="F40" s="55"/>
      <c r="G40" s="55">
        <f t="shared" si="2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7</v>
      </c>
      <c r="C41" s="69"/>
      <c r="D41" s="70"/>
      <c r="E41" s="55"/>
      <c r="F41" s="55"/>
      <c r="G41" s="55">
        <f t="shared" si="2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8</v>
      </c>
      <c r="C42" s="69"/>
      <c r="D42" s="70"/>
      <c r="E42" s="55"/>
      <c r="F42" s="55"/>
      <c r="G42" s="55">
        <f t="shared" si="2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9</v>
      </c>
      <c r="C43" s="69"/>
      <c r="D43" s="70"/>
      <c r="E43" s="55"/>
      <c r="F43" s="55"/>
      <c r="G43" s="55">
        <f t="shared" si="2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10</v>
      </c>
      <c r="C44" s="69"/>
      <c r="D44" s="70"/>
      <c r="E44" s="55"/>
      <c r="F44" s="55"/>
      <c r="G44" s="55">
        <f>SUM(G35:G41)</f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36" t="s">
        <v>30</v>
      </c>
      <c r="C45" s="137"/>
      <c r="D45" s="137"/>
      <c r="E45" s="137"/>
      <c r="F45" s="137"/>
      <c r="G45" s="138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pF6qbKCutubxgNl924tykrFSV9Cuw7ZZP0ROBlhIQY2cODhtwWFAd1B7NhWLlGuXX1amSTaLprY9gy/hRaF2rw==" saltValue="rdfQkLRJqNj/i3UQSvEURQ==" spinCount="100000" sheet="1" objects="1" scenarios="1" formatColumns="0" formatRows="0" sort="0" autoFilter="0"/>
  <mergeCells count="9">
    <mergeCell ref="B7:G7"/>
    <mergeCell ref="B34:G34"/>
    <mergeCell ref="B45:G4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34</xdr:row>
                    <xdr:rowOff>28575</xdr:rowOff>
                  </from>
                  <to>
                    <xdr:col>1</xdr:col>
                    <xdr:colOff>762000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34</xdr:row>
                    <xdr:rowOff>28575</xdr:rowOff>
                  </from>
                  <to>
                    <xdr:col>1</xdr:col>
                    <xdr:colOff>1533525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9" workbookViewId="0">
      <selection activeCell="L23" sqref="L2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172</v>
      </c>
      <c r="N12" s="90" t="s">
        <v>173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100</v>
      </c>
      <c r="F13" s="55"/>
      <c r="G13" s="55">
        <v>150</v>
      </c>
      <c r="H13" s="55"/>
      <c r="I13" s="55"/>
      <c r="J13" s="55"/>
      <c r="K13" s="55"/>
      <c r="L13" s="55"/>
      <c r="M13" s="55"/>
      <c r="N13" s="55"/>
      <c r="P13" s="88">
        <f>SUM(D13:N13)</f>
        <v>250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197</v>
      </c>
      <c r="D14" s="55"/>
      <c r="E14" s="55"/>
      <c r="F14" s="55"/>
      <c r="G14" s="55">
        <v>60</v>
      </c>
      <c r="H14" s="55"/>
      <c r="I14" s="55"/>
      <c r="J14" s="55"/>
      <c r="K14" s="55"/>
      <c r="L14" s="55"/>
      <c r="M14" s="55">
        <v>40</v>
      </c>
      <c r="N14" s="55">
        <v>20</v>
      </c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199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115</v>
      </c>
      <c r="F30" s="88">
        <f t="shared" si="1"/>
        <v>0</v>
      </c>
      <c r="G30" s="88">
        <f t="shared" si="1"/>
        <v>240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20</v>
      </c>
      <c r="P30" s="89">
        <f>SUM(P13:P22)</f>
        <v>415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2018-06-10T08:42:51Z</dcterms:modified>
</cp:coreProperties>
</file>