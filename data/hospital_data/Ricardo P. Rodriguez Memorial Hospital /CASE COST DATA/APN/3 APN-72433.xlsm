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OMIS\Desktop\CASE COST DATA APN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 activeTab="3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Supplies_Medical'!$C$15:$C$54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J26" i="2" l="1"/>
  <c r="J13" i="2"/>
  <c r="J14" i="2"/>
  <c r="J15" i="2"/>
  <c r="J16" i="2"/>
  <c r="J17" i="2"/>
  <c r="J18" i="2"/>
  <c r="J19" i="2"/>
  <c r="J20" i="2"/>
  <c r="J21" i="2"/>
  <c r="J22" i="2"/>
  <c r="G18" i="9" l="1"/>
  <c r="G19" i="9"/>
  <c r="G20" i="9"/>
  <c r="G21" i="9"/>
  <c r="G22" i="9"/>
  <c r="G23" i="9"/>
  <c r="G24" i="9"/>
  <c r="G25" i="9"/>
  <c r="G26" i="9"/>
  <c r="G27" i="9"/>
  <c r="G28" i="9"/>
  <c r="G29" i="9"/>
  <c r="G30" i="9"/>
  <c r="G16" i="9"/>
  <c r="G32" i="9" l="1"/>
  <c r="G17" i="9"/>
  <c r="J12" i="2"/>
  <c r="G35" i="9" l="1"/>
  <c r="G36" i="9"/>
  <c r="G37" i="9"/>
  <c r="G38" i="9"/>
  <c r="G39" i="9"/>
  <c r="G40" i="9"/>
  <c r="G41" i="9"/>
  <c r="G42" i="9"/>
  <c r="G34" i="9"/>
  <c r="J23" i="2"/>
  <c r="J24" i="2"/>
  <c r="J25" i="2"/>
  <c r="G43" i="9" l="1"/>
  <c r="G1" i="1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<sst xmlns="http://schemas.openxmlformats.org/spreadsheetml/2006/main" count="533" uniqueCount="224">
  <si>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</si>
  <si>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</si>
  <si>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</si>
  <si>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</si>
  <si>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</si>
  <si>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</si>
  <si>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</si>
  <si>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</si>
  <si>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</si>
  <si>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</si>
  <si>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</si>
  <si>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</si>
  <si>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</si>
  <si>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</si>
  <si>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</si>
  <si>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</si>
  <si>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</si>
  <si>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</si>
  <si>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</si>
  <si>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</si>
  <si>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</si>
  <si>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</si>
  <si>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</si>
  <si>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</si>
  <si>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</si>
  <si>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</si>
  <si>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</si>
  <si>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</si>
  <si>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</si>
  <si>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pc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</si>
  <si>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</si>
  <si>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</si>
  <si>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</si>
  <si>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</si>
  <si>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</si>
  <si>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</si>
  <si>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</si>
  <si>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</si>
  <si>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</si>
  <si>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</si>
  <si>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</si>
  <si>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</si>
  <si>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</si>
  <si>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</si>
  <si>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</si>
  <si>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</si>
  <si>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</si>
  <si>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</si>
  <si>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</si>
  <si>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</si>
  <si>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</si>
  <si>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</si>
  <si>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</si>
  <si>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</si>
  <si>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</si>
  <si>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</si>
  <si>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</si>
  <si>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</si>
  <si>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</si>
  <si>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</si>
  <si>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</si>
  <si>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</si>
  <si>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</si>
  <si>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</si>
  <si>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</si>
  <si>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</si>
  <si>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</si>
  <si>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</si>
  <si>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</si>
  <si>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</si>
  <si>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</si>
  <si>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</si>
  <si>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</si>
  <si>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</si>
  <si>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</si>
  <si>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</si>
  <si>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</si>
  <si>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</si>
  <si>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</si>
  <si>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</si>
  <si>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</si>
  <si>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</si>
  <si>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</si>
  <si>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</si>
  <si>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</si>
  <si>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</si>
  <si>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</si>
  <si>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</si>
  <si>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</si>
  <si>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</si>
  <si>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</si>
  <si>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</si>
  <si>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</si>
  <si>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</si>
  <si>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</si>
  <si>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</si>
  <si>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</si>
  <si>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</si>
  <si>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</si>
  <si>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</si>
  <si>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</si>
  <si>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</si>
  <si>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</si>
  <si>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</si>
  <si>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</si>
  <si>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</si>
  <si>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</si>
  <si>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</si>
  <si>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</si>
  <si>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</si>
  <si>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</si>
  <si>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</si>
  <si>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</si>
  <si>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</si>
  <si>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</si>
  <si>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</si>
  <si>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</si>
  <si>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</si>
  <si>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</si>
  <si>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</si>
  <si>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</si>
  <si>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</si>
  <si>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</si>
  <si>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</si>
  <si>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</si>
  <si>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</si>
  <si>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</si>
  <si>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</si>
  <si>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</si>
  <si>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</si>
  <si>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</si>
  <si>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</si>
  <si>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</si>
  <si>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</si>
  <si>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</si>
  <si>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</si>
  <si>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</si>
  <si>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</si>
  <si>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</si>
  <si>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</si>
  <si>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</si>
  <si>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</si>
  <si>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</si>
  <si>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</si>
  <si>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</si>
  <si>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</si>
  <si>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</si>
  <si>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</si>
  <si>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</si>
  <si>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</si>
  <si>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</si>
  <si>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</si>
  <si>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</si>
  <si>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</si>
  <si>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</si>
  <si>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</si>
  <si>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</si>
  <si>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</si>
  <si>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</si>
  <si>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</si>
  <si>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</si>
  <si>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</si>
  <si>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</si>
  <si>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ROOM AND BOARD</t>
  </si>
  <si>
    <t>GARBAGE FEE</t>
  </si>
  <si>
    <t>DRUGS AND MEDICINES</t>
  </si>
  <si>
    <t>MEDICAL SUPPLIES</t>
  </si>
  <si>
    <t>PROFESSIONAL FEE</t>
  </si>
  <si>
    <t>500 mg</t>
  </si>
  <si>
    <t>DIGITAL THERMOMETER</t>
  </si>
  <si>
    <t>DISPOSABLE MASK</t>
  </si>
  <si>
    <t>3CC SYRINGE</t>
  </si>
  <si>
    <t>MEDICAL TECHNOLOGIST</t>
  </si>
  <si>
    <t>RADIOLOGIC TECHNOLOGIST</t>
  </si>
  <si>
    <t>ACUTE PYELONEPHRITIS</t>
  </si>
  <si>
    <t>N10</t>
  </si>
  <si>
    <t>CBC PLATELET COUNT</t>
  </si>
  <si>
    <t>URINALYSIS</t>
  </si>
  <si>
    <t>LABORATORY</t>
  </si>
  <si>
    <t>BOTTLE/IV</t>
  </si>
  <si>
    <t>VIAL/IV</t>
  </si>
  <si>
    <t>PARACETAMOL</t>
  </si>
  <si>
    <t>STERILE WATER FOR INJECTION</t>
  </si>
  <si>
    <t>IV SET ADULT</t>
  </si>
  <si>
    <t>ID BRACELET</t>
  </si>
  <si>
    <t>10CC SYRINGE</t>
  </si>
  <si>
    <t>5CC SYRINGE</t>
  </si>
  <si>
    <t>GLOVES UNSTERILE MEDIUM</t>
  </si>
  <si>
    <t>1CC SYRINGE</t>
  </si>
  <si>
    <t>AMPULE/IV</t>
  </si>
  <si>
    <t>150 mg/ml</t>
  </si>
  <si>
    <t>CEFUROXIME</t>
  </si>
  <si>
    <t>HEPLOCK</t>
  </si>
  <si>
    <t>TONGUE DEPRESSOR</t>
  </si>
  <si>
    <t>RANDOM BLOOD SUGAR</t>
  </si>
  <si>
    <t>RADIOLOGY</t>
  </si>
  <si>
    <t>CEFOXITIN</t>
  </si>
  <si>
    <t>1 g</t>
  </si>
  <si>
    <t>OMEPRAZOLE</t>
  </si>
  <si>
    <t>40 mg</t>
  </si>
  <si>
    <t>0.9% SODIUM CHLORIDE</t>
  </si>
  <si>
    <t>1000 ml</t>
  </si>
  <si>
    <t>METFORMIN</t>
  </si>
  <si>
    <t>TABLET/ORAL</t>
  </si>
  <si>
    <t>GLIBENCLAMIDE</t>
  </si>
  <si>
    <t>5 mg</t>
  </si>
  <si>
    <t>HYOSCINE N BUTYL BROMIDE</t>
  </si>
  <si>
    <t>20 mg/ml</t>
  </si>
  <si>
    <t>POLYAMPULE/IV</t>
  </si>
  <si>
    <t>10 ml</t>
  </si>
  <si>
    <t>GLICLAZIDE</t>
  </si>
  <si>
    <t>80 mg</t>
  </si>
  <si>
    <t>ATORVASTATIN</t>
  </si>
  <si>
    <t>VITAMIN B COMPLEX + VITAMIN C</t>
  </si>
  <si>
    <t>100 mg/10 mg/50 mg</t>
  </si>
  <si>
    <t>LINAGLIPTIN</t>
  </si>
  <si>
    <t>IV CATHETER G 22</t>
  </si>
  <si>
    <t>IV SPLINT ADULT</t>
  </si>
  <si>
    <t>INSULIN SYRINGE</t>
  </si>
  <si>
    <t>ECG</t>
  </si>
  <si>
    <t>CHEM 8</t>
  </si>
  <si>
    <t>Procedure</t>
  </si>
  <si>
    <t>Consultation in the ER</t>
  </si>
  <si>
    <t>ADHESIVE PLASTER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</si>
</sst>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33</xdr:row>
          <xdr:rowOff>28575</xdr:rowOff>
        </xdr:from>
        <xdr:to>
          <xdr:col>1</xdr:col>
          <xdr:colOff>762000</xdr:colOff>
          <xdr:row>33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33</xdr:row>
          <xdr:rowOff>28575</xdr:rowOff>
        </xdr:from>
        <xdr:to>
          <xdr:col>1</xdr:col>
          <xdr:colOff>1533525</xdr:colOff>
          <xdr:row>33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44</xdr:row>
          <xdr:rowOff>28575</xdr:rowOff>
        </xdr:from>
        <xdr:to>
          <xdr:col>1</xdr:col>
          <xdr:colOff>771525</xdr:colOff>
          <xdr:row>44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44</xdr:row>
          <xdr:rowOff>28575</xdr:rowOff>
        </xdr:from>
        <xdr:to>
          <xdr:col>1</xdr:col>
          <xdr:colOff>1543050</xdr:colOff>
          <xdr:row>44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opLeftCell="A58" zoomScaleNormal="100" workbookViewId="0">
      <selection activeCell="H37" sqref="H3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175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161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137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5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176</v>
      </c>
      <c r="D34" s="23"/>
      <c r="E34" s="57">
        <v>2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177</v>
      </c>
      <c r="D35" s="23"/>
      <c r="E35" s="55">
        <v>2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194</v>
      </c>
      <c r="D36" s="23"/>
      <c r="E36" s="55">
        <v>7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220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219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163</v>
      </c>
      <c r="D60" s="55"/>
      <c r="E60" s="55">
        <v>2000</v>
      </c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164</v>
      </c>
      <c r="D61" s="55"/>
      <c r="E61" s="55">
        <v>50</v>
      </c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165</v>
      </c>
      <c r="D62" s="55">
        <v>6949</v>
      </c>
      <c r="E62" s="55">
        <v>9696</v>
      </c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166</v>
      </c>
      <c r="D63" s="55">
        <v>49</v>
      </c>
      <c r="E63" s="55">
        <v>763</v>
      </c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178</v>
      </c>
      <c r="D64" s="55">
        <v>2</v>
      </c>
      <c r="E64" s="55">
        <v>2368</v>
      </c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195</v>
      </c>
      <c r="D65" s="55"/>
      <c r="E65" s="55">
        <v>120</v>
      </c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167</v>
      </c>
      <c r="D66" s="55">
        <v>3000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10000</v>
      </c>
      <c r="E71" s="59">
        <f>SUM(E60:E70)</f>
        <v>14997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sKk1PA0nKKSxHKwd30VdFT8VI7WUfnKjYI+CVpwiGUnUTrA5+Ej+axw0a2cdnnf9Boy6t58Nrd1m8w//Z5xd/A==" saltValue="jqrQnoci0VPlmB+W/tvy4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69 E34: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20" workbookViewId="0">
      <selection activeCell="G13" sqref="G13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ACUTE PYELONEPHRITIS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196</v>
      </c>
      <c r="D11" s="27" t="s">
        <v>180</v>
      </c>
      <c r="E11" s="27" t="s">
        <v>197</v>
      </c>
      <c r="F11" s="55"/>
      <c r="G11" s="55"/>
      <c r="H11" s="55">
        <v>14</v>
      </c>
      <c r="I11" s="55">
        <v>825</v>
      </c>
      <c r="J11" s="55">
        <f>H11*I11</f>
        <v>11550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198</v>
      </c>
      <c r="D12" s="27" t="s">
        <v>180</v>
      </c>
      <c r="E12" s="27" t="s">
        <v>199</v>
      </c>
      <c r="F12" s="55"/>
      <c r="G12" s="55"/>
      <c r="H12" s="55">
        <v>5</v>
      </c>
      <c r="I12" s="55">
        <v>285</v>
      </c>
      <c r="J12" s="55">
        <f t="shared" ref="J12:J25" si="0">H12*I12</f>
        <v>1425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200</v>
      </c>
      <c r="D13" s="27" t="s">
        <v>179</v>
      </c>
      <c r="E13" s="27" t="s">
        <v>201</v>
      </c>
      <c r="F13" s="55"/>
      <c r="G13" s="55"/>
      <c r="H13" s="55">
        <v>13</v>
      </c>
      <c r="I13" s="55">
        <v>80</v>
      </c>
      <c r="J13" s="55">
        <f t="shared" si="0"/>
        <v>1040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202</v>
      </c>
      <c r="D14" s="27" t="s">
        <v>203</v>
      </c>
      <c r="E14" s="27" t="s">
        <v>168</v>
      </c>
      <c r="F14" s="55"/>
      <c r="G14" s="55"/>
      <c r="H14" s="55">
        <v>20</v>
      </c>
      <c r="I14" s="55">
        <v>3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204</v>
      </c>
      <c r="D15" s="27" t="s">
        <v>203</v>
      </c>
      <c r="E15" s="27" t="s">
        <v>205</v>
      </c>
      <c r="F15" s="55"/>
      <c r="G15" s="55"/>
      <c r="H15" s="55">
        <v>34</v>
      </c>
      <c r="I15" s="55">
        <v>2.5</v>
      </c>
      <c r="J15" s="55">
        <f t="shared" si="0"/>
        <v>85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181</v>
      </c>
      <c r="D16" s="27" t="s">
        <v>189</v>
      </c>
      <c r="E16" s="27" t="s">
        <v>190</v>
      </c>
      <c r="F16" s="55"/>
      <c r="G16" s="55"/>
      <c r="H16" s="55">
        <v>2</v>
      </c>
      <c r="I16" s="55">
        <v>35</v>
      </c>
      <c r="J16" s="55">
        <f t="shared" si="0"/>
        <v>70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206</v>
      </c>
      <c r="D17" s="27" t="s">
        <v>189</v>
      </c>
      <c r="E17" s="27" t="s">
        <v>207</v>
      </c>
      <c r="F17" s="55"/>
      <c r="G17" s="55"/>
      <c r="H17" s="55">
        <v>2</v>
      </c>
      <c r="I17" s="55">
        <v>55</v>
      </c>
      <c r="J17" s="55">
        <f t="shared" si="0"/>
        <v>110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182</v>
      </c>
      <c r="D18" s="27" t="s">
        <v>208</v>
      </c>
      <c r="E18" s="27" t="s">
        <v>209</v>
      </c>
      <c r="F18" s="55"/>
      <c r="G18" s="55"/>
      <c r="H18" s="55">
        <v>2</v>
      </c>
      <c r="I18" s="55">
        <v>40</v>
      </c>
      <c r="J18" s="55">
        <f t="shared" si="0"/>
        <v>80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210</v>
      </c>
      <c r="D19" s="27" t="s">
        <v>203</v>
      </c>
      <c r="E19" s="27" t="s">
        <v>211</v>
      </c>
      <c r="F19" s="55"/>
      <c r="G19" s="55"/>
      <c r="H19" s="55">
        <v>10</v>
      </c>
      <c r="I19" s="55">
        <v>7</v>
      </c>
      <c r="J19" s="55">
        <f t="shared" si="0"/>
        <v>70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212</v>
      </c>
      <c r="D20" s="27" t="s">
        <v>203</v>
      </c>
      <c r="E20" s="27" t="s">
        <v>199</v>
      </c>
      <c r="F20" s="55"/>
      <c r="G20" s="55"/>
      <c r="H20" s="55">
        <v>10</v>
      </c>
      <c r="I20" s="55">
        <v>7</v>
      </c>
      <c r="J20" s="55">
        <f t="shared" si="0"/>
        <v>70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213</v>
      </c>
      <c r="D21" s="27" t="s">
        <v>203</v>
      </c>
      <c r="E21" s="27" t="s">
        <v>214</v>
      </c>
      <c r="F21" s="55"/>
      <c r="G21" s="55"/>
      <c r="H21" s="55">
        <v>30</v>
      </c>
      <c r="I21" s="55">
        <v>2</v>
      </c>
      <c r="J21" s="55">
        <f t="shared" si="0"/>
        <v>60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215</v>
      </c>
      <c r="D22" s="27" t="s">
        <v>203</v>
      </c>
      <c r="E22" s="27" t="s">
        <v>205</v>
      </c>
      <c r="F22" s="55"/>
      <c r="G22" s="55"/>
      <c r="H22" s="55">
        <v>15</v>
      </c>
      <c r="I22" s="55">
        <v>108</v>
      </c>
      <c r="J22" s="55">
        <f t="shared" si="0"/>
        <v>1620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191</v>
      </c>
      <c r="D23" s="27" t="s">
        <v>203</v>
      </c>
      <c r="E23" s="27" t="s">
        <v>168</v>
      </c>
      <c r="F23" s="55"/>
      <c r="G23" s="55"/>
      <c r="H23" s="55">
        <v>9</v>
      </c>
      <c r="I23" s="55">
        <v>45</v>
      </c>
      <c r="J23" s="55">
        <f t="shared" si="0"/>
        <v>405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>SUM(J11:J23)</f>
        <v>16645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8"/>
  <sheetViews>
    <sheetView topLeftCell="A13" workbookViewId="0">
      <selection activeCell="C25" sqref="C25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17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216</v>
      </c>
      <c r="D16" s="70" t="s">
        <v>29</v>
      </c>
      <c r="E16" s="55">
        <v>1</v>
      </c>
      <c r="F16" s="55">
        <v>61</v>
      </c>
      <c r="G16" s="55">
        <f>E16*F16</f>
        <v>61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183</v>
      </c>
      <c r="D17" s="70" t="s">
        <v>29</v>
      </c>
      <c r="E17" s="55">
        <v>1</v>
      </c>
      <c r="F17" s="55">
        <v>32</v>
      </c>
      <c r="G17" s="55">
        <f t="shared" ref="G17:G30" si="0">E17*F17</f>
        <v>32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184</v>
      </c>
      <c r="D18" s="70" t="s">
        <v>29</v>
      </c>
      <c r="E18" s="55">
        <v>1</v>
      </c>
      <c r="F18" s="55">
        <v>7</v>
      </c>
      <c r="G18" s="55">
        <f t="shared" si="0"/>
        <v>7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170</v>
      </c>
      <c r="D19" s="70" t="s">
        <v>29</v>
      </c>
      <c r="E19" s="55">
        <v>9</v>
      </c>
      <c r="F19" s="55">
        <v>6</v>
      </c>
      <c r="G19" s="55">
        <f t="shared" si="0"/>
        <v>54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185</v>
      </c>
      <c r="D20" s="70" t="s">
        <v>29</v>
      </c>
      <c r="E20" s="55">
        <v>6</v>
      </c>
      <c r="F20" s="55">
        <v>8</v>
      </c>
      <c r="G20" s="55">
        <f t="shared" si="0"/>
        <v>48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186</v>
      </c>
      <c r="D21" s="70" t="s">
        <v>29</v>
      </c>
      <c r="E21" s="55">
        <v>6</v>
      </c>
      <c r="F21" s="55">
        <v>7</v>
      </c>
      <c r="G21" s="55">
        <f t="shared" si="0"/>
        <v>42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171</v>
      </c>
      <c r="D22" s="70" t="s">
        <v>29</v>
      </c>
      <c r="E22" s="55">
        <v>6</v>
      </c>
      <c r="F22" s="55">
        <v>6</v>
      </c>
      <c r="G22" s="55">
        <f t="shared" si="0"/>
        <v>36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217</v>
      </c>
      <c r="D23" s="70" t="s">
        <v>29</v>
      </c>
      <c r="E23" s="55">
        <v>1</v>
      </c>
      <c r="F23" s="55">
        <v>110</v>
      </c>
      <c r="G23" s="55">
        <f t="shared" si="0"/>
        <v>110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 t="s">
        <v>223</v>
      </c>
      <c r="D24" s="70" t="s">
        <v>29</v>
      </c>
      <c r="E24" s="55">
        <v>1</v>
      </c>
      <c r="F24" s="55">
        <v>65</v>
      </c>
      <c r="G24" s="55">
        <f t="shared" si="0"/>
        <v>65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 t="s">
        <v>187</v>
      </c>
      <c r="D25" s="70" t="s">
        <v>29</v>
      </c>
      <c r="E25" s="55">
        <v>9</v>
      </c>
      <c r="F25" s="55">
        <v>4</v>
      </c>
      <c r="G25" s="55">
        <f t="shared" si="0"/>
        <v>36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 t="s">
        <v>169</v>
      </c>
      <c r="D26" s="70" t="s">
        <v>29</v>
      </c>
      <c r="E26" s="55">
        <v>2</v>
      </c>
      <c r="F26" s="55">
        <v>85</v>
      </c>
      <c r="G26" s="55">
        <f t="shared" si="0"/>
        <v>170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12</v>
      </c>
      <c r="C27" s="69" t="s">
        <v>188</v>
      </c>
      <c r="D27" s="70" t="s">
        <v>29</v>
      </c>
      <c r="E27" s="55">
        <v>6</v>
      </c>
      <c r="F27" s="55">
        <v>7</v>
      </c>
      <c r="G27" s="55">
        <f t="shared" si="0"/>
        <v>42</v>
      </c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13</v>
      </c>
      <c r="C28" s="69" t="s">
        <v>192</v>
      </c>
      <c r="D28" s="70" t="s">
        <v>29</v>
      </c>
      <c r="E28" s="55">
        <v>1</v>
      </c>
      <c r="F28" s="55">
        <v>22</v>
      </c>
      <c r="G28" s="55">
        <f t="shared" si="0"/>
        <v>22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14</v>
      </c>
      <c r="C29" s="69" t="s">
        <v>193</v>
      </c>
      <c r="D29" s="70" t="s">
        <v>29</v>
      </c>
      <c r="E29" s="55">
        <v>1</v>
      </c>
      <c r="F29" s="55">
        <v>2</v>
      </c>
      <c r="G29" s="55">
        <f t="shared" si="0"/>
        <v>2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15</v>
      </c>
      <c r="C30" s="69" t="s">
        <v>218</v>
      </c>
      <c r="D30" s="70" t="s">
        <v>29</v>
      </c>
      <c r="E30" s="55">
        <v>5</v>
      </c>
      <c r="F30" s="55">
        <v>17</v>
      </c>
      <c r="G30" s="55">
        <f t="shared" si="0"/>
        <v>85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16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17</v>
      </c>
      <c r="C32" s="69"/>
      <c r="D32" s="70"/>
      <c r="E32" s="55"/>
      <c r="F32" s="55"/>
      <c r="G32" s="55">
        <f>SUM(G16:G30)</f>
        <v>812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136" t="s">
        <v>77</v>
      </c>
      <c r="C33" s="137"/>
      <c r="D33" s="137"/>
      <c r="E33" s="137"/>
      <c r="F33" s="137"/>
      <c r="G33" s="138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1</v>
      </c>
      <c r="C34" s="69"/>
      <c r="D34" s="70"/>
      <c r="E34" s="55"/>
      <c r="F34" s="55"/>
      <c r="G34" s="55">
        <f>E34*F34</f>
        <v>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2</v>
      </c>
      <c r="C35" s="69"/>
      <c r="D35" s="70"/>
      <c r="E35" s="55"/>
      <c r="F35" s="55"/>
      <c r="G35" s="55">
        <f t="shared" ref="G35:G42" si="1">E35*F35</f>
        <v>0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3</v>
      </c>
      <c r="C36" s="69"/>
      <c r="D36" s="70"/>
      <c r="E36" s="55"/>
      <c r="F36" s="55"/>
      <c r="G36" s="55">
        <f t="shared" si="1"/>
        <v>0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4</v>
      </c>
      <c r="C37" s="69"/>
      <c r="D37" s="70"/>
      <c r="E37" s="55"/>
      <c r="F37" s="55"/>
      <c r="G37" s="55">
        <f t="shared" si="1"/>
        <v>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5</v>
      </c>
      <c r="C38" s="69"/>
      <c r="D38" s="70"/>
      <c r="E38" s="55"/>
      <c r="F38" s="55"/>
      <c r="G38" s="55">
        <f t="shared" si="1"/>
        <v>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6</v>
      </c>
      <c r="C39" s="69"/>
      <c r="D39" s="70"/>
      <c r="E39" s="55"/>
      <c r="F39" s="55"/>
      <c r="G39" s="55">
        <f t="shared" si="1"/>
        <v>0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7</v>
      </c>
      <c r="C40" s="69"/>
      <c r="D40" s="70"/>
      <c r="E40" s="55"/>
      <c r="F40" s="55"/>
      <c r="G40" s="55">
        <f t="shared" si="1"/>
        <v>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8</v>
      </c>
      <c r="C41" s="69"/>
      <c r="D41" s="70"/>
      <c r="E41" s="55"/>
      <c r="F41" s="55"/>
      <c r="G41" s="55">
        <f t="shared" si="1"/>
        <v>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9</v>
      </c>
      <c r="C42" s="69"/>
      <c r="D42" s="70"/>
      <c r="E42" s="55"/>
      <c r="F42" s="55"/>
      <c r="G42" s="55">
        <f t="shared" si="1"/>
        <v>0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10</v>
      </c>
      <c r="C43" s="69"/>
      <c r="D43" s="70"/>
      <c r="E43" s="55"/>
      <c r="F43" s="55"/>
      <c r="G43" s="55">
        <f>SUM(G34:G40)</f>
        <v>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136" t="s">
        <v>30</v>
      </c>
      <c r="C44" s="137"/>
      <c r="D44" s="137"/>
      <c r="E44" s="137"/>
      <c r="F44" s="137"/>
      <c r="G44" s="138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2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3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4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B49" s="68">
        <v>5</v>
      </c>
      <c r="C49" s="69"/>
      <c r="D49" s="70"/>
      <c r="E49" s="55"/>
      <c r="F49" s="55"/>
      <c r="G49" s="55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B50" s="68">
        <v>6</v>
      </c>
      <c r="C50" s="69"/>
      <c r="D50" s="70"/>
      <c r="E50" s="55"/>
      <c r="F50" s="55"/>
      <c r="G50" s="55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4.25" customHeight="1" x14ac:dyDescent="0.3">
      <c r="B51" s="68">
        <v>7</v>
      </c>
      <c r="C51" s="69"/>
      <c r="D51" s="70"/>
      <c r="E51" s="55"/>
      <c r="F51" s="55"/>
      <c r="G51" s="55"/>
      <c r="H51" s="39"/>
      <c r="I51" s="39"/>
      <c r="J51" s="39"/>
      <c r="K51" s="39"/>
      <c r="L51" s="39"/>
      <c r="M51" s="39"/>
      <c r="N51" s="39"/>
      <c r="O51" s="39"/>
      <c r="P51" s="39"/>
    </row>
    <row r="52" spans="1:16" ht="14.25" customHeight="1" x14ac:dyDescent="0.3">
      <c r="B52" s="68">
        <v>8</v>
      </c>
      <c r="C52" s="69"/>
      <c r="D52" s="70"/>
      <c r="E52" s="55"/>
      <c r="F52" s="55"/>
      <c r="G52" s="55"/>
      <c r="H52" s="39"/>
      <c r="I52" s="39"/>
      <c r="J52" s="39"/>
      <c r="K52" s="39"/>
      <c r="L52" s="39"/>
      <c r="M52" s="39"/>
      <c r="N52" s="39"/>
      <c r="O52" s="39"/>
      <c r="P52" s="39"/>
    </row>
    <row r="53" spans="1:16" ht="14.25" customHeight="1" x14ac:dyDescent="0.3">
      <c r="B53" s="68">
        <v>9</v>
      </c>
      <c r="C53" s="69"/>
      <c r="D53" s="70"/>
      <c r="E53" s="55"/>
      <c r="F53" s="55"/>
      <c r="G53" s="55"/>
      <c r="H53" s="39"/>
      <c r="I53" s="39"/>
      <c r="J53" s="39"/>
      <c r="K53" s="39"/>
      <c r="L53" s="39"/>
      <c r="M53" s="39"/>
      <c r="N53" s="39"/>
      <c r="O53" s="39"/>
      <c r="P53" s="39"/>
    </row>
    <row r="54" spans="1:16" ht="14.25" customHeight="1" x14ac:dyDescent="0.3">
      <c r="B54" s="68">
        <v>10</v>
      </c>
      <c r="C54" s="69"/>
      <c r="D54" s="70"/>
      <c r="E54" s="55"/>
      <c r="F54" s="55"/>
      <c r="G54" s="55"/>
      <c r="H54" s="39"/>
      <c r="I54" s="39"/>
      <c r="J54" s="39"/>
      <c r="K54" s="39"/>
      <c r="L54" s="39"/>
      <c r="M54" s="39"/>
      <c r="N54" s="39"/>
      <c r="O54" s="39"/>
      <c r="P54" s="39"/>
    </row>
    <row r="55" spans="1:16" ht="14.25" customHeight="1" x14ac:dyDescent="0.3">
      <c r="A55" s="44"/>
      <c r="B55" s="39"/>
      <c r="C55" s="44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</row>
    <row r="56" spans="1:16" ht="14.25" customHeight="1" x14ac:dyDescent="0.3">
      <c r="A56" s="44"/>
      <c r="B56" s="39"/>
      <c r="C56" s="44"/>
      <c r="D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</row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</sheetData>
  <sheetProtection algorithmName="SHA-512" hashValue="/bVHnQLqv/4V9tI/HNbBwLuzgNaVcDw1D2m1KYYP4b39yLEeadRQLpU3LLn/Cuuqtu5NX+tpYa7/DqUgLuNoJQ==" saltValue="FwViVN4BKRJVUGuhb1GaRg==" spinCount="100000" sheet="1" objects="1" scenarios="1" formatColumns="0" formatRows="0" sort="0" autoFilter="0"/>
  <mergeCells count="9">
    <mergeCell ref="B7:G7"/>
    <mergeCell ref="B33:G33"/>
    <mergeCell ref="B44:G44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54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33</xdr:row>
                    <xdr:rowOff>28575</xdr:rowOff>
                  </from>
                  <to>
                    <xdr:col>1</xdr:col>
                    <xdr:colOff>762000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33</xdr:row>
                    <xdr:rowOff>28575</xdr:rowOff>
                  </from>
                  <to>
                    <xdr:col>1</xdr:col>
                    <xdr:colOff>1533525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44</xdr:row>
                    <xdr:rowOff>28575</xdr:rowOff>
                  </from>
                  <to>
                    <xdr:col>1</xdr:col>
                    <xdr:colOff>771525</xdr:colOff>
                    <xdr:row>44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44</xdr:row>
                    <xdr:rowOff>28575</xdr:rowOff>
                  </from>
                  <to>
                    <xdr:col>1</xdr:col>
                    <xdr:colOff>1543050</xdr:colOff>
                    <xdr:row>44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abSelected="1" topLeftCell="C9" workbookViewId="0">
      <selection activeCell="H14" sqref="H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ACUTE PYELONEPHRITIS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31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32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33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34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35</v>
      </c>
      <c r="D12" s="53" t="s">
        <v>36</v>
      </c>
      <c r="E12" s="53" t="s">
        <v>37</v>
      </c>
      <c r="F12" s="53" t="s">
        <v>38</v>
      </c>
      <c r="G12" s="53" t="s">
        <v>39</v>
      </c>
      <c r="H12" s="85" t="s">
        <v>40</v>
      </c>
      <c r="I12" s="86" t="s">
        <v>85</v>
      </c>
      <c r="J12" s="86" t="s">
        <v>83</v>
      </c>
      <c r="K12" s="85" t="s">
        <v>41</v>
      </c>
      <c r="L12" s="85" t="s">
        <v>84</v>
      </c>
      <c r="M12" s="90" t="s">
        <v>172</v>
      </c>
      <c r="N12" s="90" t="s">
        <v>173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42</v>
      </c>
      <c r="D13" s="55"/>
      <c r="E13" s="55">
        <v>75</v>
      </c>
      <c r="F13" s="55"/>
      <c r="G13" s="55"/>
      <c r="H13" s="55">
        <v>80</v>
      </c>
      <c r="I13" s="55"/>
      <c r="J13" s="55"/>
      <c r="K13" s="55"/>
      <c r="L13" s="55"/>
      <c r="M13" s="55"/>
      <c r="N13" s="55"/>
      <c r="P13" s="88">
        <f>SUM(D13:N13)</f>
        <v>155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221</v>
      </c>
      <c r="D14" s="55"/>
      <c r="E14" s="55"/>
      <c r="F14" s="55"/>
      <c r="G14" s="55"/>
      <c r="H14" s="55">
        <v>50</v>
      </c>
      <c r="I14" s="55"/>
      <c r="J14" s="55"/>
      <c r="K14" s="55"/>
      <c r="L14" s="55"/>
      <c r="M14" s="55">
        <v>40</v>
      </c>
      <c r="N14" s="55">
        <v>10</v>
      </c>
      <c r="P14" s="88">
        <f t="shared" ref="P14:P22" si="0">SUM(D14:N14)</f>
        <v>100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 t="s">
        <v>222</v>
      </c>
      <c r="D15" s="55"/>
      <c r="E15" s="55">
        <v>20</v>
      </c>
      <c r="F15" s="55"/>
      <c r="G15" s="55"/>
      <c r="H15" s="55">
        <v>30</v>
      </c>
      <c r="I15" s="55"/>
      <c r="J15" s="55"/>
      <c r="K15" s="55"/>
      <c r="L15" s="55"/>
      <c r="M15" s="55"/>
      <c r="N15" s="55"/>
      <c r="P15" s="88">
        <f t="shared" si="0"/>
        <v>50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95</v>
      </c>
      <c r="F30" s="88">
        <f t="shared" si="1"/>
        <v>0</v>
      </c>
      <c r="G30" s="88">
        <f t="shared" si="1"/>
        <v>0</v>
      </c>
      <c r="H30" s="88">
        <f t="shared" si="1"/>
        <v>160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40</v>
      </c>
      <c r="N30" s="88">
        <f t="shared" si="1"/>
        <v>10</v>
      </c>
      <c r="P30" s="89">
        <f>SUM(P13:P22)</f>
        <v>305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HOMIS</cp:lastModifiedBy>
  <dcterms:created xsi:type="dcterms:W3CDTF">2018-05-11T08:46:15Z</dcterms:created>
  <dcterms:modified xsi:type="dcterms:W3CDTF">2018-06-10T03:46:07Z</dcterms:modified>
</cp:coreProperties>
</file>