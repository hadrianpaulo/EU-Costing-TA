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9" i="9" l="1"/>
  <c r="G20" i="9"/>
  <c r="G21" i="9"/>
  <c r="G22" i="9"/>
  <c r="G23" i="9"/>
  <c r="G24" i="9"/>
  <c r="G32" i="9" s="1"/>
  <c r="G25" i="9"/>
  <c r="G26" i="9"/>
  <c r="G27" i="9"/>
  <c r="G28" i="9"/>
  <c r="G29" i="9"/>
  <c r="G30" i="9"/>
  <c r="G16" i="9"/>
  <c r="G17" i="9" l="1"/>
  <c r="J13" i="2"/>
  <c r="J14" i="2"/>
  <c r="J15" i="2"/>
  <c r="J16" i="2"/>
  <c r="J17" i="2"/>
  <c r="J18" i="2"/>
  <c r="J19" i="2"/>
  <c r="J12" i="2"/>
  <c r="G35" i="9" l="1"/>
  <c r="G36" i="9"/>
  <c r="G37" i="9"/>
  <c r="G38" i="9"/>
  <c r="G39" i="9"/>
  <c r="G40" i="9"/>
  <c r="G41" i="9"/>
  <c r="G42" i="9"/>
  <c r="G34" i="9"/>
  <c r="J21" i="2"/>
  <c r="J22" i="2"/>
  <c r="J23" i="2"/>
  <c r="J24" i="2"/>
  <c r="J25" i="2"/>
  <c r="J26" i="2"/>
  <c r="G43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<sst xmlns="http://schemas.openxmlformats.org/spreadsheetml/2006/main" count="504" uniqueCount="206">
  <si>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</si>
  <si>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</si>
  <si>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</si>
  <si>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</si>
  <si>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</si>
  <si>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</si>
  <si>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</si>
  <si>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</si>
  <si>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</si>
  <si>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</si>
  <si>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</si>
  <si>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</si>
  <si>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</si>
  <si>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</si>
  <si>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</si>
  <si>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</si>
  <si>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</si>
  <si>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</si>
  <si>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</si>
  <si>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</si>
  <si>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</si>
  <si>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</si>
  <si>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</si>
  <si>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</si>
  <si>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</si>
  <si>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</si>
  <si>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</si>
  <si>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</si>
  <si>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</si>
  <si>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</si>
  <si>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</si>
  <si>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</si>
  <si>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</si>
  <si>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</si>
  <si>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</si>
  <si>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</si>
  <si>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</si>
  <si>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</si>
  <si>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</si>
  <si>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</si>
  <si>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</si>
  <si>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</si>
  <si>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</si>
  <si>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</si>
  <si>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</si>
  <si>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</si>
  <si>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</si>
  <si>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</si>
  <si>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</si>
  <si>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</si>
  <si>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</si>
  <si>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</si>
  <si>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</si>
  <si>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</si>
  <si>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</si>
  <si>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</si>
  <si>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</si>
  <si>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</si>
  <si>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</si>
  <si>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</si>
  <si>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</si>
  <si>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</si>
  <si>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</si>
  <si>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</si>
  <si>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</si>
  <si>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</si>
  <si>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</si>
  <si>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</si>
  <si>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</si>
  <si>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</si>
  <si>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</si>
  <si>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</si>
  <si>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</si>
  <si>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</si>
  <si>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</si>
  <si>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</si>
  <si>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</si>
  <si>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</si>
  <si>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</si>
  <si>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</si>
  <si>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</si>
  <si>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</si>
  <si>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</si>
  <si>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</si>
  <si>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</si>
  <si>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</si>
  <si>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</si>
  <si>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</si>
  <si>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</si>
  <si>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</si>
  <si>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</si>
  <si>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</si>
  <si>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</si>
  <si>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</si>
  <si>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</si>
  <si>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</si>
  <si>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</si>
  <si>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</si>
  <si>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</si>
  <si>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</si>
  <si>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</si>
  <si>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</si>
  <si>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</si>
  <si>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</si>
  <si>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</si>
  <si>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</si>
  <si>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</si>
  <si>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</si>
  <si>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</si>
  <si>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</si>
  <si>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</si>
  <si>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</si>
  <si>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</si>
  <si>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</si>
  <si>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</si>
  <si>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</si>
  <si>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</si>
  <si>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</si>
  <si>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</si>
  <si>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</si>
  <si>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</si>
  <si>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</si>
  <si>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</si>
  <si>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</si>
  <si>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</si>
  <si>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</si>
  <si>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</si>
  <si>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</si>
  <si>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</si>
  <si>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</si>
  <si>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</si>
  <si>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</si>
  <si>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</si>
  <si>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</si>
  <si>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</si>
  <si>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</si>
  <si>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</si>
  <si>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</si>
  <si>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</si>
  <si>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</si>
  <si>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</si>
  <si>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</si>
  <si>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</si>
  <si>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</si>
  <si>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</si>
  <si>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</si>
  <si>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</si>
  <si>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</si>
  <si>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</si>
  <si>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</si>
  <si>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</si>
  <si>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</si>
  <si>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</si>
  <si>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</si>
  <si>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</si>
  <si>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</si>
  <si>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</si>
  <si>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</si>
  <si>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</si>
  <si>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</si>
  <si>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</si>
  <si>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</si>
  <si>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</si>
  <si>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</si>
  <si>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</si>
  <si>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</si>
  <si>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</si>
  <si>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</si>
  <si>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</si>
  <si>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</si>
  <si>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</si>
  <si>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</si>
  <si>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</si>
  <si>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</si>
  <si>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</si>
  <si>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</si>
  <si>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</si>
  <si>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LABORATORY</t>
  </si>
  <si>
    <t>BOTTLE/IV</t>
  </si>
  <si>
    <t>VIAL/IV</t>
  </si>
  <si>
    <t>PARACETAMOL</t>
  </si>
  <si>
    <t>IV SET ADULT</t>
  </si>
  <si>
    <t>10CC SYRINGE</t>
  </si>
  <si>
    <t>5CC SYRINGE</t>
  </si>
  <si>
    <t>GLOVES UNSTERILE MEDIUM</t>
  </si>
  <si>
    <t>1CC SYRINGE</t>
  </si>
  <si>
    <t>AMPULE/IV</t>
  </si>
  <si>
    <t>150 mg/ml</t>
  </si>
  <si>
    <t>CEFUROXIME</t>
  </si>
  <si>
    <t>HEPLOCK</t>
  </si>
  <si>
    <t>RADIOLOGY</t>
  </si>
  <si>
    <t>ABDOMEN UPRIGHT, SUPINE 14X17</t>
  </si>
  <si>
    <t>TABLET/ORAL</t>
  </si>
  <si>
    <t xml:space="preserve">0.9 SODIUM CHLORIDE </t>
  </si>
  <si>
    <t>1000 ml</t>
  </si>
  <si>
    <t>750 mg</t>
  </si>
  <si>
    <t>HYOSCINE N BUTYL BROMIDE</t>
  </si>
  <si>
    <t>TRAMADOL</t>
  </si>
  <si>
    <t>50 mg/ml</t>
  </si>
  <si>
    <t>CAPSULE/ORAL</t>
  </si>
  <si>
    <t>50 mg</t>
  </si>
  <si>
    <t>SAMBONG</t>
  </si>
  <si>
    <t>IV CATHETER G 22</t>
  </si>
  <si>
    <t>Procedure</t>
  </si>
  <si>
    <t>ADHESIVE PLASTER</t>
  </si>
  <si>
    <t>Consultation in the 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</si>
</sst>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24" zoomScaleNormal="100" workbookViewId="0">
      <selection activeCell="G30" sqref="G3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/>
      <c r="D35" s="23"/>
      <c r="E35" s="57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191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45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46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54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56</v>
      </c>
      <c r="C55" s="17" t="s">
        <v>52</v>
      </c>
      <c r="D55" s="17" t="s">
        <v>57</v>
      </c>
      <c r="E55" s="18" t="s">
        <v>58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163</v>
      </c>
      <c r="D56" s="55">
        <v>1200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164</v>
      </c>
      <c r="D57" s="55">
        <v>30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165</v>
      </c>
      <c r="D58" s="55">
        <v>1015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166</v>
      </c>
      <c r="D59" s="55">
        <v>435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 t="s">
        <v>177</v>
      </c>
      <c r="D60" s="55">
        <v>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 t="s">
        <v>190</v>
      </c>
      <c r="D61" s="55">
        <v>330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 t="s">
        <v>167</v>
      </c>
      <c r="D62" s="55">
        <v>3000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6260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algorithmName="SHA-512" hashValue="IZkoxG/fuPMTfdZwTdECuTzPvv1sAlcHA6CIqOwVpXzqdVs+OLLlnqMVquyS3Wo2DiRMRNC5+5NytxInvly5Yg==" saltValue="8A5/hvXOX0XQiYuKTVHS6Q==" spinCount="100000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32 E37:E38 E40 E23:F27 E42:F45 E47:F52 D56:F65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5" workbookViewId="0">
      <selection activeCell="G15" sqref="G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192</v>
      </c>
      <c r="E11" s="27" t="s">
        <v>168</v>
      </c>
      <c r="F11" s="55"/>
      <c r="G11" s="55"/>
      <c r="H11" s="55">
        <v>10</v>
      </c>
      <c r="I11" s="55">
        <v>1.5</v>
      </c>
      <c r="J11" s="55">
        <f>H11*I11</f>
        <v>15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178</v>
      </c>
      <c r="E12" s="27" t="s">
        <v>194</v>
      </c>
      <c r="F12" s="55"/>
      <c r="G12" s="55"/>
      <c r="H12" s="55">
        <v>8</v>
      </c>
      <c r="I12" s="55">
        <v>80</v>
      </c>
      <c r="J12" s="55">
        <f t="shared" ref="J12:J26" si="0">H12*I12</f>
        <v>640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179</v>
      </c>
      <c r="E13" s="27" t="s">
        <v>195</v>
      </c>
      <c r="F13" s="55"/>
      <c r="G13" s="55"/>
      <c r="H13" s="55">
        <v>1</v>
      </c>
      <c r="I13" s="55">
        <v>55</v>
      </c>
      <c r="J13" s="55">
        <f t="shared" si="0"/>
        <v>55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186</v>
      </c>
      <c r="E14" s="27" t="s">
        <v>187</v>
      </c>
      <c r="F14" s="55"/>
      <c r="G14" s="55"/>
      <c r="H14" s="55">
        <v>2</v>
      </c>
      <c r="I14" s="55">
        <v>55</v>
      </c>
      <c r="J14" s="55">
        <f t="shared" si="0"/>
        <v>110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186</v>
      </c>
      <c r="E15" s="27" t="s">
        <v>198</v>
      </c>
      <c r="F15" s="55"/>
      <c r="G15" s="55"/>
      <c r="H15" s="55">
        <v>1</v>
      </c>
      <c r="I15" s="55">
        <v>65</v>
      </c>
      <c r="J15" s="55">
        <f t="shared" si="0"/>
        <v>65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199</v>
      </c>
      <c r="E16" s="27" t="s">
        <v>200</v>
      </c>
      <c r="F16" s="55"/>
      <c r="G16" s="55"/>
      <c r="H16" s="55">
        <v>10</v>
      </c>
      <c r="I16" s="55">
        <v>5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192</v>
      </c>
      <c r="E17" s="27" t="s">
        <v>168</v>
      </c>
      <c r="F17" s="55"/>
      <c r="G17" s="55"/>
      <c r="H17" s="55">
        <v>10</v>
      </c>
      <c r="I17" s="55">
        <v>8</v>
      </c>
      <c r="J17" s="55">
        <f t="shared" si="0"/>
        <v>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1015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3" workbookViewId="0">
      <selection activeCell="C27" sqref="C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202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32</v>
      </c>
      <c r="G17" s="55">
        <f t="shared" ref="G17:G30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29</v>
      </c>
      <c r="E18" s="55">
        <v>1</v>
      </c>
      <c r="F18" s="55">
        <v>22</v>
      </c>
      <c r="G18" s="55">
        <f t="shared" si="0"/>
        <v>22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6</v>
      </c>
      <c r="F19" s="55">
        <v>6</v>
      </c>
      <c r="G19" s="55">
        <f t="shared" si="0"/>
        <v>36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3</v>
      </c>
      <c r="F20" s="55">
        <v>8</v>
      </c>
      <c r="G20" s="55">
        <f t="shared" si="0"/>
        <v>24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4</v>
      </c>
      <c r="F21" s="55">
        <v>7</v>
      </c>
      <c r="G21" s="55">
        <f t="shared" si="0"/>
        <v>28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171</v>
      </c>
      <c r="D22" s="70" t="s">
        <v>29</v>
      </c>
      <c r="E22" s="55">
        <v>5</v>
      </c>
      <c r="F22" s="55">
        <v>6</v>
      </c>
      <c r="G22" s="55">
        <f t="shared" si="0"/>
        <v>30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185</v>
      </c>
      <c r="D23" s="70" t="s">
        <v>29</v>
      </c>
      <c r="E23" s="55">
        <v>4</v>
      </c>
      <c r="F23" s="55">
        <v>7</v>
      </c>
      <c r="G23" s="55">
        <f t="shared" si="0"/>
        <v>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204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184</v>
      </c>
      <c r="D25" s="70" t="s">
        <v>29</v>
      </c>
      <c r="E25" s="55">
        <v>6</v>
      </c>
      <c r="F25" s="55">
        <v>4</v>
      </c>
      <c r="G25" s="55">
        <f t="shared" si="0"/>
        <v>24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169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SUM(G16:G26)</f>
        <v>435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77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>
        <f>E34*F34</f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>
        <f t="shared" ref="G35:G42" si="1"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>
        <f>SUM(G34:G40)</f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bVHnQLqv/4V9tI/HNbBwLuzgNaVcDw1D2m1KYYP4b39yLEeadRQLpU3LLn/Cuuqtu5NX+tpYa7/DqUgLuNoJQ==" saltValue="FwViVN4BKRJVUGuhb1GaRg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M14" sqref="M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50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203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10</v>
      </c>
      <c r="N14" s="55">
        <v>10</v>
      </c>
      <c r="P14" s="88">
        <f t="shared" ref="P14:P22" si="0">SUM(D14:N14)</f>
        <v>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205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10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2018-06-10T03:47:23Z</dcterms:modified>
</cp:coreProperties>
</file>