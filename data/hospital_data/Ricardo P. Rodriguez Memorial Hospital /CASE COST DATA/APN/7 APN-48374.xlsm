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2" i="9" l="1"/>
  <c r="G18" i="9" l="1"/>
  <c r="G19" i="9" l="1"/>
  <c r="G20" i="9"/>
  <c r="G21" i="9"/>
  <c r="G22" i="9"/>
  <c r="G23" i="9"/>
  <c r="G24" i="9"/>
  <c r="G25" i="9"/>
  <c r="G26" i="9"/>
  <c r="G27" i="9"/>
  <c r="G28" i="9"/>
  <c r="G29" i="9"/>
  <c r="G30" i="9"/>
  <c r="G16" i="9"/>
  <c r="G17" i="9" l="1"/>
  <c r="J13" i="2"/>
  <c r="J14" i="2"/>
  <c r="J15" i="2"/>
  <c r="J16" i="2"/>
  <c r="J17" i="2"/>
  <c r="J18" i="2"/>
  <c r="J19" i="2"/>
  <c r="J12" i="2"/>
  <c r="G35" i="9" l="1"/>
  <c r="G36" i="9"/>
  <c r="G37" i="9"/>
  <c r="G38" i="9"/>
  <c r="G39" i="9"/>
  <c r="G40" i="9"/>
  <c r="G41" i="9"/>
  <c r="G42" i="9"/>
  <c r="G34" i="9"/>
  <c r="J21" i="2"/>
  <c r="J22" i="2"/>
  <c r="J23" i="2"/>
  <c r="J24" i="2"/>
  <c r="J25" i="2"/>
  <c r="J26" i="2"/>
  <c r="G43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J20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<sst xmlns="http://schemas.openxmlformats.org/spreadsheetml/2006/main" count="510" uniqueCount="211">
  <si>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</si>
  <si>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</si>
  <si>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</si>
  <si>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</si>
  <si>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</si>
  <si>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</si>
  <si>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</si>
  <si>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</si>
  <si>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</si>
  <si>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</si>
  <si>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</si>
  <si>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</si>
  <si>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</si>
  <si>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</si>
  <si>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</si>
  <si>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</si>
  <si>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</si>
  <si>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</si>
  <si>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</si>
  <si>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</si>
  <si>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</si>
  <si>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</si>
  <si>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</si>
  <si>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</si>
  <si>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</si>
  <si>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</si>
  <si>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</si>
  <si>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</si>
  <si>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</si>
  <si>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</si>
  <si>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</si>
  <si>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</si>
  <si>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</si>
  <si>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</si>
  <si>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</si>
  <si>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</si>
  <si>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</si>
  <si>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</si>
  <si>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</si>
  <si>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</si>
  <si>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</si>
  <si>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</si>
  <si>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</si>
  <si>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</si>
  <si>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</si>
  <si>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</si>
  <si>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</si>
  <si>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</si>
  <si>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</si>
  <si>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</si>
  <si>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</si>
  <si>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</si>
  <si>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</si>
  <si>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</si>
  <si>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</si>
  <si>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</si>
  <si>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</si>
  <si>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</si>
  <si>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</si>
  <si>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</si>
  <si>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</si>
  <si>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</si>
  <si>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</si>
  <si>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</si>
  <si>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</si>
  <si>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</si>
  <si>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</si>
  <si>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</si>
  <si>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</si>
  <si>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</si>
  <si>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</si>
  <si>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</si>
  <si>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</si>
  <si>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</si>
  <si>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</si>
  <si>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</si>
  <si>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</si>
  <si>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</si>
  <si>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</si>
  <si>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</si>
  <si>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</si>
  <si>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</si>
  <si>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</si>
  <si>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</si>
  <si>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</si>
  <si>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</si>
  <si>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</si>
  <si>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</si>
  <si>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</si>
  <si>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</si>
  <si>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</si>
  <si>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</si>
  <si>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</si>
  <si>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</si>
  <si>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</si>
  <si>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</si>
  <si>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</si>
  <si>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</si>
  <si>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</si>
  <si>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</si>
  <si>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</si>
  <si>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</si>
  <si>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</si>
  <si>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</si>
  <si>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</si>
  <si>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</si>
  <si>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</si>
  <si>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</si>
  <si>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</si>
  <si>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</si>
  <si>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</si>
  <si>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</si>
  <si>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</si>
  <si>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</si>
  <si>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</si>
  <si>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</si>
  <si>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</si>
  <si>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</si>
  <si>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</si>
  <si>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</si>
  <si>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</si>
  <si>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</si>
  <si>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</si>
  <si>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</si>
  <si>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</si>
  <si>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</si>
  <si>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</si>
  <si>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</si>
  <si>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</si>
  <si>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</si>
  <si>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</si>
  <si>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</si>
  <si>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</si>
  <si>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</si>
  <si>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</si>
  <si>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</si>
  <si>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</si>
  <si>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</si>
  <si>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</si>
  <si>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</si>
  <si>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</si>
  <si>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</si>
  <si>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</si>
  <si>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</si>
  <si>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</si>
  <si>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</si>
  <si>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</si>
  <si>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</si>
  <si>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</si>
  <si>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</si>
  <si>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</si>
  <si>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</si>
  <si>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</si>
  <si>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</si>
  <si>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</si>
  <si>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</si>
  <si>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</si>
  <si>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</si>
  <si>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</si>
  <si>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</si>
  <si>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</si>
  <si>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</si>
  <si>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</si>
  <si>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</si>
  <si>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</si>
  <si>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</si>
  <si>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</si>
  <si>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</si>
  <si>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</si>
  <si>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DIGITAL THERMOMETER</t>
  </si>
  <si>
    <t>DISPOSABLE MASK</t>
  </si>
  <si>
    <t>3CC SYRINGE</t>
  </si>
  <si>
    <t>MEDICAL TECHNOLOGIST</t>
  </si>
  <si>
    <t>RADIOLOGIC TECHNOLOGIST</t>
  </si>
  <si>
    <t>ACUTE PYELONEPHRITIS</t>
  </si>
  <si>
    <t>N10</t>
  </si>
  <si>
    <t>CBC PLATELET COUNT</t>
  </si>
  <si>
    <t>LABORATORY</t>
  </si>
  <si>
    <t>BOTTLE/IV</t>
  </si>
  <si>
    <t>VIAL/IV</t>
  </si>
  <si>
    <t>PARACETAMOL</t>
  </si>
  <si>
    <t>10CC SYRINGE</t>
  </si>
  <si>
    <t>5CC SYRINGE</t>
  </si>
  <si>
    <t>GLOVES UNSTERILE MEDIUM</t>
  </si>
  <si>
    <t>1CC SYRINGE</t>
  </si>
  <si>
    <t>AMPULE/IV</t>
  </si>
  <si>
    <t>150 mg/ml</t>
  </si>
  <si>
    <t>RADIOLOGY</t>
  </si>
  <si>
    <t>TABLET/ORAL</t>
  </si>
  <si>
    <t xml:space="preserve">0.9 SODIUM CHLORIDE </t>
  </si>
  <si>
    <t>1000 ml</t>
  </si>
  <si>
    <t>CAPSULE/ORAL</t>
  </si>
  <si>
    <t>Procedure</t>
  </si>
  <si>
    <t>ADHESIVE PLASTER</t>
  </si>
  <si>
    <t>Consultation in the ER</t>
  </si>
  <si>
    <t>URINALYSIS</t>
  </si>
  <si>
    <t>ELECTROLYTES</t>
  </si>
  <si>
    <t>CEFOXITIN</t>
  </si>
  <si>
    <t>1 gm</t>
  </si>
  <si>
    <t>STERILE WATER FOR INJECTION</t>
  </si>
  <si>
    <t>POLYMAPULE/IV</t>
  </si>
  <si>
    <t>10 ml</t>
  </si>
  <si>
    <t>CIPROFLOXACIN</t>
  </si>
  <si>
    <t>PARACETAMOL+TRAMADOL</t>
  </si>
  <si>
    <t>37.50/37.5 mg</t>
  </si>
  <si>
    <t>CHEST APL 10X12</t>
  </si>
  <si>
    <t>TONGUE DEPRESSOR</t>
  </si>
  <si>
    <t>IV CATHETER G 24</t>
  </si>
  <si>
    <t>IV SET PEDIA</t>
  </si>
  <si>
    <t>IV SPLINT PEDIA</t>
  </si>
  <si>
    <t>ID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</si>
</sst>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27" zoomScaleNormal="100" workbookViewId="0">
      <selection activeCell="G35" sqref="G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195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196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/>
      <c r="D37" s="23"/>
      <c r="E37" s="57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/>
      <c r="D38" s="23"/>
      <c r="E38" s="57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/>
      <c r="D39" s="23"/>
      <c r="E39" s="57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/>
      <c r="D40" s="23"/>
      <c r="E40" s="57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/>
      <c r="D41" s="23"/>
      <c r="E41" s="57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205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163</v>
      </c>
      <c r="D62" s="55">
        <v>800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164</v>
      </c>
      <c r="D63" s="55">
        <v>20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165</v>
      </c>
      <c r="D64" s="55">
        <v>2656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166</v>
      </c>
      <c r="D65" s="55">
        <v>497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177</v>
      </c>
      <c r="D66" s="55">
        <v>650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187</v>
      </c>
      <c r="D67" s="55">
        <v>250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167</v>
      </c>
      <c r="D68" s="55">
        <v>3000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7873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T1D3KA//JAZDhNFmPNcUt47oWBFSTdYSO0r8DCQQ/lsqS3p2BsTylOuZW2JYaoEZ7BHRYfvLz7+PEius5Y6ssA==" saltValue="UFssuU3tKFl8Z0k5i2/x0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7:F47"/>
  </mergeCells>
  <dataValidations count="1">
    <dataValidation type="decimal" operator="greaterThanOrEqual" allowBlank="1" showInputMessage="1" showErrorMessage="1" sqref="E32 E43:E44 E46 E23:F27 E48:F51 E53:F58 D62:F71 E34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8" sqref="I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197</v>
      </c>
      <c r="D11" s="27" t="s">
        <v>179</v>
      </c>
      <c r="E11" s="27" t="s">
        <v>198</v>
      </c>
      <c r="F11" s="55"/>
      <c r="G11" s="55"/>
      <c r="H11" s="55">
        <v>8</v>
      </c>
      <c r="I11" s="55">
        <v>825</v>
      </c>
      <c r="J11" s="55">
        <f>H11*I11</f>
        <v>6600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189</v>
      </c>
      <c r="D12" s="27" t="s">
        <v>178</v>
      </c>
      <c r="E12" s="27" t="s">
        <v>190</v>
      </c>
      <c r="F12" s="55"/>
      <c r="G12" s="55"/>
      <c r="H12" s="55">
        <v>6</v>
      </c>
      <c r="I12" s="55">
        <v>80</v>
      </c>
      <c r="J12" s="55">
        <f t="shared" ref="J12:J26" si="0">H12*I12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185</v>
      </c>
      <c r="E13" s="27" t="s">
        <v>186</v>
      </c>
      <c r="F13" s="55"/>
      <c r="G13" s="55"/>
      <c r="H13" s="55">
        <v>1</v>
      </c>
      <c r="I13" s="55">
        <v>35</v>
      </c>
      <c r="J13" s="55">
        <f t="shared" si="0"/>
        <v>35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188</v>
      </c>
      <c r="E14" s="27" t="s">
        <v>168</v>
      </c>
      <c r="F14" s="55"/>
      <c r="G14" s="55"/>
      <c r="H14" s="55">
        <v>10</v>
      </c>
      <c r="I14" s="55">
        <v>1.5</v>
      </c>
      <c r="J14" s="55">
        <f t="shared" si="0"/>
        <v>15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199</v>
      </c>
      <c r="D15" s="27" t="s">
        <v>200</v>
      </c>
      <c r="E15" s="27" t="s">
        <v>201</v>
      </c>
      <c r="F15" s="55"/>
      <c r="G15" s="55"/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202</v>
      </c>
      <c r="D16" s="27" t="s">
        <v>188</v>
      </c>
      <c r="E16" s="27" t="s">
        <v>168</v>
      </c>
      <c r="F16" s="55"/>
      <c r="G16" s="55"/>
      <c r="H16" s="55">
        <v>14</v>
      </c>
      <c r="I16" s="55">
        <v>8</v>
      </c>
      <c r="J16" s="55">
        <f t="shared" si="0"/>
        <v>112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203</v>
      </c>
      <c r="D17" s="27" t="s">
        <v>191</v>
      </c>
      <c r="E17" s="27" t="s">
        <v>204</v>
      </c>
      <c r="F17" s="55"/>
      <c r="G17" s="55"/>
      <c r="H17" s="55">
        <v>9</v>
      </c>
      <c r="I17" s="55">
        <v>8</v>
      </c>
      <c r="J17" s="55">
        <f t="shared" si="0"/>
        <v>72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>SUM(J11:J17)</f>
        <v>7354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3" workbookViewId="0">
      <selection activeCell="J34" sqref="J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207</v>
      </c>
      <c r="D16" s="70" t="s">
        <v>29</v>
      </c>
      <c r="E16" s="55">
        <v>2</v>
      </c>
      <c r="F16" s="55">
        <v>61</v>
      </c>
      <c r="G16" s="55">
        <f>E16*F16</f>
        <v>122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208</v>
      </c>
      <c r="D17" s="70" t="s">
        <v>29</v>
      </c>
      <c r="E17" s="55">
        <v>1</v>
      </c>
      <c r="F17" s="55">
        <v>35</v>
      </c>
      <c r="G17" s="55">
        <f t="shared" ref="G17:G30" si="0">E17*F17</f>
        <v>35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209</v>
      </c>
      <c r="D18" s="70" t="s">
        <v>29</v>
      </c>
      <c r="E18" s="55">
        <v>1</v>
      </c>
      <c r="F18" s="55">
        <v>105</v>
      </c>
      <c r="G18" s="55">
        <f t="shared" si="0"/>
        <v>105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29</v>
      </c>
      <c r="E19" s="55">
        <v>2</v>
      </c>
      <c r="F19" s="55">
        <v>6</v>
      </c>
      <c r="G19" s="55">
        <f t="shared" si="0"/>
        <v>12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181</v>
      </c>
      <c r="D20" s="70" t="s">
        <v>29</v>
      </c>
      <c r="E20" s="55">
        <v>2</v>
      </c>
      <c r="F20" s="55">
        <v>8</v>
      </c>
      <c r="G20" s="55">
        <f t="shared" si="0"/>
        <v>16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182</v>
      </c>
      <c r="D21" s="70" t="s">
        <v>29</v>
      </c>
      <c r="E21" s="55">
        <v>2</v>
      </c>
      <c r="F21" s="55">
        <v>7</v>
      </c>
      <c r="G21" s="55">
        <f t="shared" si="0"/>
        <v>14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171</v>
      </c>
      <c r="D22" s="70" t="s">
        <v>29</v>
      </c>
      <c r="E22" s="55">
        <v>2</v>
      </c>
      <c r="F22" s="55">
        <v>6</v>
      </c>
      <c r="G22" s="55">
        <f t="shared" si="0"/>
        <v>12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184</v>
      </c>
      <c r="D23" s="70" t="s">
        <v>29</v>
      </c>
      <c r="E23" s="55">
        <v>2</v>
      </c>
      <c r="F23" s="55">
        <v>7</v>
      </c>
      <c r="G23" s="55">
        <f t="shared" si="0"/>
        <v>14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193</v>
      </c>
      <c r="D24" s="70" t="s">
        <v>29</v>
      </c>
      <c r="E24" s="55">
        <v>1</v>
      </c>
      <c r="F24" s="55">
        <v>65</v>
      </c>
      <c r="G24" s="55">
        <f t="shared" si="0"/>
        <v>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183</v>
      </c>
      <c r="D25" s="70" t="s">
        <v>29</v>
      </c>
      <c r="E25" s="55">
        <v>2</v>
      </c>
      <c r="F25" s="55">
        <v>4</v>
      </c>
      <c r="G25" s="55">
        <f t="shared" si="0"/>
        <v>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169</v>
      </c>
      <c r="D26" s="70" t="s">
        <v>29</v>
      </c>
      <c r="E26" s="55">
        <v>1</v>
      </c>
      <c r="F26" s="55">
        <v>85</v>
      </c>
      <c r="G26" s="55">
        <f t="shared" si="0"/>
        <v>85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206</v>
      </c>
      <c r="D27" s="70" t="s">
        <v>29</v>
      </c>
      <c r="E27" s="55">
        <v>1</v>
      </c>
      <c r="F27" s="55">
        <v>2</v>
      </c>
      <c r="G27" s="55">
        <f t="shared" si="0"/>
        <v>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210</v>
      </c>
      <c r="D28" s="70" t="s">
        <v>29</v>
      </c>
      <c r="E28" s="55">
        <v>1</v>
      </c>
      <c r="F28" s="55">
        <v>7</v>
      </c>
      <c r="G28" s="55">
        <f t="shared" si="0"/>
        <v>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SUM(G16:G28)</f>
        <v>497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77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>
        <f>E34*F34</f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>
        <f t="shared" ref="G35:G42" si="1"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>
        <f>SUM(G34:G40)</f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bVHnQLqv/4V9tI/HNbBwLuzgNaVcDw1D2m1KYYP4b39yLEeadRQLpU3LLn/Cuuqtu5NX+tpYa7/DqUgLuNoJQ==" saltValue="FwViVN4BKRJVUGuhb1GaRg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9" workbookViewId="0">
      <selection activeCell="G15" sqref="G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172</v>
      </c>
      <c r="N12" s="90" t="s">
        <v>173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40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192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20</v>
      </c>
      <c r="N14" s="55">
        <v>15</v>
      </c>
      <c r="P14" s="88">
        <f t="shared" ref="P14:P22" si="0">SUM(D14:N14)</f>
        <v>65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194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15</v>
      </c>
      <c r="P30" s="89">
        <f>SUM(P13:P22)</f>
        <v>220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2018-06-10T06:55:48Z</dcterms:modified>
</cp:coreProperties>
</file>