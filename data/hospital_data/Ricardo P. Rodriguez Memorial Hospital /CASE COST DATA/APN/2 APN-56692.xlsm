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12" i="2" l="1"/>
  <c r="G18" i="9" l="1"/>
  <c r="G19" i="9"/>
  <c r="G20" i="9"/>
  <c r="G21" i="9"/>
  <c r="G22" i="9"/>
  <c r="G23" i="9"/>
  <c r="G24" i="9"/>
  <c r="G25" i="9"/>
  <c r="G26" i="9"/>
  <c r="G27" i="9"/>
  <c r="G28" i="9"/>
  <c r="G29" i="9"/>
  <c r="G30" i="9"/>
  <c r="G16" i="9"/>
  <c r="G17" i="9" l="1"/>
  <c r="G32" i="9" s="1"/>
  <c r="J13" i="2"/>
  <c r="J14" i="2"/>
  <c r="J15" i="2"/>
  <c r="J16" i="2"/>
  <c r="J17" i="2"/>
  <c r="J18" i="2"/>
  <c r="J19" i="2"/>
  <c r="G35" i="9" l="1"/>
  <c r="G36" i="9"/>
  <c r="G37" i="9"/>
  <c r="G38" i="9"/>
  <c r="G39" i="9"/>
  <c r="G40" i="9"/>
  <c r="G41" i="9"/>
  <c r="G42" i="9"/>
  <c r="G34" i="9"/>
  <c r="J21" i="2"/>
  <c r="J22" i="2"/>
  <c r="J23" i="2"/>
  <c r="J24" i="2"/>
  <c r="J25" i="2"/>
  <c r="J26" i="2"/>
  <c r="G43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J20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<sst xmlns="http://schemas.openxmlformats.org/spreadsheetml/2006/main" count="508" uniqueCount="209">
  <si>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</si>
  <si>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</si>
  <si>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</si>
  <si>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</si>
  <si>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</si>
  <si>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</si>
  <si>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</si>
  <si>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</si>
  <si>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</si>
  <si>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</si>
  <si>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</si>
  <si>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</si>
  <si>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</si>
  <si>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</si>
  <si>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</si>
  <si>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</si>
  <si>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</si>
  <si>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</si>
  <si>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</si>
  <si>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</si>
  <si>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</si>
  <si>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</si>
  <si>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</si>
  <si>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</si>
  <si>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</si>
  <si>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</si>
  <si>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</si>
  <si>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</si>
  <si>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</si>
  <si>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</si>
  <si>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</si>
  <si>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</si>
  <si>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</si>
  <si>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</si>
  <si>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</si>
  <si>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</si>
  <si>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</si>
  <si>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</si>
  <si>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</si>
  <si>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</si>
  <si>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</si>
  <si>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</si>
  <si>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</si>
  <si>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</si>
  <si>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</si>
  <si>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</si>
  <si>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</si>
  <si>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</si>
  <si>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</si>
  <si>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</si>
  <si>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</si>
  <si>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</si>
  <si>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</si>
  <si>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</si>
  <si>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</si>
  <si>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</si>
  <si>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</si>
  <si>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</si>
  <si>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</si>
  <si>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</si>
  <si>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</si>
  <si>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</si>
  <si>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</si>
  <si>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</si>
  <si>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</si>
  <si>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</si>
  <si>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</si>
  <si>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</si>
  <si>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</si>
  <si>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</si>
  <si>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</si>
  <si>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</si>
  <si>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</si>
  <si>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</si>
  <si>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</si>
  <si>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</si>
  <si>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</si>
  <si>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</si>
  <si>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</si>
  <si>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</si>
  <si>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</si>
  <si>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</si>
  <si>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</si>
  <si>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</si>
  <si>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</si>
  <si>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</si>
  <si>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</si>
  <si>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</si>
  <si>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</si>
  <si>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</si>
  <si>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</si>
  <si>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</si>
  <si>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</si>
  <si>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</si>
  <si>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</si>
  <si>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</si>
  <si>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</si>
  <si>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</si>
  <si>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</si>
  <si>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</si>
  <si>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</si>
  <si>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</si>
  <si>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</si>
  <si>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</si>
  <si>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</si>
  <si>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</si>
  <si>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</si>
  <si>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</si>
  <si>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</si>
  <si>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</si>
  <si>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</si>
  <si>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</si>
  <si>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</si>
  <si>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</si>
  <si>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</si>
  <si>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</si>
  <si>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</si>
  <si>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</si>
  <si>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</si>
  <si>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</si>
  <si>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</si>
  <si>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</si>
  <si>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</si>
  <si>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</si>
  <si>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</si>
  <si>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</si>
  <si>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</si>
  <si>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</si>
  <si>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</si>
  <si>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</si>
  <si>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</si>
  <si>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</si>
  <si>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</si>
  <si>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</si>
  <si>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</si>
  <si>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</si>
  <si>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</si>
  <si>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</si>
  <si>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</si>
  <si>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</si>
  <si>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</si>
  <si>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</si>
  <si>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</si>
  <si>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</si>
  <si>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</si>
  <si>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</si>
  <si>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</si>
  <si>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</si>
  <si>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</si>
  <si>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</si>
  <si>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</si>
  <si>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</si>
  <si>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</si>
  <si>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</si>
  <si>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</si>
  <si>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</si>
  <si>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</si>
  <si>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</si>
  <si>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</si>
  <si>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</si>
  <si>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</si>
  <si>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</si>
  <si>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</si>
  <si>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</si>
  <si>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</si>
  <si>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</si>
  <si>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</si>
  <si>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</si>
  <si>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</si>
  <si>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</si>
  <si>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3CC SYRINGE</t>
  </si>
  <si>
    <t>MEDICAL TECHNOLOGIST</t>
  </si>
  <si>
    <t>RADIOLOGIC TECHNOLOGIST</t>
  </si>
  <si>
    <t>ACUTE PYELONEPHRITIS</t>
  </si>
  <si>
    <t>N10</t>
  </si>
  <si>
    <t>CBC PLATELET COUNT</t>
  </si>
  <si>
    <t>URINALYSIS</t>
  </si>
  <si>
    <t>LABORATORY</t>
  </si>
  <si>
    <t>BOTTLE/IV</t>
  </si>
  <si>
    <t>VIAL/IV</t>
  </si>
  <si>
    <t>PARACETAMOL</t>
  </si>
  <si>
    <t>STERILE WATER FOR INJECTION</t>
  </si>
  <si>
    <t>POLYAMPULE/V</t>
  </si>
  <si>
    <t>10 mg</t>
  </si>
  <si>
    <t>ID BRACELET</t>
  </si>
  <si>
    <t>10CC SYRINGE</t>
  </si>
  <si>
    <t>5CC SYRINGE</t>
  </si>
  <si>
    <t>GLOVES UNSTERILE MEDIUM</t>
  </si>
  <si>
    <t>1CC SYRINGE</t>
  </si>
  <si>
    <t xml:space="preserve">D5 0.3 NACL </t>
  </si>
  <si>
    <t>500 ml</t>
  </si>
  <si>
    <t>SYRUP/ORAL</t>
  </si>
  <si>
    <t>250 mg/5 ml</t>
  </si>
  <si>
    <t>AMPULE/IV</t>
  </si>
  <si>
    <t>150 mg/ml</t>
  </si>
  <si>
    <t>BOTTLE/ORAL</t>
  </si>
  <si>
    <t>IV CATHETER G 24</t>
  </si>
  <si>
    <t>IV SPLINT PEDIA</t>
  </si>
  <si>
    <t>HEPLOCK</t>
  </si>
  <si>
    <t>BENZYL PENICILLIN SODIUM</t>
  </si>
  <si>
    <t>1 million</t>
  </si>
  <si>
    <t>IBUPROFEN</t>
  </si>
  <si>
    <t>100 mg/5ml</t>
  </si>
  <si>
    <t>CEFACLOR</t>
  </si>
  <si>
    <t>IV SET PEDIA</t>
  </si>
  <si>
    <t>ELECTROLYTES (Na,K,CI)</t>
  </si>
  <si>
    <t>Procedure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</si>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</sst>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7" zoomScaleNormal="100" workbookViewId="0">
      <selection activeCell="J34" sqref="J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205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45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54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163</v>
      </c>
      <c r="D59" s="55">
        <v>2400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164</v>
      </c>
      <c r="D60" s="55">
        <v>60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165</v>
      </c>
      <c r="D61" s="55">
        <v>2234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166</v>
      </c>
      <c r="D62" s="55">
        <v>787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 t="s">
        <v>177</v>
      </c>
      <c r="D63" s="55">
        <v>950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 t="s">
        <v>167</v>
      </c>
      <c r="D64" s="55">
        <v>3000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9431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algorithmName="SHA-512" hashValue="2/kcJdUFmStBFtPWJnhFqfrMk73eD9S+i4z4bzdUl+JEq9TPCWhX6szRE44zwf7Wa1CoHi6eGu3dZO/v+4BsJw==" saltValue="TR5OEGJiDxMHhDvqfQp/1w==" spinCount="100000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G10" sqref="G1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178</v>
      </c>
      <c r="E11" s="27" t="s">
        <v>190</v>
      </c>
      <c r="F11" s="55"/>
      <c r="G11" s="55"/>
      <c r="H11" s="55">
        <v>13</v>
      </c>
      <c r="I11" s="55">
        <v>80</v>
      </c>
      <c r="J11" s="55">
        <f>H11*I11</f>
        <v>1040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203</v>
      </c>
      <c r="D12" s="27" t="s">
        <v>195</v>
      </c>
      <c r="E12" s="27" t="s">
        <v>192</v>
      </c>
      <c r="F12" s="55"/>
      <c r="G12" s="55"/>
      <c r="H12" s="55">
        <v>1</v>
      </c>
      <c r="I12" s="55">
        <v>305</v>
      </c>
      <c r="J12" s="55">
        <f>H12*I12</f>
        <v>305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191</v>
      </c>
      <c r="E13" s="27" t="s">
        <v>192</v>
      </c>
      <c r="F13" s="55"/>
      <c r="G13" s="55"/>
      <c r="H13" s="55">
        <v>1</v>
      </c>
      <c r="I13" s="55">
        <v>30</v>
      </c>
      <c r="J13" s="55">
        <f t="shared" ref="J13:J26" si="0">H13*I13</f>
        <v>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193</v>
      </c>
      <c r="E14" s="27" t="s">
        <v>194</v>
      </c>
      <c r="F14" s="55"/>
      <c r="G14" s="55"/>
      <c r="H14" s="55">
        <v>8</v>
      </c>
      <c r="I14" s="55">
        <v>35</v>
      </c>
      <c r="J14" s="55">
        <f t="shared" si="0"/>
        <v>280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182</v>
      </c>
      <c r="E15" s="27" t="s">
        <v>183</v>
      </c>
      <c r="F15" s="55"/>
      <c r="G15" s="55"/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201</v>
      </c>
      <c r="D16" s="27" t="s">
        <v>195</v>
      </c>
      <c r="E16" s="27" t="s">
        <v>202</v>
      </c>
      <c r="F16" s="55"/>
      <c r="G16" s="55"/>
      <c r="H16" s="55">
        <v>1</v>
      </c>
      <c r="I16" s="55">
        <v>85</v>
      </c>
      <c r="J16" s="55">
        <f t="shared" si="0"/>
        <v>85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179</v>
      </c>
      <c r="E17" s="27" t="s">
        <v>200</v>
      </c>
      <c r="F17" s="55"/>
      <c r="G17" s="55"/>
      <c r="H17" s="55">
        <v>23</v>
      </c>
      <c r="I17" s="55">
        <v>18</v>
      </c>
      <c r="J17" s="55">
        <f t="shared" si="0"/>
        <v>414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>H18*I18</f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>SUM(J11:J18)</f>
        <v>2234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21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196</v>
      </c>
      <c r="D16" s="70" t="s">
        <v>29</v>
      </c>
      <c r="E16" s="55">
        <v>2</v>
      </c>
      <c r="F16" s="55">
        <v>61</v>
      </c>
      <c r="G16" s="55">
        <f>E16*F16</f>
        <v>122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204</v>
      </c>
      <c r="D17" s="70" t="s">
        <v>29</v>
      </c>
      <c r="E17" s="55">
        <v>1</v>
      </c>
      <c r="F17" s="55">
        <v>35</v>
      </c>
      <c r="G17" s="55">
        <f t="shared" ref="G17:G30" si="0">E17*F17</f>
        <v>35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184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29</v>
      </c>
      <c r="E19" s="55">
        <v>8</v>
      </c>
      <c r="F19" s="55">
        <v>6</v>
      </c>
      <c r="G19" s="55">
        <f t="shared" si="0"/>
        <v>48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29</v>
      </c>
      <c r="E20" s="55">
        <v>8</v>
      </c>
      <c r="F20" s="55">
        <v>8</v>
      </c>
      <c r="G20" s="55">
        <f t="shared" si="0"/>
        <v>64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186</v>
      </c>
      <c r="D21" s="70" t="s">
        <v>29</v>
      </c>
      <c r="E21" s="55">
        <v>8</v>
      </c>
      <c r="F21" s="55">
        <v>7</v>
      </c>
      <c r="G21" s="55">
        <f t="shared" si="0"/>
        <v>56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170</v>
      </c>
      <c r="D22" s="70" t="s">
        <v>29</v>
      </c>
      <c r="E22" s="55">
        <v>16</v>
      </c>
      <c r="F22" s="55">
        <v>6</v>
      </c>
      <c r="G22" s="55">
        <f t="shared" si="0"/>
        <v>96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197</v>
      </c>
      <c r="D23" s="70" t="s">
        <v>29</v>
      </c>
      <c r="E23" s="55">
        <v>1</v>
      </c>
      <c r="F23" s="55">
        <v>105</v>
      </c>
      <c r="G23" s="55">
        <f t="shared" si="0"/>
        <v>105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208</v>
      </c>
      <c r="D24" s="70" t="s">
        <v>29</v>
      </c>
      <c r="E24" s="55">
        <v>1</v>
      </c>
      <c r="F24" s="55">
        <v>65</v>
      </c>
      <c r="G24" s="55">
        <f t="shared" si="0"/>
        <v>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187</v>
      </c>
      <c r="D25" s="70" t="s">
        <v>29</v>
      </c>
      <c r="E25" s="55">
        <v>10</v>
      </c>
      <c r="F25" s="55">
        <v>4</v>
      </c>
      <c r="G25" s="55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168</v>
      </c>
      <c r="D26" s="70" t="s">
        <v>29</v>
      </c>
      <c r="E26" s="55">
        <v>1</v>
      </c>
      <c r="F26" s="55">
        <v>85</v>
      </c>
      <c r="G26" s="55">
        <f t="shared" si="0"/>
        <v>85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188</v>
      </c>
      <c r="D27" s="70" t="s">
        <v>29</v>
      </c>
      <c r="E27" s="55">
        <v>6</v>
      </c>
      <c r="F27" s="55">
        <v>7</v>
      </c>
      <c r="G27" s="55">
        <f t="shared" si="0"/>
        <v>42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198</v>
      </c>
      <c r="D28" s="70" t="s">
        <v>29</v>
      </c>
      <c r="E28" s="55">
        <v>1</v>
      </c>
      <c r="F28" s="55">
        <v>22</v>
      </c>
      <c r="G28" s="55">
        <f t="shared" si="0"/>
        <v>22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SUM(G16:G28)</f>
        <v>787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77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>
        <f>E34*F34</f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>
        <f t="shared" ref="G35:G42" si="1"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>
        <f>SUM(G34:G40)</f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bVHnQLqv/4V9tI/HNbBwLuzgNaVcDw1D2m1KYYP4b39yLEeadRQLpU3LLn/Cuuqtu5NX+tpYa7/DqUgLuNoJQ==" saltValue="FwViVN4BKRJVUGuhb1GaRg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171</v>
      </c>
      <c r="N12" s="90" t="s">
        <v>172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70</v>
      </c>
      <c r="F13" s="55"/>
      <c r="G13" s="55">
        <v>120</v>
      </c>
      <c r="H13" s="55"/>
      <c r="I13" s="55"/>
      <c r="J13" s="55"/>
      <c r="K13" s="55"/>
      <c r="L13" s="55"/>
      <c r="M13" s="55"/>
      <c r="N13" s="55"/>
      <c r="P13" s="88">
        <f>SUM(D13:N13)</f>
        <v>190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206</v>
      </c>
      <c r="D14" s="55"/>
      <c r="E14" s="55"/>
      <c r="F14" s="55"/>
      <c r="G14" s="55">
        <v>60</v>
      </c>
      <c r="H14" s="55"/>
      <c r="I14" s="55"/>
      <c r="J14" s="55"/>
      <c r="K14" s="55"/>
      <c r="L14" s="55"/>
      <c r="M14" s="55">
        <v>30</v>
      </c>
      <c r="N14" s="55"/>
      <c r="P14" s="88">
        <f t="shared" ref="P14:P22" si="0">SUM(D14:N14)</f>
        <v>90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207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85</v>
      </c>
      <c r="F30" s="88">
        <f t="shared" si="1"/>
        <v>0</v>
      </c>
      <c r="G30" s="88">
        <f t="shared" si="1"/>
        <v>210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0</v>
      </c>
      <c r="P30" s="89">
        <f>SUM(P13:P22)</f>
        <v>325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2018-06-10T03:45:10Z</dcterms:modified>
</cp:coreProperties>
</file>