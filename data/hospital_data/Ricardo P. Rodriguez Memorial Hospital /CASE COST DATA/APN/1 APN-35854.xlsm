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9" i="9" l="1"/>
  <c r="G18" i="9"/>
  <c r="G19" i="9"/>
  <c r="G20" i="9"/>
  <c r="G21" i="9"/>
  <c r="G22" i="9"/>
  <c r="G23" i="9"/>
  <c r="G24" i="9"/>
  <c r="G25" i="9"/>
  <c r="G26" i="9"/>
  <c r="G27" i="9"/>
  <c r="G17" i="9"/>
  <c r="G16" i="9"/>
  <c r="J20" i="2"/>
  <c r="J13" i="2"/>
  <c r="J14" i="2"/>
  <c r="J15" i="2"/>
  <c r="J16" i="2"/>
  <c r="J17" i="2"/>
  <c r="J18" i="2"/>
  <c r="J19" i="2"/>
  <c r="J12" i="2"/>
  <c r="G32" i="9" l="1"/>
  <c r="G33" i="9"/>
  <c r="G34" i="9"/>
  <c r="G35" i="9"/>
  <c r="G36" i="9"/>
  <c r="G37" i="9"/>
  <c r="G38" i="9"/>
  <c r="G39" i="9"/>
  <c r="G31" i="9"/>
  <c r="J21" i="2"/>
  <c r="J22" i="2"/>
  <c r="J23" i="2"/>
  <c r="J24" i="2"/>
  <c r="J25" i="2"/>
  <c r="J26" i="2"/>
  <c r="G40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<sst xmlns="http://schemas.openxmlformats.org/spreadsheetml/2006/main" count="507" uniqueCount="207">
  <si>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</si>
  <si>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</si>
  <si>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</si>
  <si>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</si>
  <si>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</si>
  <si>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</si>
  <si>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</si>
  <si>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</si>
  <si>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</si>
  <si>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</si>
  <si>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</si>
  <si>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</si>
  <si>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</si>
  <si>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</si>
  <si>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</si>
  <si>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</si>
  <si>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</si>
  <si>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</si>
  <si>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</si>
  <si>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</si>
  <si>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</si>
  <si>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</si>
  <si>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</si>
  <si>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</si>
  <si>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</si>
  <si>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</si>
  <si>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</si>
  <si>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</si>
  <si>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</si>
  <si>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</si>
  <si>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</si>
  <si>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</si>
  <si>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</si>
  <si>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</si>
  <si>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</si>
  <si>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</si>
  <si>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</si>
  <si>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</si>
  <si>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</si>
  <si>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</si>
  <si>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</si>
  <si>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</si>
  <si>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</si>
  <si>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</si>
  <si>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</si>
  <si>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</si>
  <si>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</si>
  <si>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</si>
  <si>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</si>
  <si>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</si>
  <si>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</si>
  <si>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</si>
  <si>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</si>
  <si>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</si>
  <si>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</si>
  <si>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</si>
  <si>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</si>
  <si>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</si>
  <si>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</si>
  <si>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</si>
  <si>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</si>
  <si>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</si>
  <si>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</si>
  <si>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</si>
  <si>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</si>
  <si>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</si>
  <si>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</si>
  <si>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</si>
  <si>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</si>
  <si>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</si>
  <si>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</si>
  <si>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</si>
  <si>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</si>
  <si>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</si>
  <si>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</si>
  <si>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</si>
  <si>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</si>
  <si>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</si>
  <si>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</si>
  <si>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</si>
  <si>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</si>
  <si>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</si>
  <si>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</si>
  <si>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</si>
  <si>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</si>
  <si>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</si>
  <si>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</si>
  <si>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</si>
  <si>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</si>
  <si>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</si>
  <si>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</si>
  <si>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</si>
  <si>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</si>
  <si>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</si>
  <si>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</si>
  <si>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</si>
  <si>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</si>
  <si>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</si>
  <si>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</si>
  <si>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</si>
  <si>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</si>
  <si>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</si>
  <si>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</si>
  <si>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</si>
  <si>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</si>
  <si>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</si>
  <si>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</si>
  <si>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</si>
  <si>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</si>
  <si>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</si>
  <si>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</si>
  <si>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</si>
  <si>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</si>
  <si>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</si>
  <si>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</si>
  <si>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</si>
  <si>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</si>
  <si>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</si>
  <si>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</si>
  <si>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</si>
  <si>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</si>
  <si>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</si>
  <si>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</si>
  <si>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</si>
  <si>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</si>
  <si>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</si>
  <si>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</si>
  <si>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</si>
  <si>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</si>
  <si>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</si>
  <si>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</si>
  <si>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</si>
  <si>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</si>
  <si>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</si>
  <si>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</si>
  <si>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</si>
  <si>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</si>
  <si>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</si>
  <si>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</si>
  <si>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</si>
  <si>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</si>
  <si>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</si>
  <si>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</si>
  <si>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</si>
  <si>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</si>
  <si>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</si>
  <si>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</si>
  <si>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</si>
  <si>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</si>
  <si>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</si>
  <si>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</si>
  <si>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</si>
  <si>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</si>
  <si>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</si>
  <si>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</si>
  <si>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</si>
  <si>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</si>
  <si>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</si>
  <si>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</si>
  <si>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</si>
  <si>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</si>
  <si>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</si>
  <si>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</si>
  <si>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</si>
  <si>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</si>
  <si>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</si>
  <si>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</si>
  <si>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</si>
  <si>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</si>
  <si>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TABLET/ORAL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</si>
  <si>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</si>
  <si>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</si>
  <si>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</si>
  <si>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</si>
  <si>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</si>
  <si>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</si>
  <si>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</si>
  <si>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</si>
  <si>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FASTING BLOOD SUGAR</t>
  </si>
  <si>
    <t>CREATININE</t>
  </si>
  <si>
    <t>URINALYSIS</t>
  </si>
  <si>
    <t>LABORATORY</t>
  </si>
  <si>
    <t>0.9% SODIUM CHLORIDE</t>
  </si>
  <si>
    <t>BOTTLE/IV</t>
  </si>
  <si>
    <t>1000 ml</t>
  </si>
  <si>
    <t>AMPICILLIN</t>
  </si>
  <si>
    <t>VIAL/IV</t>
  </si>
  <si>
    <t>PARACETAMOL</t>
  </si>
  <si>
    <t>VITAMIN B COMPLEX + VITAMIN C</t>
  </si>
  <si>
    <t>100 mg/10mg/50mcg</t>
  </si>
  <si>
    <t>CELECOXIB</t>
  </si>
  <si>
    <t>200 mg</t>
  </si>
  <si>
    <t>STERILE WATER FOR INJECTION</t>
  </si>
  <si>
    <t>POLYAMPULE/V</t>
  </si>
  <si>
    <t>10 mg</t>
  </si>
  <si>
    <t>CIPROFLOXACIN</t>
  </si>
  <si>
    <t>IV CATHETER G 22</t>
  </si>
  <si>
    <t>IV SET ADULT</t>
  </si>
  <si>
    <t>ID BRACELET</t>
  </si>
  <si>
    <t>10CC SYRINGE</t>
  </si>
  <si>
    <t>5CC SYRINGE</t>
  </si>
  <si>
    <t>IV SPLINT ADULT</t>
  </si>
  <si>
    <t>GLOVES UNSTERILE MEDIUM</t>
  </si>
  <si>
    <t>1CC SYRINGE</t>
  </si>
  <si>
    <t>Procedure</t>
  </si>
  <si>
    <t>ADHESIVE PLASTER</t>
  </si>
  <si>
    <t>Consultation in the 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</si>
</sst>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0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718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615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181</v>
      </c>
      <c r="D64" s="55">
        <v>570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3000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5723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workbookViewId="0">
      <selection activeCell="J20" sqref="J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1</v>
      </c>
      <c r="G11" s="55">
        <v>1</v>
      </c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168</v>
      </c>
      <c r="F12" s="55"/>
      <c r="G12" s="55"/>
      <c r="H12" s="55">
        <v>9</v>
      </c>
      <c r="I12" s="55">
        <v>23</v>
      </c>
      <c r="J12" s="55">
        <f t="shared" ref="J12:J26" si="0">H12*I12</f>
        <v>207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169</v>
      </c>
      <c r="E13" s="27" t="s">
        <v>168</v>
      </c>
      <c r="F13" s="55">
        <v>3</v>
      </c>
      <c r="G13" s="55">
        <v>7</v>
      </c>
      <c r="H13" s="55">
        <v>14</v>
      </c>
      <c r="I13" s="55">
        <v>1.5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169</v>
      </c>
      <c r="E14" s="27" t="s">
        <v>189</v>
      </c>
      <c r="F14" s="55">
        <v>3</v>
      </c>
      <c r="G14" s="55">
        <v>3</v>
      </c>
      <c r="H14" s="55">
        <v>16</v>
      </c>
      <c r="I14" s="55">
        <v>2</v>
      </c>
      <c r="J14" s="55">
        <f t="shared" si="0"/>
        <v>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169</v>
      </c>
      <c r="E15" s="27" t="s">
        <v>191</v>
      </c>
      <c r="F15" s="55">
        <v>3</v>
      </c>
      <c r="G15" s="55">
        <v>3</v>
      </c>
      <c r="H15" s="55">
        <v>6</v>
      </c>
      <c r="I15" s="55">
        <v>11</v>
      </c>
      <c r="J15" s="55">
        <f t="shared" si="0"/>
        <v>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194</v>
      </c>
      <c r="F16" s="55">
        <v>1</v>
      </c>
      <c r="G16" s="55">
        <v>30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169</v>
      </c>
      <c r="E17" s="27" t="s">
        <v>168</v>
      </c>
      <c r="F17" s="55"/>
      <c r="G17" s="55"/>
      <c r="H17" s="55">
        <v>14</v>
      </c>
      <c r="I17" s="55">
        <v>8</v>
      </c>
      <c r="J17" s="55">
        <f t="shared" si="0"/>
        <v>112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718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18" workbookViewId="0">
      <selection activeCell="I32" sqref="I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1</v>
      </c>
      <c r="F17" s="55">
        <v>32</v>
      </c>
      <c r="G17" s="55">
        <f t="shared" ref="G17:G27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29</v>
      </c>
      <c r="E19" s="55">
        <v>6</v>
      </c>
      <c r="F19" s="55">
        <v>6</v>
      </c>
      <c r="G19" s="55">
        <f t="shared" si="0"/>
        <v>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199</v>
      </c>
      <c r="D20" s="70" t="s">
        <v>29</v>
      </c>
      <c r="E20" s="55">
        <v>7</v>
      </c>
      <c r="F20" s="55">
        <v>8</v>
      </c>
      <c r="G20" s="55">
        <f t="shared" si="0"/>
        <v>56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200</v>
      </c>
      <c r="D21" s="70" t="s">
        <v>29</v>
      </c>
      <c r="E21" s="55">
        <v>7</v>
      </c>
      <c r="F21" s="55">
        <v>7</v>
      </c>
      <c r="G21" s="55">
        <f t="shared" si="0"/>
        <v>49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172</v>
      </c>
      <c r="D22" s="70" t="s">
        <v>29</v>
      </c>
      <c r="E22" s="55">
        <v>8</v>
      </c>
      <c r="F22" s="55">
        <v>6</v>
      </c>
      <c r="G22" s="55">
        <f t="shared" si="0"/>
        <v>48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201</v>
      </c>
      <c r="D23" s="70" t="s">
        <v>29</v>
      </c>
      <c r="E23" s="55">
        <v>1</v>
      </c>
      <c r="F23" s="55">
        <v>110</v>
      </c>
      <c r="G23" s="55">
        <f t="shared" si="0"/>
        <v>110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205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29</v>
      </c>
      <c r="E25" s="55">
        <v>6</v>
      </c>
      <c r="F25" s="55">
        <v>4</v>
      </c>
      <c r="G25" s="55">
        <f t="shared" si="0"/>
        <v>24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170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203</v>
      </c>
      <c r="D27" s="70" t="s">
        <v>29</v>
      </c>
      <c r="E27" s="55">
        <v>6</v>
      </c>
      <c r="F27" s="55">
        <v>7</v>
      </c>
      <c r="G27" s="55">
        <f t="shared" si="0"/>
        <v>42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>SUM(G16:G27)</f>
        <v>615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6" t="s">
        <v>77</v>
      </c>
      <c r="C30" s="137"/>
      <c r="D30" s="137"/>
      <c r="E30" s="137"/>
      <c r="F30" s="137"/>
      <c r="G30" s="138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>
        <f t="shared" ref="G32:G39" si="1"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3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4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5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6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7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8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9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10</v>
      </c>
      <c r="C40" s="69"/>
      <c r="D40" s="70"/>
      <c r="E40" s="55"/>
      <c r="F40" s="55"/>
      <c r="G40" s="55">
        <f>SUM(G31:G37)</f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30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d69ejpjso6iLdAxMt9Ts1txKKAzsfi5yMruNBAEV6I7XvtpWV9dU2CTuCWEhVK9MyB8VAxgu+bM+4x+eNhsSvQ==" saltValue="n1mwBFpXeL+GzRGrLQ3hVw==" spinCount="100000" sheet="1" objects="1" scenarios="1" formatColumns="0" formatRows="0" sort="0" autoFilter="0"/>
  <mergeCells count="9">
    <mergeCell ref="B7:G7"/>
    <mergeCell ref="B30:G30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7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173</v>
      </c>
      <c r="N12" s="90" t="s">
        <v>174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20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204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206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185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2018-06-04T08:36:06Z</dcterms:modified>
</cp:coreProperties>
</file>