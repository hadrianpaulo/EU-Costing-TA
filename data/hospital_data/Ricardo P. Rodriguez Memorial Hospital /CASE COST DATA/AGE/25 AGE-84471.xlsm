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33" i="9" l="1"/>
  <c r="J25" i="2"/>
  <c r="J23" i="2"/>
  <c r="J24" i="2"/>
  <c r="J20" i="2" l="1"/>
  <c r="J21" i="2"/>
  <c r="J22" i="2"/>
  <c r="G28" i="9" l="1"/>
  <c r="G29" i="9"/>
  <c r="G30" i="9"/>
  <c r="G31" i="9"/>
  <c r="G32" i="9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4" i="9" l="1"/>
  <c r="G37" i="9"/>
  <c r="G38" i="9"/>
  <c r="G39" i="9"/>
  <c r="G40" i="9"/>
  <c r="G41" i="9"/>
  <c r="G42" i="9"/>
  <c r="G43" i="9"/>
  <c r="G44" i="9"/>
  <c r="G36" i="9"/>
  <c r="G45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J11" i="2"/>
  <c r="J26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<sst xmlns="http://schemas.openxmlformats.org/spreadsheetml/2006/main" count="515" uniqueCount="214">
  <si>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</si>
  <si>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</si>
  <si>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</si>
  <si>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</si>
  <si>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</si>
  <si>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</si>
  <si>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</si>
  <si>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</si>
  <si>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</si>
  <si>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</si>
  <si>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</si>
  <si>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</si>
  <si>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</si>
  <si>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</si>
  <si>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</si>
  <si>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</si>
  <si>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</si>
  <si>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</si>
  <si>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</si>
  <si>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</si>
  <si>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</si>
  <si>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</si>
  <si>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</si>
  <si>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</si>
  <si>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</si>
  <si>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</si>
  <si>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</si>
  <si>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</si>
  <si>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</si>
  <si>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</si>
  <si>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</si>
  <si>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</si>
  <si>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</si>
  <si>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</si>
  <si>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</si>
  <si>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</si>
  <si>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</si>
  <si>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</si>
  <si>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</si>
  <si>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</si>
  <si>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</si>
  <si>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</si>
  <si>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</si>
  <si>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</si>
  <si>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</si>
  <si>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</si>
  <si>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</si>
  <si>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</si>
  <si>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</si>
  <si>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</si>
  <si>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</si>
  <si>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</si>
  <si>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</si>
  <si>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</si>
  <si>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</si>
  <si>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</si>
  <si>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</si>
  <si>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</si>
  <si>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</si>
  <si>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</si>
  <si>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</si>
  <si>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</si>
  <si>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</si>
  <si>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</si>
  <si>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</si>
  <si>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</si>
  <si>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</si>
  <si>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</si>
  <si>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</si>
  <si>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</si>
  <si>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</si>
  <si>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</si>
  <si>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</si>
  <si>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</si>
  <si>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</si>
  <si>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</si>
  <si>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</si>
  <si>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</si>
  <si>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</si>
  <si>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</si>
  <si>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</si>
  <si>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</si>
  <si>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</si>
  <si>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</si>
  <si>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</si>
  <si>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</si>
  <si>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</si>
  <si>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</si>
  <si>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</si>
  <si>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</si>
  <si>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</si>
  <si>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</si>
  <si>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</si>
  <si>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</si>
  <si>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</si>
  <si>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</si>
  <si>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</si>
  <si>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</si>
  <si>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</si>
  <si>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</si>
  <si>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</si>
  <si>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</si>
  <si>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</si>
  <si>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</si>
  <si>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</si>
  <si>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</si>
  <si>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</si>
  <si>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</si>
  <si>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</si>
  <si>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</si>
  <si>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</si>
  <si>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</si>
  <si>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</si>
  <si>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</si>
  <si>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</si>
  <si>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</si>
  <si>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</si>
  <si>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</si>
  <si>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</si>
  <si>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</si>
  <si>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</si>
  <si>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</si>
  <si>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</si>
  <si>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</si>
  <si>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</si>
  <si>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</si>
  <si>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</si>
  <si>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</si>
  <si>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</si>
  <si>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</si>
  <si>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</si>
  <si>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</si>
  <si>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</si>
  <si>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</si>
  <si>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</si>
  <si>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</si>
  <si>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</si>
  <si>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</si>
  <si>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</si>
  <si>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</si>
  <si>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</si>
  <si>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</si>
  <si>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</si>
  <si>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</si>
  <si>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</si>
  <si>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</si>
  <si>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</si>
  <si>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</si>
  <si>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</si>
  <si>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</si>
  <si>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</si>
  <si>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</si>
  <si>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</si>
  <si>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</si>
  <si>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</si>
  <si>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</si>
  <si>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</si>
  <si>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</si>
  <si>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</si>
  <si>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</si>
  <si>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</si>
  <si>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</si>
  <si>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</si>
  <si>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</si>
  <si>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</si>
  <si>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</si>
  <si>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</si>
  <si>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</si>
  <si>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</si>
  <si>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MEDICAL TECHNOLOGIST</t>
  </si>
  <si>
    <t>RADIOLOGIC TECHNOLOGIST</t>
  </si>
  <si>
    <t>CBC PLATELET COUNT</t>
  </si>
  <si>
    <t>LABORATORY</t>
  </si>
  <si>
    <t>BOTTLE/IV</t>
  </si>
  <si>
    <t>GLOVES UNSTERILE MEDIUM</t>
  </si>
  <si>
    <t>1CC SYRINGE</t>
  </si>
  <si>
    <t>Procedure</t>
  </si>
  <si>
    <t>ADHESIVE PLASTER</t>
  </si>
  <si>
    <t>Consultation in the ER</t>
  </si>
  <si>
    <t>ACUTE GASTROENTERITIS</t>
  </si>
  <si>
    <t>A09.9</t>
  </si>
  <si>
    <t>AMPULE/IV</t>
  </si>
  <si>
    <t>PC</t>
  </si>
  <si>
    <t>50 MG/ML</t>
  </si>
  <si>
    <t>10CC SYRINGE</t>
  </si>
  <si>
    <t>3CC SYRINGE</t>
  </si>
  <si>
    <t>5CC SYRINGE</t>
  </si>
  <si>
    <t>ID BRACELET</t>
  </si>
  <si>
    <t>PARACETAMOL</t>
  </si>
  <si>
    <t>DIPHENHYDRAMINE HCL</t>
  </si>
  <si>
    <t>D5 0.3 NACL</t>
  </si>
  <si>
    <t>500 ML</t>
  </si>
  <si>
    <t>IV CATHETER G 26</t>
  </si>
  <si>
    <t>STERILE WATER FOR INJECTION</t>
  </si>
  <si>
    <t>POLYAMPULE/IV</t>
  </si>
  <si>
    <t>10 ML</t>
  </si>
  <si>
    <t>IV SET PEDIA</t>
  </si>
  <si>
    <t>FECALYSIS</t>
  </si>
  <si>
    <t>URINALYSIS</t>
  </si>
  <si>
    <t>CEFUROXIME (ZIOMET)</t>
  </si>
  <si>
    <t>VIAL/IV</t>
  </si>
  <si>
    <t>750 MG</t>
  </si>
  <si>
    <t>BOTTLE/ORAL</t>
  </si>
  <si>
    <t>WEE BAG</t>
  </si>
  <si>
    <t>IV SPLINT PEDIA</t>
  </si>
  <si>
    <t>IV CATHETER G 24</t>
  </si>
  <si>
    <t>ELECTROLYTES</t>
  </si>
  <si>
    <t>ECG</t>
  </si>
  <si>
    <t>150 MG</t>
  </si>
  <si>
    <t>ZINC SULFATE</t>
  </si>
  <si>
    <t>DROPS/ORAL</t>
  </si>
  <si>
    <t>27.50 MG/ML</t>
  </si>
  <si>
    <t xml:space="preserve">CEFUROXIME </t>
  </si>
  <si>
    <t>55 MG/5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</si>
</sst>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abSelected="1" topLeftCell="A53" zoomScaleNormal="100" workbookViewId="0">
      <selection activeCell="F69" sqref="F6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197</v>
      </c>
      <c r="D36" s="23"/>
      <c r="E36" s="55">
        <v>2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206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44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45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53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20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55</v>
      </c>
      <c r="C63" s="17" t="s">
        <v>51</v>
      </c>
      <c r="D63" s="17" t="s">
        <v>56</v>
      </c>
      <c r="E63" s="18" t="s">
        <v>57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162</v>
      </c>
      <c r="D64" s="55"/>
      <c r="E64" s="55">
        <v>1200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163</v>
      </c>
      <c r="D65" s="55"/>
      <c r="E65" s="55">
        <v>30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 t="s">
        <v>164</v>
      </c>
      <c r="D66" s="55">
        <v>2888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 t="s">
        <v>165</v>
      </c>
      <c r="D67" s="55">
        <v>846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 t="s">
        <v>172</v>
      </c>
      <c r="D68" s="55">
        <v>466</v>
      </c>
      <c r="E68" s="55"/>
      <c r="F68" s="55">
        <v>534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 t="s">
        <v>166</v>
      </c>
      <c r="D69" s="55">
        <v>1800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 t="s">
        <v>207</v>
      </c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6000</v>
      </c>
      <c r="E75" s="59">
        <f>SUM(E64:E74)</f>
        <v>1230</v>
      </c>
      <c r="F75" s="59">
        <f>SUM(F64:F74)</f>
        <v>534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algorithmName="SHA-512" hashValue="oS1X5L6tOr0STCGKZM9MDcXAyQnHMyb9oGX0nzC56TqtBHLLg5FcIk/mNsGNnMW06G5orv0DBaLurDh35C5NBQ==" saltValue="zarnHz9WFiS5p8QmlM0V7Q==" spinCount="100000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60 D64:F73 E34:E36 E37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C28" sqref="C2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209</v>
      </c>
      <c r="D11" s="27" t="s">
        <v>210</v>
      </c>
      <c r="E11" s="27" t="s">
        <v>211</v>
      </c>
      <c r="F11" s="55"/>
      <c r="G11" s="55"/>
      <c r="H11" s="55">
        <v>2</v>
      </c>
      <c r="I11" s="55">
        <v>95</v>
      </c>
      <c r="J11" s="55">
        <f>H11*I11</f>
        <v>190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199</v>
      </c>
      <c r="D12" s="27" t="s">
        <v>200</v>
      </c>
      <c r="E12" s="27" t="s">
        <v>201</v>
      </c>
      <c r="F12" s="55"/>
      <c r="G12" s="55"/>
      <c r="H12" s="55">
        <v>2</v>
      </c>
      <c r="I12" s="55">
        <v>495</v>
      </c>
      <c r="J12" s="55">
        <f t="shared" ref="J12:J25" si="0">H12*I12</f>
        <v>990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212</v>
      </c>
      <c r="D13" s="27" t="s">
        <v>200</v>
      </c>
      <c r="E13" s="27" t="s">
        <v>201</v>
      </c>
      <c r="F13" s="55"/>
      <c r="G13" s="55"/>
      <c r="H13" s="55">
        <v>5</v>
      </c>
      <c r="I13" s="55">
        <v>55</v>
      </c>
      <c r="J13" s="55">
        <f t="shared" si="0"/>
        <v>275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181</v>
      </c>
      <c r="E14" s="27" t="s">
        <v>183</v>
      </c>
      <c r="F14" s="55"/>
      <c r="G14" s="55"/>
      <c r="H14" s="55">
        <v>3</v>
      </c>
      <c r="I14" s="55">
        <v>145</v>
      </c>
      <c r="J14" s="55">
        <f t="shared" si="0"/>
        <v>435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190</v>
      </c>
      <c r="D15" s="27" t="s">
        <v>173</v>
      </c>
      <c r="E15" s="27" t="s">
        <v>191</v>
      </c>
      <c r="F15" s="55"/>
      <c r="G15" s="55"/>
      <c r="H15" s="55">
        <v>8</v>
      </c>
      <c r="I15" s="55">
        <v>80</v>
      </c>
      <c r="J15" s="55">
        <f t="shared" si="0"/>
        <v>640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188</v>
      </c>
      <c r="D16" s="27" t="s">
        <v>181</v>
      </c>
      <c r="E16" s="27" t="s">
        <v>208</v>
      </c>
      <c r="F16" s="55"/>
      <c r="G16" s="55"/>
      <c r="H16" s="55">
        <v>4</v>
      </c>
      <c r="I16" s="55">
        <v>35</v>
      </c>
      <c r="J16" s="55">
        <f t="shared" si="0"/>
        <v>140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193</v>
      </c>
      <c r="D17" s="27" t="s">
        <v>194</v>
      </c>
      <c r="E17" s="27" t="s">
        <v>195</v>
      </c>
      <c r="F17" s="55"/>
      <c r="G17" s="55"/>
      <c r="H17" s="55">
        <v>2</v>
      </c>
      <c r="I17" s="55">
        <v>40</v>
      </c>
      <c r="J17" s="55">
        <f t="shared" si="0"/>
        <v>80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209</v>
      </c>
      <c r="D18" s="27" t="s">
        <v>202</v>
      </c>
      <c r="E18" s="27" t="s">
        <v>213</v>
      </c>
      <c r="F18" s="55"/>
      <c r="G18" s="55"/>
      <c r="H18" s="55">
        <v>1</v>
      </c>
      <c r="I18" s="55">
        <v>138</v>
      </c>
      <c r="J18" s="55">
        <f t="shared" si="0"/>
        <v>138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>SUM(J11:J25)</f>
        <v>2888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0"/>
  <sheetViews>
    <sheetView topLeftCell="A13" workbookViewId="0">
      <selection activeCell="C30" sqref="C3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182</v>
      </c>
      <c r="E16" s="55">
        <v>1</v>
      </c>
      <c r="F16" s="55">
        <v>85</v>
      </c>
      <c r="G16" s="55">
        <f>E16*F16</f>
        <v>85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168</v>
      </c>
      <c r="D17" s="70" t="s">
        <v>182</v>
      </c>
      <c r="E17" s="55">
        <v>6</v>
      </c>
      <c r="F17" s="55">
        <v>6</v>
      </c>
      <c r="G17" s="55">
        <f t="shared" ref="G17:G33" si="0">E17*F17</f>
        <v>36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174</v>
      </c>
      <c r="D18" s="70" t="s">
        <v>182</v>
      </c>
      <c r="E18" s="55">
        <v>2</v>
      </c>
      <c r="F18" s="55">
        <v>4</v>
      </c>
      <c r="G18" s="55">
        <f t="shared" si="0"/>
        <v>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184</v>
      </c>
      <c r="D19" s="70" t="s">
        <v>182</v>
      </c>
      <c r="E19" s="55">
        <v>5</v>
      </c>
      <c r="F19" s="55">
        <v>8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175</v>
      </c>
      <c r="D20" s="70" t="s">
        <v>182</v>
      </c>
      <c r="E20" s="55">
        <v>8</v>
      </c>
      <c r="F20" s="55">
        <v>7</v>
      </c>
      <c r="G20" s="55">
        <f t="shared" si="0"/>
        <v>56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185</v>
      </c>
      <c r="D21" s="70" t="s">
        <v>182</v>
      </c>
      <c r="E21" s="55">
        <v>8</v>
      </c>
      <c r="F21" s="55">
        <v>6</v>
      </c>
      <c r="G21" s="55">
        <f t="shared" si="0"/>
        <v>48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177</v>
      </c>
      <c r="D22" s="70" t="s">
        <v>182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186</v>
      </c>
      <c r="D23" s="70" t="s">
        <v>182</v>
      </c>
      <c r="E23" s="55">
        <v>6</v>
      </c>
      <c r="F23" s="55">
        <v>7</v>
      </c>
      <c r="G23" s="55">
        <f t="shared" si="0"/>
        <v>42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203</v>
      </c>
      <c r="D24" s="70" t="s">
        <v>182</v>
      </c>
      <c r="E24" s="55">
        <v>2</v>
      </c>
      <c r="F24" s="55">
        <v>7</v>
      </c>
      <c r="G24" s="55">
        <f t="shared" si="0"/>
        <v>14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205</v>
      </c>
      <c r="D25" s="70" t="s">
        <v>182</v>
      </c>
      <c r="E25" s="55">
        <v>2</v>
      </c>
      <c r="F25" s="55">
        <v>61</v>
      </c>
      <c r="G25" s="55">
        <f t="shared" si="0"/>
        <v>122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192</v>
      </c>
      <c r="D26" s="70" t="s">
        <v>182</v>
      </c>
      <c r="E26" s="55">
        <v>3</v>
      </c>
      <c r="F26" s="55">
        <v>61</v>
      </c>
      <c r="G26" s="55">
        <f t="shared" si="0"/>
        <v>183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196</v>
      </c>
      <c r="D27" s="70" t="s">
        <v>182</v>
      </c>
      <c r="E27" s="55">
        <v>1</v>
      </c>
      <c r="F27" s="55">
        <v>35</v>
      </c>
      <c r="G27" s="55">
        <f t="shared" si="0"/>
        <v>35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204</v>
      </c>
      <c r="D28" s="70" t="s">
        <v>182</v>
      </c>
      <c r="E28" s="55">
        <v>1</v>
      </c>
      <c r="F28" s="55">
        <v>105</v>
      </c>
      <c r="G28" s="55">
        <f t="shared" si="0"/>
        <v>105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187</v>
      </c>
      <c r="D29" s="70" t="s">
        <v>182</v>
      </c>
      <c r="E29" s="55">
        <v>1</v>
      </c>
      <c r="F29" s="55">
        <v>7</v>
      </c>
      <c r="G29" s="55">
        <f t="shared" si="0"/>
        <v>7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846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76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>
        <f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>
        <f t="shared" ref="G37:G44" si="1">E37*F37</f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>
        <f t="shared" si="1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>
        <f t="shared" si="1"/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>
        <f>SUM(G36:G42)</f>
        <v>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29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ds9lSWieYau59aebGej3+gn9T53gbqnJZQjVgG+HA3YekP0pvlc/2PPED0I7EdMPKV+gSUpHQvQNf0mv5q9lA==" saltValue="lwO8jPzYAREDaTPLxr+CcA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35" workbookViewId="0">
      <selection activeCell="M15" sqref="M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169</v>
      </c>
      <c r="N12" s="90" t="s">
        <v>170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50</v>
      </c>
      <c r="F13" s="55"/>
      <c r="G13" s="55">
        <v>80</v>
      </c>
      <c r="H13" s="55"/>
      <c r="I13" s="55"/>
      <c r="J13" s="55"/>
      <c r="K13" s="55"/>
      <c r="L13" s="55"/>
      <c r="M13" s="55"/>
      <c r="N13" s="55"/>
      <c r="P13" s="88">
        <f>SUM(D13:N13)</f>
        <v>130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176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30</v>
      </c>
      <c r="N14" s="55"/>
      <c r="P14" s="88">
        <f t="shared" ref="P14:P22" si="0">SUM(D14:N14)</f>
        <v>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178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65</v>
      </c>
      <c r="F30" s="88">
        <f t="shared" si="1"/>
        <v>0</v>
      </c>
      <c r="G30" s="88">
        <f t="shared" si="1"/>
        <v>140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30</v>
      </c>
      <c r="N30" s="88">
        <f t="shared" si="1"/>
        <v>0</v>
      </c>
      <c r="P30" s="89">
        <f>SUM(P13:P22)</f>
        <v>235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2018-06-13T03:18:27Z</dcterms:modified>
</cp:coreProperties>
</file>