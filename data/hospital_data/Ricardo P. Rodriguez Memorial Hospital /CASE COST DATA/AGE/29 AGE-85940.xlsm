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<sst xmlns="http://schemas.openxmlformats.org/spreadsheetml/2006/main" count="512" uniqueCount="214">
  <si>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</si>
  <si>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</si>
  <si>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</si>
  <si>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</si>
  <si>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</si>
  <si>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</si>
  <si>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</si>
  <si>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</si>
  <si>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</si>
  <si>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</si>
  <si>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</si>
  <si>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</si>
  <si>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</si>
  <si>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</si>
  <si>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</si>
  <si>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</si>
  <si>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</si>
  <si>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</si>
  <si>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</si>
  <si>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</si>
  <si>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</si>
  <si>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</si>
  <si>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</si>
  <si>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</si>
  <si>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</si>
  <si>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</si>
  <si>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</si>
  <si>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</si>
  <si>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</si>
  <si>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</si>
  <si>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</si>
  <si>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</si>
  <si>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</si>
  <si>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</si>
  <si>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</si>
  <si>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</si>
  <si>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</si>
  <si>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</si>
  <si>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</si>
  <si>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</si>
  <si>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</si>
  <si>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</si>
  <si>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</si>
  <si>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</si>
  <si>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</si>
  <si>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</si>
  <si>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</si>
  <si>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</si>
  <si>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</si>
  <si>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</si>
  <si>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</si>
  <si>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</si>
  <si>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</si>
  <si>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</si>
  <si>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</si>
  <si>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</si>
  <si>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</si>
  <si>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</si>
  <si>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</si>
  <si>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</si>
  <si>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</si>
  <si>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</si>
  <si>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</si>
  <si>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</si>
  <si>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</si>
  <si>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</si>
  <si>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</si>
  <si>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</si>
  <si>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</si>
  <si>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</si>
  <si>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</si>
  <si>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</si>
  <si>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</si>
  <si>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</si>
  <si>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</si>
  <si>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</si>
  <si>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</si>
  <si>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</si>
  <si>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</si>
  <si>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</si>
  <si>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</si>
  <si>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</si>
  <si>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</si>
  <si>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</si>
  <si>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</si>
  <si>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</si>
  <si>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</si>
  <si>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</si>
  <si>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</si>
  <si>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</si>
  <si>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</si>
  <si>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</si>
  <si>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</si>
  <si>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</si>
  <si>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</si>
  <si>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</si>
  <si>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</si>
  <si>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</si>
  <si>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</si>
  <si>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</si>
  <si>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</si>
  <si>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</si>
  <si>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</si>
  <si>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</si>
  <si>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</si>
  <si>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</si>
  <si>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</si>
  <si>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</si>
  <si>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</si>
  <si>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</si>
  <si>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</si>
  <si>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</si>
  <si>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</si>
  <si>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</si>
  <si>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</si>
  <si>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</si>
  <si>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</si>
  <si>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</si>
  <si>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</si>
  <si>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</si>
  <si>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</si>
  <si>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</si>
  <si>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</si>
  <si>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</si>
  <si>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</si>
  <si>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</si>
  <si>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</si>
  <si>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</si>
  <si>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</si>
  <si>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</si>
  <si>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</si>
  <si>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</si>
  <si>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</si>
  <si>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</si>
  <si>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</si>
  <si>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</si>
  <si>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</si>
  <si>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</si>
  <si>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</si>
  <si>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</si>
  <si>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</si>
  <si>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</si>
  <si>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</si>
  <si>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</si>
  <si>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</si>
  <si>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</si>
  <si>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</si>
  <si>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</si>
  <si>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</si>
  <si>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</si>
  <si>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</si>
  <si>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</si>
  <si>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</si>
  <si>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</si>
  <si>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</si>
  <si>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</si>
  <si>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</si>
  <si>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</si>
  <si>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</si>
  <si>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</si>
  <si>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</si>
  <si>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</si>
  <si>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</si>
  <si>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</si>
  <si>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</si>
  <si>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</si>
  <si>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</si>
  <si>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</si>
  <si>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</si>
  <si>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</si>
  <si>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</si>
  <si>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</si>
  <si>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</si>
  <si>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</si>
  <si>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</si>
  <si>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</si>
  <si>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</si>
  <si>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</si>
  <si>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</si>
  <si>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</si>
  <si>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</si>
  <si>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</si>
  <si>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</si>
  <si>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10CC SYRINGE</t>
  </si>
  <si>
    <t>3CC SYRINGE</t>
  </si>
  <si>
    <t>ID BRACELET</t>
  </si>
  <si>
    <t>PARACETAMOL</t>
  </si>
  <si>
    <t>DIPHENHYDRAMINE HCL</t>
  </si>
  <si>
    <t>D5 0.3 NACL</t>
  </si>
  <si>
    <t>500 ML</t>
  </si>
  <si>
    <t>SUSPENSION/ORAL</t>
  </si>
  <si>
    <t>STERILE WATER FOR INJECTION</t>
  </si>
  <si>
    <t>POLYAMPULE/IV</t>
  </si>
  <si>
    <t>10 ML</t>
  </si>
  <si>
    <t>IV SET PEDIA</t>
  </si>
  <si>
    <t>FECALYSIS</t>
  </si>
  <si>
    <t>VIAL/IV</t>
  </si>
  <si>
    <t>BOTTLE/ORAL</t>
  </si>
  <si>
    <t>150 MG/ML</t>
  </si>
  <si>
    <t>1 GM</t>
  </si>
  <si>
    <t>HEPLOCK</t>
  </si>
  <si>
    <t>IV CATHETER G 24</t>
  </si>
  <si>
    <t>ZINC SULFATE</t>
  </si>
  <si>
    <t>55 MG/5 ML</t>
  </si>
  <si>
    <t>BACILLUS CLAUSIL (ERCEFLORA)</t>
  </si>
  <si>
    <t>REPSULE/ORAL</t>
  </si>
  <si>
    <t>5 ML</t>
  </si>
  <si>
    <t>COTRIMOXAZOLE</t>
  </si>
  <si>
    <t>200 MG/40 MG/5 ML</t>
  </si>
  <si>
    <t>X-RAY</t>
  </si>
  <si>
    <t>ABDOMEN UPRIGHT, SUPINE, LATERAL 10X12</t>
  </si>
  <si>
    <t>CEFTAZIDIME</t>
  </si>
  <si>
    <t>CEFTRIAXONE</t>
  </si>
  <si>
    <t>NEBULIZING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</si>
</sst>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29" zoomScaleNormal="100" workbookViewId="0">
      <selection activeCell="D69" sqref="D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210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>
        <v>699</v>
      </c>
      <c r="E64" s="55">
        <v>101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/>
      <c r="E65" s="55">
        <v>20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2516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>
        <v>565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171</v>
      </c>
      <c r="D68" s="55">
        <v>50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209</v>
      </c>
      <c r="D70" s="55">
        <v>370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6000</v>
      </c>
      <c r="E75" s="59">
        <f>SUM(E64:E74)</f>
        <v>121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211</v>
      </c>
      <c r="D11" s="27" t="s">
        <v>196</v>
      </c>
      <c r="E11" s="27" t="s">
        <v>199</v>
      </c>
      <c r="F11" s="55"/>
      <c r="G11" s="55"/>
      <c r="H11" s="55">
        <v>1</v>
      </c>
      <c r="I11" s="55">
        <v>125</v>
      </c>
      <c r="J11" s="55">
        <f>H11*I11</f>
        <v>125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212</v>
      </c>
      <c r="D12" s="27" t="s">
        <v>196</v>
      </c>
      <c r="E12" s="27" t="s">
        <v>199</v>
      </c>
      <c r="F12" s="55"/>
      <c r="G12" s="55"/>
      <c r="H12" s="55">
        <v>3</v>
      </c>
      <c r="I12" s="55">
        <v>65</v>
      </c>
      <c r="J12" s="55">
        <f t="shared" ref="J12:J25" si="0">H12*I12</f>
        <v>195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204</v>
      </c>
      <c r="D13" s="27" t="s">
        <v>205</v>
      </c>
      <c r="E13" s="27" t="s">
        <v>206</v>
      </c>
      <c r="F13" s="55"/>
      <c r="G13" s="55"/>
      <c r="H13" s="55">
        <v>10</v>
      </c>
      <c r="I13" s="55">
        <v>62</v>
      </c>
      <c r="J13" s="55">
        <f t="shared" si="0"/>
        <v>620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172</v>
      </c>
      <c r="E14" s="27" t="s">
        <v>189</v>
      </c>
      <c r="F14" s="55"/>
      <c r="G14" s="55"/>
      <c r="H14" s="55">
        <v>5</v>
      </c>
      <c r="I14" s="55">
        <v>80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192</v>
      </c>
      <c r="E15" s="27" t="s">
        <v>193</v>
      </c>
      <c r="F15" s="55"/>
      <c r="G15" s="55"/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180</v>
      </c>
      <c r="E16" s="27" t="s">
        <v>182</v>
      </c>
      <c r="F16" s="55"/>
      <c r="G16" s="55"/>
      <c r="H16" s="55">
        <v>4</v>
      </c>
      <c r="I16" s="55">
        <v>145</v>
      </c>
      <c r="J16" s="55">
        <f t="shared" si="0"/>
        <v>580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180</v>
      </c>
      <c r="E17" s="27" t="s">
        <v>198</v>
      </c>
      <c r="F17" s="55"/>
      <c r="G17" s="55"/>
      <c r="H17" s="55">
        <v>6</v>
      </c>
      <c r="I17" s="55">
        <v>35</v>
      </c>
      <c r="J17" s="55">
        <f t="shared" si="0"/>
        <v>210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202</v>
      </c>
      <c r="D18" s="27" t="s">
        <v>197</v>
      </c>
      <c r="E18" s="27" t="s">
        <v>203</v>
      </c>
      <c r="F18" s="55"/>
      <c r="G18" s="55"/>
      <c r="H18" s="55">
        <v>2</v>
      </c>
      <c r="I18" s="55">
        <v>138</v>
      </c>
      <c r="J18" s="55">
        <f t="shared" si="0"/>
        <v>276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207</v>
      </c>
      <c r="D19" s="27" t="s">
        <v>190</v>
      </c>
      <c r="E19" s="27" t="s">
        <v>208</v>
      </c>
      <c r="F19" s="55"/>
      <c r="G19" s="55"/>
      <c r="H19" s="55">
        <v>1</v>
      </c>
      <c r="I19" s="55">
        <v>30</v>
      </c>
      <c r="J19" s="55">
        <f t="shared" si="0"/>
        <v>30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2516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0" workbookViewId="0">
      <selection activeCell="E19" sqref="E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181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181</v>
      </c>
      <c r="E17" s="55">
        <v>7</v>
      </c>
      <c r="F17" s="55">
        <v>6</v>
      </c>
      <c r="G17" s="55">
        <f t="shared" ref="G17:G33" si="0">E17*F17</f>
        <v>42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181</v>
      </c>
      <c r="E18" s="55">
        <v>7</v>
      </c>
      <c r="F18" s="55">
        <v>4</v>
      </c>
      <c r="G18" s="55">
        <f t="shared" si="0"/>
        <v>28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181</v>
      </c>
      <c r="E19" s="55">
        <v>8</v>
      </c>
      <c r="F19" s="55">
        <v>8</v>
      </c>
      <c r="G19" s="55">
        <f t="shared" si="0"/>
        <v>64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181</v>
      </c>
      <c r="E20" s="55">
        <v>3</v>
      </c>
      <c r="F20" s="55">
        <v>7</v>
      </c>
      <c r="G20" s="55">
        <f t="shared" si="0"/>
        <v>21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181</v>
      </c>
      <c r="E21" s="55">
        <v>5</v>
      </c>
      <c r="F21" s="55">
        <v>6</v>
      </c>
      <c r="G21" s="55">
        <f t="shared" si="0"/>
        <v>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176</v>
      </c>
      <c r="D22" s="70" t="s">
        <v>181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200</v>
      </c>
      <c r="D23" s="70" t="s">
        <v>181</v>
      </c>
      <c r="E23" s="55">
        <v>1</v>
      </c>
      <c r="F23" s="55">
        <v>22</v>
      </c>
      <c r="G23" s="55">
        <f t="shared" si="0"/>
        <v>22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194</v>
      </c>
      <c r="D24" s="70" t="s">
        <v>181</v>
      </c>
      <c r="E24" s="55">
        <v>2</v>
      </c>
      <c r="F24" s="55">
        <v>35</v>
      </c>
      <c r="G24" s="55">
        <f t="shared" si="0"/>
        <v>70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201</v>
      </c>
      <c r="D25" s="70" t="s">
        <v>181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213</v>
      </c>
      <c r="D26" s="70" t="s">
        <v>181</v>
      </c>
      <c r="E26" s="55">
        <v>1</v>
      </c>
      <c r="F26" s="55">
        <v>70</v>
      </c>
      <c r="G26" s="55">
        <f t="shared" si="0"/>
        <v>70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185</v>
      </c>
      <c r="D27" s="70" t="s">
        <v>181</v>
      </c>
      <c r="E27" s="55">
        <v>1</v>
      </c>
      <c r="F27" s="55">
        <v>7</v>
      </c>
      <c r="G27" s="55">
        <f t="shared" si="0"/>
        <v>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565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N15" sqref="N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175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2018-06-13T06:05:37Z</dcterms:modified>
</cp:coreProperties>
</file>