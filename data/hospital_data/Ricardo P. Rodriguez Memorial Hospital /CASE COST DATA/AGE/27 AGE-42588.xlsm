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<sst xmlns="http://schemas.openxmlformats.org/spreadsheetml/2006/main" count="514" uniqueCount="212">
  <si>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</si>
  <si>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</si>
  <si>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</si>
  <si>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</si>
  <si>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</si>
  <si>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</si>
  <si>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</si>
  <si>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</si>
  <si>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</si>
  <si>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</si>
  <si>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</si>
  <si>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</si>
  <si>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</si>
  <si>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</si>
  <si>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</si>
  <si>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</si>
  <si>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</si>
  <si>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</si>
  <si>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</si>
  <si>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</si>
  <si>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</si>
  <si>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</si>
  <si>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</si>
  <si>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</si>
  <si>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</si>
  <si>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</si>
  <si>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</si>
  <si>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</si>
  <si>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</si>
  <si>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</si>
  <si>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</si>
  <si>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</si>
  <si>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</si>
  <si>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</si>
  <si>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</si>
  <si>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</si>
  <si>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</si>
  <si>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</si>
  <si>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</si>
  <si>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</si>
  <si>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</si>
  <si>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</si>
  <si>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</si>
  <si>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</si>
  <si>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</si>
  <si>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</si>
  <si>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</si>
  <si>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</si>
  <si>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</si>
  <si>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</si>
  <si>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</si>
  <si>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</si>
  <si>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</si>
  <si>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</si>
  <si>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</si>
  <si>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</si>
  <si>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</si>
  <si>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</si>
  <si>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</si>
  <si>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</si>
  <si>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</si>
  <si>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</si>
  <si>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</si>
  <si>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</si>
  <si>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</si>
  <si>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</si>
  <si>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</si>
  <si>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</si>
  <si>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</si>
  <si>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</si>
  <si>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</si>
  <si>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</si>
  <si>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</si>
  <si>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</si>
  <si>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</si>
  <si>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</si>
  <si>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</si>
  <si>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</si>
  <si>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</si>
  <si>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</si>
  <si>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</si>
  <si>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</si>
  <si>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</si>
  <si>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</si>
  <si>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</si>
  <si>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</si>
  <si>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</si>
  <si>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</si>
  <si>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</si>
  <si>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</si>
  <si>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</si>
  <si>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</si>
  <si>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</si>
  <si>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</si>
  <si>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</si>
  <si>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</si>
  <si>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</si>
  <si>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</si>
  <si>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</si>
  <si>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</si>
  <si>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</si>
  <si>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</si>
  <si>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</si>
  <si>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</si>
  <si>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</si>
  <si>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</si>
  <si>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</si>
  <si>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</si>
  <si>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</si>
  <si>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</si>
  <si>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</si>
  <si>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</si>
  <si>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</si>
  <si>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</si>
  <si>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</si>
  <si>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</si>
  <si>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</si>
  <si>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</si>
  <si>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</si>
  <si>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</si>
  <si>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</si>
  <si>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</si>
  <si>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</si>
  <si>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</si>
  <si>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</si>
  <si>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</si>
  <si>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</si>
  <si>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</si>
  <si>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</si>
  <si>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</si>
  <si>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</si>
  <si>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</si>
  <si>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</si>
  <si>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</si>
  <si>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</si>
  <si>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</si>
  <si>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</si>
  <si>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</si>
  <si>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</si>
  <si>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</si>
  <si>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</si>
  <si>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</si>
  <si>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</si>
  <si>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</si>
  <si>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</si>
  <si>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</si>
  <si>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</si>
  <si>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</si>
  <si>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</si>
  <si>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</si>
  <si>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</si>
  <si>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</si>
  <si>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</si>
  <si>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</si>
  <si>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</si>
  <si>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</si>
  <si>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</si>
  <si>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</si>
  <si>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</si>
  <si>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</si>
  <si>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</si>
  <si>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</si>
  <si>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</si>
  <si>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</si>
  <si>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</si>
  <si>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</si>
  <si>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</si>
  <si>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</si>
  <si>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</si>
  <si>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</si>
  <si>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</si>
  <si>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</si>
  <si>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</si>
  <si>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</si>
  <si>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</si>
  <si>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</si>
  <si>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</si>
  <si>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</si>
  <si>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</si>
  <si>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</si>
  <si>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</si>
  <si>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</si>
  <si>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</si>
  <si>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</si>
  <si>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</si>
  <si>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5CC SYRINGE</t>
  </si>
  <si>
    <t>ID BRACELET</t>
  </si>
  <si>
    <t>DIPHENHYDRAMINE HCL</t>
  </si>
  <si>
    <t>D5 0.3 NACL</t>
  </si>
  <si>
    <t>500 ML</t>
  </si>
  <si>
    <t>SUSPENSION/ORAL</t>
  </si>
  <si>
    <t>IV CATHETER G 26</t>
  </si>
  <si>
    <t>STERILE WATER FOR INJECTION</t>
  </si>
  <si>
    <t>POLYAMPULE/IV</t>
  </si>
  <si>
    <t>10 ML</t>
  </si>
  <si>
    <t>IV SET PEDIA</t>
  </si>
  <si>
    <t>CEFUROXIME (ZIOMET)</t>
  </si>
  <si>
    <t>VIAL/IV</t>
  </si>
  <si>
    <t>750 MG</t>
  </si>
  <si>
    <t>IV SPLINT PEDIA</t>
  </si>
  <si>
    <t>TONGUE DEPRESSOR</t>
  </si>
  <si>
    <t>CEFUROXIME</t>
  </si>
  <si>
    <t>CEFACLOR</t>
  </si>
  <si>
    <t>IV CATHETER G 24</t>
  </si>
  <si>
    <t>ECG</t>
  </si>
  <si>
    <t>DROPS/ORAL</t>
  </si>
  <si>
    <t>27.50 MG/ML</t>
  </si>
  <si>
    <t xml:space="preserve">ZINC SULFATE </t>
  </si>
  <si>
    <t>RANITIDINE</t>
  </si>
  <si>
    <t>25 MG/ML</t>
  </si>
  <si>
    <t xml:space="preserve">OXANTEL + PYRANTEL </t>
  </si>
  <si>
    <t>20 MG/10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</si>
</sst>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4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>
        <v>588</v>
      </c>
      <c r="E64" s="55">
        <v>612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30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2815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797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171</v>
      </c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204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642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E20" sqref="E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201</v>
      </c>
      <c r="D11" s="27" t="s">
        <v>197</v>
      </c>
      <c r="E11" s="27" t="s">
        <v>198</v>
      </c>
      <c r="F11" s="55"/>
      <c r="G11" s="55"/>
      <c r="H11" s="55">
        <v>1</v>
      </c>
      <c r="I11" s="55">
        <v>55</v>
      </c>
      <c r="J11" s="55">
        <f>H11*I11</f>
        <v>55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207</v>
      </c>
      <c r="D12" s="27" t="s">
        <v>205</v>
      </c>
      <c r="E12" s="27" t="s">
        <v>206</v>
      </c>
      <c r="F12" s="55"/>
      <c r="G12" s="55"/>
      <c r="H12" s="55">
        <v>1</v>
      </c>
      <c r="I12" s="55">
        <v>95</v>
      </c>
      <c r="J12" s="55">
        <f t="shared" ref="J12:J25" si="0">H12*I12</f>
        <v>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197</v>
      </c>
      <c r="E13" s="27" t="s">
        <v>198</v>
      </c>
      <c r="F13" s="55"/>
      <c r="G13" s="55"/>
      <c r="H13" s="55">
        <v>3</v>
      </c>
      <c r="I13" s="55">
        <v>495</v>
      </c>
      <c r="J13" s="55">
        <f t="shared" si="0"/>
        <v>1485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172</v>
      </c>
      <c r="E14" s="27" t="s">
        <v>189</v>
      </c>
      <c r="F14" s="55"/>
      <c r="G14" s="55"/>
      <c r="H14" s="55">
        <v>3</v>
      </c>
      <c r="I14" s="55">
        <v>80</v>
      </c>
      <c r="J14" s="55">
        <f t="shared" si="0"/>
        <v>240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208</v>
      </c>
      <c r="D15" s="27" t="s">
        <v>180</v>
      </c>
      <c r="E15" s="27" t="s">
        <v>209</v>
      </c>
      <c r="F15" s="55"/>
      <c r="G15" s="55"/>
      <c r="H15" s="55">
        <v>1</v>
      </c>
      <c r="I15" s="55">
        <v>35</v>
      </c>
      <c r="J15" s="55">
        <f t="shared" si="0"/>
        <v>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180</v>
      </c>
      <c r="E16" s="27" t="s">
        <v>182</v>
      </c>
      <c r="F16" s="55"/>
      <c r="G16" s="55"/>
      <c r="H16" s="55">
        <v>1</v>
      </c>
      <c r="I16" s="55">
        <v>145</v>
      </c>
      <c r="J16" s="55">
        <f t="shared" si="0"/>
        <v>145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210</v>
      </c>
      <c r="D17" s="27" t="s">
        <v>190</v>
      </c>
      <c r="E17" s="27" t="s">
        <v>211</v>
      </c>
      <c r="F17" s="55"/>
      <c r="G17" s="55"/>
      <c r="H17" s="55">
        <v>1</v>
      </c>
      <c r="I17" s="55">
        <v>230</v>
      </c>
      <c r="J17" s="55">
        <f t="shared" si="0"/>
        <v>230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190</v>
      </c>
      <c r="E18" s="27" t="s">
        <v>182</v>
      </c>
      <c r="F18" s="55"/>
      <c r="G18" s="55"/>
      <c r="H18" s="55">
        <v>1</v>
      </c>
      <c r="I18" s="55">
        <v>490</v>
      </c>
      <c r="J18" s="55">
        <f t="shared" si="0"/>
        <v>490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193</v>
      </c>
      <c r="E19" s="27" t="s">
        <v>194</v>
      </c>
      <c r="F19" s="55"/>
      <c r="G19" s="55"/>
      <c r="H19" s="55">
        <v>1</v>
      </c>
      <c r="I19" s="55">
        <v>40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2815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3" workbookViewId="0">
      <selection activeCell="F29" sqref="F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181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181</v>
      </c>
      <c r="E17" s="55">
        <v>8</v>
      </c>
      <c r="F17" s="55">
        <v>6</v>
      </c>
      <c r="G17" s="55">
        <f t="shared" ref="G17:G33" si="0">E17*F17</f>
        <v>48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181</v>
      </c>
      <c r="E18" s="55">
        <v>10</v>
      </c>
      <c r="F18" s="55">
        <v>4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181</v>
      </c>
      <c r="E19" s="55">
        <v>3</v>
      </c>
      <c r="F19" s="55">
        <v>8</v>
      </c>
      <c r="G19" s="55">
        <f t="shared" si="0"/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181</v>
      </c>
      <c r="E20" s="55">
        <v>9</v>
      </c>
      <c r="F20" s="55">
        <v>7</v>
      </c>
      <c r="G20" s="55">
        <f t="shared" si="0"/>
        <v>63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181</v>
      </c>
      <c r="E21" s="55">
        <v>14</v>
      </c>
      <c r="F21" s="55">
        <v>6</v>
      </c>
      <c r="G21" s="55">
        <f t="shared" si="0"/>
        <v>84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181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181</v>
      </c>
      <c r="E23" s="55">
        <v>8</v>
      </c>
      <c r="F23" s="55">
        <v>7</v>
      </c>
      <c r="G23" s="55">
        <f t="shared" si="0"/>
        <v>56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195</v>
      </c>
      <c r="D24" s="70" t="s">
        <v>181</v>
      </c>
      <c r="E24" s="55">
        <v>1</v>
      </c>
      <c r="F24" s="55">
        <v>35</v>
      </c>
      <c r="G24" s="55">
        <f t="shared" si="0"/>
        <v>35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203</v>
      </c>
      <c r="D25" s="70" t="s">
        <v>181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181</v>
      </c>
      <c r="E26" s="55">
        <v>2</v>
      </c>
      <c r="F26" s="55">
        <v>61</v>
      </c>
      <c r="G26" s="55">
        <f t="shared" si="0"/>
        <v>122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200</v>
      </c>
      <c r="D27" s="70" t="s">
        <v>181</v>
      </c>
      <c r="E27" s="55">
        <v>1</v>
      </c>
      <c r="F27" s="55">
        <v>2</v>
      </c>
      <c r="G27" s="55">
        <f t="shared" si="0"/>
        <v>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199</v>
      </c>
      <c r="D28" s="70" t="s">
        <v>181</v>
      </c>
      <c r="E28" s="55">
        <v>1</v>
      </c>
      <c r="F28" s="55">
        <v>105</v>
      </c>
      <c r="G28" s="55">
        <f t="shared" si="0"/>
        <v>105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186</v>
      </c>
      <c r="D29" s="70" t="s">
        <v>181</v>
      </c>
      <c r="E29" s="55">
        <v>1</v>
      </c>
      <c r="F29" s="55">
        <v>7</v>
      </c>
      <c r="G29" s="55">
        <f t="shared" si="0"/>
        <v>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797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M14" sqref="M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2018-06-13T03:41:30Z</dcterms:modified>
</cp:coreProperties>
</file>