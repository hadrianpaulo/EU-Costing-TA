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G28" i="9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6" i="9" l="1"/>
  <c r="G37" i="9"/>
  <c r="G38" i="9"/>
  <c r="G39" i="9"/>
  <c r="G40" i="9"/>
  <c r="G41" i="9"/>
  <c r="G42" i="9"/>
  <c r="G43" i="9"/>
  <c r="G35" i="9"/>
  <c r="J21" i="2"/>
  <c r="J22" i="2"/>
  <c r="J23" i="2"/>
  <c r="J24" i="2"/>
  <c r="J25" i="2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<sst xmlns="http://schemas.openxmlformats.org/spreadsheetml/2006/main" count="519" uniqueCount="216">
  <si>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</si>
  <si>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</si>
  <si>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</si>
  <si>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</si>
  <si>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</si>
  <si>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</si>
  <si>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</si>
  <si>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</si>
  <si>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</si>
  <si>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</si>
  <si>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</si>
  <si>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</si>
  <si>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</si>
  <si>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</si>
  <si>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</si>
  <si>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</si>
  <si>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</si>
  <si>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</si>
  <si>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</si>
  <si>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</si>
  <si>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</si>
  <si>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</si>
  <si>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</si>
  <si>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</si>
  <si>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</si>
  <si>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</si>
  <si>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</si>
  <si>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</si>
  <si>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</si>
  <si>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</si>
  <si>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</si>
  <si>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</si>
  <si>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</si>
  <si>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</si>
  <si>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</si>
  <si>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</si>
  <si>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</si>
  <si>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</si>
  <si>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</si>
  <si>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</si>
  <si>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</si>
  <si>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</si>
  <si>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</si>
  <si>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</si>
  <si>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</si>
  <si>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</si>
  <si>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</si>
  <si>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</si>
  <si>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</si>
  <si>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</si>
  <si>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</si>
  <si>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</si>
  <si>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</si>
  <si>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</si>
  <si>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</si>
  <si>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</si>
  <si>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</si>
  <si>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</si>
  <si>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</si>
  <si>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</si>
  <si>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</si>
  <si>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</si>
  <si>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</si>
  <si>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</si>
  <si>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</si>
  <si>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</si>
  <si>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</si>
  <si>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</si>
  <si>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</si>
  <si>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</si>
  <si>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</si>
  <si>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</si>
  <si>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</si>
  <si>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</si>
  <si>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</si>
  <si>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</si>
  <si>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</si>
  <si>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</si>
  <si>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</si>
  <si>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</si>
  <si>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</si>
  <si>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</si>
  <si>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</si>
  <si>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</si>
  <si>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</si>
  <si>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</si>
  <si>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</si>
  <si>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</si>
  <si>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</si>
  <si>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</si>
  <si>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</si>
  <si>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</si>
  <si>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</si>
  <si>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</si>
  <si>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</si>
  <si>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</si>
  <si>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</si>
  <si>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</si>
  <si>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</si>
  <si>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</si>
  <si>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</si>
  <si>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</si>
  <si>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</si>
  <si>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</si>
  <si>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</si>
  <si>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</si>
  <si>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</si>
  <si>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</si>
  <si>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</si>
  <si>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</si>
  <si>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</si>
  <si>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</si>
  <si>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</si>
  <si>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</si>
  <si>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</si>
  <si>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</si>
  <si>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</si>
  <si>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</si>
  <si>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</si>
  <si>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</si>
  <si>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</si>
  <si>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</si>
  <si>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</si>
  <si>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</si>
  <si>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</si>
  <si>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</si>
  <si>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</si>
  <si>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</si>
  <si>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</si>
  <si>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</si>
  <si>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</si>
  <si>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</si>
  <si>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</si>
  <si>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</si>
  <si>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</si>
  <si>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</si>
  <si>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</si>
  <si>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</si>
  <si>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</si>
  <si>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</si>
  <si>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</si>
  <si>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</si>
  <si>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</si>
  <si>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</si>
  <si>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</si>
  <si>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</si>
  <si>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</si>
  <si>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</si>
  <si>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</si>
  <si>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</si>
  <si>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</si>
  <si>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</si>
  <si>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</si>
  <si>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</si>
  <si>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</si>
  <si>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</si>
  <si>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</si>
  <si>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</si>
  <si>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</si>
  <si>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</si>
  <si>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</si>
  <si>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</si>
  <si>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</si>
  <si>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</si>
  <si>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</si>
  <si>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</si>
  <si>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</si>
  <si>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</si>
  <si>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</si>
  <si>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</si>
  <si>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</si>
  <si>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</si>
  <si>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</si>
  <si>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URINALYSIS</t>
  </si>
  <si>
    <t>LABORATORY</t>
  </si>
  <si>
    <t>BOTTLE/IV</t>
  </si>
  <si>
    <t>VIAL/IV</t>
  </si>
  <si>
    <t>STERILE WATER FOR INJECTION</t>
  </si>
  <si>
    <t>POLYAMPULE/V</t>
  </si>
  <si>
    <t>10 mg</t>
  </si>
  <si>
    <t>ID BRACELET</t>
  </si>
  <si>
    <t>10CC SYRINGE</t>
  </si>
  <si>
    <t>5CC SYRINGE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</si>
  <si>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</si>
  <si>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</si>
  <si>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</si>
  <si>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</si>
  <si>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</si>
  <si>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</si>
  <si>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</si>
  <si>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ELECTROLYTES</t>
  </si>
  <si>
    <t>X-RAY</t>
  </si>
  <si>
    <t>CHEST PA 8X10</t>
  </si>
  <si>
    <t>CHEST APL 8X10</t>
  </si>
  <si>
    <t>D5 0.3 NACL</t>
  </si>
  <si>
    <t>500 ml</t>
  </si>
  <si>
    <t>D5 IMB</t>
  </si>
  <si>
    <t xml:space="preserve">CEFUROXIME </t>
  </si>
  <si>
    <t>750 mg</t>
  </si>
  <si>
    <t>METRONIDAZOLE</t>
  </si>
  <si>
    <t>500 mg/ml</t>
  </si>
  <si>
    <t>DIPHENHYDRAMINE HCL</t>
  </si>
  <si>
    <t>AMPULE/IV</t>
  </si>
  <si>
    <t>50 mg/ml</t>
  </si>
  <si>
    <t>CEFIXIME</t>
  </si>
  <si>
    <t>SUSPENSION/ORAL</t>
  </si>
  <si>
    <t>20 mg/ml</t>
  </si>
  <si>
    <t>PC</t>
  </si>
  <si>
    <t>NASAL CANNULA</t>
  </si>
  <si>
    <t>HEPLOCK</t>
  </si>
  <si>
    <t>IV CATHETER G 26</t>
  </si>
  <si>
    <t>IV SET PEDIA</t>
  </si>
  <si>
    <t>WEE BAG</t>
  </si>
  <si>
    <t>NEBULIZING KIT</t>
  </si>
  <si>
    <t>IV SPLINT PEDIA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</si>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</sst>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52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193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53</v>
      </c>
      <c r="E60" s="55">
        <v>1147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/>
      <c r="E61" s="55">
        <v>30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1410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1777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850</v>
      </c>
      <c r="E64" s="55">
        <v>50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191</v>
      </c>
      <c r="D66" s="55">
        <v>110</v>
      </c>
      <c r="E66" s="55">
        <v>200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1427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175</v>
      </c>
      <c r="E11" s="27" t="s">
        <v>195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175</v>
      </c>
      <c r="E12" s="27" t="s">
        <v>195</v>
      </c>
      <c r="F12" s="55"/>
      <c r="G12" s="55"/>
      <c r="H12" s="55">
        <v>1</v>
      </c>
      <c r="I12" s="55">
        <v>80</v>
      </c>
      <c r="J12" s="55">
        <f t="shared" ref="J12:J26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197</v>
      </c>
      <c r="D13" s="27" t="s">
        <v>176</v>
      </c>
      <c r="E13" s="27" t="s">
        <v>198</v>
      </c>
      <c r="F13" s="55"/>
      <c r="G13" s="55"/>
      <c r="H13" s="55">
        <v>7</v>
      </c>
      <c r="I13" s="55">
        <v>55</v>
      </c>
      <c r="J13" s="55">
        <f t="shared" si="0"/>
        <v>385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175</v>
      </c>
      <c r="E14" s="27" t="s">
        <v>200</v>
      </c>
      <c r="F14" s="55"/>
      <c r="G14" s="55"/>
      <c r="H14" s="55">
        <v>7</v>
      </c>
      <c r="I14" s="55">
        <v>45</v>
      </c>
      <c r="J14" s="55">
        <f t="shared" si="0"/>
        <v>315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201</v>
      </c>
      <c r="D15" s="27" t="s">
        <v>202</v>
      </c>
      <c r="E15" s="27" t="s">
        <v>203</v>
      </c>
      <c r="F15" s="55"/>
      <c r="G15" s="55"/>
      <c r="H15" s="55">
        <v>1</v>
      </c>
      <c r="I15" s="55">
        <v>145</v>
      </c>
      <c r="J15" s="55">
        <f t="shared" si="0"/>
        <v>145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178</v>
      </c>
      <c r="E16" s="27" t="s">
        <v>179</v>
      </c>
      <c r="F16" s="55"/>
      <c r="G16" s="55"/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204</v>
      </c>
      <c r="D17" s="27" t="s">
        <v>205</v>
      </c>
      <c r="E17" s="27" t="s">
        <v>206</v>
      </c>
      <c r="F17" s="55"/>
      <c r="G17" s="55"/>
      <c r="H17" s="55">
        <v>1</v>
      </c>
      <c r="I17" s="55">
        <v>365</v>
      </c>
      <c r="J17" s="55">
        <f t="shared" si="0"/>
        <v>365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1410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2" workbookViewId="0">
      <selection activeCell="B34" sqref="B34:G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207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207</v>
      </c>
      <c r="E17" s="55">
        <v>2</v>
      </c>
      <c r="F17" s="55">
        <v>6</v>
      </c>
      <c r="G17" s="55">
        <f t="shared" ref="G17:G32" si="0">E17*F17</f>
        <v>12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207</v>
      </c>
      <c r="E18" s="55">
        <v>7</v>
      </c>
      <c r="F18" s="55">
        <v>4</v>
      </c>
      <c r="G18" s="55">
        <f t="shared" si="0"/>
        <v>28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207</v>
      </c>
      <c r="E19" s="55">
        <v>12</v>
      </c>
      <c r="F19" s="55">
        <v>8</v>
      </c>
      <c r="G19" s="55">
        <f t="shared" si="0"/>
        <v>96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207</v>
      </c>
      <c r="E20" s="55">
        <v>8</v>
      </c>
      <c r="F20" s="55">
        <v>7</v>
      </c>
      <c r="G20" s="55">
        <f t="shared" si="0"/>
        <v>56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169</v>
      </c>
      <c r="D21" s="70" t="s">
        <v>207</v>
      </c>
      <c r="E21" s="55">
        <v>13</v>
      </c>
      <c r="F21" s="55">
        <v>6</v>
      </c>
      <c r="G21" s="55">
        <f t="shared" si="0"/>
        <v>78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182</v>
      </c>
      <c r="D22" s="70" t="s">
        <v>207</v>
      </c>
      <c r="E22" s="55">
        <v>13</v>
      </c>
      <c r="F22" s="55">
        <v>7</v>
      </c>
      <c r="G22" s="55">
        <f t="shared" si="0"/>
        <v>91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207</v>
      </c>
      <c r="E23" s="55">
        <v>1</v>
      </c>
      <c r="F23" s="55">
        <v>65</v>
      </c>
      <c r="G23" s="55">
        <f t="shared" si="0"/>
        <v>65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208</v>
      </c>
      <c r="D24" s="70" t="s">
        <v>207</v>
      </c>
      <c r="E24" s="55">
        <v>1</v>
      </c>
      <c r="F24" s="55">
        <v>47</v>
      </c>
      <c r="G24" s="55">
        <f t="shared" si="0"/>
        <v>47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209</v>
      </c>
      <c r="D25" s="70" t="s">
        <v>207</v>
      </c>
      <c r="E25" s="55">
        <v>1</v>
      </c>
      <c r="F25" s="55">
        <v>22</v>
      </c>
      <c r="G25" s="55">
        <f t="shared" si="0"/>
        <v>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210</v>
      </c>
      <c r="D26" s="70" t="s">
        <v>207</v>
      </c>
      <c r="E26" s="55">
        <v>6</v>
      </c>
      <c r="F26" s="55">
        <v>61</v>
      </c>
      <c r="G26" s="55">
        <f t="shared" si="0"/>
        <v>366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211</v>
      </c>
      <c r="D27" s="70" t="s">
        <v>207</v>
      </c>
      <c r="E27" s="55">
        <v>1</v>
      </c>
      <c r="F27" s="55">
        <v>35</v>
      </c>
      <c r="G27" s="55">
        <f t="shared" si="0"/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212</v>
      </c>
      <c r="D28" s="70" t="s">
        <v>207</v>
      </c>
      <c r="E28" s="55">
        <v>2</v>
      </c>
      <c r="F28" s="55">
        <v>7</v>
      </c>
      <c r="G28" s="55">
        <f t="shared" si="0"/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180</v>
      </c>
      <c r="D29" s="70" t="s">
        <v>207</v>
      </c>
      <c r="E29" s="55">
        <v>1</v>
      </c>
      <c r="F29" s="55">
        <v>7</v>
      </c>
      <c r="G29" s="55">
        <f t="shared" si="0"/>
        <v>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213</v>
      </c>
      <c r="D30" s="70" t="s">
        <v>207</v>
      </c>
      <c r="E30" s="55">
        <v>1</v>
      </c>
      <c r="F30" s="55">
        <v>70</v>
      </c>
      <c r="G30" s="55">
        <f t="shared" si="0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214</v>
      </c>
      <c r="D31" s="70" t="s">
        <v>207</v>
      </c>
      <c r="E31" s="55">
        <v>1</v>
      </c>
      <c r="F31" s="55">
        <v>105</v>
      </c>
      <c r="G31" s="55">
        <f t="shared" si="0"/>
        <v>105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215</v>
      </c>
      <c r="D32" s="70" t="s">
        <v>207</v>
      </c>
      <c r="E32" s="55">
        <v>3</v>
      </c>
      <c r="F32" s="55">
        <v>200</v>
      </c>
      <c r="G32" s="55">
        <f t="shared" si="0"/>
        <v>600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1777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76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1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29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sXfCs2q4fdt4cwPpwUFe8zxloQ0sDT1O9b6n6QM8dEWC4xggNaBia7O+8UHCzA8AWkf92g3CQr31JQ/y4a1ryw==" saltValue="WFIRF3RABc4Qv8IdN6S3+g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0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170</v>
      </c>
      <c r="N12" s="90" t="s">
        <v>171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90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185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>
        <v>20</v>
      </c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20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2018-06-12T08:51:14Z</dcterms:modified>
</cp:coreProperties>
</file>