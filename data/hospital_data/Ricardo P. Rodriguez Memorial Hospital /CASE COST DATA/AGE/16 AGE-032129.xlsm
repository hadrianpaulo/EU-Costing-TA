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<sst xmlns="http://schemas.openxmlformats.org/spreadsheetml/2006/main" count="511" uniqueCount="209">
  <si>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</si>
  <si>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</si>
  <si>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</si>
  <si>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</si>
  <si>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</si>
  <si>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</si>
  <si>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</si>
  <si>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</si>
  <si>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</si>
  <si>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</si>
  <si>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</si>
  <si>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</si>
  <si>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</si>
  <si>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</si>
  <si>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</si>
  <si>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</si>
  <si>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</si>
  <si>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</si>
  <si>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</si>
  <si>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</si>
  <si>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</si>
  <si>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</si>
  <si>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</si>
  <si>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</si>
  <si>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</si>
  <si>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</si>
  <si>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</si>
  <si>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</si>
  <si>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</si>
  <si>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</si>
  <si>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</si>
  <si>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</si>
  <si>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</si>
  <si>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</si>
  <si>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</si>
  <si>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</si>
  <si>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</si>
  <si>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</si>
  <si>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</si>
  <si>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</si>
  <si>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</si>
  <si>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</si>
  <si>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</si>
  <si>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</si>
  <si>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</si>
  <si>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</si>
  <si>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</si>
  <si>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</si>
  <si>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</si>
  <si>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</si>
  <si>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</si>
  <si>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</si>
  <si>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</si>
  <si>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</si>
  <si>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</si>
  <si>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</si>
  <si>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</si>
  <si>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</si>
  <si>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</si>
  <si>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</si>
  <si>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</si>
  <si>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</si>
  <si>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</si>
  <si>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</si>
  <si>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</si>
  <si>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</si>
  <si>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</si>
  <si>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</si>
  <si>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</si>
  <si>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</si>
  <si>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</si>
  <si>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</si>
  <si>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</si>
  <si>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</si>
  <si>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</si>
  <si>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</si>
  <si>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</si>
  <si>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</si>
  <si>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</si>
  <si>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</si>
  <si>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</si>
  <si>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</si>
  <si>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</si>
  <si>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</si>
  <si>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</si>
  <si>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</si>
  <si>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</si>
  <si>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</si>
  <si>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</si>
  <si>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</si>
  <si>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</si>
  <si>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</si>
  <si>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</si>
  <si>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</si>
  <si>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</si>
  <si>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</si>
  <si>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</si>
  <si>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</si>
  <si>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</si>
  <si>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</si>
  <si>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</si>
  <si>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</si>
  <si>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</si>
  <si>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</si>
  <si>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</si>
  <si>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</si>
  <si>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</si>
  <si>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</si>
  <si>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</si>
  <si>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</si>
  <si>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</si>
  <si>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</si>
  <si>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</si>
  <si>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</si>
  <si>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</si>
  <si>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</si>
  <si>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</si>
  <si>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</si>
  <si>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</si>
  <si>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</si>
  <si>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</si>
  <si>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</si>
  <si>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</si>
  <si>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</si>
  <si>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</si>
  <si>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</si>
  <si>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</si>
  <si>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</si>
  <si>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</si>
  <si>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</si>
  <si>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</si>
  <si>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</si>
  <si>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</si>
  <si>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</si>
  <si>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</si>
  <si>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</si>
  <si>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</si>
  <si>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</si>
  <si>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</si>
  <si>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</si>
  <si>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</si>
  <si>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</si>
  <si>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</si>
  <si>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</si>
  <si>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</si>
  <si>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</si>
  <si>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</si>
  <si>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</si>
  <si>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</si>
  <si>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</si>
  <si>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</si>
  <si>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</si>
  <si>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</si>
  <si>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</si>
  <si>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</si>
  <si>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</si>
  <si>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</si>
  <si>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</si>
  <si>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</si>
  <si>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</si>
  <si>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</si>
  <si>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</si>
  <si>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</si>
  <si>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</si>
  <si>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</si>
  <si>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</si>
  <si>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</si>
  <si>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</si>
  <si>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</si>
  <si>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</si>
  <si>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</si>
  <si>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</si>
  <si>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</si>
  <si>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</si>
  <si>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VIAL/IV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</si>
  <si>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</si>
  <si>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</si>
  <si>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</si>
  <si>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</si>
  <si>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</si>
  <si>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</si>
  <si>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</si>
  <si>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</si>
  <si>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</si>
  <si>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50 MG/ML</t>
  </si>
  <si>
    <t>500 MG/ML</t>
  </si>
  <si>
    <t>ELECTROLYTES</t>
  </si>
  <si>
    <t>OMEPRAZOLE</t>
  </si>
  <si>
    <t>40 MG</t>
  </si>
  <si>
    <t>CEFUROXIME (ZIOMET)</t>
  </si>
  <si>
    <t>750 MG</t>
  </si>
  <si>
    <t xml:space="preserve">CEFUROXIME </t>
  </si>
  <si>
    <t>TRAMADOL</t>
  </si>
  <si>
    <t>KETOROLAC</t>
  </si>
  <si>
    <t>30 MG/ML</t>
  </si>
  <si>
    <t>LRS</t>
  </si>
  <si>
    <t>1000 ML</t>
  </si>
  <si>
    <t>METRONIDAZOLE</t>
  </si>
  <si>
    <t>STERILE WATER FOR INJECTION</t>
  </si>
  <si>
    <t>10 ML</t>
  </si>
  <si>
    <t>CIPROFLOXACIN</t>
  </si>
  <si>
    <t>TABLET/ORAL</t>
  </si>
  <si>
    <t>10CC SYRINGE</t>
  </si>
  <si>
    <t>3CC SYRINGE</t>
  </si>
  <si>
    <t>5CC SYRINGE</t>
  </si>
  <si>
    <t>IV CATHETER G 22</t>
  </si>
  <si>
    <t>IV SET ADULT</t>
  </si>
  <si>
    <t>ID BRACELET</t>
  </si>
  <si>
    <t>IV SPLINT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</si>
</sst>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" zoomScaleNormal="100" workbookViewId="0">
      <selection activeCell="C31" sqref="C3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/>
      <c r="E60" s="55">
        <v>800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/>
      <c r="E61" s="55">
        <v>20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4180</v>
      </c>
      <c r="E62" s="55">
        <v>200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18</v>
      </c>
      <c r="E63" s="55">
        <v>834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2</v>
      </c>
      <c r="E64" s="55">
        <v>866</v>
      </c>
      <c r="F64" s="55">
        <v>32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2720</v>
      </c>
      <c r="F71" s="59">
        <f>SUM(F60:F70)</f>
        <v>32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174</v>
      </c>
      <c r="E11" s="27" t="s">
        <v>188</v>
      </c>
      <c r="F11" s="55"/>
      <c r="G11" s="55"/>
      <c r="H11" s="55">
        <v>3</v>
      </c>
      <c r="I11" s="55">
        <v>285</v>
      </c>
      <c r="J11" s="55">
        <f>H11*I11</f>
        <v>855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174</v>
      </c>
      <c r="E12" s="27" t="s">
        <v>190</v>
      </c>
      <c r="F12" s="55"/>
      <c r="G12" s="55"/>
      <c r="H12" s="55">
        <v>3</v>
      </c>
      <c r="I12" s="55">
        <v>495</v>
      </c>
      <c r="J12" s="55">
        <f t="shared" ref="J12:J25" si="0">H12*I12</f>
        <v>1485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174</v>
      </c>
      <c r="E13" s="27" t="s">
        <v>190</v>
      </c>
      <c r="F13" s="55"/>
      <c r="G13" s="55"/>
      <c r="H13" s="55">
        <v>4</v>
      </c>
      <c r="I13" s="55">
        <v>55</v>
      </c>
      <c r="J13" s="55">
        <f t="shared" si="0"/>
        <v>220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182</v>
      </c>
      <c r="E14" s="27" t="s">
        <v>184</v>
      </c>
      <c r="F14" s="55"/>
      <c r="G14" s="55"/>
      <c r="H14" s="55">
        <v>1</v>
      </c>
      <c r="I14" s="55">
        <v>65</v>
      </c>
      <c r="J14" s="55">
        <f t="shared" si="0"/>
        <v>65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182</v>
      </c>
      <c r="E15" s="27" t="s">
        <v>194</v>
      </c>
      <c r="F15" s="55"/>
      <c r="G15" s="55"/>
      <c r="H15" s="55">
        <v>7</v>
      </c>
      <c r="I15" s="55">
        <v>120</v>
      </c>
      <c r="J15" s="55">
        <f t="shared" si="0"/>
        <v>840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173</v>
      </c>
      <c r="E16" s="27" t="s">
        <v>196</v>
      </c>
      <c r="F16" s="55"/>
      <c r="G16" s="55"/>
      <c r="H16" s="55">
        <v>6</v>
      </c>
      <c r="I16" s="55">
        <v>80</v>
      </c>
      <c r="J16" s="55">
        <f t="shared" si="0"/>
        <v>480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173</v>
      </c>
      <c r="E17" s="27" t="s">
        <v>185</v>
      </c>
      <c r="F17" s="55"/>
      <c r="G17" s="55"/>
      <c r="H17" s="55">
        <v>7</v>
      </c>
      <c r="I17" s="55">
        <v>45</v>
      </c>
      <c r="J17" s="55">
        <f t="shared" si="0"/>
        <v>315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173</v>
      </c>
      <c r="E18" s="27" t="s">
        <v>199</v>
      </c>
      <c r="F18" s="55"/>
      <c r="G18" s="55"/>
      <c r="H18" s="55">
        <v>1</v>
      </c>
      <c r="I18" s="55">
        <v>40</v>
      </c>
      <c r="J18" s="55">
        <f t="shared" si="0"/>
        <v>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201</v>
      </c>
      <c r="E19" s="27" t="s">
        <v>185</v>
      </c>
      <c r="F19" s="55"/>
      <c r="G19" s="55"/>
      <c r="H19" s="55">
        <v>10</v>
      </c>
      <c r="I19" s="55">
        <v>8</v>
      </c>
      <c r="J19" s="55">
        <f t="shared" si="0"/>
        <v>80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4380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183</v>
      </c>
      <c r="E16" s="55">
        <v>2</v>
      </c>
      <c r="F16" s="55">
        <v>85</v>
      </c>
      <c r="G16" s="55">
        <f>E16*F16</f>
        <v>170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183</v>
      </c>
      <c r="E17" s="55">
        <v>9</v>
      </c>
      <c r="F17" s="55">
        <v>6</v>
      </c>
      <c r="G17" s="55">
        <f t="shared" ref="G17:G33" si="0">E17*F17</f>
        <v>54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183</v>
      </c>
      <c r="E18" s="55">
        <v>10</v>
      </c>
      <c r="F18" s="55">
        <v>4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183</v>
      </c>
      <c r="E19" s="55">
        <v>2</v>
      </c>
      <c r="F19" s="55">
        <v>7</v>
      </c>
      <c r="G19" s="55">
        <f t="shared" si="0"/>
        <v>14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183</v>
      </c>
      <c r="E20" s="55">
        <v>1</v>
      </c>
      <c r="F20" s="55">
        <v>65</v>
      </c>
      <c r="G20" s="55">
        <f t="shared" si="0"/>
        <v>65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207</v>
      </c>
      <c r="D21" s="70" t="s">
        <v>183</v>
      </c>
      <c r="E21" s="55">
        <v>1</v>
      </c>
      <c r="F21" s="55">
        <v>7</v>
      </c>
      <c r="G21" s="55">
        <f t="shared" si="0"/>
        <v>7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205</v>
      </c>
      <c r="D22" s="70" t="s">
        <v>183</v>
      </c>
      <c r="E22" s="55">
        <v>2</v>
      </c>
      <c r="F22" s="55">
        <v>61</v>
      </c>
      <c r="G22" s="55">
        <f t="shared" si="0"/>
        <v>122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206</v>
      </c>
      <c r="D23" s="70" t="s">
        <v>183</v>
      </c>
      <c r="E23" s="55">
        <v>2</v>
      </c>
      <c r="F23" s="55">
        <v>32</v>
      </c>
      <c r="G23" s="55">
        <f t="shared" si="0"/>
        <v>64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208</v>
      </c>
      <c r="D24" s="70" t="s">
        <v>183</v>
      </c>
      <c r="E24" s="55">
        <v>1</v>
      </c>
      <c r="F24" s="55">
        <v>110</v>
      </c>
      <c r="G24" s="55">
        <f t="shared" si="0"/>
        <v>110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202</v>
      </c>
      <c r="D25" s="70" t="s">
        <v>183</v>
      </c>
      <c r="E25" s="55">
        <v>8</v>
      </c>
      <c r="F25" s="55">
        <v>8</v>
      </c>
      <c r="G25" s="55">
        <f t="shared" si="0"/>
        <v>64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203</v>
      </c>
      <c r="D26" s="70" t="s">
        <v>183</v>
      </c>
      <c r="E26" s="55">
        <v>12</v>
      </c>
      <c r="F26" s="55">
        <v>6</v>
      </c>
      <c r="G26" s="55">
        <f t="shared" si="0"/>
        <v>72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204</v>
      </c>
      <c r="D27" s="70" t="s">
        <v>183</v>
      </c>
      <c r="E27" s="55">
        <v>10</v>
      </c>
      <c r="F27" s="55">
        <v>7</v>
      </c>
      <c r="G27" s="55">
        <f t="shared" si="0"/>
        <v>70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852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0" workbookViewId="0">
      <selection activeCell="G22" sqref="G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177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185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2018-06-12T08:50:23Z</dcterms:modified>
</cp:coreProperties>
</file>