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9" i="9" l="1"/>
  <c r="G28" i="9"/>
  <c r="J20" i="2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0" i="9" l="1"/>
  <c r="G33" i="9"/>
  <c r="G34" i="9"/>
  <c r="G35" i="9"/>
  <c r="G36" i="9"/>
  <c r="G37" i="9"/>
  <c r="G38" i="9"/>
  <c r="G39" i="9"/>
  <c r="G40" i="9"/>
  <c r="G32" i="9"/>
  <c r="J21" i="2"/>
  <c r="J23" i="2"/>
  <c r="J24" i="2"/>
  <c r="J25" i="2"/>
  <c r="J26" i="2"/>
  <c r="G4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2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<sst xmlns="http://schemas.openxmlformats.org/spreadsheetml/2006/main" count="518" uniqueCount="216">
  <si>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</si>
  <si>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</si>
  <si>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</si>
  <si>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</si>
  <si>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</si>
  <si>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</si>
  <si>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</si>
  <si>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</si>
  <si>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</si>
  <si>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</si>
  <si>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</si>
  <si>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</si>
  <si>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</si>
  <si>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</si>
  <si>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</si>
  <si>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</si>
  <si>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</si>
  <si>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</si>
  <si>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</si>
  <si>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</si>
  <si>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</si>
  <si>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</si>
  <si>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</si>
  <si>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</si>
  <si>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</si>
  <si>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</si>
  <si>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</si>
  <si>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</si>
  <si>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</si>
  <si>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</si>
  <si>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</si>
  <si>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</si>
  <si>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</si>
  <si>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</si>
  <si>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</si>
  <si>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</si>
  <si>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</si>
  <si>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</si>
  <si>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</si>
  <si>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</si>
  <si>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</si>
  <si>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</si>
  <si>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</si>
  <si>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</si>
  <si>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</si>
  <si>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</si>
  <si>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</si>
  <si>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</si>
  <si>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</si>
  <si>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</si>
  <si>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</si>
  <si>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</si>
  <si>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</si>
  <si>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</si>
  <si>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</si>
  <si>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</si>
  <si>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</si>
  <si>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</si>
  <si>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</si>
  <si>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</si>
  <si>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</si>
  <si>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</si>
  <si>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</si>
  <si>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</si>
  <si>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</si>
  <si>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</si>
  <si>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</si>
  <si>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</si>
  <si>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</si>
  <si>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</si>
  <si>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</si>
  <si>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</si>
  <si>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</si>
  <si>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</si>
  <si>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</si>
  <si>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</si>
  <si>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</si>
  <si>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</si>
  <si>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</si>
  <si>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</si>
  <si>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</si>
  <si>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</si>
  <si>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</si>
  <si>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</si>
  <si>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</si>
  <si>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</si>
  <si>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</si>
  <si>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</si>
  <si>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</si>
  <si>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</si>
  <si>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</si>
  <si>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</si>
  <si>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</si>
  <si>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</si>
  <si>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</si>
  <si>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</si>
  <si>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</si>
  <si>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</si>
  <si>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</si>
  <si>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</si>
  <si>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</si>
  <si>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</si>
  <si>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</si>
  <si>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</si>
  <si>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</si>
  <si>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</si>
  <si>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</si>
  <si>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</si>
  <si>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</si>
  <si>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</si>
  <si>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</si>
  <si>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</si>
  <si>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</si>
  <si>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</si>
  <si>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</si>
  <si>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</si>
  <si>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</si>
  <si>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</si>
  <si>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</si>
  <si>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</si>
  <si>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</si>
  <si>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</si>
  <si>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</si>
  <si>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</si>
  <si>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</si>
  <si>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</si>
  <si>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</si>
  <si>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</si>
  <si>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</si>
  <si>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</si>
  <si>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</si>
  <si>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</si>
  <si>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</si>
  <si>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</si>
  <si>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</si>
  <si>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</si>
  <si>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</si>
  <si>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</si>
  <si>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</si>
  <si>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</si>
  <si>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</si>
  <si>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</si>
  <si>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</si>
  <si>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</si>
  <si>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</si>
  <si>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</si>
  <si>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</si>
  <si>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</si>
  <si>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</si>
  <si>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</si>
  <si>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</si>
  <si>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</si>
  <si>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</si>
  <si>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</si>
  <si>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</si>
  <si>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</si>
  <si>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</si>
  <si>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</si>
  <si>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</si>
  <si>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</si>
  <si>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</si>
  <si>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</si>
  <si>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</si>
  <si>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</si>
  <si>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</si>
  <si>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</si>
  <si>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</si>
  <si>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</si>
  <si>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</si>
  <si>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</si>
  <si>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</si>
  <si>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</si>
  <si>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</si>
  <si>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</si>
  <si>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URINALYSIS</t>
  </si>
  <si>
    <t>LABORATORY</t>
  </si>
  <si>
    <t>BOTTLE/IV</t>
  </si>
  <si>
    <t>1000 ml</t>
  </si>
  <si>
    <t>VIAL/IV</t>
  </si>
  <si>
    <t>STERILE WATER FOR INJECTION</t>
  </si>
  <si>
    <t>5CC SYRINGE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</si>
  <si>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</si>
  <si>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</si>
  <si>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</si>
  <si>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</si>
  <si>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</si>
  <si>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</si>
  <si>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</si>
  <si>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FECALYSIS</t>
  </si>
  <si>
    <t>750 mg</t>
  </si>
  <si>
    <t>AMPULE/IV</t>
  </si>
  <si>
    <t>METRONIDAZOLE</t>
  </si>
  <si>
    <t>HEPLOCK</t>
  </si>
  <si>
    <t>CEFUROXIME</t>
  </si>
  <si>
    <t>BOTTLE/ORAL</t>
  </si>
  <si>
    <t>250 mg/5 ml</t>
  </si>
  <si>
    <t>SYRUP/ORAL</t>
  </si>
  <si>
    <t>IV SET PEDIA</t>
  </si>
  <si>
    <t>ID BRACELET</t>
  </si>
  <si>
    <t>RANITIDINE</t>
  </si>
  <si>
    <t>25 mg/ml</t>
  </si>
  <si>
    <t>IV CATHETER G 24</t>
  </si>
  <si>
    <t>IV SPLINT PEDIA</t>
  </si>
  <si>
    <t>CEFUROXIME (ZIOMET)</t>
  </si>
  <si>
    <t>POLYAMPULE/IV</t>
  </si>
  <si>
    <t>10 ml</t>
  </si>
  <si>
    <t>500 mg/ml</t>
  </si>
  <si>
    <t>125 mg/ml</t>
  </si>
  <si>
    <t>0.9 NACL</t>
  </si>
  <si>
    <t xml:space="preserve">CEFUROXIME </t>
  </si>
  <si>
    <t>DIPHEHYDRAMINE HCL</t>
  </si>
  <si>
    <t>750 mg/ml</t>
  </si>
  <si>
    <t>50 mg/ml</t>
  </si>
  <si>
    <t>12.50 mg/ml</t>
  </si>
  <si>
    <t>IV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</si>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</sst>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E65" sqref="E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/>
      <c r="E60" s="55">
        <v>1200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13</v>
      </c>
      <c r="E61" s="55">
        <v>17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3600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587</v>
      </c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/>
      <c r="E64" s="55">
        <v>350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167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1717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21" sqref="I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208</v>
      </c>
      <c r="D11" s="27" t="s">
        <v>176</v>
      </c>
      <c r="E11" s="27" t="s">
        <v>177</v>
      </c>
      <c r="F11" s="55"/>
      <c r="G11" s="55"/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203</v>
      </c>
      <c r="D12" s="27" t="s">
        <v>178</v>
      </c>
      <c r="E12" s="27" t="s">
        <v>189</v>
      </c>
      <c r="F12" s="55"/>
      <c r="G12" s="55"/>
      <c r="H12" s="55">
        <v>1</v>
      </c>
      <c r="I12" s="55">
        <v>495</v>
      </c>
      <c r="J12" s="55">
        <f t="shared" ref="J12:J26" si="0">H12*I12</f>
        <v>495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176</v>
      </c>
      <c r="E13" s="27" t="s">
        <v>206</v>
      </c>
      <c r="F13" s="55"/>
      <c r="G13" s="55"/>
      <c r="H13" s="55">
        <v>7</v>
      </c>
      <c r="I13" s="55">
        <v>45</v>
      </c>
      <c r="J13" s="55">
        <f t="shared" si="0"/>
        <v>315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196</v>
      </c>
      <c r="E14" s="27" t="s">
        <v>207</v>
      </c>
      <c r="F14" s="55"/>
      <c r="G14" s="55"/>
      <c r="H14" s="55">
        <v>3</v>
      </c>
      <c r="I14" s="55">
        <v>35</v>
      </c>
      <c r="J14" s="55">
        <f t="shared" si="0"/>
        <v>105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209</v>
      </c>
      <c r="D15" s="27" t="s">
        <v>178</v>
      </c>
      <c r="E15" s="27" t="s">
        <v>211</v>
      </c>
      <c r="F15" s="55"/>
      <c r="G15" s="55"/>
      <c r="H15" s="55">
        <v>8</v>
      </c>
      <c r="I15" s="55">
        <v>55</v>
      </c>
      <c r="J15" s="55">
        <f t="shared" si="0"/>
        <v>440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210</v>
      </c>
      <c r="D16" s="27" t="s">
        <v>190</v>
      </c>
      <c r="E16" s="27" t="s">
        <v>212</v>
      </c>
      <c r="F16" s="55"/>
      <c r="G16" s="55"/>
      <c r="H16" s="55">
        <v>9</v>
      </c>
      <c r="I16" s="55">
        <v>145</v>
      </c>
      <c r="J16" s="55">
        <f t="shared" si="0"/>
        <v>1305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190</v>
      </c>
      <c r="E17" s="27" t="s">
        <v>200</v>
      </c>
      <c r="F17" s="55"/>
      <c r="G17" s="55"/>
      <c r="H17" s="55">
        <v>10</v>
      </c>
      <c r="I17" s="55">
        <v>35</v>
      </c>
      <c r="J17" s="55">
        <f t="shared" si="0"/>
        <v>350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193</v>
      </c>
      <c r="D18" s="27" t="s">
        <v>194</v>
      </c>
      <c r="E18" s="27" t="s">
        <v>195</v>
      </c>
      <c r="F18" s="55"/>
      <c r="G18" s="55"/>
      <c r="H18" s="55">
        <v>1</v>
      </c>
      <c r="I18" s="55">
        <v>440</v>
      </c>
      <c r="J18" s="55">
        <f t="shared" si="0"/>
        <v>440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179</v>
      </c>
      <c r="D19" s="27" t="s">
        <v>204</v>
      </c>
      <c r="E19" s="27" t="s">
        <v>205</v>
      </c>
      <c r="F19" s="55"/>
      <c r="G19" s="55"/>
      <c r="H19" s="55">
        <v>1</v>
      </c>
      <c r="I19" s="55">
        <v>40</v>
      </c>
      <c r="J19" s="55">
        <f t="shared" si="0"/>
        <v>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210</v>
      </c>
      <c r="D20" s="27" t="s">
        <v>196</v>
      </c>
      <c r="E20" s="27" t="s">
        <v>213</v>
      </c>
      <c r="F20" s="55"/>
      <c r="G20" s="55"/>
      <c r="H20" s="55">
        <v>1</v>
      </c>
      <c r="I20" s="55">
        <v>30</v>
      </c>
      <c r="J20" s="55">
        <f t="shared" si="0"/>
        <v>30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>SUM(J11:J20)</f>
        <v>3600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7" workbookViewId="0">
      <selection activeCell="F27" sqref="F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29</v>
      </c>
      <c r="E17" s="55">
        <v>2</v>
      </c>
      <c r="F17" s="55">
        <v>35</v>
      </c>
      <c r="G17" s="55">
        <f t="shared" ref="G17:G29" si="0">E17*F17</f>
        <v>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29</v>
      </c>
      <c r="E19" s="55">
        <v>7</v>
      </c>
      <c r="F19" s="55">
        <v>6</v>
      </c>
      <c r="G19" s="55">
        <f t="shared" si="0"/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3</v>
      </c>
      <c r="F20" s="55">
        <v>7</v>
      </c>
      <c r="G20" s="55">
        <f t="shared" si="0"/>
        <v>21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170</v>
      </c>
      <c r="D21" s="70" t="s">
        <v>29</v>
      </c>
      <c r="E21" s="55">
        <v>3</v>
      </c>
      <c r="F21" s="55">
        <v>6</v>
      </c>
      <c r="G21" s="55">
        <f t="shared" si="0"/>
        <v>18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184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181</v>
      </c>
      <c r="D23" s="70" t="s">
        <v>29</v>
      </c>
      <c r="E23" s="55">
        <v>5</v>
      </c>
      <c r="F23" s="55">
        <v>4</v>
      </c>
      <c r="G23" s="55">
        <f t="shared" si="0"/>
        <v>20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168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202</v>
      </c>
      <c r="D25" s="70" t="s">
        <v>29</v>
      </c>
      <c r="E25" s="55">
        <v>1</v>
      </c>
      <c r="F25" s="55">
        <v>105</v>
      </c>
      <c r="G25" s="55">
        <f t="shared" si="0"/>
        <v>105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215</v>
      </c>
      <c r="D26" s="70" t="s">
        <v>29</v>
      </c>
      <c r="E26" s="55">
        <v>1</v>
      </c>
      <c r="F26" s="55">
        <v>200</v>
      </c>
      <c r="G26" s="55">
        <f t="shared" si="0"/>
        <v>200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192</v>
      </c>
      <c r="D27" s="70" t="s">
        <v>29</v>
      </c>
      <c r="E27" s="55">
        <v>1</v>
      </c>
      <c r="F27" s="55">
        <v>22</v>
      </c>
      <c r="G27" s="55">
        <f t="shared" si="0"/>
        <v>22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180</v>
      </c>
      <c r="D28" s="70" t="s">
        <v>29</v>
      </c>
      <c r="E28" s="55">
        <v>3</v>
      </c>
      <c r="F28" s="55">
        <v>7</v>
      </c>
      <c r="G28" s="55">
        <f t="shared" si="0"/>
        <v>21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214</v>
      </c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SUM(G16:G29)</f>
        <v>737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77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>
        <f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>
        <f t="shared" ref="G33:G40" si="1">E33*F33</f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>
        <f>SUM(G32:G38)</f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30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G0RHz/j6fOaue3OJxQHO/ykG2pLps007XW7/kcXufS263TOFImIxRyFneN1wBJgoEYrY6bUtB8p54N8xX08ObQ==" saltValue="56rXurxOPXMJYv+bK4zEuw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N18" sqref="N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171</v>
      </c>
      <c r="N12" s="90" t="s">
        <v>172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60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183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20</v>
      </c>
      <c r="N14" s="55"/>
      <c r="P14" s="88">
        <f t="shared" ref="P14:P22" si="0">SUM(D14:N14)</f>
        <v>50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185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0</v>
      </c>
      <c r="P30" s="89">
        <f>SUM(P13:P22)</f>
        <v>235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2018-06-11T06:35:50Z</dcterms:modified>
</cp:coreProperties>
</file>