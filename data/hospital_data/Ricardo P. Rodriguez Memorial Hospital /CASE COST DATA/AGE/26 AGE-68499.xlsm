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<sst xmlns="http://schemas.openxmlformats.org/spreadsheetml/2006/main" count="514" uniqueCount="214">
  <si>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</si>
  <si>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</si>
  <si>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</si>
  <si>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</si>
  <si>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</si>
  <si>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</si>
  <si>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</si>
  <si>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</si>
  <si>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</si>
  <si>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</si>
  <si>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</si>
  <si>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</si>
  <si>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</si>
  <si>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</si>
  <si>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</si>
  <si>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</si>
  <si>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</si>
  <si>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</si>
  <si>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</si>
  <si>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</si>
  <si>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</si>
  <si>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</si>
  <si>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</si>
  <si>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</si>
  <si>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</si>
  <si>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</si>
  <si>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</si>
  <si>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</si>
  <si>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</si>
  <si>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</si>
  <si>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</si>
  <si>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</si>
  <si>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</si>
  <si>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</si>
  <si>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</si>
  <si>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</si>
  <si>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</si>
  <si>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</si>
  <si>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</si>
  <si>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</si>
  <si>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</si>
  <si>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</si>
  <si>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</si>
  <si>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</si>
  <si>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</si>
  <si>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</si>
  <si>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</si>
  <si>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</si>
  <si>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</si>
  <si>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</si>
  <si>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</si>
  <si>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</si>
  <si>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</si>
  <si>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</si>
  <si>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</si>
  <si>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</si>
  <si>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</si>
  <si>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</si>
  <si>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</si>
  <si>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</si>
  <si>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</si>
  <si>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</si>
  <si>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</si>
  <si>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</si>
  <si>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</si>
  <si>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</si>
  <si>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</si>
  <si>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</si>
  <si>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</si>
  <si>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</si>
  <si>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</si>
  <si>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</si>
  <si>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</si>
  <si>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</si>
  <si>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</si>
  <si>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</si>
  <si>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</si>
  <si>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</si>
  <si>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</si>
  <si>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</si>
  <si>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</si>
  <si>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</si>
  <si>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</si>
  <si>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</si>
  <si>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</si>
  <si>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</si>
  <si>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</si>
  <si>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</si>
  <si>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</si>
  <si>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</si>
  <si>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</si>
  <si>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</si>
  <si>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</si>
  <si>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</si>
  <si>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</si>
  <si>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</si>
  <si>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</si>
  <si>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</si>
  <si>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</si>
  <si>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</si>
  <si>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</si>
  <si>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</si>
  <si>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</si>
  <si>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</si>
  <si>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</si>
  <si>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</si>
  <si>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</si>
  <si>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</si>
  <si>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</si>
  <si>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</si>
  <si>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</si>
  <si>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</si>
  <si>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</si>
  <si>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</si>
  <si>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</si>
  <si>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</si>
  <si>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</si>
  <si>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</si>
  <si>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</si>
  <si>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</si>
  <si>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</si>
  <si>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</si>
  <si>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</si>
  <si>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</si>
  <si>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</si>
  <si>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</si>
  <si>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</si>
  <si>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</si>
  <si>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</si>
  <si>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</si>
  <si>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</si>
  <si>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</si>
  <si>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</si>
  <si>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</si>
  <si>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</si>
  <si>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</si>
  <si>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</si>
  <si>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</si>
  <si>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</si>
  <si>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</si>
  <si>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</si>
  <si>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</si>
  <si>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</si>
  <si>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</si>
  <si>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</si>
  <si>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</si>
  <si>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</si>
  <si>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</si>
  <si>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</si>
  <si>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</si>
  <si>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</si>
  <si>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</si>
  <si>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</si>
  <si>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</si>
  <si>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</si>
  <si>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</si>
  <si>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</si>
  <si>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</si>
  <si>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</si>
  <si>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</si>
  <si>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</si>
  <si>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</si>
  <si>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</si>
  <si>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</si>
  <si>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</si>
  <si>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</si>
  <si>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</si>
  <si>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</si>
  <si>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</si>
  <si>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</si>
  <si>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</si>
  <si>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</si>
  <si>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</si>
  <si>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</si>
  <si>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</si>
  <si>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</si>
  <si>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</si>
  <si>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</si>
  <si>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</si>
  <si>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</si>
  <si>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</si>
  <si>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</si>
  <si>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10CC SYRINGE</t>
  </si>
  <si>
    <t>3CC SYRINGE</t>
  </si>
  <si>
    <t>5CC SYRINGE</t>
  </si>
  <si>
    <t>ID BRACELET</t>
  </si>
  <si>
    <t>PARACETAMOL</t>
  </si>
  <si>
    <t>D5 0.3 NACL</t>
  </si>
  <si>
    <t>500 ML</t>
  </si>
  <si>
    <t>SUSPENSION/ORAL</t>
  </si>
  <si>
    <t>IV CATHETER G 26</t>
  </si>
  <si>
    <t>SOLUSET</t>
  </si>
  <si>
    <t>STERILE WATER FOR INJECTION</t>
  </si>
  <si>
    <t>POLYAMPULE/IV</t>
  </si>
  <si>
    <t>FECALYSIS</t>
  </si>
  <si>
    <t>VIAL/IV</t>
  </si>
  <si>
    <t>WEE BAG</t>
  </si>
  <si>
    <t>150 MG/ML</t>
  </si>
  <si>
    <t>TONGUE DEPRESSOR</t>
  </si>
  <si>
    <t>1 GM</t>
  </si>
  <si>
    <t>IV CATHETER G 24</t>
  </si>
  <si>
    <t>ECG</t>
  </si>
  <si>
    <t>DROPS/ORAL</t>
  </si>
  <si>
    <t>27.50 MG/ML</t>
  </si>
  <si>
    <t>CEFOXITIN</t>
  </si>
  <si>
    <t xml:space="preserve">ZINC SULFATE </t>
  </si>
  <si>
    <t>METOCLOPRAMIDE</t>
  </si>
  <si>
    <t>5 MG/2 ML</t>
  </si>
  <si>
    <t xml:space="preserve">D5 IMB </t>
  </si>
  <si>
    <t>BACILLUS CLAUSIL (ERCEFLORA)</t>
  </si>
  <si>
    <t>REPSULE/ORAL</t>
  </si>
  <si>
    <t>5 ML</t>
  </si>
  <si>
    <t>COTRIMOXAZOLE</t>
  </si>
  <si>
    <t>200 MG/40 MG/5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</si>
</sst>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4"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/>
      <c r="E64" s="55">
        <v>1200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30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4200</v>
      </c>
      <c r="E66" s="55">
        <v>372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/>
      <c r="E67" s="55">
        <v>1235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171</v>
      </c>
      <c r="D68" s="55"/>
      <c r="E68" s="55">
        <v>50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201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2887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D20" sqref="D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204</v>
      </c>
      <c r="D11" s="27" t="s">
        <v>195</v>
      </c>
      <c r="E11" s="27" t="s">
        <v>199</v>
      </c>
      <c r="F11" s="55"/>
      <c r="G11" s="55"/>
      <c r="H11" s="55">
        <v>4</v>
      </c>
      <c r="I11" s="55">
        <v>825</v>
      </c>
      <c r="J11" s="55">
        <f>H11*I11</f>
        <v>3300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205</v>
      </c>
      <c r="D12" s="27" t="s">
        <v>202</v>
      </c>
      <c r="E12" s="27" t="s">
        <v>203</v>
      </c>
      <c r="F12" s="55"/>
      <c r="G12" s="55"/>
      <c r="H12" s="55">
        <v>1</v>
      </c>
      <c r="I12" s="55">
        <v>95</v>
      </c>
      <c r="J12" s="55">
        <f t="shared" ref="J12:J25" si="0">H12*I12</f>
        <v>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206</v>
      </c>
      <c r="D13" s="27" t="s">
        <v>180</v>
      </c>
      <c r="E13" s="27" t="s">
        <v>207</v>
      </c>
      <c r="F13" s="55"/>
      <c r="G13" s="55"/>
      <c r="H13" s="55">
        <v>1</v>
      </c>
      <c r="I13" s="55">
        <v>20</v>
      </c>
      <c r="J13" s="55">
        <f t="shared" si="0"/>
        <v>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172</v>
      </c>
      <c r="E14" s="27" t="s">
        <v>188</v>
      </c>
      <c r="F14" s="55"/>
      <c r="G14" s="55"/>
      <c r="H14" s="55">
        <v>1</v>
      </c>
      <c r="I14" s="55">
        <v>80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208</v>
      </c>
      <c r="D15" s="27" t="s">
        <v>172</v>
      </c>
      <c r="E15" s="27" t="s">
        <v>188</v>
      </c>
      <c r="F15" s="55"/>
      <c r="G15" s="55"/>
      <c r="H15" s="55">
        <v>4</v>
      </c>
      <c r="I15" s="55">
        <v>80</v>
      </c>
      <c r="J15" s="55">
        <f t="shared" si="0"/>
        <v>320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209</v>
      </c>
      <c r="D16" s="27" t="s">
        <v>210</v>
      </c>
      <c r="E16" s="27" t="s">
        <v>211</v>
      </c>
      <c r="F16" s="55"/>
      <c r="G16" s="55"/>
      <c r="H16" s="55">
        <v>6</v>
      </c>
      <c r="I16" s="55">
        <v>62</v>
      </c>
      <c r="J16" s="55">
        <f t="shared" si="0"/>
        <v>372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212</v>
      </c>
      <c r="D17" s="27" t="s">
        <v>189</v>
      </c>
      <c r="E17" s="27" t="s">
        <v>213</v>
      </c>
      <c r="F17" s="55"/>
      <c r="G17" s="55"/>
      <c r="H17" s="55">
        <v>1</v>
      </c>
      <c r="I17" s="55">
        <v>30</v>
      </c>
      <c r="J17" s="55">
        <f t="shared" si="0"/>
        <v>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180</v>
      </c>
      <c r="E18" s="27" t="s">
        <v>197</v>
      </c>
      <c r="F18" s="55"/>
      <c r="G18" s="55"/>
      <c r="H18" s="55">
        <v>9</v>
      </c>
      <c r="I18" s="55">
        <v>35</v>
      </c>
      <c r="J18" s="55">
        <f t="shared" si="0"/>
        <v>315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193</v>
      </c>
      <c r="E19" s="27"/>
      <c r="F19" s="55"/>
      <c r="G19" s="55"/>
      <c r="H19" s="55">
        <v>1</v>
      </c>
      <c r="I19" s="55">
        <v>40</v>
      </c>
      <c r="J19" s="55">
        <f t="shared" si="0"/>
        <v>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4572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3" workbookViewId="0">
      <selection activeCell="E24" sqref="E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181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181</v>
      </c>
      <c r="E17" s="55">
        <v>6</v>
      </c>
      <c r="F17" s="55">
        <v>6</v>
      </c>
      <c r="G17" s="55">
        <f t="shared" ref="G17:G33" si="0">E17*F17</f>
        <v>36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181</v>
      </c>
      <c r="E18" s="55">
        <v>6</v>
      </c>
      <c r="F18" s="55">
        <v>4</v>
      </c>
      <c r="G18" s="55">
        <f t="shared" si="0"/>
        <v>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181</v>
      </c>
      <c r="E19" s="55">
        <v>5</v>
      </c>
      <c r="F19" s="55">
        <v>8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181</v>
      </c>
      <c r="E20" s="55">
        <v>5</v>
      </c>
      <c r="F20" s="55">
        <v>7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181</v>
      </c>
      <c r="E21" s="55">
        <v>5</v>
      </c>
      <c r="F21" s="55">
        <v>6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176</v>
      </c>
      <c r="D22" s="70" t="s">
        <v>181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 t="s">
        <v>181</v>
      </c>
      <c r="E23" s="55">
        <v>10</v>
      </c>
      <c r="F23" s="55">
        <v>7</v>
      </c>
      <c r="G23" s="55">
        <f t="shared" si="0"/>
        <v>70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196</v>
      </c>
      <c r="D24" s="70" t="s">
        <v>181</v>
      </c>
      <c r="E24" s="55">
        <v>2</v>
      </c>
      <c r="F24" s="55">
        <v>7</v>
      </c>
      <c r="G24" s="55">
        <f t="shared" si="0"/>
        <v>14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200</v>
      </c>
      <c r="D25" s="70" t="s">
        <v>181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190</v>
      </c>
      <c r="D26" s="70" t="s">
        <v>181</v>
      </c>
      <c r="E26" s="55">
        <v>6</v>
      </c>
      <c r="F26" s="55">
        <v>61</v>
      </c>
      <c r="G26" s="55">
        <f t="shared" si="0"/>
        <v>366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198</v>
      </c>
      <c r="D27" s="70" t="s">
        <v>181</v>
      </c>
      <c r="E27" s="55">
        <v>1</v>
      </c>
      <c r="F27" s="55">
        <v>2</v>
      </c>
      <c r="G27" s="55">
        <f t="shared" si="0"/>
        <v>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191</v>
      </c>
      <c r="D28" s="70" t="s">
        <v>181</v>
      </c>
      <c r="E28" s="55">
        <v>2</v>
      </c>
      <c r="F28" s="55">
        <v>200</v>
      </c>
      <c r="G28" s="55">
        <f t="shared" si="0"/>
        <v>400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185</v>
      </c>
      <c r="D29" s="70" t="s">
        <v>181</v>
      </c>
      <c r="E29" s="55">
        <v>1</v>
      </c>
      <c r="F29" s="55">
        <v>7</v>
      </c>
      <c r="G29" s="55">
        <f t="shared" si="0"/>
        <v>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1235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175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235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2018-06-13T03:30:50Z</dcterms:modified>
</cp:coreProperties>
</file>