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<sst xmlns="http://schemas.openxmlformats.org/spreadsheetml/2006/main" count="517" uniqueCount="214">
  <si>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</si>
  <si>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</si>
  <si>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</si>
  <si>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</si>
  <si>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</si>
  <si>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</si>
  <si>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</si>
  <si>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</si>
  <si>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</si>
  <si>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</si>
  <si>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</si>
  <si>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</si>
  <si>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</si>
  <si>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</si>
  <si>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</si>
  <si>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</si>
  <si>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</si>
  <si>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</si>
  <si>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</si>
  <si>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</si>
  <si>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</si>
  <si>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</si>
  <si>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</si>
  <si>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</si>
  <si>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</si>
  <si>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</si>
  <si>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</si>
  <si>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</si>
  <si>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</si>
  <si>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</si>
  <si>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</si>
  <si>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</si>
  <si>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</si>
  <si>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</si>
  <si>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</si>
  <si>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</si>
  <si>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</si>
  <si>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</si>
  <si>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</si>
  <si>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</si>
  <si>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</si>
  <si>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</si>
  <si>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</si>
  <si>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</si>
  <si>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</si>
  <si>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</si>
  <si>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</si>
  <si>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</si>
  <si>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</si>
  <si>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</si>
  <si>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</si>
  <si>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</si>
  <si>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</si>
  <si>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</si>
  <si>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</si>
  <si>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</si>
  <si>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</si>
  <si>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</si>
  <si>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</si>
  <si>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</si>
  <si>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</si>
  <si>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</si>
  <si>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</si>
  <si>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</si>
  <si>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</si>
  <si>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</si>
  <si>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</si>
  <si>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</si>
  <si>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</si>
  <si>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</si>
  <si>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</si>
  <si>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</si>
  <si>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</si>
  <si>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</si>
  <si>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</si>
  <si>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</si>
  <si>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</si>
  <si>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</si>
  <si>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</si>
  <si>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</si>
  <si>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</si>
  <si>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</si>
  <si>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</si>
  <si>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</si>
  <si>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</si>
  <si>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</si>
  <si>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</si>
  <si>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</si>
  <si>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</si>
  <si>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</si>
  <si>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</si>
  <si>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</si>
  <si>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</si>
  <si>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</si>
  <si>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</si>
  <si>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</si>
  <si>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</si>
  <si>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</si>
  <si>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</si>
  <si>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</si>
  <si>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</si>
  <si>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</si>
  <si>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</si>
  <si>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</si>
  <si>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</si>
  <si>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</si>
  <si>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</si>
  <si>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</si>
  <si>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</si>
  <si>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</si>
  <si>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</si>
  <si>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</si>
  <si>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</si>
  <si>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</si>
  <si>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</si>
  <si>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</si>
  <si>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</si>
  <si>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</si>
  <si>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</si>
  <si>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</si>
  <si>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</si>
  <si>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</si>
  <si>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</si>
  <si>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</si>
  <si>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</si>
  <si>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</si>
  <si>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</si>
  <si>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</si>
  <si>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</si>
  <si>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</si>
  <si>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</si>
  <si>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</si>
  <si>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</si>
  <si>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</si>
  <si>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</si>
  <si>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</si>
  <si>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</si>
  <si>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</si>
  <si>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</si>
  <si>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</si>
  <si>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</si>
  <si>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</si>
  <si>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</si>
  <si>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</si>
  <si>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</si>
  <si>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</si>
  <si>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</si>
  <si>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</si>
  <si>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</si>
  <si>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</si>
  <si>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</si>
  <si>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</si>
  <si>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</si>
  <si>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</si>
  <si>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</si>
  <si>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</si>
  <si>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</si>
  <si>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</si>
  <si>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</si>
  <si>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</si>
  <si>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</si>
  <si>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</si>
  <si>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</si>
  <si>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</si>
  <si>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</si>
  <si>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</si>
  <si>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</si>
  <si>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</si>
  <si>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MEDICAL TECHNOLOGIST</t>
  </si>
  <si>
    <t>RADIOLOGIC TECHNOLOGIST</t>
  </si>
  <si>
    <t>LABORATORY</t>
  </si>
  <si>
    <t>BOTTLE/IV</t>
  </si>
  <si>
    <t>1CC SYRINGE</t>
  </si>
  <si>
    <t>Procedure</t>
  </si>
  <si>
    <t>ADHESIVE PLASTER</t>
  </si>
  <si>
    <t>Consultation in the ER</t>
  </si>
  <si>
    <t>ACUTE GASTROENTERITIS</t>
  </si>
  <si>
    <t>A09.9</t>
  </si>
  <si>
    <t>PC</t>
  </si>
  <si>
    <t>SOLUSET</t>
  </si>
  <si>
    <t>10 ML</t>
  </si>
  <si>
    <t>URINALYSIS</t>
  </si>
  <si>
    <t>VIAL/IV</t>
  </si>
  <si>
    <t>SPECIMEN CUP</t>
  </si>
  <si>
    <t>OMEPRAZOLE</t>
  </si>
  <si>
    <t>40 MG</t>
  </si>
  <si>
    <t>500 MG</t>
  </si>
  <si>
    <t>TABLET/ORAL</t>
  </si>
  <si>
    <t>1000 ML</t>
  </si>
  <si>
    <t>5 MG</t>
  </si>
  <si>
    <t>IV CATHETER G 22</t>
  </si>
  <si>
    <t>IV SET ADULT</t>
  </si>
  <si>
    <t>IV SPLINT ADULT</t>
  </si>
  <si>
    <t>HEPLOCK</t>
  </si>
  <si>
    <t>RANDOM BLOOD SUGAR</t>
  </si>
  <si>
    <t>SGPT/ALT</t>
  </si>
  <si>
    <t>ELECTROLYTES</t>
  </si>
  <si>
    <t>BLOOD URIC ACID</t>
  </si>
  <si>
    <t>LIPID PROFILE</t>
  </si>
  <si>
    <t>CREATININE</t>
  </si>
  <si>
    <t>BLOOD UREA NITROGEN</t>
  </si>
  <si>
    <t>ECG</t>
  </si>
  <si>
    <t>CIPROFLOXACIN</t>
  </si>
  <si>
    <t>2 MG/100 ML</t>
  </si>
  <si>
    <t>INSULIN 70/30</t>
  </si>
  <si>
    <t>VIAL/SC</t>
  </si>
  <si>
    <t>FEBUXOSTAT (ATENURIX)</t>
  </si>
  <si>
    <t>FENOBIRATE</t>
  </si>
  <si>
    <t>160 MG</t>
  </si>
  <si>
    <t>0.9 NACL</t>
  </si>
  <si>
    <t>ATORVASTATIN</t>
  </si>
  <si>
    <t>BISACODYL</t>
  </si>
  <si>
    <t>INSULIN SYRINGE</t>
  </si>
  <si>
    <t>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</si>
</sst>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9" zoomScaleNormal="100" workbookViewId="0">
      <selection activeCell="E71" sqref="E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200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201</v>
      </c>
      <c r="D43" s="23"/>
      <c r="E43" s="55">
        <v>120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162</v>
      </c>
      <c r="D64" s="55"/>
      <c r="E64" s="55">
        <v>800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163</v>
      </c>
      <c r="D65" s="55"/>
      <c r="E65" s="55">
        <v>20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164</v>
      </c>
      <c r="D66" s="55">
        <v>4067.2</v>
      </c>
      <c r="E66" s="55">
        <v>1016.8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165</v>
      </c>
      <c r="D67" s="55">
        <v>109.6</v>
      </c>
      <c r="E67" s="55">
        <v>632.4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170</v>
      </c>
      <c r="D68" s="55">
        <v>23.2</v>
      </c>
      <c r="E68" s="55">
        <v>2596.8000000000002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166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 t="s">
        <v>201</v>
      </c>
      <c r="D70" s="55"/>
      <c r="E70" s="55">
        <v>120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6000</v>
      </c>
      <c r="E75" s="59">
        <f>SUM(E64:E74)</f>
        <v>5186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oS1X5L6tOr0STCGKZM9MDcXAyQnHMyb9oGX0nzC56TqtBHLLg5FcIk/mNsGNnMW06G5orv0DBaLurDh35C5NBQ==" saltValue="zarnHz9WFiS5p8QmlM0V7Q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202</v>
      </c>
      <c r="D11" s="27" t="s">
        <v>182</v>
      </c>
      <c r="E11" s="27" t="s">
        <v>203</v>
      </c>
      <c r="F11" s="55"/>
      <c r="G11" s="55"/>
      <c r="H11" s="55">
        <v>10</v>
      </c>
      <c r="I11" s="55">
        <v>260</v>
      </c>
      <c r="J11" s="55">
        <f>H11*I11</f>
        <v>2600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204</v>
      </c>
      <c r="D12" s="27" t="s">
        <v>205</v>
      </c>
      <c r="E12" s="27" t="s">
        <v>180</v>
      </c>
      <c r="F12" s="55"/>
      <c r="G12" s="55"/>
      <c r="H12" s="55">
        <v>1</v>
      </c>
      <c r="I12" s="55">
        <v>720</v>
      </c>
      <c r="J12" s="55">
        <f t="shared" ref="J12:J25" si="0">H12*I12</f>
        <v>720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206</v>
      </c>
      <c r="D13" s="27" t="s">
        <v>187</v>
      </c>
      <c r="E13" s="27" t="s">
        <v>180</v>
      </c>
      <c r="F13" s="55"/>
      <c r="G13" s="55"/>
      <c r="H13" s="55">
        <v>10</v>
      </c>
      <c r="I13" s="55">
        <v>75</v>
      </c>
      <c r="J13" s="55">
        <f t="shared" si="0"/>
        <v>750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187</v>
      </c>
      <c r="E14" s="27" t="s">
        <v>185</v>
      </c>
      <c r="F14" s="55"/>
      <c r="G14" s="55"/>
      <c r="H14" s="55">
        <v>7</v>
      </c>
      <c r="I14" s="55">
        <v>17</v>
      </c>
      <c r="J14" s="55">
        <f t="shared" si="0"/>
        <v>119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207</v>
      </c>
      <c r="D15" s="27" t="s">
        <v>187</v>
      </c>
      <c r="E15" s="27" t="s">
        <v>208</v>
      </c>
      <c r="F15" s="55"/>
      <c r="G15" s="55"/>
      <c r="H15" s="55">
        <v>10</v>
      </c>
      <c r="I15" s="55">
        <v>47</v>
      </c>
      <c r="J15" s="55">
        <f t="shared" si="0"/>
        <v>470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209</v>
      </c>
      <c r="D16" s="27" t="s">
        <v>171</v>
      </c>
      <c r="E16" s="27" t="s">
        <v>188</v>
      </c>
      <c r="F16" s="55"/>
      <c r="G16" s="55"/>
      <c r="H16" s="55">
        <v>3</v>
      </c>
      <c r="I16" s="55">
        <v>80</v>
      </c>
      <c r="J16" s="55">
        <f t="shared" si="0"/>
        <v>240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210</v>
      </c>
      <c r="D17" s="27" t="s">
        <v>187</v>
      </c>
      <c r="E17" s="27" t="s">
        <v>185</v>
      </c>
      <c r="F17" s="55"/>
      <c r="G17" s="55"/>
      <c r="H17" s="55">
        <v>10</v>
      </c>
      <c r="I17" s="55">
        <v>7</v>
      </c>
      <c r="J17" s="55">
        <f t="shared" si="0"/>
        <v>70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211</v>
      </c>
      <c r="D18" s="27" t="s">
        <v>187</v>
      </c>
      <c r="E18" s="27" t="s">
        <v>189</v>
      </c>
      <c r="F18" s="55"/>
      <c r="G18" s="55"/>
      <c r="H18" s="55">
        <v>1</v>
      </c>
      <c r="I18" s="55">
        <v>3</v>
      </c>
      <c r="J18" s="55">
        <f t="shared" si="0"/>
        <v>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202</v>
      </c>
      <c r="D19" s="27" t="s">
        <v>187</v>
      </c>
      <c r="E19" s="27" t="s">
        <v>186</v>
      </c>
      <c r="F19" s="55"/>
      <c r="G19" s="55"/>
      <c r="H19" s="55">
        <v>14</v>
      </c>
      <c r="I19" s="55">
        <v>8</v>
      </c>
      <c r="J19" s="55">
        <f t="shared" si="0"/>
        <v>112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5084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E25" sqref="E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178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172</v>
      </c>
      <c r="D17" s="70" t="s">
        <v>178</v>
      </c>
      <c r="E17" s="55">
        <v>1</v>
      </c>
      <c r="F17" s="55">
        <v>7</v>
      </c>
      <c r="G17" s="55">
        <f t="shared" ref="G17:G33" si="0">E17*F17</f>
        <v>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178</v>
      </c>
      <c r="E18" s="55">
        <v>1</v>
      </c>
      <c r="F18" s="55">
        <v>15</v>
      </c>
      <c r="G18" s="55">
        <f t="shared" si="0"/>
        <v>15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174</v>
      </c>
      <c r="D19" s="70" t="s">
        <v>178</v>
      </c>
      <c r="E19" s="55">
        <v>1</v>
      </c>
      <c r="F19" s="55">
        <v>65</v>
      </c>
      <c r="G19" s="55">
        <f t="shared" si="0"/>
        <v>65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178</v>
      </c>
      <c r="E20" s="55">
        <v>1</v>
      </c>
      <c r="F20" s="55">
        <v>22</v>
      </c>
      <c r="G20" s="55">
        <f t="shared" si="0"/>
        <v>22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212</v>
      </c>
      <c r="D21" s="70" t="s">
        <v>178</v>
      </c>
      <c r="E21" s="55">
        <v>5</v>
      </c>
      <c r="F21" s="55">
        <v>17</v>
      </c>
      <c r="G21" s="55">
        <f t="shared" si="0"/>
        <v>85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213</v>
      </c>
      <c r="D22" s="70" t="s">
        <v>178</v>
      </c>
      <c r="E22" s="55">
        <v>20</v>
      </c>
      <c r="F22" s="55">
        <v>3</v>
      </c>
      <c r="G22" s="55">
        <f t="shared" si="0"/>
        <v>60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190</v>
      </c>
      <c r="D23" s="70" t="s">
        <v>178</v>
      </c>
      <c r="E23" s="55">
        <v>1</v>
      </c>
      <c r="F23" s="55">
        <v>61</v>
      </c>
      <c r="G23" s="55">
        <f t="shared" si="0"/>
        <v>61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191</v>
      </c>
      <c r="D24" s="70" t="s">
        <v>178</v>
      </c>
      <c r="E24" s="55">
        <v>1</v>
      </c>
      <c r="F24" s="55">
        <v>32</v>
      </c>
      <c r="G24" s="55">
        <f t="shared" si="0"/>
        <v>32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192</v>
      </c>
      <c r="D25" s="70" t="s">
        <v>178</v>
      </c>
      <c r="E25" s="55">
        <v>1</v>
      </c>
      <c r="F25" s="55">
        <v>110</v>
      </c>
      <c r="G25" s="55">
        <f t="shared" si="0"/>
        <v>110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179</v>
      </c>
      <c r="D26" s="70" t="s">
        <v>178</v>
      </c>
      <c r="E26" s="55">
        <v>1</v>
      </c>
      <c r="F26" s="55">
        <v>200</v>
      </c>
      <c r="G26" s="55">
        <f t="shared" si="0"/>
        <v>200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742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N15" sqref="N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168</v>
      </c>
      <c r="N12" s="90" t="s">
        <v>169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173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40</v>
      </c>
      <c r="N14" s="55">
        <v>15</v>
      </c>
      <c r="P14" s="88">
        <f t="shared" ref="P14:P22" si="0">SUM(D14:N14)</f>
        <v>85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175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110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15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2018-06-13T02:57:31Z</dcterms:modified>
</cp:coreProperties>
</file>