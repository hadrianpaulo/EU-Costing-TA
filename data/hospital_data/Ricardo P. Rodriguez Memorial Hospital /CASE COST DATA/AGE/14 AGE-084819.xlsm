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6" i="2" l="1"/>
  <c r="G34" i="9" l="1"/>
  <c r="G33" i="9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7" i="9" l="1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<sst xmlns="http://schemas.openxmlformats.org/spreadsheetml/2006/main" count="546" uniqueCount="234">
  <si>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</si>
  <si>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</si>
  <si>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</si>
  <si>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</si>
  <si>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</si>
  <si>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</si>
  <si>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</si>
  <si>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</si>
  <si>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</si>
  <si>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</si>
  <si>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</si>
  <si>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</si>
  <si>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</si>
  <si>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</si>
  <si>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</si>
  <si>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</si>
  <si>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</si>
  <si>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</si>
  <si>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</si>
  <si>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</si>
  <si>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</si>
  <si>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</si>
  <si>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</si>
  <si>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</si>
  <si>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</si>
  <si>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</si>
  <si>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</si>
  <si>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</si>
  <si>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</si>
  <si>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</si>
  <si>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</si>
  <si>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</si>
  <si>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</si>
  <si>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</si>
  <si>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</si>
  <si>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</si>
  <si>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</si>
  <si>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</si>
  <si>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</si>
  <si>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</si>
  <si>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</si>
  <si>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</si>
  <si>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</si>
  <si>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</si>
  <si>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</si>
  <si>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</si>
  <si>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</si>
  <si>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</si>
  <si>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</si>
  <si>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</si>
  <si>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</si>
  <si>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</si>
  <si>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</si>
  <si>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</si>
  <si>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</si>
  <si>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</si>
  <si>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</si>
  <si>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</si>
  <si>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</si>
  <si>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</si>
  <si>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</si>
  <si>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</si>
  <si>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</si>
  <si>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</si>
  <si>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</si>
  <si>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</si>
  <si>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</si>
  <si>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</si>
  <si>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</si>
  <si>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</si>
  <si>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</si>
  <si>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</si>
  <si>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</si>
  <si>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</si>
  <si>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</si>
  <si>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</si>
  <si>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</si>
  <si>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</si>
  <si>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</si>
  <si>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</si>
  <si>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</si>
  <si>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</si>
  <si>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</si>
  <si>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</si>
  <si>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</si>
  <si>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</si>
  <si>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</si>
  <si>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</si>
  <si>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</si>
  <si>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</si>
  <si>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</si>
  <si>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</si>
  <si>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</si>
  <si>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</si>
  <si>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</si>
  <si>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</si>
  <si>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</si>
  <si>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</si>
  <si>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</si>
  <si>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</si>
  <si>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</si>
  <si>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</si>
  <si>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</si>
  <si>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</si>
  <si>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</si>
  <si>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</si>
  <si>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</si>
  <si>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</si>
  <si>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</si>
  <si>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</si>
  <si>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</si>
  <si>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</si>
  <si>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</si>
  <si>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</si>
  <si>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</si>
  <si>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</si>
  <si>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</si>
  <si>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</si>
  <si>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</si>
  <si>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</si>
  <si>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</si>
  <si>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</si>
  <si>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</si>
  <si>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</si>
  <si>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</si>
  <si>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</si>
  <si>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</si>
  <si>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</si>
  <si>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</si>
  <si>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</si>
  <si>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</si>
  <si>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</si>
  <si>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</si>
  <si>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</si>
  <si>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</si>
  <si>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</si>
  <si>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</si>
  <si>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</si>
  <si>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</si>
  <si>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</si>
  <si>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</si>
  <si>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</si>
  <si>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</si>
  <si>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</si>
  <si>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</si>
  <si>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</si>
  <si>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</si>
  <si>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</si>
  <si>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</si>
  <si>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</si>
  <si>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</si>
  <si>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</si>
  <si>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</si>
  <si>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</si>
  <si>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</si>
  <si>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</si>
  <si>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</si>
  <si>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</si>
  <si>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</si>
  <si>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</si>
  <si>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</si>
  <si>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</si>
  <si>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</si>
  <si>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</si>
  <si>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</si>
  <si>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</si>
  <si>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</si>
  <si>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</si>
  <si>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</si>
  <si>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</si>
  <si>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</si>
  <si>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</si>
  <si>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</si>
  <si>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URINALYSIS</t>
  </si>
  <si>
    <t>LABORATORY</t>
  </si>
  <si>
    <t>BOTTLE/IV</t>
  </si>
  <si>
    <t>VIAL/IV</t>
  </si>
  <si>
    <t>STERILE WATER FOR INJECTION</t>
  </si>
  <si>
    <t>ID BRACELET</t>
  </si>
  <si>
    <t>10CC SYRINGE</t>
  </si>
  <si>
    <t>5CC SYRINGE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</si>
  <si>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</si>
  <si>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</si>
  <si>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</si>
  <si>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</si>
  <si>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</si>
  <si>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</si>
  <si>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</si>
  <si>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X-RAY</t>
  </si>
  <si>
    <t>D5 0.3 NACL</t>
  </si>
  <si>
    <t>METRONIDAZOLE</t>
  </si>
  <si>
    <t>DIPHENHYDRAMINE HCL</t>
  </si>
  <si>
    <t>AMPULE/IV</t>
  </si>
  <si>
    <t>PC</t>
  </si>
  <si>
    <t>IV SET PEDIA</t>
  </si>
  <si>
    <t>NEBULIZING KIT</t>
  </si>
  <si>
    <t>SOLUSET</t>
  </si>
  <si>
    <t>CEFUROXIME (ZIOMET)</t>
  </si>
  <si>
    <t>PARACETAMOL</t>
  </si>
  <si>
    <t>BOTTLE/ORAL</t>
  </si>
  <si>
    <t>SYRUP/ORAL</t>
  </si>
  <si>
    <t>BACILLUS CLAUSIL (ERCEFLORA)</t>
  </si>
  <si>
    <t>REPSULE/ORAL</t>
  </si>
  <si>
    <t>IV CATHETER G 24</t>
  </si>
  <si>
    <t>CHEST AP/LATERAL 10X12</t>
  </si>
  <si>
    <t>OXYGEN FEE</t>
  </si>
  <si>
    <t xml:space="preserve">CEFOXITIN </t>
  </si>
  <si>
    <t>1 G</t>
  </si>
  <si>
    <t>750 MG</t>
  </si>
  <si>
    <t>CEFUROXIME</t>
  </si>
  <si>
    <t>50 MG/ML</t>
  </si>
  <si>
    <t>250 MG/5 ML</t>
  </si>
  <si>
    <t>500 ML</t>
  </si>
  <si>
    <t>SALBUTAMOL</t>
  </si>
  <si>
    <t>NEBULE/INH</t>
  </si>
  <si>
    <t>1 MG/ML</t>
  </si>
  <si>
    <t>125 MG/ML</t>
  </si>
  <si>
    <t>500 MG/ML</t>
  </si>
  <si>
    <t xml:space="preserve">GENTAMICIN </t>
  </si>
  <si>
    <t>40 MG/ML</t>
  </si>
  <si>
    <t>SALBUTAMOL + IPATROPIUM</t>
  </si>
  <si>
    <t>2.50 MG/500 MCG/2.5 ML</t>
  </si>
  <si>
    <t>POLYAMPULE/IV</t>
  </si>
  <si>
    <t>10 ML</t>
  </si>
  <si>
    <t>150 MG/ML</t>
  </si>
  <si>
    <t>ZINC  SULFATE</t>
  </si>
  <si>
    <t>55 MG/5 ML</t>
  </si>
  <si>
    <t>SPECIMEN CUP</t>
  </si>
  <si>
    <t>IV CATHETER G 22</t>
  </si>
  <si>
    <t>IV SPLINT ADULT</t>
  </si>
  <si>
    <t>NASAL CANNULA ADULT</t>
  </si>
  <si>
    <t>IV SET ADULT</t>
  </si>
  <si>
    <t>OXYGEN</t>
  </si>
  <si>
    <t>TANK/INH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</si>
</sst>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55" zoomScaleNormal="100" workbookViewId="0">
      <selection activeCell="C68" sqref="C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204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/>
      <c r="E60" s="55">
        <v>2400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/>
      <c r="E61" s="55">
        <v>60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4198</v>
      </c>
      <c r="E62" s="55">
        <v>7412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/>
      <c r="E63" s="55">
        <v>1157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174</v>
      </c>
      <c r="D64" s="55">
        <v>2</v>
      </c>
      <c r="E64" s="55">
        <v>598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188</v>
      </c>
      <c r="D66" s="55"/>
      <c r="E66" s="55">
        <v>250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205</v>
      </c>
      <c r="D67" s="55"/>
      <c r="E67" s="55">
        <v>60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11937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27" sqref="I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206</v>
      </c>
      <c r="D11" s="27" t="s">
        <v>176</v>
      </c>
      <c r="E11" s="27" t="s">
        <v>207</v>
      </c>
      <c r="F11" s="55"/>
      <c r="G11" s="55"/>
      <c r="H11" s="55">
        <v>9</v>
      </c>
      <c r="I11" s="55">
        <v>825</v>
      </c>
      <c r="J11" s="55">
        <f>H11*I11</f>
        <v>7425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176</v>
      </c>
      <c r="E12" s="27" t="s">
        <v>208</v>
      </c>
      <c r="F12" s="55"/>
      <c r="G12" s="55"/>
      <c r="H12" s="55">
        <v>1</v>
      </c>
      <c r="I12" s="55">
        <v>495</v>
      </c>
      <c r="J12" s="55">
        <f t="shared" ref="J12:J26" si="0">H12*I12</f>
        <v>495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209</v>
      </c>
      <c r="D13" s="27" t="s">
        <v>176</v>
      </c>
      <c r="E13" s="27" t="s">
        <v>208</v>
      </c>
      <c r="F13" s="55"/>
      <c r="G13" s="55"/>
      <c r="H13" s="55">
        <v>4</v>
      </c>
      <c r="I13" s="55">
        <v>55</v>
      </c>
      <c r="J13" s="55">
        <f t="shared" si="0"/>
        <v>220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192</v>
      </c>
      <c r="E14" s="27" t="s">
        <v>210</v>
      </c>
      <c r="F14" s="55"/>
      <c r="G14" s="55"/>
      <c r="H14" s="55">
        <v>1</v>
      </c>
      <c r="I14" s="55">
        <v>145</v>
      </c>
      <c r="J14" s="55">
        <f t="shared" si="0"/>
        <v>145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209</v>
      </c>
      <c r="D15" s="27" t="s">
        <v>199</v>
      </c>
      <c r="E15" s="27" t="s">
        <v>211</v>
      </c>
      <c r="F15" s="55"/>
      <c r="G15" s="55"/>
      <c r="H15" s="55">
        <v>2</v>
      </c>
      <c r="I15" s="55">
        <v>440</v>
      </c>
      <c r="J15" s="55">
        <f t="shared" si="0"/>
        <v>880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175</v>
      </c>
      <c r="E16" s="27" t="s">
        <v>212</v>
      </c>
      <c r="F16" s="55"/>
      <c r="G16" s="55"/>
      <c r="H16" s="55">
        <v>9</v>
      </c>
      <c r="I16" s="55">
        <v>80</v>
      </c>
      <c r="J16" s="55">
        <f t="shared" si="0"/>
        <v>720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213</v>
      </c>
      <c r="D17" s="27" t="s">
        <v>214</v>
      </c>
      <c r="E17" s="27" t="s">
        <v>215</v>
      </c>
      <c r="F17" s="55"/>
      <c r="G17" s="55"/>
      <c r="H17" s="55">
        <v>24</v>
      </c>
      <c r="I17" s="55">
        <v>15</v>
      </c>
      <c r="J17" s="55">
        <f t="shared" si="0"/>
        <v>360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190</v>
      </c>
      <c r="D18" s="27" t="s">
        <v>200</v>
      </c>
      <c r="E18" s="27" t="s">
        <v>216</v>
      </c>
      <c r="F18" s="55"/>
      <c r="G18" s="55"/>
      <c r="H18" s="55">
        <v>2</v>
      </c>
      <c r="I18" s="55">
        <v>35</v>
      </c>
      <c r="J18" s="55">
        <f t="shared" si="0"/>
        <v>70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190</v>
      </c>
      <c r="D19" s="27" t="s">
        <v>175</v>
      </c>
      <c r="E19" s="27" t="s">
        <v>217</v>
      </c>
      <c r="F19" s="55"/>
      <c r="G19" s="55"/>
      <c r="H19" s="55">
        <v>5</v>
      </c>
      <c r="I19" s="55">
        <v>45</v>
      </c>
      <c r="J19" s="55">
        <f t="shared" si="0"/>
        <v>225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202</v>
      </c>
      <c r="E20" s="27" t="s">
        <v>216</v>
      </c>
      <c r="F20" s="55"/>
      <c r="G20" s="55"/>
      <c r="H20" s="55">
        <v>6</v>
      </c>
      <c r="I20" s="55">
        <v>62</v>
      </c>
      <c r="J20" s="55">
        <f t="shared" si="0"/>
        <v>372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218</v>
      </c>
      <c r="D21" s="27" t="s">
        <v>192</v>
      </c>
      <c r="E21" s="27" t="s">
        <v>219</v>
      </c>
      <c r="F21" s="55"/>
      <c r="G21" s="55"/>
      <c r="H21" s="55">
        <v>1</v>
      </c>
      <c r="I21" s="55">
        <v>25</v>
      </c>
      <c r="J21" s="55">
        <f t="shared" si="0"/>
        <v>25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220</v>
      </c>
      <c r="D22" s="27" t="s">
        <v>214</v>
      </c>
      <c r="E22" s="27" t="s">
        <v>221</v>
      </c>
      <c r="F22" s="55"/>
      <c r="G22" s="55"/>
      <c r="H22" s="55">
        <v>5</v>
      </c>
      <c r="I22" s="55">
        <v>35</v>
      </c>
      <c r="J22" s="55">
        <f t="shared" si="0"/>
        <v>175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177</v>
      </c>
      <c r="D23" s="27" t="s">
        <v>222</v>
      </c>
      <c r="E23" s="27" t="s">
        <v>223</v>
      </c>
      <c r="F23" s="55"/>
      <c r="G23" s="55"/>
      <c r="H23" s="55">
        <v>2</v>
      </c>
      <c r="I23" s="55">
        <v>40</v>
      </c>
      <c r="J23" s="55">
        <f t="shared" si="0"/>
        <v>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198</v>
      </c>
      <c r="D24" s="27" t="s">
        <v>192</v>
      </c>
      <c r="E24" s="27" t="s">
        <v>224</v>
      </c>
      <c r="F24" s="55"/>
      <c r="G24" s="55"/>
      <c r="H24" s="55">
        <v>8</v>
      </c>
      <c r="I24" s="55">
        <v>35</v>
      </c>
      <c r="J24" s="55">
        <f t="shared" si="0"/>
        <v>280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225</v>
      </c>
      <c r="D25" s="27" t="s">
        <v>199</v>
      </c>
      <c r="E25" s="27" t="s">
        <v>226</v>
      </c>
      <c r="F25" s="55"/>
      <c r="G25" s="55"/>
      <c r="H25" s="55">
        <v>1</v>
      </c>
      <c r="I25" s="55">
        <v>138</v>
      </c>
      <c r="J25" s="55">
        <f t="shared" si="0"/>
        <v>138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232</v>
      </c>
      <c r="D26" s="27" t="s">
        <v>233</v>
      </c>
      <c r="E26" s="27"/>
      <c r="F26" s="55"/>
      <c r="G26" s="55"/>
      <c r="H26" s="55">
        <v>1</v>
      </c>
      <c r="I26" s="55">
        <v>60</v>
      </c>
      <c r="J26" s="55">
        <f t="shared" si="0"/>
        <v>60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B35" sqref="B35:G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193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193</v>
      </c>
      <c r="E17" s="55">
        <v>12</v>
      </c>
      <c r="F17" s="55">
        <v>6</v>
      </c>
      <c r="G17" s="55">
        <f t="shared" ref="G17:G33" si="0">E17*F17</f>
        <v>72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193</v>
      </c>
      <c r="E18" s="55">
        <v>14</v>
      </c>
      <c r="F18" s="55">
        <v>4</v>
      </c>
      <c r="G18" s="55">
        <f t="shared" si="0"/>
        <v>56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193</v>
      </c>
      <c r="E19" s="55">
        <v>6</v>
      </c>
      <c r="F19" s="55">
        <v>8</v>
      </c>
      <c r="G19" s="55">
        <f t="shared" si="0"/>
        <v>48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193</v>
      </c>
      <c r="E20" s="55">
        <v>7</v>
      </c>
      <c r="F20" s="55">
        <v>7</v>
      </c>
      <c r="G20" s="55">
        <f t="shared" si="0"/>
        <v>49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193</v>
      </c>
      <c r="E21" s="55">
        <v>14</v>
      </c>
      <c r="F21" s="55">
        <v>6</v>
      </c>
      <c r="G21" s="55">
        <f t="shared" si="0"/>
        <v>84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180</v>
      </c>
      <c r="D22" s="70" t="s">
        <v>193</v>
      </c>
      <c r="E22" s="55">
        <v>7</v>
      </c>
      <c r="F22" s="55">
        <v>7</v>
      </c>
      <c r="G22" s="55">
        <f t="shared" si="0"/>
        <v>49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227</v>
      </c>
      <c r="D23" s="70" t="s">
        <v>193</v>
      </c>
      <c r="E23" s="55">
        <v>2</v>
      </c>
      <c r="F23" s="55">
        <v>15</v>
      </c>
      <c r="G23" s="55">
        <f t="shared" si="0"/>
        <v>30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184</v>
      </c>
      <c r="D24" s="70" t="s">
        <v>193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203</v>
      </c>
      <c r="D25" s="70" t="s">
        <v>193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228</v>
      </c>
      <c r="D26" s="70" t="s">
        <v>193</v>
      </c>
      <c r="E26" s="55">
        <v>1</v>
      </c>
      <c r="F26" s="55">
        <v>61</v>
      </c>
      <c r="G26" s="55">
        <f t="shared" si="0"/>
        <v>61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194</v>
      </c>
      <c r="D27" s="70" t="s">
        <v>193</v>
      </c>
      <c r="E27" s="55">
        <v>1</v>
      </c>
      <c r="F27" s="55">
        <v>35</v>
      </c>
      <c r="G27" s="55">
        <f t="shared" si="0"/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178</v>
      </c>
      <c r="D28" s="70" t="s">
        <v>193</v>
      </c>
      <c r="E28" s="55">
        <v>1</v>
      </c>
      <c r="F28" s="55">
        <v>7</v>
      </c>
      <c r="G28" s="55">
        <f t="shared" si="0"/>
        <v>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229</v>
      </c>
      <c r="D29" s="70" t="s">
        <v>193</v>
      </c>
      <c r="E29" s="55">
        <v>1</v>
      </c>
      <c r="F29" s="55">
        <v>110</v>
      </c>
      <c r="G29" s="55">
        <f t="shared" si="0"/>
        <v>110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196</v>
      </c>
      <c r="D30" s="70" t="s">
        <v>193</v>
      </c>
      <c r="E30" s="55">
        <v>1</v>
      </c>
      <c r="F30" s="55">
        <v>200</v>
      </c>
      <c r="G30" s="55">
        <f t="shared" si="0"/>
        <v>200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195</v>
      </c>
      <c r="D31" s="70" t="s">
        <v>193</v>
      </c>
      <c r="E31" s="55">
        <v>1</v>
      </c>
      <c r="F31" s="55">
        <v>70</v>
      </c>
      <c r="G31" s="55">
        <f t="shared" si="0"/>
        <v>70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230</v>
      </c>
      <c r="D32" s="70" t="s">
        <v>193</v>
      </c>
      <c r="E32" s="55">
        <v>1</v>
      </c>
      <c r="F32" s="55">
        <v>43</v>
      </c>
      <c r="G32" s="55">
        <f t="shared" si="0"/>
        <v>43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231</v>
      </c>
      <c r="D33" s="70" t="s">
        <v>193</v>
      </c>
      <c r="E33" s="55">
        <v>1</v>
      </c>
      <c r="F33" s="55">
        <v>32</v>
      </c>
      <c r="G33" s="55">
        <f t="shared" si="0"/>
        <v>32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1157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0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80</v>
      </c>
      <c r="F13" s="55"/>
      <c r="G13" s="55">
        <v>130</v>
      </c>
      <c r="H13" s="55"/>
      <c r="I13" s="55"/>
      <c r="J13" s="55"/>
      <c r="K13" s="55"/>
      <c r="L13" s="55"/>
      <c r="M13" s="55"/>
      <c r="N13" s="55"/>
      <c r="P13" s="88">
        <f>SUM(D13:N13)</f>
        <v>210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40</v>
      </c>
      <c r="N14" s="55">
        <v>20</v>
      </c>
      <c r="P14" s="88">
        <f t="shared" ref="P14:P22" si="0">SUM(D14:N14)</f>
        <v>110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185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95</v>
      </c>
      <c r="F30" s="88">
        <f t="shared" si="1"/>
        <v>0</v>
      </c>
      <c r="G30" s="88">
        <f t="shared" si="1"/>
        <v>210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20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2018-06-12T08:33:36Z</dcterms:modified>
</cp:coreProperties>
</file>