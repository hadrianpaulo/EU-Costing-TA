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<sst xmlns="http://schemas.openxmlformats.org/spreadsheetml/2006/main" count="498" uniqueCount="205">
  <si>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</si>
  <si>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</si>
  <si>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</si>
  <si>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</si>
  <si>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</si>
  <si>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</si>
  <si>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</si>
  <si>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</si>
  <si>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</si>
  <si>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</si>
  <si>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</si>
  <si>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</si>
  <si>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</si>
  <si>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</si>
  <si>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</si>
  <si>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</si>
  <si>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</si>
  <si>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</si>
  <si>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</si>
  <si>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</si>
  <si>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</si>
  <si>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</si>
  <si>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</si>
  <si>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</si>
  <si>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</si>
  <si>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</si>
  <si>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</si>
  <si>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</si>
  <si>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</si>
  <si>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</si>
  <si>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</si>
  <si>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</si>
  <si>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</si>
  <si>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</si>
  <si>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</si>
  <si>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</si>
  <si>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</si>
  <si>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</si>
  <si>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</si>
  <si>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</si>
  <si>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</si>
  <si>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</si>
  <si>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</si>
  <si>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</si>
  <si>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</si>
  <si>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</si>
  <si>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</si>
  <si>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</si>
  <si>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</si>
  <si>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</si>
  <si>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</si>
  <si>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</si>
  <si>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</si>
  <si>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</si>
  <si>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</si>
  <si>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</si>
  <si>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</si>
  <si>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</si>
  <si>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</si>
  <si>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</si>
  <si>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</si>
  <si>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</si>
  <si>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</si>
  <si>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</si>
  <si>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</si>
  <si>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</si>
  <si>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</si>
  <si>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</si>
  <si>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</si>
  <si>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</si>
  <si>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</si>
  <si>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</si>
  <si>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</si>
  <si>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</si>
  <si>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</si>
  <si>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</si>
  <si>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</si>
  <si>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</si>
  <si>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</si>
  <si>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</si>
  <si>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</si>
  <si>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</si>
  <si>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</si>
  <si>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</si>
  <si>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</si>
  <si>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</si>
  <si>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</si>
  <si>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</si>
  <si>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</si>
  <si>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</si>
  <si>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</si>
  <si>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</si>
  <si>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</si>
  <si>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</si>
  <si>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</si>
  <si>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</si>
  <si>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</si>
  <si>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</si>
  <si>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</si>
  <si>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</si>
  <si>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</si>
  <si>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</si>
  <si>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</si>
  <si>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</si>
  <si>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</si>
  <si>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</si>
  <si>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</si>
  <si>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</si>
  <si>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</si>
  <si>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</si>
  <si>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</si>
  <si>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</si>
  <si>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</si>
  <si>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</si>
  <si>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</si>
  <si>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</si>
  <si>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</si>
  <si>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</si>
  <si>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</si>
  <si>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</si>
  <si>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</si>
  <si>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</si>
  <si>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</si>
  <si>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</si>
  <si>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</si>
  <si>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</si>
  <si>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</si>
  <si>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</si>
  <si>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</si>
  <si>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</si>
  <si>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</si>
  <si>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</si>
  <si>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</si>
  <si>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</si>
  <si>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</si>
  <si>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</si>
  <si>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</si>
  <si>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</si>
  <si>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</si>
  <si>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</si>
  <si>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</si>
  <si>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</si>
  <si>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</si>
  <si>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</si>
  <si>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</si>
  <si>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</si>
  <si>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</si>
  <si>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</si>
  <si>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</si>
  <si>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</si>
  <si>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</si>
  <si>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</si>
  <si>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</si>
  <si>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</si>
  <si>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</si>
  <si>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</si>
  <si>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</si>
  <si>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</si>
  <si>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</si>
  <si>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</si>
  <si>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</si>
  <si>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</si>
  <si>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</si>
  <si>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</si>
  <si>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</si>
  <si>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</si>
  <si>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</si>
  <si>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</si>
  <si>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</si>
  <si>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</si>
  <si>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</si>
  <si>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CBC PLATELET COUNT</t>
  </si>
  <si>
    <t>LABORATORY</t>
  </si>
  <si>
    <t>BOTTLE/IV</t>
  </si>
  <si>
    <t>VIAL/IV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</si>
  <si>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</si>
  <si>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</si>
  <si>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</si>
  <si>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</si>
  <si>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</si>
  <si>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</si>
  <si>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</si>
  <si>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D5 0.3 NACL</t>
  </si>
  <si>
    <t>DIPHENHYDRAMINE HCL</t>
  </si>
  <si>
    <t>AMPULE/IV</t>
  </si>
  <si>
    <t>PC</t>
  </si>
  <si>
    <t>IV SET PEDIA</t>
  </si>
  <si>
    <t>SOLUSET</t>
  </si>
  <si>
    <t>PARACETAMOL</t>
  </si>
  <si>
    <t>BOTTLE/ORAL</t>
  </si>
  <si>
    <t>SYRUP/ORAL</t>
  </si>
  <si>
    <t>BACILLUS CLAUSIL (ERCEFLORA)</t>
  </si>
  <si>
    <t>REPSULE/ORAL</t>
  </si>
  <si>
    <t>50 MG/ML</t>
  </si>
  <si>
    <t>500 ML</t>
  </si>
  <si>
    <t>125 MG/ML</t>
  </si>
  <si>
    <t>500 MG/ML</t>
  </si>
  <si>
    <t>150 MG/ML</t>
  </si>
  <si>
    <t>ZINC  SULFATE</t>
  </si>
  <si>
    <t>55 MG/5 ML</t>
  </si>
  <si>
    <t>AMPICILLIN</t>
  </si>
  <si>
    <t>CETIRIZINE</t>
  </si>
  <si>
    <t>5 MG/5 ML</t>
  </si>
  <si>
    <t>HEPLOCK</t>
  </si>
  <si>
    <t>IV CATHETER G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</si>
</sst>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5" zoomScaleNormal="100" workbookViewId="0">
      <selection activeCell="C66" sqref="C66:C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>
        <v>400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>
        <v>10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2207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165</v>
      </c>
      <c r="D63" s="55">
        <v>1248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172</v>
      </c>
      <c r="D64" s="55">
        <v>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166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5915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F28" sqref="F2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184</v>
      </c>
      <c r="E11" s="27" t="s">
        <v>193</v>
      </c>
      <c r="F11" s="55"/>
      <c r="G11" s="55"/>
      <c r="H11" s="55">
        <v>1</v>
      </c>
      <c r="I11" s="55">
        <v>145</v>
      </c>
      <c r="J11" s="55">
        <f>H11*I11</f>
        <v>145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200</v>
      </c>
      <c r="D12" s="27" t="s">
        <v>174</v>
      </c>
      <c r="E12" s="27" t="s">
        <v>196</v>
      </c>
      <c r="F12" s="55"/>
      <c r="G12" s="55"/>
      <c r="H12" s="55">
        <v>3</v>
      </c>
      <c r="I12" s="55">
        <v>23</v>
      </c>
      <c r="J12" s="55">
        <f t="shared" ref="J12:J25" si="0">H12*I12</f>
        <v>69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173</v>
      </c>
      <c r="E13" s="27" t="s">
        <v>194</v>
      </c>
      <c r="F13" s="55"/>
      <c r="G13" s="55"/>
      <c r="H13" s="55">
        <v>4</v>
      </c>
      <c r="I13" s="55">
        <v>80</v>
      </c>
      <c r="J13" s="55">
        <f t="shared" si="0"/>
        <v>320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192</v>
      </c>
      <c r="E14" s="27" t="s">
        <v>195</v>
      </c>
      <c r="F14" s="55"/>
      <c r="G14" s="55"/>
      <c r="H14" s="55">
        <v>20</v>
      </c>
      <c r="I14" s="55">
        <v>62</v>
      </c>
      <c r="J14" s="55">
        <f t="shared" si="0"/>
        <v>1240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184</v>
      </c>
      <c r="E15" s="27" t="s">
        <v>197</v>
      </c>
      <c r="F15" s="55"/>
      <c r="G15" s="55"/>
      <c r="H15" s="55">
        <v>1</v>
      </c>
      <c r="I15" s="55">
        <v>35</v>
      </c>
      <c r="J15" s="55">
        <f t="shared" si="0"/>
        <v>35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198</v>
      </c>
      <c r="D16" s="27" t="s">
        <v>189</v>
      </c>
      <c r="E16" s="27" t="s">
        <v>199</v>
      </c>
      <c r="F16" s="55"/>
      <c r="G16" s="55"/>
      <c r="H16" s="55">
        <v>1</v>
      </c>
      <c r="I16" s="55">
        <v>138</v>
      </c>
      <c r="J16" s="55">
        <f t="shared" si="0"/>
        <v>138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201</v>
      </c>
      <c r="D17" s="27" t="s">
        <v>190</v>
      </c>
      <c r="E17" s="27" t="s">
        <v>202</v>
      </c>
      <c r="F17" s="55"/>
      <c r="G17" s="55"/>
      <c r="H17" s="55">
        <v>1</v>
      </c>
      <c r="I17" s="55">
        <v>260</v>
      </c>
      <c r="J17" s="55">
        <f t="shared" si="0"/>
        <v>260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2207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2" workbookViewId="0">
      <selection activeCell="C30" sqref="C30:F3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185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185</v>
      </c>
      <c r="E17" s="55">
        <v>2</v>
      </c>
      <c r="F17" s="55">
        <v>6</v>
      </c>
      <c r="G17" s="55">
        <f t="shared" ref="G17:G33" si="0">E17*F17</f>
        <v>12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185</v>
      </c>
      <c r="E18" s="55">
        <v>2</v>
      </c>
      <c r="F18" s="55">
        <v>4</v>
      </c>
      <c r="G18" s="55">
        <f t="shared" si="0"/>
        <v>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185</v>
      </c>
      <c r="E19" s="55">
        <v>4</v>
      </c>
      <c r="F19" s="55">
        <v>7</v>
      </c>
      <c r="G19" s="55">
        <f t="shared" si="0"/>
        <v>28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178</v>
      </c>
      <c r="D20" s="70" t="s">
        <v>185</v>
      </c>
      <c r="E20" s="55">
        <v>1</v>
      </c>
      <c r="F20" s="55">
        <v>65</v>
      </c>
      <c r="G20" s="55">
        <f t="shared" si="0"/>
        <v>65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203</v>
      </c>
      <c r="D21" s="70" t="s">
        <v>185</v>
      </c>
      <c r="E21" s="55">
        <v>1</v>
      </c>
      <c r="F21" s="55">
        <v>22</v>
      </c>
      <c r="G21" s="55">
        <f t="shared" si="0"/>
        <v>22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204</v>
      </c>
      <c r="D22" s="70" t="s">
        <v>185</v>
      </c>
      <c r="E22" s="55">
        <v>13</v>
      </c>
      <c r="F22" s="55">
        <v>61</v>
      </c>
      <c r="G22" s="55">
        <f t="shared" si="0"/>
        <v>793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186</v>
      </c>
      <c r="D23" s="70" t="s">
        <v>185</v>
      </c>
      <c r="E23" s="55">
        <v>1</v>
      </c>
      <c r="F23" s="55">
        <v>35</v>
      </c>
      <c r="G23" s="55">
        <f t="shared" si="0"/>
        <v>35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187</v>
      </c>
      <c r="D24" s="70" t="s">
        <v>185</v>
      </c>
      <c r="E24" s="55">
        <v>1</v>
      </c>
      <c r="F24" s="55">
        <v>200</v>
      </c>
      <c r="G24" s="55">
        <f t="shared" si="0"/>
        <v>200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/>
      <c r="D28" s="70"/>
      <c r="E28" s="55"/>
      <c r="F28" s="55"/>
      <c r="G28" s="55">
        <f t="shared" si="0"/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>
        <f t="shared" si="0"/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1248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0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169</v>
      </c>
      <c r="N12" s="90" t="s">
        <v>170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30</v>
      </c>
      <c r="H13" s="55"/>
      <c r="I13" s="55"/>
      <c r="J13" s="55"/>
      <c r="K13" s="55"/>
      <c r="L13" s="55"/>
      <c r="M13" s="55"/>
      <c r="N13" s="55"/>
      <c r="P13" s="88">
        <f>SUM(D13:N13)</f>
        <v>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177</v>
      </c>
      <c r="D14" s="55"/>
      <c r="E14" s="55"/>
      <c r="F14" s="55"/>
      <c r="G14" s="55">
        <v>20</v>
      </c>
      <c r="H14" s="55"/>
      <c r="I14" s="55"/>
      <c r="J14" s="55"/>
      <c r="K14" s="55"/>
      <c r="L14" s="55"/>
      <c r="M14" s="55">
        <v>20</v>
      </c>
      <c r="N14" s="55"/>
      <c r="P14" s="88">
        <f t="shared" ref="P14:P22" si="0">SUM(D14:N14)</f>
        <v>40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179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35</v>
      </c>
      <c r="F30" s="88">
        <f t="shared" si="1"/>
        <v>0</v>
      </c>
      <c r="G30" s="88">
        <f t="shared" si="1"/>
        <v>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20</v>
      </c>
      <c r="N30" s="88">
        <f t="shared" si="1"/>
        <v>0</v>
      </c>
      <c r="P30" s="89">
        <f>SUM(P13:P22)</f>
        <v>135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2018-06-12T08:32:46Z</dcterms:modified>
</cp:coreProperties>
</file>