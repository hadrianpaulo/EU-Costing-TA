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3" i="2" l="1"/>
  <c r="J24" i="2"/>
  <c r="J20" i="2"/>
  <c r="J21" i="2"/>
  <c r="J22" i="2"/>
  <c r="G26" i="9"/>
  <c r="G27" i="9"/>
  <c r="G28" i="9"/>
  <c r="G29" i="9"/>
  <c r="G30" i="9"/>
  <c r="G31" i="9"/>
  <c r="G18" i="9" l="1"/>
  <c r="G19" i="9"/>
  <c r="G20" i="9"/>
  <c r="G21" i="9"/>
  <c r="G22" i="9"/>
  <c r="G23" i="9"/>
  <c r="G24" i="9"/>
  <c r="G25" i="9"/>
  <c r="G17" i="9"/>
  <c r="G16" i="9"/>
  <c r="J13" i="2"/>
  <c r="J14" i="2"/>
  <c r="J15" i="2"/>
  <c r="J16" i="2"/>
  <c r="J17" i="2"/>
  <c r="J25" i="2" s="1"/>
  <c r="J18" i="2"/>
  <c r="J19" i="2"/>
  <c r="J12" i="2"/>
  <c r="G33" i="9" l="1"/>
  <c r="G36" i="9"/>
  <c r="G37" i="9"/>
  <c r="G38" i="9"/>
  <c r="G39" i="9"/>
  <c r="G40" i="9"/>
  <c r="G41" i="9"/>
  <c r="G42" i="9"/>
  <c r="G43" i="9"/>
  <c r="G35" i="9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<sst xmlns="http://schemas.openxmlformats.org/spreadsheetml/2006/main" count="526" uniqueCount="224">
  <si>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</si>
  <si>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</si>
  <si>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</si>
  <si>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</si>
  <si>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</si>
  <si>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</si>
  <si>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</si>
  <si>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</si>
  <si>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</si>
  <si>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</si>
  <si>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</si>
  <si>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</si>
  <si>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</si>
  <si>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</si>
  <si>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</si>
  <si>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</si>
  <si>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</si>
  <si>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</si>
  <si>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</si>
  <si>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</si>
  <si>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</si>
  <si>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</si>
  <si>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</si>
  <si>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</si>
  <si>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</si>
  <si>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</si>
  <si>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</si>
  <si>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</si>
  <si>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</si>
  <si>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</si>
  <si>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</si>
  <si>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</si>
  <si>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</si>
  <si>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</si>
  <si>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</si>
  <si>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</si>
  <si>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</si>
  <si>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</si>
  <si>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</si>
  <si>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</si>
  <si>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</si>
  <si>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</si>
  <si>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</si>
  <si>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</si>
  <si>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</si>
  <si>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</si>
  <si>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</si>
  <si>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</si>
  <si>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</si>
  <si>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</si>
  <si>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</si>
  <si>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</si>
  <si>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</si>
  <si>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</si>
  <si>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</si>
  <si>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</si>
  <si>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</si>
  <si>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</si>
  <si>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</si>
  <si>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</si>
  <si>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</si>
  <si>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</si>
  <si>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</si>
  <si>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</si>
  <si>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</si>
  <si>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</si>
  <si>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</si>
  <si>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</si>
  <si>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</si>
  <si>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</si>
  <si>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</si>
  <si>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</si>
  <si>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</si>
  <si>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</si>
  <si>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</si>
  <si>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</si>
  <si>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</si>
  <si>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</si>
  <si>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</si>
  <si>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</si>
  <si>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</si>
  <si>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</si>
  <si>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</si>
  <si>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</si>
  <si>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</si>
  <si>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</si>
  <si>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</si>
  <si>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</si>
  <si>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</si>
  <si>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</si>
  <si>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</si>
  <si>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</si>
  <si>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</si>
  <si>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</si>
  <si>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</si>
  <si>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</si>
  <si>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</si>
  <si>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</si>
  <si>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</si>
  <si>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</si>
  <si>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</si>
  <si>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</si>
  <si>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</si>
  <si>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</si>
  <si>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</si>
  <si>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</si>
  <si>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</si>
  <si>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</si>
  <si>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</si>
  <si>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</si>
  <si>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</si>
  <si>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</si>
  <si>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</si>
  <si>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</si>
  <si>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</si>
  <si>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</si>
  <si>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</si>
  <si>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</si>
  <si>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</si>
  <si>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</si>
  <si>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</si>
  <si>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</si>
  <si>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</si>
  <si>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</si>
  <si>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</si>
  <si>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</si>
  <si>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</si>
  <si>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</si>
  <si>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</si>
  <si>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</si>
  <si>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</si>
  <si>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</si>
  <si>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</si>
  <si>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</si>
  <si>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</si>
  <si>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</si>
  <si>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</si>
  <si>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</si>
  <si>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</si>
  <si>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</si>
  <si>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</si>
  <si>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</si>
  <si>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</si>
  <si>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</si>
  <si>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</si>
  <si>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</si>
  <si>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</si>
  <si>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</si>
  <si>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</si>
  <si>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</si>
  <si>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</si>
  <si>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</si>
  <si>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</si>
  <si>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</si>
  <si>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</si>
  <si>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</si>
  <si>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</si>
  <si>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</si>
  <si>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</si>
  <si>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</si>
  <si>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</si>
  <si>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</si>
  <si>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</si>
  <si>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</si>
  <si>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</si>
  <si>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</si>
  <si>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</si>
  <si>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</si>
  <si>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TABLET/ORAL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</si>
  <si>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</si>
  <si>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</si>
  <si>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</si>
  <si>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</si>
  <si>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</si>
  <si>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</si>
  <si>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FASTING BLOOD SUGAR</t>
  </si>
  <si>
    <t>CREATININE</t>
  </si>
  <si>
    <t>URINALYSIS</t>
  </si>
  <si>
    <t>LABORATORY</t>
  </si>
  <si>
    <t>BOTTLE/IV</t>
  </si>
  <si>
    <t>1000 ml</t>
  </si>
  <si>
    <t>VIAL/IV</t>
  </si>
  <si>
    <t>VITAMIN B COMPLEX + VITAMIN C</t>
  </si>
  <si>
    <t>IV CATHETER G 22</t>
  </si>
  <si>
    <t>5CC SYRINGE</t>
  </si>
  <si>
    <t>IV SPLINT ADULT</t>
  </si>
  <si>
    <t>1CC SYRINGE</t>
  </si>
  <si>
    <t>Procedure</t>
  </si>
  <si>
    <t>ADHESIVE PLASTER</t>
  </si>
  <si>
    <t>Consultation in the ER</t>
  </si>
  <si>
    <t>ACUTE GASTROENTERITIS</t>
  </si>
  <si>
    <t>A09.9</t>
  </si>
  <si>
    <t>ELECTROLYTES</t>
  </si>
  <si>
    <t>X-RAY</t>
  </si>
  <si>
    <t>METRONIDAZOLE</t>
  </si>
  <si>
    <t>AMPULE/IV</t>
  </si>
  <si>
    <t>20 mg/ml</t>
  </si>
  <si>
    <t>PC</t>
  </si>
  <si>
    <t>CARBOCISTEINE</t>
  </si>
  <si>
    <t>LRS</t>
  </si>
  <si>
    <t>HYOSCINE N BUTYL BROMIDE</t>
  </si>
  <si>
    <t>METOCLOPRAMIDE</t>
  </si>
  <si>
    <t>5 mg/2 ml</t>
  </si>
  <si>
    <t xml:space="preserve">500 mg </t>
  </si>
  <si>
    <t>IV SET  ADULT</t>
  </si>
  <si>
    <t>SGOT</t>
  </si>
  <si>
    <t>SGPT/ALT</t>
  </si>
  <si>
    <t>BLOOD UREA NITROGEN</t>
  </si>
  <si>
    <t>LIPID PROFILE</t>
  </si>
  <si>
    <t>.</t>
  </si>
  <si>
    <t>ECG</t>
  </si>
  <si>
    <t>CHEST PA 14X17</t>
  </si>
  <si>
    <t>0.9 NACL</t>
  </si>
  <si>
    <t>OMEPRAZOLE</t>
  </si>
  <si>
    <t>40 mg</t>
  </si>
  <si>
    <t>100 mg</t>
  </si>
  <si>
    <t>TUBE OINTMENT/TOPICAL</t>
  </si>
  <si>
    <t>MUPIROCIN OINTMENT 2 %</t>
  </si>
  <si>
    <t>5 gm</t>
  </si>
  <si>
    <t>TRAMADOL</t>
  </si>
  <si>
    <t>50 mg</t>
  </si>
  <si>
    <t>CAPSULE/ORAL</t>
  </si>
  <si>
    <t xml:space="preserve">PHOSPHOLIDS </t>
  </si>
  <si>
    <t>1 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</si>
</sst>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63" zoomScaleNormal="100" workbookViewId="0">
      <selection activeCell="E71" sqref="E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209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6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6">
        <v>7</v>
      </c>
      <c r="C29" s="27"/>
      <c r="D29" s="29"/>
      <c r="E29" s="55"/>
      <c r="F29" s="5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8</v>
      </c>
      <c r="C30" s="27"/>
      <c r="D30" s="29"/>
      <c r="E30" s="55"/>
      <c r="F30" s="5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9</v>
      </c>
      <c r="C31" s="27"/>
      <c r="D31" s="29"/>
      <c r="E31" s="55"/>
      <c r="F31" s="5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43</v>
      </c>
      <c r="C32" s="119"/>
      <c r="D32" s="119"/>
      <c r="E32" s="119"/>
      <c r="F32" s="129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10" t="s">
        <v>157</v>
      </c>
      <c r="C33" s="113" t="s">
        <v>160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10" t="s">
        <v>158</v>
      </c>
      <c r="C34" s="114" t="s">
        <v>122</v>
      </c>
      <c r="D34" s="13"/>
      <c r="E34" s="13"/>
      <c r="F34" s="1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14" t="s">
        <v>159</v>
      </c>
      <c r="C35" s="114" t="s">
        <v>136</v>
      </c>
      <c r="D35" s="13"/>
      <c r="E35" s="13"/>
      <c r="F35" s="1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15" t="s">
        <v>17</v>
      </c>
      <c r="C36" s="7"/>
      <c r="D36" s="7"/>
      <c r="E36" s="56">
        <v>3</v>
      </c>
      <c r="F36" s="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5" t="s">
        <v>18</v>
      </c>
      <c r="C37" s="116"/>
      <c r="D37" s="116"/>
      <c r="E37" s="116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1</v>
      </c>
      <c r="C38" s="27" t="s">
        <v>174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 t="s">
        <v>205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 t="s">
        <v>192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 t="s">
        <v>206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 t="s">
        <v>176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6</v>
      </c>
      <c r="C43" s="27" t="s">
        <v>207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7</v>
      </c>
      <c r="C44" s="27" t="s">
        <v>177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8</v>
      </c>
      <c r="C45" s="27" t="s">
        <v>208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9</v>
      </c>
      <c r="C46" s="27" t="s">
        <v>175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19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211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 t="s">
        <v>210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8" t="s">
        <v>44</v>
      </c>
      <c r="C52" s="119"/>
      <c r="D52" s="116"/>
      <c r="E52" s="119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45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53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5" t="s">
        <v>20</v>
      </c>
      <c r="C59" s="116"/>
      <c r="D59" s="116"/>
      <c r="E59" s="116"/>
      <c r="F59" s="11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55</v>
      </c>
      <c r="C68" s="17" t="s">
        <v>51</v>
      </c>
      <c r="D68" s="17" t="s">
        <v>56</v>
      </c>
      <c r="E68" s="18" t="s">
        <v>57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162</v>
      </c>
      <c r="D69" s="55"/>
      <c r="E69" s="55">
        <v>1200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163</v>
      </c>
      <c r="D70" s="55">
        <v>6</v>
      </c>
      <c r="E70" s="55">
        <v>24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164</v>
      </c>
      <c r="D71" s="55">
        <v>3890</v>
      </c>
      <c r="E71" s="55">
        <v>972.5</v>
      </c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165</v>
      </c>
      <c r="D72" s="55">
        <v>256</v>
      </c>
      <c r="E72" s="55">
        <v>149</v>
      </c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178</v>
      </c>
      <c r="D73" s="55">
        <v>40</v>
      </c>
      <c r="E73" s="55">
        <v>2230</v>
      </c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166</v>
      </c>
      <c r="D74" s="55">
        <v>1800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193</v>
      </c>
      <c r="D75" s="55">
        <v>8</v>
      </c>
      <c r="E75" s="55">
        <v>162</v>
      </c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 t="s">
        <v>210</v>
      </c>
      <c r="D76" s="55"/>
      <c r="E76" s="55">
        <v>120</v>
      </c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6000</v>
      </c>
      <c r="E80" s="59">
        <f>SUM(E69:E79)</f>
        <v>4857.5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algorithmName="SHA-512" hashValue="+g1blrdyvrXITn/4CiYwYOx+oYYeB/7tDwu70ICeG2dHhxgGcRWMoNN8uYNPyBU+NSlPWmGEFhn/UJSuzdPhWQ==" saltValue="S2GUF1/tXiIL3zNMBAlGWA==" spinCount="100000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7:F37"/>
    <mergeCell ref="B32:F32"/>
    <mergeCell ref="B47:F47"/>
    <mergeCell ref="B54:F54"/>
  </mergeCells>
  <dataValidations count="1">
    <dataValidation type="decimal" operator="greaterThanOrEqual" allowBlank="1" showInputMessage="1" showErrorMessage="1" sqref="E36 E48:E51 E53 E23:F31 E55:F58 E60:F65 D69:F78 E38:E40 E41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179</v>
      </c>
      <c r="E11" s="27" t="s">
        <v>180</v>
      </c>
      <c r="F11" s="55"/>
      <c r="G11" s="55"/>
      <c r="H11" s="55">
        <v>1</v>
      </c>
      <c r="I11" s="55">
        <v>80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212</v>
      </c>
      <c r="D12" s="27" t="s">
        <v>179</v>
      </c>
      <c r="E12" s="27" t="s">
        <v>180</v>
      </c>
      <c r="F12" s="55"/>
      <c r="G12" s="55"/>
      <c r="H12" s="55">
        <v>9</v>
      </c>
      <c r="I12" s="55">
        <v>80</v>
      </c>
      <c r="J12" s="55">
        <f t="shared" ref="J12:J26" si="0">H12*I12</f>
        <v>720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213</v>
      </c>
      <c r="D13" s="27" t="s">
        <v>181</v>
      </c>
      <c r="E13" s="27" t="s">
        <v>214</v>
      </c>
      <c r="F13" s="55"/>
      <c r="G13" s="55"/>
      <c r="H13" s="55">
        <v>4</v>
      </c>
      <c r="I13" s="55">
        <v>285</v>
      </c>
      <c r="J13" s="55">
        <f t="shared" si="0"/>
        <v>1140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195</v>
      </c>
      <c r="E14" s="27" t="s">
        <v>202</v>
      </c>
      <c r="F14" s="55"/>
      <c r="G14" s="55"/>
      <c r="H14" s="55">
        <v>8</v>
      </c>
      <c r="I14" s="55">
        <v>20</v>
      </c>
      <c r="J14" s="55">
        <f t="shared" si="0"/>
        <v>160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168</v>
      </c>
      <c r="E16" s="27" t="s">
        <v>203</v>
      </c>
      <c r="F16" s="55"/>
      <c r="G16" s="55"/>
      <c r="H16" s="55">
        <v>21</v>
      </c>
      <c r="I16" s="55">
        <v>1.0714999999999999</v>
      </c>
      <c r="J16" s="55">
        <f t="shared" si="0"/>
        <v>22.501499999999997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195</v>
      </c>
      <c r="E17" s="27" t="s">
        <v>215</v>
      </c>
      <c r="F17" s="55"/>
      <c r="G17" s="55"/>
      <c r="H17" s="55">
        <v>20</v>
      </c>
      <c r="I17" s="55">
        <v>70</v>
      </c>
      <c r="J17" s="55">
        <f t="shared" si="0"/>
        <v>1400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213</v>
      </c>
      <c r="D18" s="27" t="s">
        <v>168</v>
      </c>
      <c r="E18" s="27" t="s">
        <v>214</v>
      </c>
      <c r="F18" s="55"/>
      <c r="G18" s="55"/>
      <c r="H18" s="55">
        <v>20</v>
      </c>
      <c r="I18" s="55">
        <v>17</v>
      </c>
      <c r="J18" s="55">
        <f t="shared" si="0"/>
        <v>340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217</v>
      </c>
      <c r="D19" s="27" t="s">
        <v>216</v>
      </c>
      <c r="E19" s="27" t="s">
        <v>218</v>
      </c>
      <c r="F19" s="55"/>
      <c r="G19" s="55"/>
      <c r="H19" s="55">
        <v>1</v>
      </c>
      <c r="I19" s="55">
        <v>245</v>
      </c>
      <c r="J19" s="55">
        <f t="shared" si="0"/>
        <v>245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219</v>
      </c>
      <c r="D20" s="27" t="s">
        <v>221</v>
      </c>
      <c r="E20" s="27" t="s">
        <v>220</v>
      </c>
      <c r="F20" s="55"/>
      <c r="G20" s="55"/>
      <c r="H20" s="55">
        <v>5</v>
      </c>
      <c r="I20" s="55">
        <v>5</v>
      </c>
      <c r="J20" s="55">
        <f t="shared" si="0"/>
        <v>25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198</v>
      </c>
      <c r="D21" s="27" t="s">
        <v>221</v>
      </c>
      <c r="E21" s="27" t="s">
        <v>167</v>
      </c>
      <c r="F21" s="55"/>
      <c r="G21" s="55"/>
      <c r="H21" s="55">
        <v>15</v>
      </c>
      <c r="I21" s="55">
        <v>3</v>
      </c>
      <c r="J21" s="55">
        <f t="shared" si="0"/>
        <v>45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222</v>
      </c>
      <c r="D22" s="27" t="s">
        <v>221</v>
      </c>
      <c r="E22" s="27" t="s">
        <v>223</v>
      </c>
      <c r="F22" s="55"/>
      <c r="G22" s="55"/>
      <c r="H22" s="55">
        <v>21</v>
      </c>
      <c r="I22" s="55">
        <v>30</v>
      </c>
      <c r="J22" s="55">
        <f t="shared" si="0"/>
        <v>630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200</v>
      </c>
      <c r="D23" s="27" t="s">
        <v>195</v>
      </c>
      <c r="E23" s="27" t="s">
        <v>196</v>
      </c>
      <c r="F23" s="55"/>
      <c r="G23" s="55"/>
      <c r="H23" s="55">
        <v>1</v>
      </c>
      <c r="I23" s="55">
        <v>55</v>
      </c>
      <c r="J23" s="55">
        <f t="shared" si="0"/>
        <v>55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>SUM(J11:J24)</f>
        <v>4862.5015000000003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J33" sqref="J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197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197</v>
      </c>
      <c r="E17" s="55">
        <v>2</v>
      </c>
      <c r="F17" s="55">
        <v>6</v>
      </c>
      <c r="G17" s="55">
        <f t="shared" ref="G17:G32" si="0">E17*F17</f>
        <v>12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197</v>
      </c>
      <c r="E18" s="55">
        <v>2</v>
      </c>
      <c r="F18" s="55">
        <v>7</v>
      </c>
      <c r="G18" s="55">
        <f t="shared" si="0"/>
        <v>14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197</v>
      </c>
      <c r="E19" s="55">
        <v>2</v>
      </c>
      <c r="F19" s="55">
        <v>6</v>
      </c>
      <c r="G19" s="55">
        <f t="shared" si="0"/>
        <v>12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197</v>
      </c>
      <c r="E20" s="55">
        <v>2</v>
      </c>
      <c r="F20" s="55">
        <v>7</v>
      </c>
      <c r="G20" s="55">
        <f t="shared" si="0"/>
        <v>14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197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197</v>
      </c>
      <c r="E22" s="55">
        <v>1</v>
      </c>
      <c r="F22" s="55">
        <v>61</v>
      </c>
      <c r="G22" s="55">
        <f t="shared" si="0"/>
        <v>61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204</v>
      </c>
      <c r="D23" s="70" t="s">
        <v>197</v>
      </c>
      <c r="E23" s="55">
        <v>1</v>
      </c>
      <c r="F23" s="55">
        <v>32</v>
      </c>
      <c r="G23" s="55">
        <f t="shared" si="0"/>
        <v>32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 t="s">
        <v>197</v>
      </c>
      <c r="E24" s="55">
        <v>1</v>
      </c>
      <c r="F24" s="55">
        <v>110</v>
      </c>
      <c r="G24" s="55">
        <f t="shared" si="0"/>
        <v>110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405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76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1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29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sXfCs2q4fdt4cwPpwUFe8zxloQ0sDT1O9b6n6QM8dEWC4xggNaBia7O+8UHCzA8AWkf92g3CQr31JQ/y4a1ryw==" saltValue="WFIRF3RABc4Qv8IdN6S3+g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7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90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187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50</v>
      </c>
      <c r="N14" s="55">
        <v>30</v>
      </c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50</v>
      </c>
      <c r="N30" s="88">
        <f t="shared" si="1"/>
        <v>30</v>
      </c>
      <c r="P30" s="89">
        <f>SUM(P13:P22)</f>
        <v>315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data_general'!$C$33</f>
        <v>Level I</v>
      </c>
      <c r="G1" s="112" t="str">
        <f>'1.1 Case data_general'!$C$34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2018-06-12T03:14:45Z</dcterms:modified>
</cp:coreProperties>
</file>