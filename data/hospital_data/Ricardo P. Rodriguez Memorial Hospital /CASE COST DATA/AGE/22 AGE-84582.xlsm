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<sst xmlns="http://schemas.openxmlformats.org/spreadsheetml/2006/main" count="523" uniqueCount="218">
  <si>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</si>
  <si>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</si>
  <si>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</si>
  <si>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</si>
  <si>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</si>
  <si>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</si>
  <si>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</si>
  <si>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</si>
  <si>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</si>
  <si>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</si>
  <si>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</si>
  <si>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</si>
  <si>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</si>
  <si>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</si>
  <si>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</si>
  <si>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</si>
  <si>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</si>
  <si>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</si>
  <si>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</si>
  <si>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</si>
  <si>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</si>
  <si>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</si>
  <si>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</si>
  <si>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</si>
  <si>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</si>
  <si>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</si>
  <si>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</si>
  <si>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</si>
  <si>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</si>
  <si>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</si>
  <si>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</si>
  <si>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</si>
  <si>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</si>
  <si>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</si>
  <si>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</si>
  <si>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</si>
  <si>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</si>
  <si>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</si>
  <si>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</si>
  <si>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</si>
  <si>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</si>
  <si>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</si>
  <si>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</si>
  <si>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</si>
  <si>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</si>
  <si>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</si>
  <si>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</si>
  <si>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</si>
  <si>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</si>
  <si>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</si>
  <si>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</si>
  <si>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</si>
  <si>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</si>
  <si>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</si>
  <si>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</si>
  <si>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</si>
  <si>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</si>
  <si>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</si>
  <si>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</si>
  <si>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</si>
  <si>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</si>
  <si>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</si>
  <si>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</si>
  <si>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</si>
  <si>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</si>
  <si>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</si>
  <si>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</si>
  <si>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</si>
  <si>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</si>
  <si>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</si>
  <si>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</si>
  <si>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</si>
  <si>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</si>
  <si>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</si>
  <si>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</si>
  <si>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</si>
  <si>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</si>
  <si>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</si>
  <si>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</si>
  <si>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</si>
  <si>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</si>
  <si>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</si>
  <si>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</si>
  <si>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</si>
  <si>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</si>
  <si>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</si>
  <si>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</si>
  <si>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</si>
  <si>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</si>
  <si>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</si>
  <si>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</si>
  <si>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</si>
  <si>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</si>
  <si>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</si>
  <si>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</si>
  <si>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</si>
  <si>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</si>
  <si>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</si>
  <si>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</si>
  <si>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</si>
  <si>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</si>
  <si>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</si>
  <si>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</si>
  <si>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</si>
  <si>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</si>
  <si>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</si>
  <si>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</si>
  <si>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</si>
  <si>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</si>
  <si>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</si>
  <si>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</si>
  <si>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</si>
  <si>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</si>
  <si>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</si>
  <si>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</si>
  <si>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</si>
  <si>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</si>
  <si>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</si>
  <si>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</si>
  <si>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</si>
  <si>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</si>
  <si>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</si>
  <si>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</si>
  <si>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</si>
  <si>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</si>
  <si>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</si>
  <si>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</si>
  <si>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</si>
  <si>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</si>
  <si>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</si>
  <si>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</si>
  <si>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</si>
  <si>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</si>
  <si>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</si>
  <si>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</si>
  <si>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</si>
  <si>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</si>
  <si>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</si>
  <si>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</si>
  <si>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</si>
  <si>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</si>
  <si>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</si>
  <si>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</si>
  <si>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</si>
  <si>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</si>
  <si>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</si>
  <si>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</si>
  <si>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</si>
  <si>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</si>
  <si>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</si>
  <si>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</si>
  <si>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</si>
  <si>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</si>
  <si>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</si>
  <si>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</si>
  <si>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</si>
  <si>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</si>
  <si>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</si>
  <si>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</si>
  <si>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</si>
  <si>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</si>
  <si>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</si>
  <si>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</si>
  <si>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</si>
  <si>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</si>
  <si>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</si>
  <si>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</si>
  <si>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</si>
  <si>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</si>
  <si>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</si>
  <si>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</si>
  <si>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</si>
  <si>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</si>
  <si>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</si>
  <si>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</si>
  <si>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</si>
  <si>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</si>
  <si>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</si>
  <si>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</si>
  <si>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</si>
  <si>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</si>
  <si>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</si>
  <si>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</si>
  <si>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50 MG/ML</t>
  </si>
  <si>
    <t>10CC SYRINGE</t>
  </si>
  <si>
    <t>3CC SYRINGE</t>
  </si>
  <si>
    <t>5CC SYRINGE</t>
  </si>
  <si>
    <t>ID BRACELET</t>
  </si>
  <si>
    <t>PARACETAMOL</t>
  </si>
  <si>
    <t>DIPHENHYDRAMINE HCL</t>
  </si>
  <si>
    <t>D5 0.3 NACL</t>
  </si>
  <si>
    <t>500 ML</t>
  </si>
  <si>
    <t>SUSPENSION/ORAL</t>
  </si>
  <si>
    <t>IV CATHETER G 26</t>
  </si>
  <si>
    <t>SOLUSET</t>
  </si>
  <si>
    <t>STERILE WATER FOR INJECTION</t>
  </si>
  <si>
    <t>POLYAMPULE/IV</t>
  </si>
  <si>
    <t>10 ML</t>
  </si>
  <si>
    <t>IV SET PEDIA</t>
  </si>
  <si>
    <t>FECALYSIS</t>
  </si>
  <si>
    <t>URINALYSIS</t>
  </si>
  <si>
    <t>CEFUROXIME (ZIOMET)</t>
  </si>
  <si>
    <t>VIAL/IV</t>
  </si>
  <si>
    <t>750 MG</t>
  </si>
  <si>
    <t>BOTTLE/ORAL</t>
  </si>
  <si>
    <t>WEE BAG</t>
  </si>
  <si>
    <t>IV SPLINT PEDIA</t>
  </si>
  <si>
    <t>150 MG/ML</t>
  </si>
  <si>
    <t>SYRUP/ORAL</t>
  </si>
  <si>
    <t>TONGUE DEPRESSOR</t>
  </si>
  <si>
    <t>125 MG/5ML</t>
  </si>
  <si>
    <t>250 MG/5 ML</t>
  </si>
  <si>
    <t>CEFUROXIME</t>
  </si>
  <si>
    <t>SALBUTAMOL</t>
  </si>
  <si>
    <t>NEBULE/INH</t>
  </si>
  <si>
    <t>1 MG/ML</t>
  </si>
  <si>
    <t>CEFACLOR</t>
  </si>
  <si>
    <t>SPECIMEN CUP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</si>
</sst>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E65" sqref="E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/>
      <c r="E60" s="55">
        <v>1200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/>
      <c r="E61" s="55">
        <v>30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4112</v>
      </c>
      <c r="E62" s="55">
        <v>490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84</v>
      </c>
      <c r="E63" s="55">
        <v>1289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4</v>
      </c>
      <c r="E64" s="55">
        <v>346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3355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21" sqref="I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204</v>
      </c>
      <c r="E11" s="27" t="s">
        <v>210</v>
      </c>
      <c r="F11" s="55"/>
      <c r="G11" s="55"/>
      <c r="H11" s="55">
        <v>1</v>
      </c>
      <c r="I11" s="55">
        <v>27</v>
      </c>
      <c r="J11" s="55">
        <f>H11*I11</f>
        <v>27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208</v>
      </c>
      <c r="E12" s="27" t="s">
        <v>211</v>
      </c>
      <c r="F12" s="55"/>
      <c r="G12" s="55"/>
      <c r="H12" s="55">
        <v>1</v>
      </c>
      <c r="I12" s="55">
        <v>30</v>
      </c>
      <c r="J12" s="55">
        <f t="shared" ref="J12:J25" si="0">H12*I12</f>
        <v>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201</v>
      </c>
      <c r="D13" s="27" t="s">
        <v>202</v>
      </c>
      <c r="E13" s="27" t="s">
        <v>203</v>
      </c>
      <c r="F13" s="55"/>
      <c r="G13" s="55"/>
      <c r="H13" s="55">
        <v>3</v>
      </c>
      <c r="I13" s="55">
        <v>495</v>
      </c>
      <c r="J13" s="55">
        <f t="shared" si="0"/>
        <v>1485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212</v>
      </c>
      <c r="D14" s="27" t="s">
        <v>202</v>
      </c>
      <c r="E14" s="27" t="s">
        <v>203</v>
      </c>
      <c r="F14" s="55"/>
      <c r="G14" s="55"/>
      <c r="H14" s="55">
        <v>2</v>
      </c>
      <c r="I14" s="55">
        <v>55</v>
      </c>
      <c r="J14" s="55">
        <f t="shared" si="0"/>
        <v>110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181</v>
      </c>
      <c r="E15" s="27" t="s">
        <v>183</v>
      </c>
      <c r="F15" s="55"/>
      <c r="G15" s="55"/>
      <c r="H15" s="55">
        <v>11</v>
      </c>
      <c r="I15" s="55">
        <v>145</v>
      </c>
      <c r="J15" s="55">
        <f t="shared" si="0"/>
        <v>1595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173</v>
      </c>
      <c r="E16" s="27" t="s">
        <v>191</v>
      </c>
      <c r="F16" s="55"/>
      <c r="G16" s="55"/>
      <c r="H16" s="55">
        <v>6</v>
      </c>
      <c r="I16" s="55">
        <v>80</v>
      </c>
      <c r="J16" s="55">
        <f t="shared" si="0"/>
        <v>480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213</v>
      </c>
      <c r="D17" s="27" t="s">
        <v>214</v>
      </c>
      <c r="E17" s="27" t="s">
        <v>215</v>
      </c>
      <c r="F17" s="55"/>
      <c r="G17" s="55"/>
      <c r="H17" s="55">
        <v>16</v>
      </c>
      <c r="I17" s="55">
        <v>15</v>
      </c>
      <c r="J17" s="55">
        <f t="shared" si="0"/>
        <v>240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195</v>
      </c>
      <c r="D18" s="27" t="s">
        <v>196</v>
      </c>
      <c r="E18" s="27" t="s">
        <v>197</v>
      </c>
      <c r="F18" s="55"/>
      <c r="G18" s="55"/>
      <c r="H18" s="55">
        <v>1</v>
      </c>
      <c r="I18" s="55">
        <v>40</v>
      </c>
      <c r="J18" s="55">
        <f t="shared" si="0"/>
        <v>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188</v>
      </c>
      <c r="D19" s="27" t="s">
        <v>181</v>
      </c>
      <c r="E19" s="27" t="s">
        <v>207</v>
      </c>
      <c r="F19" s="55"/>
      <c r="G19" s="55"/>
      <c r="H19" s="55">
        <v>3</v>
      </c>
      <c r="I19" s="55">
        <v>35</v>
      </c>
      <c r="J19" s="55">
        <f t="shared" si="0"/>
        <v>105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216</v>
      </c>
      <c r="D20" s="27" t="s">
        <v>192</v>
      </c>
      <c r="E20" s="27" t="s">
        <v>183</v>
      </c>
      <c r="F20" s="55"/>
      <c r="G20" s="55"/>
      <c r="H20" s="55">
        <v>1</v>
      </c>
      <c r="I20" s="55">
        <v>490</v>
      </c>
      <c r="J20" s="55">
        <f t="shared" si="0"/>
        <v>490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4602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2" workbookViewId="0">
      <selection activeCell="F32" sqref="F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182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182</v>
      </c>
      <c r="E17" s="55">
        <v>9</v>
      </c>
      <c r="F17" s="55">
        <v>6</v>
      </c>
      <c r="G17" s="55">
        <f t="shared" ref="G17:G33" si="0">E17*F17</f>
        <v>54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182</v>
      </c>
      <c r="E18" s="55">
        <v>10</v>
      </c>
      <c r="F18" s="55">
        <v>4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182</v>
      </c>
      <c r="E19" s="55">
        <v>7</v>
      </c>
      <c r="F19" s="55">
        <v>7</v>
      </c>
      <c r="G19" s="55">
        <f t="shared" si="0"/>
        <v>49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186</v>
      </c>
      <c r="D20" s="70" t="s">
        <v>182</v>
      </c>
      <c r="E20" s="55">
        <v>8</v>
      </c>
      <c r="F20" s="55">
        <v>7</v>
      </c>
      <c r="G20" s="55">
        <f t="shared" si="0"/>
        <v>56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185</v>
      </c>
      <c r="D21" s="70" t="s">
        <v>182</v>
      </c>
      <c r="E21" s="55">
        <v>13</v>
      </c>
      <c r="F21" s="55">
        <v>6</v>
      </c>
      <c r="G21" s="55">
        <f t="shared" si="0"/>
        <v>78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184</v>
      </c>
      <c r="D22" s="70" t="s">
        <v>182</v>
      </c>
      <c r="E22" s="55">
        <v>5</v>
      </c>
      <c r="F22" s="55">
        <v>8</v>
      </c>
      <c r="G22" s="55">
        <f t="shared" si="0"/>
        <v>40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177</v>
      </c>
      <c r="D23" s="70" t="s">
        <v>182</v>
      </c>
      <c r="E23" s="55">
        <v>2</v>
      </c>
      <c r="F23" s="55">
        <v>65</v>
      </c>
      <c r="G23" s="55">
        <f t="shared" si="0"/>
        <v>130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187</v>
      </c>
      <c r="D24" s="70" t="s">
        <v>182</v>
      </c>
      <c r="E24" s="55">
        <v>1</v>
      </c>
      <c r="F24" s="55">
        <v>7</v>
      </c>
      <c r="G24" s="55">
        <f t="shared" si="0"/>
        <v>7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193</v>
      </c>
      <c r="D25" s="70" t="s">
        <v>182</v>
      </c>
      <c r="E25" s="55">
        <v>7</v>
      </c>
      <c r="F25" s="55">
        <v>61</v>
      </c>
      <c r="G25" s="55">
        <f t="shared" si="0"/>
        <v>427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205</v>
      </c>
      <c r="D26" s="70" t="s">
        <v>182</v>
      </c>
      <c r="E26" s="55">
        <v>5</v>
      </c>
      <c r="F26" s="55">
        <v>7</v>
      </c>
      <c r="G26" s="55">
        <f t="shared" si="0"/>
        <v>35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198</v>
      </c>
      <c r="D27" s="70" t="s">
        <v>182</v>
      </c>
      <c r="E27" s="55">
        <v>1</v>
      </c>
      <c r="F27" s="55">
        <v>35</v>
      </c>
      <c r="G27" s="55">
        <f t="shared" si="0"/>
        <v>35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206</v>
      </c>
      <c r="D28" s="70" t="s">
        <v>182</v>
      </c>
      <c r="E28" s="55">
        <v>1</v>
      </c>
      <c r="F28" s="55">
        <v>105</v>
      </c>
      <c r="G28" s="55">
        <f t="shared" si="0"/>
        <v>105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209</v>
      </c>
      <c r="D29" s="70" t="s">
        <v>182</v>
      </c>
      <c r="E29" s="55">
        <v>1</v>
      </c>
      <c r="F29" s="55">
        <v>2</v>
      </c>
      <c r="G29" s="55">
        <f t="shared" si="0"/>
        <v>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194</v>
      </c>
      <c r="D30" s="70" t="s">
        <v>182</v>
      </c>
      <c r="E30" s="55">
        <v>1</v>
      </c>
      <c r="F30" s="55">
        <v>200</v>
      </c>
      <c r="G30" s="55">
        <f t="shared" si="0"/>
        <v>200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217</v>
      </c>
      <c r="D31" s="70" t="s">
        <v>182</v>
      </c>
      <c r="E31" s="55">
        <v>2</v>
      </c>
      <c r="F31" s="55">
        <v>15</v>
      </c>
      <c r="G31" s="55">
        <f t="shared" si="0"/>
        <v>30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1373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60</v>
      </c>
      <c r="F13" s="55"/>
      <c r="G13" s="55">
        <v>90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176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20</v>
      </c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178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0</v>
      </c>
      <c r="P30" s="89">
        <f>SUM(P13:P22)</f>
        <v>255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2018-06-13T01:32:47Z</dcterms:modified>
</cp:coreProperties>
</file>