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9" i="9" l="1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0" i="9" l="1"/>
  <c r="G33" i="9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2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<sst xmlns="http://schemas.openxmlformats.org/spreadsheetml/2006/main" count="502" uniqueCount="205">
  <si>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</si>
  <si>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</si>
  <si>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</si>
  <si>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</si>
  <si>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</si>
  <si>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</si>
  <si>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</si>
  <si>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</si>
  <si>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</si>
  <si>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</si>
  <si>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</si>
  <si>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</si>
  <si>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</si>
  <si>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</si>
  <si>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</si>
  <si>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</si>
  <si>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</si>
  <si>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</si>
  <si>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</si>
  <si>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</si>
  <si>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</si>
  <si>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</si>
  <si>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</si>
  <si>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</si>
  <si>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</si>
  <si>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</si>
  <si>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</si>
  <si>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</si>
  <si>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</si>
  <si>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</si>
  <si>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</si>
  <si>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</si>
  <si>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</si>
  <si>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</si>
  <si>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</si>
  <si>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</si>
  <si>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</si>
  <si>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</si>
  <si>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</si>
  <si>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</si>
  <si>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</si>
  <si>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</si>
  <si>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</si>
  <si>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</si>
  <si>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</si>
  <si>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</si>
  <si>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</si>
  <si>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</si>
  <si>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</si>
  <si>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</si>
  <si>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</si>
  <si>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</si>
  <si>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</si>
  <si>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</si>
  <si>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</si>
  <si>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</si>
  <si>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</si>
  <si>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</si>
  <si>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</si>
  <si>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</si>
  <si>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</si>
  <si>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</si>
  <si>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</si>
  <si>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</si>
  <si>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</si>
  <si>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</si>
  <si>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</si>
  <si>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</si>
  <si>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</si>
  <si>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</si>
  <si>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</si>
  <si>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</si>
  <si>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</si>
  <si>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</si>
  <si>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</si>
  <si>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</si>
  <si>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</si>
  <si>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</si>
  <si>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</si>
  <si>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</si>
  <si>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</si>
  <si>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</si>
  <si>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</si>
  <si>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</si>
  <si>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</si>
  <si>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</si>
  <si>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</si>
  <si>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</si>
  <si>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</si>
  <si>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</si>
  <si>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</si>
  <si>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</si>
  <si>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</si>
  <si>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</si>
  <si>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</si>
  <si>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</si>
  <si>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</si>
  <si>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</si>
  <si>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</si>
  <si>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</si>
  <si>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</si>
  <si>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</si>
  <si>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</si>
  <si>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</si>
  <si>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</si>
  <si>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</si>
  <si>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</si>
  <si>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</si>
  <si>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</si>
  <si>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</si>
  <si>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</si>
  <si>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</si>
  <si>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</si>
  <si>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</si>
  <si>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</si>
  <si>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</si>
  <si>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</si>
  <si>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</si>
  <si>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</si>
  <si>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</si>
  <si>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</si>
  <si>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</si>
  <si>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</si>
  <si>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</si>
  <si>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</si>
  <si>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</si>
  <si>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</si>
  <si>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</si>
  <si>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</si>
  <si>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</si>
  <si>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</si>
  <si>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</si>
  <si>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</si>
  <si>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</si>
  <si>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</si>
  <si>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</si>
  <si>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</si>
  <si>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</si>
  <si>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</si>
  <si>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</si>
  <si>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</si>
  <si>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</si>
  <si>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</si>
  <si>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</si>
  <si>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</si>
  <si>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</si>
  <si>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</si>
  <si>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</si>
  <si>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</si>
  <si>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</si>
  <si>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</si>
  <si>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</si>
  <si>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</si>
  <si>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</si>
  <si>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</si>
  <si>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</si>
  <si>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</si>
  <si>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</si>
  <si>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</si>
  <si>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</si>
  <si>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</si>
  <si>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</si>
  <si>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</si>
  <si>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</si>
  <si>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</si>
  <si>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</si>
  <si>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</si>
  <si>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</si>
  <si>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</si>
  <si>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</si>
  <si>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</si>
  <si>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</si>
  <si>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</si>
  <si>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</si>
  <si>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LABORATORY</t>
  </si>
  <si>
    <t>BOTTLE/IV</t>
  </si>
  <si>
    <t>VIAL/IV</t>
  </si>
  <si>
    <t>STERILE WATER FOR INJECTION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</si>
  <si>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</si>
  <si>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</si>
  <si>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</si>
  <si>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</si>
  <si>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</si>
  <si>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</si>
  <si>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</si>
  <si>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FECALYSIS</t>
  </si>
  <si>
    <t>750 mg</t>
  </si>
  <si>
    <t>AMPULE/IV</t>
  </si>
  <si>
    <t>HEPLOCK</t>
  </si>
  <si>
    <t>D5 0.3 NACL</t>
  </si>
  <si>
    <t>500 ml</t>
  </si>
  <si>
    <t>CEFUROXIME</t>
  </si>
  <si>
    <t>IV SET PEDIA</t>
  </si>
  <si>
    <t>ID BRACELET</t>
  </si>
  <si>
    <t>TONGUE DEPRESSOR</t>
  </si>
  <si>
    <t>IV CATHETER G 24</t>
  </si>
  <si>
    <t>WEE BAG</t>
  </si>
  <si>
    <t>CEFUROXIME (ZIOMET)</t>
  </si>
  <si>
    <t>DIPHENHYDRAMINE</t>
  </si>
  <si>
    <t>50 mg</t>
  </si>
  <si>
    <t>COTRIMOXAZOLE</t>
  </si>
  <si>
    <t>SUSPENSION/ORAL</t>
  </si>
  <si>
    <t>200 mg/40 mg/5 ml</t>
  </si>
  <si>
    <t>POLYAMPULE/IV</t>
  </si>
  <si>
    <t>10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</si>
</sst>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3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2215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420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300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5555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175</v>
      </c>
      <c r="E11" s="27" t="s">
        <v>190</v>
      </c>
      <c r="F11" s="55"/>
      <c r="G11" s="55"/>
      <c r="H11" s="55">
        <v>3</v>
      </c>
      <c r="I11" s="55">
        <v>80</v>
      </c>
      <c r="J11" s="55">
        <f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176</v>
      </c>
      <c r="E12" s="27" t="s">
        <v>186</v>
      </c>
      <c r="F12" s="55"/>
      <c r="G12" s="55"/>
      <c r="H12" s="55">
        <v>5</v>
      </c>
      <c r="I12" s="55">
        <v>55</v>
      </c>
      <c r="J12" s="55">
        <f t="shared" ref="J12:J26" si="0">H12*I12</f>
        <v>275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197</v>
      </c>
      <c r="D13" s="27" t="s">
        <v>176</v>
      </c>
      <c r="E13" s="27" t="s">
        <v>186</v>
      </c>
      <c r="F13" s="55"/>
      <c r="G13" s="55"/>
      <c r="H13" s="55">
        <v>3</v>
      </c>
      <c r="I13" s="55">
        <v>495</v>
      </c>
      <c r="J13" s="55">
        <f t="shared" si="0"/>
        <v>1485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198</v>
      </c>
      <c r="D14" s="27" t="s">
        <v>187</v>
      </c>
      <c r="E14" s="27" t="s">
        <v>199</v>
      </c>
      <c r="F14" s="55"/>
      <c r="G14" s="55"/>
      <c r="H14" s="55">
        <v>1</v>
      </c>
      <c r="I14" s="55">
        <v>145</v>
      </c>
      <c r="J14" s="55">
        <f t="shared" si="0"/>
        <v>145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200</v>
      </c>
      <c r="D15" s="27" t="s">
        <v>201</v>
      </c>
      <c r="E15" s="27" t="s">
        <v>202</v>
      </c>
      <c r="F15" s="55"/>
      <c r="G15" s="55"/>
      <c r="H15" s="55">
        <v>1</v>
      </c>
      <c r="I15" s="55">
        <v>30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203</v>
      </c>
      <c r="E16" s="27" t="s">
        <v>204</v>
      </c>
      <c r="F16" s="55"/>
      <c r="G16" s="55"/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2215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7" workbookViewId="0">
      <selection activeCell="F28" sqref="F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29</v>
      </c>
      <c r="E16" s="55">
        <v>2</v>
      </c>
      <c r="F16" s="55">
        <v>61</v>
      </c>
      <c r="G16" s="55">
        <f>E16*F16</f>
        <v>122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29</v>
      </c>
      <c r="E17" s="55">
        <v>1</v>
      </c>
      <c r="F17" s="55">
        <v>35</v>
      </c>
      <c r="G17" s="55">
        <f t="shared" ref="G17:G29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2</v>
      </c>
      <c r="F19" s="55">
        <v>6</v>
      </c>
      <c r="G19" s="55">
        <f t="shared" si="0"/>
        <v>12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29</v>
      </c>
      <c r="E20" s="55">
        <v>3</v>
      </c>
      <c r="F20" s="55">
        <v>7</v>
      </c>
      <c r="G20" s="55">
        <f t="shared" si="0"/>
        <v>21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170</v>
      </c>
      <c r="D21" s="70" t="s">
        <v>29</v>
      </c>
      <c r="E21" s="55">
        <v>3</v>
      </c>
      <c r="F21" s="55">
        <v>6</v>
      </c>
      <c r="G21" s="55">
        <f t="shared" si="0"/>
        <v>18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181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2</v>
      </c>
      <c r="F23" s="55">
        <v>4</v>
      </c>
      <c r="G23" s="55">
        <f t="shared" si="0"/>
        <v>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168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194</v>
      </c>
      <c r="D25" s="70" t="s">
        <v>29</v>
      </c>
      <c r="E25" s="55">
        <v>2</v>
      </c>
      <c r="F25" s="55">
        <v>2</v>
      </c>
      <c r="G25" s="55">
        <f t="shared" si="0"/>
        <v>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196</v>
      </c>
      <c r="D26" s="70" t="s">
        <v>29</v>
      </c>
      <c r="E26" s="55">
        <v>3</v>
      </c>
      <c r="F26" s="55">
        <v>7</v>
      </c>
      <c r="G26" s="55">
        <f t="shared" si="0"/>
        <v>21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188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420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171</v>
      </c>
      <c r="N12" s="90" t="s">
        <v>172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180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182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195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2018-06-11T06:05:15Z</dcterms:modified>
</cp:coreProperties>
</file>