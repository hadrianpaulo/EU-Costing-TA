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29" i="9" l="1"/>
  <c r="G28" i="9"/>
  <c r="J20" i="2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0" i="9" l="1"/>
  <c r="G33" i="9"/>
  <c r="G34" i="9"/>
  <c r="G35" i="9"/>
  <c r="G36" i="9"/>
  <c r="G37" i="9"/>
  <c r="G38" i="9"/>
  <c r="G39" i="9"/>
  <c r="G40" i="9"/>
  <c r="G32" i="9"/>
  <c r="J21" i="2"/>
  <c r="J23" i="2"/>
  <c r="J24" i="2"/>
  <c r="J25" i="2"/>
  <c r="J26" i="2"/>
  <c r="G4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2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<sst xmlns="http://schemas.openxmlformats.org/spreadsheetml/2006/main" count="499" uniqueCount="200">
  <si>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</si>
  <si>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</si>
  <si>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</si>
  <si>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</si>
  <si>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</si>
  <si>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</si>
  <si>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</si>
  <si>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</si>
  <si>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</si>
  <si>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</si>
  <si>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</si>
  <si>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</si>
  <si>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</si>
  <si>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</si>
  <si>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</si>
  <si>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</si>
  <si>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</si>
  <si>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</si>
  <si>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</si>
  <si>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</si>
  <si>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</si>
  <si>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</si>
  <si>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</si>
  <si>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</si>
  <si>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</si>
  <si>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</si>
  <si>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</si>
  <si>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</si>
  <si>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</si>
  <si>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</si>
  <si>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</si>
  <si>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</si>
  <si>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</si>
  <si>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</si>
  <si>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</si>
  <si>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</si>
  <si>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</si>
  <si>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</si>
  <si>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</si>
  <si>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</si>
  <si>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</si>
  <si>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</si>
  <si>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</si>
  <si>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</si>
  <si>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</si>
  <si>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</si>
  <si>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</si>
  <si>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</si>
  <si>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</si>
  <si>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</si>
  <si>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</si>
  <si>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</si>
  <si>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</si>
  <si>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</si>
  <si>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</si>
  <si>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</si>
  <si>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</si>
  <si>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</si>
  <si>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</si>
  <si>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</si>
  <si>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</si>
  <si>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</si>
  <si>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</si>
  <si>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</si>
  <si>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</si>
  <si>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</si>
  <si>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</si>
  <si>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</si>
  <si>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</si>
  <si>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</si>
  <si>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</si>
  <si>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</si>
  <si>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</si>
  <si>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</si>
  <si>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</si>
  <si>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</si>
  <si>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</si>
  <si>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</si>
  <si>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</si>
  <si>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</si>
  <si>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</si>
  <si>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</si>
  <si>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</si>
  <si>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</si>
  <si>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</si>
  <si>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</si>
  <si>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</si>
  <si>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</si>
  <si>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</si>
  <si>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</si>
  <si>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</si>
  <si>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</si>
  <si>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</si>
  <si>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</si>
  <si>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</si>
  <si>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</si>
  <si>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</si>
  <si>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</si>
  <si>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</si>
  <si>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</si>
  <si>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</si>
  <si>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</si>
  <si>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</si>
  <si>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</si>
  <si>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</si>
  <si>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</si>
  <si>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</si>
  <si>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</si>
  <si>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</si>
  <si>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</si>
  <si>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</si>
  <si>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</si>
  <si>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</si>
  <si>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</si>
  <si>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</si>
  <si>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</si>
  <si>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</si>
  <si>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</si>
  <si>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</si>
  <si>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</si>
  <si>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</si>
  <si>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</si>
  <si>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</si>
  <si>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</si>
  <si>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</si>
  <si>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</si>
  <si>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</si>
  <si>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</si>
  <si>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</si>
  <si>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</si>
  <si>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</si>
  <si>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</si>
  <si>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</si>
  <si>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</si>
  <si>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</si>
  <si>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</si>
  <si>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</si>
  <si>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</si>
  <si>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</si>
  <si>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</si>
  <si>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</si>
  <si>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</si>
  <si>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</si>
  <si>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</si>
  <si>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</si>
  <si>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</si>
  <si>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</si>
  <si>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</si>
  <si>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</si>
  <si>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</si>
  <si>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</si>
  <si>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</si>
  <si>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</si>
  <si>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</si>
  <si>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</si>
  <si>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</si>
  <si>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</si>
  <si>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</si>
  <si>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</si>
  <si>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</si>
  <si>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</si>
  <si>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</si>
  <si>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</si>
  <si>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</si>
  <si>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</si>
  <si>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</si>
  <si>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</si>
  <si>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</si>
  <si>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</si>
  <si>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</si>
  <si>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3CC SYRINGE</t>
  </si>
  <si>
    <t>MEDICAL TECHNOLOGIST</t>
  </si>
  <si>
    <t>RADIOLOGIC TECHNOLOGIST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</si>
  <si>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</si>
  <si>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</si>
  <si>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</si>
  <si>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</si>
  <si>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</si>
  <si>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</si>
  <si>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</si>
  <si>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</si>
  <si>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</si>
  <si>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FECALYSIS</t>
  </si>
  <si>
    <t>METRONIDAZOLE</t>
  </si>
  <si>
    <t>HEPLOCK</t>
  </si>
  <si>
    <t>D5 0.3 NACL</t>
  </si>
  <si>
    <t>500 ml</t>
  </si>
  <si>
    <t>BOTTLE/ORAL</t>
  </si>
  <si>
    <t>ZINC SULFATE</t>
  </si>
  <si>
    <t>55 mg/5 ml</t>
  </si>
  <si>
    <t>SYRUP/ORAL</t>
  </si>
  <si>
    <t>IV SET PEDIA</t>
  </si>
  <si>
    <t>ID BRACELET</t>
  </si>
  <si>
    <t>ELECTROLYTES</t>
  </si>
  <si>
    <t>TONGUE DEPRESSOR</t>
  </si>
  <si>
    <t>IV CATHETER G 24</t>
  </si>
  <si>
    <t>WEE BAG</t>
  </si>
  <si>
    <t>D5 IMB</t>
  </si>
  <si>
    <t>500 mg/ml</t>
  </si>
  <si>
    <t>125 mg/ml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</si>
</sst>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163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731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682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173</v>
      </c>
      <c r="D64" s="55">
        <v>650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167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4683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6" sqref="C16: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174</v>
      </c>
      <c r="E11" s="27" t="s">
        <v>186</v>
      </c>
      <c r="F11" s="55"/>
      <c r="G11" s="55"/>
      <c r="H11" s="55">
        <v>1</v>
      </c>
      <c r="I11" s="55">
        <v>80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197</v>
      </c>
      <c r="D12" s="27" t="s">
        <v>174</v>
      </c>
      <c r="E12" s="27" t="s">
        <v>186</v>
      </c>
      <c r="F12" s="55"/>
      <c r="G12" s="55"/>
      <c r="H12" s="55">
        <v>2</v>
      </c>
      <c r="I12" s="55">
        <v>80</v>
      </c>
      <c r="J12" s="55">
        <f t="shared" ref="J12:J26" si="0">H12*I12</f>
        <v>160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174</v>
      </c>
      <c r="E13" s="27" t="s">
        <v>198</v>
      </c>
      <c r="F13" s="55"/>
      <c r="G13" s="55"/>
      <c r="H13" s="55">
        <v>4</v>
      </c>
      <c r="I13" s="55">
        <v>45</v>
      </c>
      <c r="J13" s="55">
        <f t="shared" si="0"/>
        <v>180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190</v>
      </c>
      <c r="E14" s="27" t="s">
        <v>199</v>
      </c>
      <c r="F14" s="55"/>
      <c r="G14" s="55"/>
      <c r="H14" s="55">
        <v>1</v>
      </c>
      <c r="I14" s="55">
        <v>35</v>
      </c>
      <c r="J14" s="55">
        <f t="shared" si="0"/>
        <v>35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187</v>
      </c>
      <c r="E15" s="27" t="s">
        <v>189</v>
      </c>
      <c r="F15" s="55"/>
      <c r="G15" s="55"/>
      <c r="H15" s="55">
        <v>2</v>
      </c>
      <c r="I15" s="55">
        <v>138</v>
      </c>
      <c r="J15" s="55">
        <f t="shared" si="0"/>
        <v>276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>SUM(J11:J20)</f>
        <v>731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7" workbookViewId="0">
      <selection activeCell="F28" sqref="F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195</v>
      </c>
      <c r="D16" s="70" t="s">
        <v>29</v>
      </c>
      <c r="E16" s="55">
        <v>2</v>
      </c>
      <c r="F16" s="55">
        <v>61</v>
      </c>
      <c r="G16" s="55">
        <f>E16*F16</f>
        <v>122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29</v>
      </c>
      <c r="E17" s="55">
        <v>1</v>
      </c>
      <c r="F17" s="55">
        <v>35</v>
      </c>
      <c r="G17" s="55">
        <f t="shared" ref="G17:G29" si="0">E17*F17</f>
        <v>35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29</v>
      </c>
      <c r="E19" s="55">
        <v>2</v>
      </c>
      <c r="F19" s="55">
        <v>6</v>
      </c>
      <c r="G19" s="55">
        <f t="shared" si="0"/>
        <v>12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29</v>
      </c>
      <c r="E20" s="55">
        <v>3</v>
      </c>
      <c r="F20" s="55">
        <v>7</v>
      </c>
      <c r="G20" s="55">
        <f t="shared" si="0"/>
        <v>21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170</v>
      </c>
      <c r="D21" s="70" t="s">
        <v>29</v>
      </c>
      <c r="E21" s="55">
        <v>3</v>
      </c>
      <c r="F21" s="55">
        <v>6</v>
      </c>
      <c r="G21" s="55">
        <f t="shared" si="0"/>
        <v>18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178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175</v>
      </c>
      <c r="D23" s="70" t="s">
        <v>29</v>
      </c>
      <c r="E23" s="55">
        <v>2</v>
      </c>
      <c r="F23" s="55">
        <v>4</v>
      </c>
      <c r="G23" s="55">
        <f t="shared" si="0"/>
        <v>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168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194</v>
      </c>
      <c r="D25" s="70" t="s">
        <v>29</v>
      </c>
      <c r="E25" s="55">
        <v>2</v>
      </c>
      <c r="F25" s="55">
        <v>2</v>
      </c>
      <c r="G25" s="55">
        <f t="shared" si="0"/>
        <v>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196</v>
      </c>
      <c r="D26" s="70" t="s">
        <v>29</v>
      </c>
      <c r="E26" s="55">
        <v>3</v>
      </c>
      <c r="F26" s="55">
        <v>7</v>
      </c>
      <c r="G26" s="55">
        <f t="shared" si="0"/>
        <v>21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184</v>
      </c>
      <c r="D27" s="70" t="s">
        <v>29</v>
      </c>
      <c r="E27" s="55">
        <v>1</v>
      </c>
      <c r="F27" s="55">
        <v>22</v>
      </c>
      <c r="G27" s="55">
        <f t="shared" si="0"/>
        <v>22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>SUM(G16:G29)</f>
        <v>420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77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>
        <f>E32*F32</f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>
        <f t="shared" ref="G33:G40" si="1">E33*F33</f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>
        <f t="shared" si="1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>
        <f t="shared" si="1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>
        <f>SUM(G32:G38)</f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30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G0RHz/j6fOaue3OJxQHO/ykG2pLps007XW7/kcXufS263TOFImIxRyFneN1wBJgoEYrY6bUtB8p54N8xX08ObQ==" saltValue="56rXurxOPXMJYv+bK4zEuw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171</v>
      </c>
      <c r="N12" s="90" t="s">
        <v>172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177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20</v>
      </c>
      <c r="N14" s="55"/>
      <c r="P14" s="88">
        <f t="shared" ref="P14:P22" si="0">SUM(D14:N14)</f>
        <v>50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179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0</v>
      </c>
      <c r="P30" s="89">
        <f>SUM(P13:P22)</f>
        <v>195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2018-06-11T06:10:44Z</dcterms:modified>
</cp:coreProperties>
</file>