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Supplies_Medical'!$C$15:$C$52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29" i="9" l="1"/>
  <c r="G28" i="9"/>
  <c r="J20" i="2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0" i="9" l="1"/>
  <c r="G33" i="9"/>
  <c r="G34" i="9"/>
  <c r="G35" i="9"/>
  <c r="G36" i="9"/>
  <c r="G37" i="9"/>
  <c r="G38" i="9"/>
  <c r="G39" i="9"/>
  <c r="G40" i="9"/>
  <c r="G32" i="9"/>
  <c r="J21" i="2"/>
  <c r="J23" i="2"/>
  <c r="J24" i="2"/>
  <c r="J25" i="2"/>
  <c r="J26" i="2"/>
  <c r="G41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J22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<sst xmlns="http://schemas.openxmlformats.org/spreadsheetml/2006/main" count="500" uniqueCount="205">
  <si>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</si>
  <si>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</si>
  <si>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</si>
  <si>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</si>
  <si>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</si>
  <si>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</si>
  <si>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</si>
  <si>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</si>
  <si>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</si>
  <si>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</si>
  <si>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</si>
  <si>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</si>
  <si>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</si>
  <si>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</si>
  <si>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</si>
  <si>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</si>
  <si>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</si>
  <si>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</si>
  <si>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</si>
  <si>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</si>
  <si>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</si>
  <si>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</si>
  <si>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</si>
  <si>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</si>
  <si>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</si>
  <si>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</si>
  <si>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</si>
  <si>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</si>
  <si>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</si>
  <si>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</si>
  <si>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</si>
  <si>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</si>
  <si>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</si>
  <si>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</si>
  <si>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</si>
  <si>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</si>
  <si>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</si>
  <si>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</si>
  <si>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</si>
  <si>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</si>
  <si>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</si>
  <si>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</si>
  <si>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</si>
  <si>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</si>
  <si>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</si>
  <si>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</si>
  <si>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</si>
  <si>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</si>
  <si>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</si>
  <si>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</si>
  <si>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</si>
  <si>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</si>
  <si>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</si>
  <si>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</si>
  <si>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</si>
  <si>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</si>
  <si>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</si>
  <si>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</si>
  <si>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</si>
  <si>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</si>
  <si>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</si>
  <si>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</si>
  <si>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</si>
  <si>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</si>
  <si>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</si>
  <si>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</si>
  <si>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</si>
  <si>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</si>
  <si>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</si>
  <si>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</si>
  <si>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</si>
  <si>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</si>
  <si>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</si>
  <si>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</si>
  <si>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</si>
  <si>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</si>
  <si>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</si>
  <si>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</si>
  <si>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</si>
  <si>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</si>
  <si>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</si>
  <si>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</si>
  <si>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</si>
  <si>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</si>
  <si>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</si>
  <si>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</si>
  <si>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</si>
  <si>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</si>
  <si>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</si>
  <si>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</si>
  <si>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</si>
  <si>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</si>
  <si>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</si>
  <si>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</si>
  <si>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</si>
  <si>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</si>
  <si>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</si>
  <si>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</si>
  <si>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</si>
  <si>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</si>
  <si>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</si>
  <si>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</si>
  <si>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</si>
  <si>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</si>
  <si>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</si>
  <si>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</si>
  <si>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</si>
  <si>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</si>
  <si>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</si>
  <si>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</si>
  <si>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</si>
  <si>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</si>
  <si>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</si>
  <si>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</si>
  <si>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</si>
  <si>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</si>
  <si>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</si>
  <si>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</si>
  <si>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</si>
  <si>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</si>
  <si>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</si>
  <si>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</si>
  <si>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</si>
  <si>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</si>
  <si>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</si>
  <si>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</si>
  <si>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</si>
  <si>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</si>
  <si>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</si>
  <si>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</si>
  <si>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</si>
  <si>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</si>
  <si>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</si>
  <si>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</si>
  <si>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</si>
  <si>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</si>
  <si>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</si>
  <si>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</si>
  <si>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</si>
  <si>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</si>
  <si>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</si>
  <si>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</si>
  <si>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</si>
  <si>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</si>
  <si>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</si>
  <si>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</si>
  <si>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</si>
  <si>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</si>
  <si>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</si>
  <si>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</si>
  <si>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</si>
  <si>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</si>
  <si>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</si>
  <si>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</si>
  <si>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</si>
  <si>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</si>
  <si>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</si>
  <si>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</si>
  <si>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</si>
  <si>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</si>
  <si>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</si>
  <si>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</si>
  <si>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</si>
  <si>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</si>
  <si>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</si>
  <si>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</si>
  <si>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</si>
  <si>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</si>
  <si>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</si>
  <si>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</si>
  <si>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MEDICAL TECHNOLOGIST</t>
  </si>
  <si>
    <t>RADIOLOGIC TECHNOLOGIST</t>
  </si>
  <si>
    <t>CBC PLATELET COUNT</t>
  </si>
  <si>
    <t>URINALYSIS</t>
  </si>
  <si>
    <t>LABORATORY</t>
  </si>
  <si>
    <t>BOTTLE/IV</t>
  </si>
  <si>
    <t>1000 ml</t>
  </si>
  <si>
    <t>VIAL/IV</t>
  </si>
  <si>
    <t>STERILE WATER FOR INJECTION</t>
  </si>
  <si>
    <t>POLYAMPULE/V</t>
  </si>
  <si>
    <t>10 mg</t>
  </si>
  <si>
    <t>CIPROFLOXACIN</t>
  </si>
  <si>
    <t>IV SET ADULT</t>
  </si>
  <si>
    <t>10CC SYRINGE</t>
  </si>
  <si>
    <t>IV SPLINT ADULT</t>
  </si>
  <si>
    <t>GLOVES UNSTERILE MEDIUM</t>
  </si>
  <si>
    <t>Procedure</t>
  </si>
  <si>
    <t>ADHESIVE PLASTER</t>
  </si>
  <si>
    <t>Consultation in the ER</t>
  </si>
  <si>
    <t>ACUTE GASTROENTERITIS</t>
  </si>
  <si>
    <t>A09.9</t>
  </si>
  <si>
    <t>FECALYSIS</t>
  </si>
  <si>
    <t>HYOSCINE N BUTYL BROMIDE</t>
  </si>
  <si>
    <t>AMPULE/IV</t>
  </si>
  <si>
    <t>20 mg/ml</t>
  </si>
  <si>
    <t>METOCLOPRAMIDE</t>
  </si>
  <si>
    <t>5 mg/2 ml</t>
  </si>
  <si>
    <t>ID BRACELET</t>
  </si>
  <si>
    <t>ELECTROLYTES</t>
  </si>
  <si>
    <t>LRS</t>
  </si>
  <si>
    <t>2mg/100 ml</t>
  </si>
  <si>
    <t>RANITIDINE</t>
  </si>
  <si>
    <t>25 mg/ml</t>
  </si>
  <si>
    <t>IV CATHETER G 22</t>
  </si>
  <si>
    <t>TONGUE DEPRESSOR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</si>
</sst>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31</xdr:row>
          <xdr:rowOff>28575</xdr:rowOff>
        </xdr:from>
        <xdr:to>
          <xdr:col>1</xdr:col>
          <xdr:colOff>762000</xdr:colOff>
          <xdr:row>31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31</xdr:row>
          <xdr:rowOff>28575</xdr:rowOff>
        </xdr:from>
        <xdr:to>
          <xdr:col>1</xdr:col>
          <xdr:colOff>1533525</xdr:colOff>
          <xdr:row>31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28575</xdr:rowOff>
        </xdr:from>
        <xdr:to>
          <xdr:col>1</xdr:col>
          <xdr:colOff>771525</xdr:colOff>
          <xdr:row>42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28575</xdr:rowOff>
        </xdr:from>
        <xdr:to>
          <xdr:col>1</xdr:col>
          <xdr:colOff>1543050</xdr:colOff>
          <xdr:row>42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7" zoomScaleNormal="100" workbookViewId="0">
      <selection activeCell="E65" sqref="E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189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198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163</v>
      </c>
      <c r="D60" s="55">
        <v>400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>
        <v>10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165</v>
      </c>
      <c r="D62" s="55">
        <v>3015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166</v>
      </c>
      <c r="D63" s="55">
        <v>408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174</v>
      </c>
      <c r="D64" s="55">
        <v>367</v>
      </c>
      <c r="E64" s="55">
        <v>583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167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6000</v>
      </c>
      <c r="E71" s="59">
        <f>SUM(E60:E70)</f>
        <v>583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7" sqref="I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199</v>
      </c>
      <c r="D11" s="27" t="s">
        <v>175</v>
      </c>
      <c r="E11" s="27" t="s">
        <v>176</v>
      </c>
      <c r="F11" s="55"/>
      <c r="G11" s="55"/>
      <c r="H11" s="55">
        <v>4</v>
      </c>
      <c r="I11" s="55">
        <v>80</v>
      </c>
      <c r="J11" s="55">
        <f>H11*I11</f>
        <v>320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192</v>
      </c>
      <c r="D12" s="27" t="s">
        <v>193</v>
      </c>
      <c r="E12" s="27" t="s">
        <v>194</v>
      </c>
      <c r="F12" s="55"/>
      <c r="G12" s="55"/>
      <c r="H12" s="55">
        <v>4</v>
      </c>
      <c r="I12" s="55">
        <v>55</v>
      </c>
      <c r="J12" s="55">
        <f t="shared" ref="J12:J26" si="0">H12*I12</f>
        <v>220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177</v>
      </c>
      <c r="E13" s="27" t="s">
        <v>200</v>
      </c>
      <c r="F13" s="55"/>
      <c r="G13" s="55"/>
      <c r="H13" s="55">
        <v>9</v>
      </c>
      <c r="I13" s="55">
        <v>260</v>
      </c>
      <c r="J13" s="55">
        <f t="shared" si="0"/>
        <v>2340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195</v>
      </c>
      <c r="D14" s="27" t="s">
        <v>193</v>
      </c>
      <c r="E14" s="27" t="s">
        <v>196</v>
      </c>
      <c r="F14" s="55"/>
      <c r="G14" s="55"/>
      <c r="H14" s="55">
        <v>1</v>
      </c>
      <c r="I14" s="55">
        <v>20</v>
      </c>
      <c r="J14" s="55">
        <f t="shared" si="0"/>
        <v>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178</v>
      </c>
      <c r="D15" s="27" t="s">
        <v>179</v>
      </c>
      <c r="E15" s="27" t="s">
        <v>180</v>
      </c>
      <c r="F15" s="55"/>
      <c r="G15" s="55"/>
      <c r="H15" s="55">
        <v>2</v>
      </c>
      <c r="I15" s="55">
        <v>40</v>
      </c>
      <c r="J15" s="55">
        <f t="shared" si="0"/>
        <v>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201</v>
      </c>
      <c r="D16" s="27" t="s">
        <v>193</v>
      </c>
      <c r="E16" s="27" t="s">
        <v>202</v>
      </c>
      <c r="F16" s="55"/>
      <c r="G16" s="55"/>
      <c r="H16" s="55">
        <v>1</v>
      </c>
      <c r="I16" s="55">
        <v>35</v>
      </c>
      <c r="J16" s="55">
        <f t="shared" si="0"/>
        <v>35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>SUM(J11:J20)</f>
        <v>3015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6"/>
  <sheetViews>
    <sheetView topLeftCell="A7"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203</v>
      </c>
      <c r="D16" s="70" t="s">
        <v>29</v>
      </c>
      <c r="E16" s="55">
        <v>1</v>
      </c>
      <c r="F16" s="55">
        <v>61</v>
      </c>
      <c r="G16" s="55">
        <f>E16*F16</f>
        <v>61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29</v>
      </c>
      <c r="E17" s="55">
        <v>1</v>
      </c>
      <c r="F17" s="55">
        <v>32</v>
      </c>
      <c r="G17" s="55">
        <f t="shared" ref="G17:G29" si="0">E17*F17</f>
        <v>32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197</v>
      </c>
      <c r="D18" s="70" t="s">
        <v>29</v>
      </c>
      <c r="E18" s="55">
        <v>1</v>
      </c>
      <c r="F18" s="55">
        <v>7</v>
      </c>
      <c r="G18" s="55">
        <f t="shared" si="0"/>
        <v>7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169</v>
      </c>
      <c r="D19" s="70" t="s">
        <v>29</v>
      </c>
      <c r="E19" s="55">
        <v>2</v>
      </c>
      <c r="F19" s="55">
        <v>6</v>
      </c>
      <c r="G19" s="55">
        <f t="shared" si="0"/>
        <v>12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183</v>
      </c>
      <c r="D20" s="70" t="s">
        <v>29</v>
      </c>
      <c r="E20" s="55">
        <v>3</v>
      </c>
      <c r="F20" s="55">
        <v>8</v>
      </c>
      <c r="G20" s="55">
        <f t="shared" si="0"/>
        <v>24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184</v>
      </c>
      <c r="D21" s="70" t="s">
        <v>29</v>
      </c>
      <c r="E21" s="55">
        <v>1</v>
      </c>
      <c r="F21" s="55">
        <v>110</v>
      </c>
      <c r="G21" s="55">
        <f t="shared" si="0"/>
        <v>110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187</v>
      </c>
      <c r="D22" s="70" t="s">
        <v>29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185</v>
      </c>
      <c r="D23" s="70" t="s">
        <v>29</v>
      </c>
      <c r="E23" s="55">
        <v>2</v>
      </c>
      <c r="F23" s="55">
        <v>4</v>
      </c>
      <c r="G23" s="55">
        <f t="shared" si="0"/>
        <v>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168</v>
      </c>
      <c r="D24" s="70" t="s">
        <v>29</v>
      </c>
      <c r="E24" s="55">
        <v>1</v>
      </c>
      <c r="F24" s="55">
        <v>85</v>
      </c>
      <c r="G24" s="55">
        <f t="shared" si="0"/>
        <v>85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204</v>
      </c>
      <c r="D25" s="70" t="s">
        <v>29</v>
      </c>
      <c r="E25" s="55">
        <v>2</v>
      </c>
      <c r="F25" s="55">
        <v>2</v>
      </c>
      <c r="G25" s="55">
        <f t="shared" si="0"/>
        <v>4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>SUM(G16:G29)</f>
        <v>408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6" t="s">
        <v>77</v>
      </c>
      <c r="C31" s="137"/>
      <c r="D31" s="137"/>
      <c r="E31" s="137"/>
      <c r="F31" s="137"/>
      <c r="G31" s="138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>
        <f>E32*F32</f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2</v>
      </c>
      <c r="C33" s="69"/>
      <c r="D33" s="70"/>
      <c r="E33" s="55"/>
      <c r="F33" s="55"/>
      <c r="G33" s="55">
        <f t="shared" ref="G33:G40" si="1">E33*F33</f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3</v>
      </c>
      <c r="C34" s="69"/>
      <c r="D34" s="70"/>
      <c r="E34" s="55"/>
      <c r="F34" s="55"/>
      <c r="G34" s="55">
        <f t="shared" si="1"/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4</v>
      </c>
      <c r="C35" s="69"/>
      <c r="D35" s="70"/>
      <c r="E35" s="55"/>
      <c r="F35" s="55"/>
      <c r="G35" s="55">
        <f t="shared" si="1"/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5</v>
      </c>
      <c r="C36" s="69"/>
      <c r="D36" s="70"/>
      <c r="E36" s="55"/>
      <c r="F36" s="55"/>
      <c r="G36" s="55">
        <f t="shared" si="1"/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6</v>
      </c>
      <c r="C37" s="69"/>
      <c r="D37" s="70"/>
      <c r="E37" s="55"/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7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8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9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10</v>
      </c>
      <c r="C41" s="69"/>
      <c r="D41" s="70"/>
      <c r="E41" s="55"/>
      <c r="F41" s="55"/>
      <c r="G41" s="55">
        <f>SUM(G32:G38)</f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136" t="s">
        <v>30</v>
      </c>
      <c r="C42" s="137"/>
      <c r="D42" s="137"/>
      <c r="E42" s="137"/>
      <c r="F42" s="137"/>
      <c r="G42" s="138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4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5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6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7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8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9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10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algorithmName="SHA-512" hashValue="G0RHz/j6fOaue3OJxQHO/ykG2pLps007XW7/kcXufS263TOFImIxRyFneN1wBJgoEYrY6bUtB8p54N8xX08ObQ==" saltValue="56rXurxOPXMJYv+bK4zEuw==" spinCount="100000" sheet="1" objects="1" scenarios="1" formatColumns="0" formatRows="0" sort="0" autoFilter="0"/>
  <mergeCells count="9">
    <mergeCell ref="B7:G7"/>
    <mergeCell ref="B31:G31"/>
    <mergeCell ref="B42:G4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31</xdr:row>
                    <xdr:rowOff>28575</xdr:rowOff>
                  </from>
                  <to>
                    <xdr:col>1</xdr:col>
                    <xdr:colOff>762000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31</xdr:row>
                    <xdr:rowOff>28575</xdr:rowOff>
                  </from>
                  <to>
                    <xdr:col>1</xdr:col>
                    <xdr:colOff>1533525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42</xdr:row>
                    <xdr:rowOff>28575</xdr:rowOff>
                  </from>
                  <to>
                    <xdr:col>1</xdr:col>
                    <xdr:colOff>771525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42</xdr:row>
                    <xdr:rowOff>28575</xdr:rowOff>
                  </from>
                  <to>
                    <xdr:col>1</xdr:col>
                    <xdr:colOff>1543050</xdr:colOff>
                    <xdr:row>42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170</v>
      </c>
      <c r="N12" s="90" t="s">
        <v>171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20</v>
      </c>
      <c r="F13" s="55"/>
      <c r="G13" s="55">
        <v>30</v>
      </c>
      <c r="H13" s="55"/>
      <c r="I13" s="55"/>
      <c r="J13" s="55"/>
      <c r="K13" s="55"/>
      <c r="L13" s="55"/>
      <c r="M13" s="55"/>
      <c r="N13" s="55"/>
      <c r="P13" s="88">
        <f>SUM(D13:N13)</f>
        <v>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186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30</v>
      </c>
      <c r="N14" s="55"/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188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35</v>
      </c>
      <c r="F30" s="88">
        <f t="shared" si="1"/>
        <v>0</v>
      </c>
      <c r="G30" s="88">
        <f t="shared" si="1"/>
        <v>90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30</v>
      </c>
      <c r="N30" s="88">
        <f t="shared" si="1"/>
        <v>0</v>
      </c>
      <c r="P30" s="89">
        <f>SUM(P13:P22)</f>
        <v>155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2018-06-11T05:38:35Z</dcterms:modified>
</cp:coreProperties>
</file>