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9" i="9" l="1"/>
  <c r="G28" i="9"/>
  <c r="J20" i="2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0" i="9" l="1"/>
  <c r="G33" i="9"/>
  <c r="G34" i="9"/>
  <c r="G35" i="9"/>
  <c r="G36" i="9"/>
  <c r="G37" i="9"/>
  <c r="G38" i="9"/>
  <c r="G39" i="9"/>
  <c r="G40" i="9"/>
  <c r="G32" i="9"/>
  <c r="J21" i="2"/>
  <c r="J23" i="2"/>
  <c r="J24" i="2"/>
  <c r="J25" i="2"/>
  <c r="J26" i="2"/>
  <c r="G4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2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<sst xmlns="http://schemas.openxmlformats.org/spreadsheetml/2006/main" count="504" uniqueCount="208">
  <si>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</si>
  <si>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</si>
  <si>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</si>
  <si>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</si>
  <si>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</si>
  <si>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</si>
  <si>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</si>
  <si>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</si>
  <si>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</si>
  <si>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</si>
  <si>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</si>
  <si>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</si>
  <si>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</si>
  <si>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</si>
  <si>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</si>
  <si>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</si>
  <si>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</si>
  <si>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</si>
  <si>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</si>
  <si>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</si>
  <si>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</si>
  <si>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</si>
  <si>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</si>
  <si>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</si>
  <si>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</si>
  <si>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</si>
  <si>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</si>
  <si>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</si>
  <si>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</si>
  <si>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</si>
  <si>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</si>
  <si>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</si>
  <si>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</si>
  <si>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</si>
  <si>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</si>
  <si>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</si>
  <si>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</si>
  <si>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</si>
  <si>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</si>
  <si>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</si>
  <si>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</si>
  <si>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</si>
  <si>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</si>
  <si>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</si>
  <si>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</si>
  <si>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</si>
  <si>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</si>
  <si>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</si>
  <si>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</si>
  <si>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</si>
  <si>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</si>
  <si>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</si>
  <si>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</si>
  <si>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</si>
  <si>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</si>
  <si>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</si>
  <si>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</si>
  <si>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</si>
  <si>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</si>
  <si>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</si>
  <si>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</si>
  <si>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</si>
  <si>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</si>
  <si>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</si>
  <si>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</si>
  <si>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</si>
  <si>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</si>
  <si>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</si>
  <si>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</si>
  <si>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</si>
  <si>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</si>
  <si>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</si>
  <si>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</si>
  <si>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</si>
  <si>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</si>
  <si>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</si>
  <si>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</si>
  <si>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</si>
  <si>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</si>
  <si>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</si>
  <si>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</si>
  <si>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</si>
  <si>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</si>
  <si>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</si>
  <si>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</si>
  <si>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</si>
  <si>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</si>
  <si>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</si>
  <si>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</si>
  <si>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</si>
  <si>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</si>
  <si>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</si>
  <si>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</si>
  <si>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</si>
  <si>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</si>
  <si>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</si>
  <si>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</si>
  <si>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</si>
  <si>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</si>
  <si>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</si>
  <si>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</si>
  <si>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</si>
  <si>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</si>
  <si>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</si>
  <si>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</si>
  <si>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</si>
  <si>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</si>
  <si>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</si>
  <si>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</si>
  <si>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</si>
  <si>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</si>
  <si>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</si>
  <si>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</si>
  <si>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</si>
  <si>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</si>
  <si>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</si>
  <si>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</si>
  <si>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</si>
  <si>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</si>
  <si>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</si>
  <si>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</si>
  <si>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</si>
  <si>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</si>
  <si>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</si>
  <si>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</si>
  <si>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</si>
  <si>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</si>
  <si>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</si>
  <si>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</si>
  <si>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</si>
  <si>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</si>
  <si>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</si>
  <si>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</si>
  <si>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</si>
  <si>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</si>
  <si>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</si>
  <si>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</si>
  <si>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</si>
  <si>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</si>
  <si>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</si>
  <si>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</si>
  <si>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</si>
  <si>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</si>
  <si>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</si>
  <si>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</si>
  <si>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</si>
  <si>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</si>
  <si>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</si>
  <si>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</si>
  <si>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</si>
  <si>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</si>
  <si>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</si>
  <si>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</si>
  <si>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</si>
  <si>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</si>
  <si>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</si>
  <si>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</si>
  <si>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</si>
  <si>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</si>
  <si>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</si>
  <si>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</si>
  <si>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</si>
  <si>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</si>
  <si>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</si>
  <si>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</si>
  <si>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</si>
  <si>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</si>
  <si>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</si>
  <si>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</si>
  <si>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</si>
  <si>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</si>
  <si>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</si>
  <si>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</si>
  <si>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URINALYSIS</t>
  </si>
  <si>
    <t>LABORATORY</t>
  </si>
  <si>
    <t>BOTTLE/IV</t>
  </si>
  <si>
    <t>VIAL/IV</t>
  </si>
  <si>
    <t>STERILE WATER FOR INJECTION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</si>
  <si>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</si>
  <si>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</si>
  <si>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</si>
  <si>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</si>
  <si>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</si>
  <si>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</si>
  <si>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</si>
  <si>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FECALYSIS</t>
  </si>
  <si>
    <t>AMPULE/IV</t>
  </si>
  <si>
    <t>METOCLOPRAMIDE</t>
  </si>
  <si>
    <t>5 mg/2 ml</t>
  </si>
  <si>
    <t>D5 0.3 NACL</t>
  </si>
  <si>
    <t>500 ml</t>
  </si>
  <si>
    <t>IV SET PEDIA</t>
  </si>
  <si>
    <t>ID BRACELET</t>
  </si>
  <si>
    <t>ELECTROLYTES</t>
  </si>
  <si>
    <t>RANITIDINE</t>
  </si>
  <si>
    <t>25 mg/ml</t>
  </si>
  <si>
    <t>IV CATHETER G 24</t>
  </si>
  <si>
    <t>IV SPLINT PEDIA</t>
  </si>
  <si>
    <t>SUSPENSION/ORAL</t>
  </si>
  <si>
    <t>POLYAMPULE/IV</t>
  </si>
  <si>
    <t>10 ml</t>
  </si>
  <si>
    <t>D5 IMB</t>
  </si>
  <si>
    <t xml:space="preserve">CEFUROXIME </t>
  </si>
  <si>
    <t>750 mg/ml</t>
  </si>
  <si>
    <t>CEFACLOR</t>
  </si>
  <si>
    <t>125 mg/5 ml</t>
  </si>
  <si>
    <t>X-RAY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</si>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</sst>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E67" sqref="E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>
        <v>1118</v>
      </c>
      <c r="E60" s="55">
        <v>82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1320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782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950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206</v>
      </c>
      <c r="D66" s="55"/>
      <c r="E66" s="55">
        <v>210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292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H18" sqref="H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175</v>
      </c>
      <c r="E11" s="27" t="s">
        <v>190</v>
      </c>
      <c r="F11" s="55"/>
      <c r="G11" s="55"/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201</v>
      </c>
      <c r="D12" s="27" t="s">
        <v>175</v>
      </c>
      <c r="E12" s="27" t="s">
        <v>190</v>
      </c>
      <c r="F12" s="55"/>
      <c r="G12" s="55"/>
      <c r="H12" s="55">
        <v>2</v>
      </c>
      <c r="I12" s="55">
        <v>80</v>
      </c>
      <c r="J12" s="55">
        <f t="shared" ref="J12:J26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204</v>
      </c>
      <c r="D13" s="27" t="s">
        <v>198</v>
      </c>
      <c r="E13" s="27" t="s">
        <v>205</v>
      </c>
      <c r="F13" s="55"/>
      <c r="G13" s="55"/>
      <c r="H13" s="55">
        <v>2</v>
      </c>
      <c r="I13" s="55">
        <v>200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186</v>
      </c>
      <c r="E14" s="27" t="s">
        <v>188</v>
      </c>
      <c r="F14" s="55"/>
      <c r="G14" s="55"/>
      <c r="H14" s="55">
        <v>3</v>
      </c>
      <c r="I14" s="55">
        <v>20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176</v>
      </c>
      <c r="E15" s="27" t="s">
        <v>203</v>
      </c>
      <c r="F15" s="55"/>
      <c r="G15" s="55"/>
      <c r="H15" s="55">
        <v>4</v>
      </c>
      <c r="I15" s="55">
        <v>55</v>
      </c>
      <c r="J15" s="55">
        <f t="shared" si="0"/>
        <v>220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186</v>
      </c>
      <c r="E16" s="27" t="s">
        <v>195</v>
      </c>
      <c r="F16" s="55"/>
      <c r="G16" s="55"/>
      <c r="H16" s="55">
        <v>8</v>
      </c>
      <c r="I16" s="55">
        <v>35</v>
      </c>
      <c r="J16" s="55">
        <f t="shared" si="0"/>
        <v>280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177</v>
      </c>
      <c r="D17" s="27" t="s">
        <v>199</v>
      </c>
      <c r="E17" s="27" t="s">
        <v>200</v>
      </c>
      <c r="F17" s="55"/>
      <c r="G17" s="55"/>
      <c r="H17" s="55">
        <v>3</v>
      </c>
      <c r="I17" s="55">
        <v>40</v>
      </c>
      <c r="J17" s="55">
        <f t="shared" si="0"/>
        <v>120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SUM(J11:J20)</f>
        <v>1320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7" workbookViewId="0">
      <selection activeCell="D29" sqref="D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29</v>
      </c>
      <c r="E16" s="55">
        <v>6</v>
      </c>
      <c r="F16" s="55">
        <v>61</v>
      </c>
      <c r="G16" s="55">
        <f>E16*F16</f>
        <v>366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29</v>
      </c>
      <c r="E17" s="55">
        <v>1</v>
      </c>
      <c r="F17" s="55">
        <v>35</v>
      </c>
      <c r="G17" s="55">
        <f t="shared" ref="G17:G29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29</v>
      </c>
      <c r="E19" s="55">
        <v>6</v>
      </c>
      <c r="F19" s="55">
        <v>6</v>
      </c>
      <c r="G19" s="55">
        <f t="shared" si="0"/>
        <v>36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29</v>
      </c>
      <c r="E20" s="55">
        <v>5</v>
      </c>
      <c r="F20" s="55">
        <v>7</v>
      </c>
      <c r="G20" s="55">
        <f t="shared" si="0"/>
        <v>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207</v>
      </c>
      <c r="D21" s="70" t="s">
        <v>29</v>
      </c>
      <c r="E21" s="55">
        <v>3</v>
      </c>
      <c r="F21" s="55">
        <v>8</v>
      </c>
      <c r="G21" s="55">
        <f t="shared" si="0"/>
        <v>24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181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29</v>
      </c>
      <c r="E23" s="55">
        <v>6</v>
      </c>
      <c r="F23" s="55">
        <v>4</v>
      </c>
      <c r="G23" s="55">
        <f t="shared" si="0"/>
        <v>24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168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197</v>
      </c>
      <c r="D25" s="70" t="s">
        <v>29</v>
      </c>
      <c r="E25" s="55">
        <v>1</v>
      </c>
      <c r="F25" s="55">
        <v>105</v>
      </c>
      <c r="G25" s="55">
        <f t="shared" si="0"/>
        <v>105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782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77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>
        <f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>
        <f t="shared" ref="G33:G40" si="1">E33*F33</f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>
        <f>SUM(G32:G38)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G0RHz/j6fOaue3OJxQHO/ykG2pLps007XW7/kcXufS263TOFImIxRyFneN1wBJgoEYrY6bUtB8p54N8xX08ObQ==" saltValue="56rXurxOPXMJYv+bK4zEuw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170</v>
      </c>
      <c r="N12" s="90" t="s">
        <v>171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60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180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>
        <v>15</v>
      </c>
      <c r="P14" s="88">
        <f t="shared" ref="P14:P22" si="0">SUM(D14:N14)</f>
        <v>75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182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15</v>
      </c>
      <c r="P30" s="89">
        <f>SUM(P13:P22)</f>
        <v>260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2018-06-13T00:30:49Z</dcterms:modified>
</cp:coreProperties>
</file>