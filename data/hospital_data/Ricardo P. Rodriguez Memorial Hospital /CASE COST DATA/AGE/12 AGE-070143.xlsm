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3" i="9" l="1"/>
  <c r="G36" i="9"/>
  <c r="G37" i="9"/>
  <c r="G38" i="9"/>
  <c r="G39" i="9"/>
  <c r="G40" i="9"/>
  <c r="G41" i="9"/>
  <c r="G42" i="9"/>
  <c r="G43" i="9"/>
  <c r="G35" i="9"/>
  <c r="J21" i="2"/>
  <c r="J22" i="2"/>
  <c r="J23" i="2"/>
  <c r="J24" i="2"/>
  <c r="J25" i="2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<sst xmlns="http://schemas.openxmlformats.org/spreadsheetml/2006/main" count="506" uniqueCount="207">
  <si>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</si>
  <si>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</si>
  <si>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</si>
  <si>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</si>
  <si>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</si>
  <si>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</si>
  <si>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</si>
  <si>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</si>
  <si>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</si>
  <si>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</si>
  <si>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</si>
  <si>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</si>
  <si>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</si>
  <si>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</si>
  <si>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</si>
  <si>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</si>
  <si>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</si>
  <si>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</si>
  <si>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</si>
  <si>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</si>
  <si>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</si>
  <si>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</si>
  <si>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</si>
  <si>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</si>
  <si>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</si>
  <si>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</si>
  <si>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</si>
  <si>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</si>
  <si>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</si>
  <si>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</si>
  <si>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</si>
  <si>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</si>
  <si>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</si>
  <si>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</si>
  <si>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</si>
  <si>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</si>
  <si>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</si>
  <si>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</si>
  <si>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</si>
  <si>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</si>
  <si>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</si>
  <si>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</si>
  <si>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</si>
  <si>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</si>
  <si>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</si>
  <si>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</si>
  <si>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</si>
  <si>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</si>
  <si>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</si>
  <si>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</si>
  <si>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</si>
  <si>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</si>
  <si>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</si>
  <si>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</si>
  <si>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</si>
  <si>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</si>
  <si>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</si>
  <si>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</si>
  <si>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</si>
  <si>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</si>
  <si>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</si>
  <si>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</si>
  <si>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</si>
  <si>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</si>
  <si>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</si>
  <si>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</si>
  <si>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</si>
  <si>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</si>
  <si>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</si>
  <si>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</si>
  <si>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</si>
  <si>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</si>
  <si>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</si>
  <si>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</si>
  <si>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</si>
  <si>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</si>
  <si>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</si>
  <si>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</si>
  <si>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</si>
  <si>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</si>
  <si>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</si>
  <si>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</si>
  <si>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</si>
  <si>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</si>
  <si>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</si>
  <si>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</si>
  <si>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</si>
  <si>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</si>
  <si>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</si>
  <si>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</si>
  <si>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</si>
  <si>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</si>
  <si>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</si>
  <si>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</si>
  <si>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</si>
  <si>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</si>
  <si>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</si>
  <si>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</si>
  <si>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</si>
  <si>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</si>
  <si>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</si>
  <si>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</si>
  <si>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</si>
  <si>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</si>
  <si>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</si>
  <si>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</si>
  <si>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</si>
  <si>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</si>
  <si>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</si>
  <si>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</si>
  <si>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</si>
  <si>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</si>
  <si>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</si>
  <si>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</si>
  <si>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</si>
  <si>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</si>
  <si>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</si>
  <si>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</si>
  <si>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</si>
  <si>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</si>
  <si>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</si>
  <si>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</si>
  <si>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</si>
  <si>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</si>
  <si>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</si>
  <si>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</si>
  <si>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</si>
  <si>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</si>
  <si>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</si>
  <si>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</si>
  <si>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</si>
  <si>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</si>
  <si>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</si>
  <si>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</si>
  <si>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</si>
  <si>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</si>
  <si>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</si>
  <si>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</si>
  <si>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</si>
  <si>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</si>
  <si>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</si>
  <si>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</si>
  <si>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</si>
  <si>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</si>
  <si>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</si>
  <si>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</si>
  <si>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</si>
  <si>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</si>
  <si>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</si>
  <si>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</si>
  <si>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</si>
  <si>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</si>
  <si>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</si>
  <si>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</si>
  <si>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</si>
  <si>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</si>
  <si>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</si>
  <si>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</si>
  <si>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</si>
  <si>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</si>
  <si>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</si>
  <si>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</si>
  <si>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</si>
  <si>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</si>
  <si>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</si>
  <si>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</si>
  <si>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</si>
  <si>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</si>
  <si>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</si>
  <si>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</si>
  <si>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</si>
  <si>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</si>
  <si>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</si>
  <si>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LABORATORY</t>
  </si>
  <si>
    <t>BOTTLE/IV</t>
  </si>
  <si>
    <t>ID BRACELET</t>
  </si>
  <si>
    <t>10CC SYRINGE</t>
  </si>
  <si>
    <t>5CC SYRINGE</t>
  </si>
  <si>
    <t>GLOVES UNSTERILE MEDIUM</t>
  </si>
  <si>
    <t>1CC SYRINGE</t>
  </si>
  <si>
    <t>Procedure</t>
  </si>
  <si>
    <t>Consultation in the ER</t>
  </si>
  <si>
    <t>ACUTE GASTROENTERITIS</t>
  </si>
  <si>
    <t>A09.9</t>
  </si>
  <si>
    <t>ELECTROLYTES</t>
  </si>
  <si>
    <t>X-RAY</t>
  </si>
  <si>
    <t>CHEST PA 8X10</t>
  </si>
  <si>
    <t>CHEST APL 8X10</t>
  </si>
  <si>
    <t>D5 0.3 NACL</t>
  </si>
  <si>
    <t>500 ml</t>
  </si>
  <si>
    <t>DIPHENHYDRAMINE HCL</t>
  </si>
  <si>
    <t>AMPULE/IV</t>
  </si>
  <si>
    <t>50 mg/ml</t>
  </si>
  <si>
    <t>PC</t>
  </si>
  <si>
    <t>HEPLOCK</t>
  </si>
  <si>
    <t>IV CATHETER G 26</t>
  </si>
  <si>
    <t>IV SPLINT PEDIA</t>
  </si>
  <si>
    <t>SOLUSET</t>
  </si>
  <si>
    <t>FECALYSIS</t>
  </si>
  <si>
    <t>SYRUP/ORAL</t>
  </si>
  <si>
    <t>12.50 mg/ml</t>
  </si>
  <si>
    <t>PARACETAMOL</t>
  </si>
  <si>
    <t>BOTTLE/ORAL</t>
  </si>
  <si>
    <t>125 mg/5 ml</t>
  </si>
  <si>
    <t>PLASTER TRANSPORE</t>
  </si>
  <si>
    <t>IV CATHETER G 24</t>
  </si>
  <si>
    <t>IV SET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</si>
</sst>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57" zoomScaleNormal="100" workbookViewId="0">
      <selection activeCell="E61" sqref="E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186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187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731</v>
      </c>
      <c r="E60" s="55">
        <v>469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797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1182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>
        <v>1150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185</v>
      </c>
      <c r="D66" s="55">
        <v>310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469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5" sqref="C15: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174</v>
      </c>
      <c r="E11" s="27" t="s">
        <v>189</v>
      </c>
      <c r="F11" s="55"/>
      <c r="G11" s="55"/>
      <c r="H11" s="55">
        <v>2</v>
      </c>
      <c r="I11" s="55">
        <v>80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191</v>
      </c>
      <c r="E12" s="27" t="s">
        <v>192</v>
      </c>
      <c r="F12" s="55"/>
      <c r="G12" s="55"/>
      <c r="H12" s="55">
        <v>4</v>
      </c>
      <c r="I12" s="55">
        <v>145</v>
      </c>
      <c r="J12" s="55">
        <f t="shared" ref="J12:J26" si="0">H12*I12</f>
        <v>580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199</v>
      </c>
      <c r="E13" s="27" t="s">
        <v>200</v>
      </c>
      <c r="F13" s="55"/>
      <c r="G13" s="55"/>
      <c r="H13" s="55">
        <v>1</v>
      </c>
      <c r="I13" s="55">
        <v>30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202</v>
      </c>
      <c r="E14" s="27" t="s">
        <v>203</v>
      </c>
      <c r="F14" s="55"/>
      <c r="G14" s="55"/>
      <c r="H14" s="55">
        <v>1</v>
      </c>
      <c r="I14" s="55">
        <v>27</v>
      </c>
      <c r="J14" s="55">
        <f t="shared" si="0"/>
        <v>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797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2" workbookViewId="0">
      <selection activeCell="E31" sqref="E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193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193</v>
      </c>
      <c r="E17" s="55">
        <v>6</v>
      </c>
      <c r="F17" s="55">
        <v>6</v>
      </c>
      <c r="G17" s="55">
        <f t="shared" ref="G17:G32" si="0">E17*F17</f>
        <v>36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193</v>
      </c>
      <c r="E18" s="55">
        <v>6</v>
      </c>
      <c r="F18" s="55">
        <v>4</v>
      </c>
      <c r="G18" s="55">
        <f t="shared" si="0"/>
        <v>24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193</v>
      </c>
      <c r="E19" s="55">
        <v>7</v>
      </c>
      <c r="F19" s="55">
        <v>8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193</v>
      </c>
      <c r="E20" s="55">
        <v>3</v>
      </c>
      <c r="F20" s="55">
        <v>7</v>
      </c>
      <c r="G20" s="55">
        <f t="shared" si="0"/>
        <v>21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169</v>
      </c>
      <c r="D21" s="70" t="s">
        <v>193</v>
      </c>
      <c r="E21" s="55">
        <v>8</v>
      </c>
      <c r="F21" s="55">
        <v>6</v>
      </c>
      <c r="G21" s="55">
        <f t="shared" si="0"/>
        <v>48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193</v>
      </c>
      <c r="E22" s="55">
        <v>5</v>
      </c>
      <c r="F22" s="55">
        <v>7</v>
      </c>
      <c r="G22" s="55">
        <f t="shared" si="0"/>
        <v>35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204</v>
      </c>
      <c r="D23" s="70" t="s">
        <v>193</v>
      </c>
      <c r="E23" s="55">
        <v>1</v>
      </c>
      <c r="F23" s="55">
        <v>145</v>
      </c>
      <c r="G23" s="55">
        <f t="shared" si="0"/>
        <v>145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194</v>
      </c>
      <c r="D24" s="70" t="s">
        <v>193</v>
      </c>
      <c r="E24" s="55">
        <v>1</v>
      </c>
      <c r="F24" s="55">
        <v>22</v>
      </c>
      <c r="G24" s="55">
        <f t="shared" si="0"/>
        <v>22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205</v>
      </c>
      <c r="D25" s="70" t="s">
        <v>193</v>
      </c>
      <c r="E25" s="55">
        <v>3</v>
      </c>
      <c r="F25" s="55">
        <v>61</v>
      </c>
      <c r="G25" s="55">
        <f t="shared" si="0"/>
        <v>183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195</v>
      </c>
      <c r="D26" s="70" t="s">
        <v>193</v>
      </c>
      <c r="E26" s="55">
        <v>3</v>
      </c>
      <c r="F26" s="55">
        <v>61</v>
      </c>
      <c r="G26" s="55">
        <f t="shared" si="0"/>
        <v>183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206</v>
      </c>
      <c r="D27" s="70" t="s">
        <v>193</v>
      </c>
      <c r="E27" s="55">
        <v>1</v>
      </c>
      <c r="F27" s="55">
        <v>32</v>
      </c>
      <c r="G27" s="55">
        <f t="shared" si="0"/>
        <v>32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175</v>
      </c>
      <c r="D28" s="70" t="s">
        <v>193</v>
      </c>
      <c r="E28" s="55">
        <v>1</v>
      </c>
      <c r="F28" s="55">
        <v>7</v>
      </c>
      <c r="G28" s="55">
        <f t="shared" si="0"/>
        <v>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196</v>
      </c>
      <c r="D29" s="70" t="s">
        <v>193</v>
      </c>
      <c r="E29" s="55">
        <v>1</v>
      </c>
      <c r="F29" s="55">
        <v>105</v>
      </c>
      <c r="G29" s="55">
        <f t="shared" si="0"/>
        <v>105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197</v>
      </c>
      <c r="D30" s="70" t="s">
        <v>193</v>
      </c>
      <c r="E30" s="55">
        <v>1</v>
      </c>
      <c r="F30" s="55">
        <v>200</v>
      </c>
      <c r="G30" s="55">
        <f t="shared" si="0"/>
        <v>200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1182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76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1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29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sXfCs2q4fdt4cwPpwUFe8zxloQ0sDT1O9b6n6QM8dEWC4xggNaBia7O+8UHCzA8AWkf92g3CQr31JQ/y4a1ryw==" saltValue="WFIRF3RABc4Qv8IdN6S3+g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170</v>
      </c>
      <c r="N12" s="90" t="s">
        <v>171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180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181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305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2018-06-12T08:53:39Z</dcterms:modified>
</cp:coreProperties>
</file>