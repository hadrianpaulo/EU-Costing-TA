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GE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Supplies_Medical'!$C$15:$C$55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26" i="9" l="1"/>
  <c r="G27" i="9"/>
  <c r="G28" i="9"/>
  <c r="G29" i="9"/>
  <c r="G30" i="9"/>
  <c r="G31" i="9"/>
  <c r="J20" i="2" l="1"/>
  <c r="G18" i="9" l="1"/>
  <c r="G19" i="9"/>
  <c r="G20" i="9"/>
  <c r="G21" i="9"/>
  <c r="G22" i="9"/>
  <c r="G23" i="9"/>
  <c r="G24" i="9"/>
  <c r="G25" i="9"/>
  <c r="G17" i="9"/>
  <c r="G16" i="9"/>
  <c r="J13" i="2"/>
  <c r="J14" i="2"/>
  <c r="J15" i="2"/>
  <c r="J16" i="2"/>
  <c r="J17" i="2"/>
  <c r="J18" i="2"/>
  <c r="J19" i="2"/>
  <c r="J12" i="2"/>
  <c r="G33" i="9" l="1"/>
  <c r="G36" i="9"/>
  <c r="G37" i="9"/>
  <c r="G38" i="9"/>
  <c r="G39" i="9"/>
  <c r="G40" i="9"/>
  <c r="G41" i="9"/>
  <c r="G42" i="9"/>
  <c r="G43" i="9"/>
  <c r="G35" i="9"/>
  <c r="J21" i="2"/>
  <c r="J22" i="2"/>
  <c r="J23" i="2"/>
  <c r="J24" i="2"/>
  <c r="J25" i="2"/>
  <c r="J26" i="2"/>
  <c r="G44" i="9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<sst xmlns="http://schemas.openxmlformats.org/spreadsheetml/2006/main" count="516" uniqueCount="212">
  <si>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</si>
  <si>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</si>
  <si>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</si>
  <si>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</si>
  <si>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</si>
  <si>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</si>
  <si>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</si>
  <si>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</si>
  <si>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</si>
  <si>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</si>
  <si>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</si>
  <si>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</si>
  <si>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</si>
  <si>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</si>
  <si>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</si>
  <si>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</si>
  <si>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</si>
  <si>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</si>
  <si>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</si>
  <si>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</si>
  <si>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</si>
  <si>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</si>
  <si>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</si>
  <si>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</si>
  <si>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</si>
  <si>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</si>
  <si>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</si>
  <si>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</si>
  <si>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</si>
  <si>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</si>
  <si>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</si>
  <si>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</si>
  <si>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</si>
  <si>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</si>
  <si>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</si>
  <si>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</si>
  <si>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</si>
  <si>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</si>
  <si>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</si>
  <si>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</si>
  <si>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</si>
  <si>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</si>
  <si>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</si>
  <si>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</si>
  <si>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</si>
  <si>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</si>
  <si>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</si>
  <si>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</si>
  <si>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</si>
  <si>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</si>
  <si>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</si>
  <si>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</si>
  <si>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</si>
  <si>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</si>
  <si>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</si>
  <si>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</si>
  <si>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</si>
  <si>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</si>
  <si>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</si>
  <si>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</si>
  <si>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</si>
  <si>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</si>
  <si>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</si>
  <si>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</si>
  <si>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</si>
  <si>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</si>
  <si>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</si>
  <si>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</si>
  <si>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</si>
  <si>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</si>
  <si>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</si>
  <si>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</si>
  <si>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</si>
  <si>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</si>
  <si>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</si>
  <si>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</si>
  <si>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</si>
  <si>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</si>
  <si>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</si>
  <si>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</si>
  <si>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</si>
  <si>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</si>
  <si>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</si>
  <si>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</si>
  <si>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</si>
  <si>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</si>
  <si>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</si>
  <si>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</si>
  <si>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</si>
  <si>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</si>
  <si>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</si>
  <si>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</si>
  <si>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</si>
  <si>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</si>
  <si>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</si>
  <si>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</si>
  <si>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</si>
  <si>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</si>
  <si>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</si>
  <si>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</si>
  <si>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</si>
  <si>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</si>
  <si>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</si>
  <si>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</si>
  <si>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</si>
  <si>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</si>
  <si>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</si>
  <si>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</si>
  <si>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</si>
  <si>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</si>
  <si>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</si>
  <si>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</si>
  <si>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</si>
  <si>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</si>
  <si>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</si>
  <si>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</si>
  <si>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</si>
  <si>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</si>
  <si>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</si>
  <si>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</si>
  <si>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</si>
  <si>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</si>
  <si>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</si>
  <si>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</si>
  <si>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</si>
  <si>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</si>
  <si>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</si>
  <si>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</si>
  <si>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</si>
  <si>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</si>
  <si>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</si>
  <si>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</si>
  <si>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</si>
  <si>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</si>
  <si>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</si>
  <si>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</si>
  <si>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</si>
  <si>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</si>
  <si>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</si>
  <si>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</si>
  <si>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</si>
  <si>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</si>
  <si>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</si>
  <si>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</si>
  <si>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</si>
  <si>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</si>
  <si>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</si>
  <si>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</si>
  <si>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</si>
  <si>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</si>
  <si>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</si>
  <si>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</si>
  <si>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</si>
  <si>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</si>
  <si>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</si>
  <si>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</si>
  <si>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</si>
  <si>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</si>
  <si>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</si>
  <si>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</si>
  <si>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</si>
  <si>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</si>
  <si>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</si>
  <si>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</si>
  <si>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</si>
  <si>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</si>
  <si>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</si>
  <si>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</si>
  <si>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TABLET/ORAL</t>
  </si>
  <si>
    <t>DIGITAL THERMOMETER</t>
  </si>
  <si>
    <t>DISPOSABLE MASK</t>
  </si>
  <si>
    <t>3CC SYRINGE</t>
  </si>
  <si>
    <t>MEDICAL TECHNOLOGIST</t>
  </si>
  <si>
    <t>RADIOLOGIC TECHNOLOGIST</t>
  </si>
  <si>
    <t>CBC PLATELET COUNT</t>
  </si>
  <si>
    <t>LABORATORY</t>
  </si>
  <si>
    <t>BOTTLE/IV</t>
  </si>
  <si>
    <t>1000 ml</t>
  </si>
  <si>
    <t>VIAL/IV</t>
  </si>
  <si>
    <t>CIPROFLOXACIN</t>
  </si>
  <si>
    <t>IV CATHETER G 22</t>
  </si>
  <si>
    <t>ID BRACELET</t>
  </si>
  <si>
    <t>10CC SYRINGE</t>
  </si>
  <si>
    <t>5CC SYRINGE</t>
  </si>
  <si>
    <t>IV SPLINT ADULT</t>
  </si>
  <si>
    <t>GLOVES UNSTERILE MEDIUM</t>
  </si>
  <si>
    <t>Procedure</t>
  </si>
  <si>
    <t>Consultation in the ER</t>
  </si>
  <si>
    <t>ACUTE GASTROENTERITIS</t>
  </si>
  <si>
    <t>A09.9</t>
  </si>
  <si>
    <t>ELECTROLYTES</t>
  </si>
  <si>
    <t>METRONIDAZOLE</t>
  </si>
  <si>
    <t>500 mg/ml</t>
  </si>
  <si>
    <t>AMPULE/IV</t>
  </si>
  <si>
    <t>20 mg/ml</t>
  </si>
  <si>
    <t>PC</t>
  </si>
  <si>
    <t>HEPLOCK</t>
  </si>
  <si>
    <t>IV SET PEDIA</t>
  </si>
  <si>
    <t>NEBULIZING KIT</t>
  </si>
  <si>
    <t>SOLUSET</t>
  </si>
  <si>
    <t>PLASTER TRANSPORE</t>
  </si>
  <si>
    <t>LRS</t>
  </si>
  <si>
    <t>2 mg/100 ml</t>
  </si>
  <si>
    <t>HYOSCINE N BUTYL BROMIDE</t>
  </si>
  <si>
    <t>METOCLOPRAMIDE</t>
  </si>
  <si>
    <t>5 mg/2 ml</t>
  </si>
  <si>
    <t xml:space="preserve">500 mg </t>
  </si>
  <si>
    <t>STERILE WATER FOR INJECTON</t>
  </si>
  <si>
    <t>POLYAMPULE/IV</t>
  </si>
  <si>
    <t>10 ml</t>
  </si>
  <si>
    <t>IV SET  ADULT</t>
  </si>
  <si>
    <t>NASAL CANNULA ADULT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</si>
</sst>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34</xdr:row>
          <xdr:rowOff>28575</xdr:rowOff>
        </xdr:from>
        <xdr:to>
          <xdr:col>1</xdr:col>
          <xdr:colOff>762000</xdr:colOff>
          <xdr:row>34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34</xdr:row>
          <xdr:rowOff>28575</xdr:rowOff>
        </xdr:from>
        <xdr:to>
          <xdr:col>1</xdr:col>
          <xdr:colOff>1533525</xdr:colOff>
          <xdr:row>34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45</xdr:row>
          <xdr:rowOff>28575</xdr:rowOff>
        </xdr:from>
        <xdr:to>
          <xdr:col>1</xdr:col>
          <xdr:colOff>771525</xdr:colOff>
          <xdr:row>45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45</xdr:row>
          <xdr:rowOff>28575</xdr:rowOff>
        </xdr:from>
        <xdr:to>
          <xdr:col>1</xdr:col>
          <xdr:colOff>1543050</xdr:colOff>
          <xdr:row>45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57" zoomScaleNormal="100" workbookViewId="0">
      <selection activeCell="D63" sqref="D63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188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189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52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43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136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190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/>
      <c r="E60" s="55">
        <v>800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6.5</v>
      </c>
      <c r="E61" s="55">
        <v>13.5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164</v>
      </c>
      <c r="D62" s="55">
        <v>3524.5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165</v>
      </c>
      <c r="D63" s="55">
        <v>669</v>
      </c>
      <c r="E63" s="55">
        <v>631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175</v>
      </c>
      <c r="D64" s="55"/>
      <c r="E64" s="55">
        <v>850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166</v>
      </c>
      <c r="D65" s="55">
        <v>1800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6000</v>
      </c>
      <c r="E71" s="59">
        <f>SUM(E60:E70)</f>
        <v>2294.5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J21" sqref="J2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ACUTE GASTROENTERITIS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201</v>
      </c>
      <c r="D11" s="27" t="s">
        <v>176</v>
      </c>
      <c r="E11" s="27" t="s">
        <v>177</v>
      </c>
      <c r="F11" s="55"/>
      <c r="G11" s="55"/>
      <c r="H11" s="55">
        <v>7</v>
      </c>
      <c r="I11" s="55">
        <v>80</v>
      </c>
      <c r="J11" s="55">
        <f>H11*I11</f>
        <v>560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179</v>
      </c>
      <c r="D12" s="27" t="s">
        <v>178</v>
      </c>
      <c r="E12" s="27" t="s">
        <v>202</v>
      </c>
      <c r="F12" s="55"/>
      <c r="G12" s="55"/>
      <c r="H12" s="55">
        <v>9</v>
      </c>
      <c r="I12" s="55">
        <v>260</v>
      </c>
      <c r="J12" s="55">
        <f t="shared" ref="J12:J26" si="0">H12*I12</f>
        <v>2340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203</v>
      </c>
      <c r="D13" s="27" t="s">
        <v>193</v>
      </c>
      <c r="E13" s="27" t="s">
        <v>194</v>
      </c>
      <c r="F13" s="55"/>
      <c r="G13" s="55"/>
      <c r="H13" s="55">
        <v>2</v>
      </c>
      <c r="I13" s="55">
        <v>55</v>
      </c>
      <c r="J13" s="55">
        <f t="shared" si="0"/>
        <v>110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204</v>
      </c>
      <c r="D14" s="27" t="s">
        <v>193</v>
      </c>
      <c r="E14" s="27" t="s">
        <v>205</v>
      </c>
      <c r="F14" s="55"/>
      <c r="G14" s="55"/>
      <c r="H14" s="55">
        <v>2</v>
      </c>
      <c r="I14" s="55">
        <v>20</v>
      </c>
      <c r="J14" s="55">
        <f t="shared" si="0"/>
        <v>40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191</v>
      </c>
      <c r="D15" s="27" t="s">
        <v>176</v>
      </c>
      <c r="E15" s="27" t="s">
        <v>192</v>
      </c>
      <c r="F15" s="55"/>
      <c r="G15" s="55"/>
      <c r="H15" s="55">
        <v>6</v>
      </c>
      <c r="I15" s="55">
        <v>45</v>
      </c>
      <c r="J15" s="55">
        <f t="shared" si="0"/>
        <v>270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191</v>
      </c>
      <c r="D16" s="27" t="s">
        <v>168</v>
      </c>
      <c r="E16" s="27" t="s">
        <v>206</v>
      </c>
      <c r="F16" s="55"/>
      <c r="G16" s="55"/>
      <c r="H16" s="55">
        <v>21</v>
      </c>
      <c r="I16" s="55">
        <v>2.5</v>
      </c>
      <c r="J16" s="55">
        <f t="shared" si="0"/>
        <v>52.5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207</v>
      </c>
      <c r="D17" s="27" t="s">
        <v>208</v>
      </c>
      <c r="E17" s="27" t="s">
        <v>209</v>
      </c>
      <c r="F17" s="55"/>
      <c r="G17" s="55"/>
      <c r="H17" s="55">
        <v>1</v>
      </c>
      <c r="I17" s="55">
        <v>40</v>
      </c>
      <c r="J17" s="55">
        <f t="shared" si="0"/>
        <v>40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179</v>
      </c>
      <c r="D18" s="27" t="s">
        <v>168</v>
      </c>
      <c r="E18" s="27" t="s">
        <v>167</v>
      </c>
      <c r="F18" s="55"/>
      <c r="G18" s="55"/>
      <c r="H18" s="55">
        <v>14</v>
      </c>
      <c r="I18" s="55">
        <v>8</v>
      </c>
      <c r="J18" s="55">
        <f t="shared" si="0"/>
        <v>112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>SUM(J11:J18)</f>
        <v>3524.5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9"/>
  <sheetViews>
    <sheetView topLeftCell="A12"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18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169</v>
      </c>
      <c r="D16" s="70" t="s">
        <v>195</v>
      </c>
      <c r="E16" s="55">
        <v>1</v>
      </c>
      <c r="F16" s="55">
        <v>85</v>
      </c>
      <c r="G16" s="55">
        <f>E16*F16</f>
        <v>85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170</v>
      </c>
      <c r="D17" s="70" t="s">
        <v>195</v>
      </c>
      <c r="E17" s="55">
        <v>6</v>
      </c>
      <c r="F17" s="55">
        <v>6</v>
      </c>
      <c r="G17" s="55">
        <f t="shared" ref="G17:G31" si="0">E17*F17</f>
        <v>36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185</v>
      </c>
      <c r="D18" s="70" t="s">
        <v>195</v>
      </c>
      <c r="E18" s="55">
        <v>6</v>
      </c>
      <c r="F18" s="55">
        <v>4</v>
      </c>
      <c r="G18" s="55">
        <f t="shared" si="0"/>
        <v>24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182</v>
      </c>
      <c r="D19" s="70" t="s">
        <v>195</v>
      </c>
      <c r="E19" s="55">
        <v>5</v>
      </c>
      <c r="F19" s="55">
        <v>8</v>
      </c>
      <c r="G19" s="55">
        <f t="shared" si="0"/>
        <v>40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171</v>
      </c>
      <c r="D20" s="70" t="s">
        <v>195</v>
      </c>
      <c r="E20" s="55">
        <v>5</v>
      </c>
      <c r="F20" s="55">
        <v>6</v>
      </c>
      <c r="G20" s="55">
        <f t="shared" si="0"/>
        <v>30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183</v>
      </c>
      <c r="D21" s="70" t="s">
        <v>195</v>
      </c>
      <c r="E21" s="55">
        <v>5</v>
      </c>
      <c r="F21" s="55">
        <v>7</v>
      </c>
      <c r="G21" s="55">
        <f t="shared" si="0"/>
        <v>35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200</v>
      </c>
      <c r="D22" s="70" t="s">
        <v>195</v>
      </c>
      <c r="E22" s="55">
        <v>1</v>
      </c>
      <c r="F22" s="55">
        <v>145</v>
      </c>
      <c r="G22" s="55">
        <f t="shared" si="0"/>
        <v>145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211</v>
      </c>
      <c r="D23" s="70" t="s">
        <v>195</v>
      </c>
      <c r="E23" s="55">
        <v>1</v>
      </c>
      <c r="F23" s="55">
        <v>43</v>
      </c>
      <c r="G23" s="55">
        <f t="shared" si="0"/>
        <v>43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196</v>
      </c>
      <c r="D24" s="70" t="s">
        <v>195</v>
      </c>
      <c r="E24" s="55">
        <v>1</v>
      </c>
      <c r="F24" s="55">
        <v>22</v>
      </c>
      <c r="G24" s="55">
        <f t="shared" si="0"/>
        <v>22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180</v>
      </c>
      <c r="D25" s="70" t="s">
        <v>195</v>
      </c>
      <c r="E25" s="55">
        <v>2</v>
      </c>
      <c r="F25" s="55">
        <v>61</v>
      </c>
      <c r="G25" s="55">
        <f t="shared" si="0"/>
        <v>122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210</v>
      </c>
      <c r="D26" s="70" t="s">
        <v>195</v>
      </c>
      <c r="E26" s="55">
        <v>3</v>
      </c>
      <c r="F26" s="55">
        <v>32</v>
      </c>
      <c r="G26" s="55">
        <f t="shared" si="0"/>
        <v>96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197</v>
      </c>
      <c r="D27" s="70" t="s">
        <v>195</v>
      </c>
      <c r="E27" s="55">
        <v>1</v>
      </c>
      <c r="F27" s="55">
        <v>35</v>
      </c>
      <c r="G27" s="55">
        <f t="shared" si="0"/>
        <v>35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181</v>
      </c>
      <c r="D28" s="70" t="s">
        <v>195</v>
      </c>
      <c r="E28" s="55">
        <v>1</v>
      </c>
      <c r="F28" s="55">
        <v>7</v>
      </c>
      <c r="G28" s="55">
        <f t="shared" si="0"/>
        <v>7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198</v>
      </c>
      <c r="D29" s="70" t="s">
        <v>195</v>
      </c>
      <c r="E29" s="55">
        <v>1</v>
      </c>
      <c r="F29" s="55">
        <v>70</v>
      </c>
      <c r="G29" s="55">
        <f t="shared" si="0"/>
        <v>70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184</v>
      </c>
      <c r="D30" s="70" t="s">
        <v>195</v>
      </c>
      <c r="E30" s="55">
        <v>1</v>
      </c>
      <c r="F30" s="55">
        <v>110</v>
      </c>
      <c r="G30" s="55">
        <f t="shared" si="0"/>
        <v>110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 t="s">
        <v>199</v>
      </c>
      <c r="D31" s="70" t="s">
        <v>195</v>
      </c>
      <c r="E31" s="55">
        <v>2</v>
      </c>
      <c r="F31" s="55">
        <v>200</v>
      </c>
      <c r="G31" s="55">
        <f t="shared" si="0"/>
        <v>400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18</v>
      </c>
      <c r="C33" s="69"/>
      <c r="D33" s="70"/>
      <c r="E33" s="55"/>
      <c r="F33" s="55"/>
      <c r="G33" s="55">
        <f>SUM(G16:G32)</f>
        <v>1300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136" t="s">
        <v>76</v>
      </c>
      <c r="C34" s="137"/>
      <c r="D34" s="137"/>
      <c r="E34" s="137"/>
      <c r="F34" s="137"/>
      <c r="G34" s="138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1</v>
      </c>
      <c r="C35" s="69"/>
      <c r="D35" s="70"/>
      <c r="E35" s="55"/>
      <c r="F35" s="55"/>
      <c r="G35" s="55">
        <f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2</v>
      </c>
      <c r="C36" s="69"/>
      <c r="D36" s="70"/>
      <c r="E36" s="55"/>
      <c r="F36" s="55"/>
      <c r="G36" s="55">
        <f t="shared" ref="G36:G43" si="1">E36*F36</f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3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4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5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6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7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8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9</v>
      </c>
      <c r="C43" s="69"/>
      <c r="D43" s="70"/>
      <c r="E43" s="55"/>
      <c r="F43" s="55"/>
      <c r="G43" s="55">
        <f t="shared" si="1"/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10</v>
      </c>
      <c r="C44" s="69"/>
      <c r="D44" s="70"/>
      <c r="E44" s="55"/>
      <c r="F44" s="55"/>
      <c r="G44" s="55">
        <f>SUM(G35:G41)</f>
        <v>0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136" t="s">
        <v>29</v>
      </c>
      <c r="C45" s="137"/>
      <c r="D45" s="137"/>
      <c r="E45" s="137"/>
      <c r="F45" s="137"/>
      <c r="G45" s="138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3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4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5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6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7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8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9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10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A57" s="44"/>
      <c r="B57" s="39"/>
      <c r="C57" s="44"/>
      <c r="D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</sheetData>
  <sheetProtection algorithmName="SHA-512" hashValue="sXfCs2q4fdt4cwPpwUFe8zxloQ0sDT1O9b6n6QM8dEWC4xggNaBia7O+8UHCzA8AWkf92g3CQr31JQ/y4a1ryw==" saltValue="WFIRF3RABc4Qv8IdN6S3+g==" spinCount="100000" sheet="1" objects="1" scenarios="1" formatColumns="0" formatRows="0" sort="0" autoFilter="0"/>
  <mergeCells count="9">
    <mergeCell ref="B7:G7"/>
    <mergeCell ref="B34:G34"/>
    <mergeCell ref="B45:G45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5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34</xdr:row>
                    <xdr:rowOff>28575</xdr:rowOff>
                  </from>
                  <to>
                    <xdr:col>1</xdr:col>
                    <xdr:colOff>762000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34</xdr:row>
                    <xdr:rowOff>28575</xdr:rowOff>
                  </from>
                  <to>
                    <xdr:col>1</xdr:col>
                    <xdr:colOff>1533525</xdr:colOff>
                    <xdr:row>34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45</xdr:row>
                    <xdr:rowOff>28575</xdr:rowOff>
                  </from>
                  <to>
                    <xdr:col>1</xdr:col>
                    <xdr:colOff>771525</xdr:colOff>
                    <xdr:row>45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45</xdr:row>
                    <xdr:rowOff>28575</xdr:rowOff>
                  </from>
                  <to>
                    <xdr:col>1</xdr:col>
                    <xdr:colOff>1543050</xdr:colOff>
                    <xdr:row>45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7" workbookViewId="0">
      <selection activeCell="G14" sqref="G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ACUTE GASTROENTERITIS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40</v>
      </c>
      <c r="F13" s="55"/>
      <c r="G13" s="55">
        <v>70</v>
      </c>
      <c r="H13" s="55"/>
      <c r="I13" s="55"/>
      <c r="J13" s="55"/>
      <c r="K13" s="55"/>
      <c r="L13" s="55"/>
      <c r="M13" s="55"/>
      <c r="N13" s="55"/>
      <c r="P13" s="88">
        <f>SUM(D13:N13)</f>
        <v>110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186</v>
      </c>
      <c r="D14" s="55"/>
      <c r="E14" s="55"/>
      <c r="F14" s="55"/>
      <c r="G14" s="55">
        <v>30</v>
      </c>
      <c r="H14" s="55"/>
      <c r="I14" s="55"/>
      <c r="J14" s="55"/>
      <c r="K14" s="55"/>
      <c r="L14" s="55"/>
      <c r="M14" s="55">
        <v>30</v>
      </c>
      <c r="N14" s="55"/>
      <c r="P14" s="88">
        <f t="shared" ref="P14:P22" si="0">SUM(D14:N14)</f>
        <v>60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187</v>
      </c>
      <c r="D15" s="55"/>
      <c r="E15" s="55">
        <v>15</v>
      </c>
      <c r="F15" s="55"/>
      <c r="G15" s="55">
        <v>30</v>
      </c>
      <c r="H15" s="55"/>
      <c r="I15" s="55"/>
      <c r="J15" s="55"/>
      <c r="K15" s="55"/>
      <c r="L15" s="55"/>
      <c r="M15" s="55"/>
      <c r="N15" s="55"/>
      <c r="P15" s="88">
        <f t="shared" si="0"/>
        <v>45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0</v>
      </c>
      <c r="E30" s="88">
        <f t="shared" si="1"/>
        <v>55</v>
      </c>
      <c r="F30" s="88">
        <f t="shared" si="1"/>
        <v>0</v>
      </c>
      <c r="G30" s="88">
        <f t="shared" si="1"/>
        <v>130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30</v>
      </c>
      <c r="N30" s="88">
        <f t="shared" si="1"/>
        <v>0</v>
      </c>
      <c r="P30" s="89">
        <f>SUM(P13:P22)</f>
        <v>215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2018-06-12T08:52:55Z</dcterms:modified>
</cp:coreProperties>
</file>