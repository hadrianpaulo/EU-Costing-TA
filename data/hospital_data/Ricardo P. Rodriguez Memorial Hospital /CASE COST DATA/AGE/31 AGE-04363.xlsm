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CASE COST DATA 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Supplies_Medical'!$C$15:$C$56</definedName>
    <definedName name="Drugs">'1.2 Drugs&amp;Med'!$C$11:$C$25</definedName>
    <definedName name="_xlnm.Print_Area" localSheetId="0">'1.1 Case data_general'!$B$1:$F$75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33" i="9" l="1"/>
  <c r="J25" i="2"/>
  <c r="J23" i="2"/>
  <c r="J24" i="2"/>
  <c r="J20" i="2" l="1"/>
  <c r="J21" i="2"/>
  <c r="J22" i="2"/>
  <c r="G28" i="9" l="1"/>
  <c r="G29" i="9"/>
  <c r="G30" i="9"/>
  <c r="G31" i="9"/>
  <c r="G32" i="9"/>
  <c r="G18" i="9" l="1"/>
  <c r="G19" i="9"/>
  <c r="G20" i="9"/>
  <c r="G21" i="9"/>
  <c r="G22" i="9"/>
  <c r="G23" i="9"/>
  <c r="G24" i="9"/>
  <c r="G25" i="9"/>
  <c r="G26" i="9"/>
  <c r="G27" i="9"/>
  <c r="G17" i="9"/>
  <c r="G16" i="9"/>
  <c r="J13" i="2"/>
  <c r="J14" i="2"/>
  <c r="J15" i="2"/>
  <c r="J16" i="2"/>
  <c r="J17" i="2"/>
  <c r="J18" i="2"/>
  <c r="J19" i="2"/>
  <c r="J12" i="2"/>
  <c r="G34" i="9" l="1"/>
  <c r="G37" i="9"/>
  <c r="G38" i="9"/>
  <c r="G39" i="9"/>
  <c r="G40" i="9"/>
  <c r="G41" i="9"/>
  <c r="G42" i="9"/>
  <c r="G43" i="9"/>
  <c r="G44" i="9"/>
  <c r="G36" i="9"/>
  <c r="G45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5" i="1"/>
  <c r="E75" i="1"/>
  <c r="D75" i="1"/>
  <c r="G11" i="11" l="1" a="1"/>
  <c r="G11" i="11" s="1"/>
  <c r="G12" i="11" s="1" a="1"/>
  <c r="G12" i="11" s="1"/>
  <c r="F8" i="11" a="1"/>
  <c r="F8" i="11" s="1"/>
  <c r="F9" i="11" s="1" a="1"/>
  <c r="F9" i="11" s="1"/>
  <c r="J11" i="2"/>
  <c r="J26" i="2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<sst xmlns="http://schemas.openxmlformats.org/spreadsheetml/2006/main" count="504" uniqueCount="206">
  <si>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</si>
  <si>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</si>
  <si>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</si>
  <si>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</si>
  <si>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</si>
  <si>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</si>
  <si>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</si>
  <si>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</si>
  <si>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</si>
  <si>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</si>
  <si>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</si>
  <si>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</si>
  <si>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</si>
  <si>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</si>
  <si>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</si>
  <si>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</si>
  <si>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</si>
  <si>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</si>
  <si>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</si>
  <si>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</si>
  <si>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</si>
  <si>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</si>
  <si>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</si>
  <si>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</si>
  <si>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</si>
  <si>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</si>
  <si>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</si>
  <si>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</si>
  <si>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</si>
  <si>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</si>
  <si>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</si>
  <si>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</si>
  <si>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</si>
  <si>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</si>
  <si>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</si>
  <si>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</si>
  <si>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</si>
  <si>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</si>
  <si>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</si>
  <si>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</si>
  <si>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</si>
  <si>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</si>
  <si>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</si>
  <si>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</si>
  <si>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</si>
  <si>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</si>
  <si>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</si>
  <si>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</si>
  <si>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</si>
  <si>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</si>
  <si>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</si>
  <si>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</si>
  <si>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</si>
  <si>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</si>
  <si>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</si>
  <si>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</si>
  <si>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</si>
  <si>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</si>
  <si>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</si>
  <si>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</si>
  <si>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</si>
  <si>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</si>
  <si>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</si>
  <si>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</si>
  <si>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</si>
  <si>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</si>
  <si>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</si>
  <si>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</si>
  <si>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</si>
  <si>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</si>
  <si>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</si>
  <si>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</si>
  <si>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</si>
  <si>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</si>
  <si>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</si>
  <si>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</si>
  <si>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</si>
  <si>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</si>
  <si>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</si>
  <si>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</si>
  <si>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</si>
  <si>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</si>
  <si>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</si>
  <si>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</si>
  <si>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</si>
  <si>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</si>
  <si>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</si>
  <si>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</si>
  <si>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</si>
  <si>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</si>
  <si>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</si>
  <si>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</si>
  <si>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</si>
  <si>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</si>
  <si>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</si>
  <si>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</si>
  <si>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</si>
  <si>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</si>
  <si>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</si>
  <si>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</si>
  <si>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</si>
  <si>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</si>
  <si>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</si>
  <si>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</si>
  <si>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</si>
  <si>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</si>
  <si>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</si>
  <si>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</si>
  <si>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</si>
  <si>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</si>
  <si>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</si>
  <si>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</si>
  <si>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</si>
  <si>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</si>
  <si>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</si>
  <si>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</si>
  <si>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</si>
  <si>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</si>
  <si>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</si>
  <si>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</si>
  <si>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</si>
  <si>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</si>
  <si>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</si>
  <si>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</si>
  <si>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</si>
  <si>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</si>
  <si>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</si>
  <si>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</si>
  <si>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</si>
  <si>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</si>
  <si>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</si>
  <si>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</si>
  <si>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</si>
  <si>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</si>
  <si>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</si>
  <si>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</si>
  <si>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</si>
  <si>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</si>
  <si>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</si>
  <si>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</si>
  <si>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</si>
  <si>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</si>
  <si>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</si>
  <si>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</si>
  <si>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</si>
  <si>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</si>
  <si>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</si>
  <si>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</si>
  <si>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</si>
  <si>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</si>
  <si>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</si>
  <si>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</si>
  <si>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</si>
  <si>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</si>
  <si>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</si>
  <si>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</si>
  <si>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</si>
  <si>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</si>
  <si>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</si>
  <si>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</si>
  <si>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</si>
  <si>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</si>
  <si>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</si>
  <si>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</si>
  <si>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</si>
  <si>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</si>
  <si>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</si>
  <si>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DIGITAL THERMOMETER</t>
  </si>
  <si>
    <t>DISPOSABLE MASK</t>
  </si>
  <si>
    <t>MEDICAL TECHNOLOGIST</t>
  </si>
  <si>
    <t>RADIOLOGIC TECHNOLOGIST</t>
  </si>
  <si>
    <t>LABORATORY</t>
  </si>
  <si>
    <t>BOTTLE/IV</t>
  </si>
  <si>
    <t>GLOVES UNSTERILE MEDIUM</t>
  </si>
  <si>
    <t>1CC SYRINGE</t>
  </si>
  <si>
    <t>Procedure</t>
  </si>
  <si>
    <t>ADHESIVE PLASTER</t>
  </si>
  <si>
    <t>Consultation in the ER</t>
  </si>
  <si>
    <t>ACUTE GASTROENTERITIS</t>
  </si>
  <si>
    <t>A09.9</t>
  </si>
  <si>
    <t>AMPULE/IV</t>
  </si>
  <si>
    <t>PC</t>
  </si>
  <si>
    <t>10CC SYRINGE</t>
  </si>
  <si>
    <t>3CC SYRINGE</t>
  </si>
  <si>
    <t>5CC SYRINGE</t>
  </si>
  <si>
    <t>ID BRACELET</t>
  </si>
  <si>
    <t>FECALYSIS</t>
  </si>
  <si>
    <t>1000 ML</t>
  </si>
  <si>
    <t>IV SET ADULT</t>
  </si>
  <si>
    <t>CBC PLATELETCOUNT</t>
  </si>
  <si>
    <t>METRONIDAZOLE</t>
  </si>
  <si>
    <t>500 MG/ML</t>
  </si>
  <si>
    <t>URINALYSIS</t>
  </si>
  <si>
    <t>METOCLOPRAMIDE</t>
  </si>
  <si>
    <t>5 MG/2 ML</t>
  </si>
  <si>
    <t>ORAL REHYRDRATION SALTS</t>
  </si>
  <si>
    <t>SACHET/ORAL</t>
  </si>
  <si>
    <t>5.5 G</t>
  </si>
  <si>
    <t>LRS</t>
  </si>
  <si>
    <t>COTRIMOXAZOLE</t>
  </si>
  <si>
    <t>SUSPENSION/ORAL</t>
  </si>
  <si>
    <t>200 MG/40 MG/5 ML</t>
  </si>
  <si>
    <t>IV CATHETER G 24</t>
  </si>
  <si>
    <t>IV SPLINT PEDIA</t>
  </si>
  <si>
    <t>SOLUSET</t>
  </si>
  <si>
    <t>IV SET PEDIA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</si>
</sst>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63</xdr:row>
          <xdr:rowOff>19050</xdr:rowOff>
        </xdr:from>
        <xdr:to>
          <xdr:col>1</xdr:col>
          <xdr:colOff>733425</xdr:colOff>
          <xdr:row>63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19050</xdr:rowOff>
        </xdr:from>
        <xdr:to>
          <xdr:col>1</xdr:col>
          <xdr:colOff>1504950</xdr:colOff>
          <xdr:row>63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35</xdr:row>
          <xdr:rowOff>28575</xdr:rowOff>
        </xdr:from>
        <xdr:to>
          <xdr:col>1</xdr:col>
          <xdr:colOff>762000</xdr:colOff>
          <xdr:row>35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35</xdr:row>
          <xdr:rowOff>28575</xdr:rowOff>
        </xdr:from>
        <xdr:to>
          <xdr:col>1</xdr:col>
          <xdr:colOff>1533525</xdr:colOff>
          <xdr:row>35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46</xdr:row>
          <xdr:rowOff>28575</xdr:rowOff>
        </xdr:from>
        <xdr:to>
          <xdr:col>1</xdr:col>
          <xdr:colOff>771525</xdr:colOff>
          <xdr:row>46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46</xdr:row>
          <xdr:rowOff>28575</xdr:rowOff>
        </xdr:from>
        <xdr:to>
          <xdr:col>1</xdr:col>
          <xdr:colOff>1543050</xdr:colOff>
          <xdr:row>46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topLeftCell="A60" zoomScaleNormal="100" workbookViewId="0">
      <selection activeCell="D69" sqref="D6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192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189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19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3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4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44</v>
      </c>
      <c r="C47" s="119"/>
      <c r="D47" s="116"/>
      <c r="E47" s="119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14" t="s">
        <v>45</v>
      </c>
      <c r="C48" s="13"/>
      <c r="D48" s="13"/>
      <c r="E48" s="16"/>
      <c r="F48" s="1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53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1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2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5" t="s">
        <v>20</v>
      </c>
      <c r="C54" s="116"/>
      <c r="D54" s="116"/>
      <c r="E54" s="116"/>
      <c r="F54" s="11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1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2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5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6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5"/>
      <c r="C61" s="25"/>
      <c r="D61" s="25"/>
      <c r="E61" s="25"/>
      <c r="F61" s="2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57.75" customHeight="1" thickBot="1" x14ac:dyDescent="0.35">
      <c r="A63" s="1"/>
      <c r="B63" s="17" t="s">
        <v>55</v>
      </c>
      <c r="C63" s="17" t="s">
        <v>51</v>
      </c>
      <c r="D63" s="17" t="s">
        <v>56</v>
      </c>
      <c r="E63" s="18" t="s">
        <v>57</v>
      </c>
      <c r="F63" s="19" t="s">
        <v>21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2">
        <v>1</v>
      </c>
      <c r="C64" s="27" t="s">
        <v>162</v>
      </c>
      <c r="D64" s="55">
        <v>1200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2</v>
      </c>
      <c r="C65" s="27" t="s">
        <v>163</v>
      </c>
      <c r="D65" s="55">
        <v>30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3</v>
      </c>
      <c r="C66" s="27" t="s">
        <v>164</v>
      </c>
      <c r="D66" s="55">
        <v>554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4</v>
      </c>
      <c r="C67" s="27" t="s">
        <v>165</v>
      </c>
      <c r="D67" s="55">
        <v>824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5</v>
      </c>
      <c r="C68" s="27" t="s">
        <v>171</v>
      </c>
      <c r="D68" s="55">
        <v>400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6</v>
      </c>
      <c r="C69" s="27" t="s">
        <v>166</v>
      </c>
      <c r="D69" s="55">
        <v>1800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7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8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9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10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4.9000000000000004" customHeight="1" thickBot="1" x14ac:dyDescent="0.35">
      <c r="A74" s="1"/>
      <c r="B74" s="1"/>
      <c r="C74" s="1"/>
      <c r="D74" s="58"/>
      <c r="E74" s="58"/>
      <c r="F74" s="58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thickTop="1" x14ac:dyDescent="0.3">
      <c r="A75" s="1"/>
      <c r="B75" s="11"/>
      <c r="C75" s="4" t="s">
        <v>22</v>
      </c>
      <c r="D75" s="59">
        <f>SUM(D64:D74)</f>
        <v>4808</v>
      </c>
      <c r="E75" s="59">
        <f>SUM(E64:E74)</f>
        <v>0</v>
      </c>
      <c r="F75" s="59">
        <f>SUM(F64:F74)</f>
        <v>0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</sheetData>
  <sheetProtection algorithmName="SHA-512" hashValue="oS1X5L6tOr0STCGKZM9MDcXAyQnHMyb9oGX0nzC56TqtBHLLg5FcIk/mNsGNnMW06G5orv0DBaLurDh35C5NBQ==" saltValue="zarnHz9WFiS5p8QmlM0V7Q==" spinCount="100000" sheet="1" objects="1" scenarios="1" formatColumns="0" formatRows="0" sort="0" autoFilter="0"/>
  <mergeCells count="12">
    <mergeCell ref="B54:F54"/>
    <mergeCell ref="B47:F47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9:F49"/>
  </mergeCells>
  <dataValidations count="1">
    <dataValidation type="decimal" operator="greaterThanOrEqual" allowBlank="1" showInputMessage="1" showErrorMessage="1" sqref="E32 E43:E46 E48 E23:F27 E50:F53 E55:F60 D64:F73 E34:E36 E37:E4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63</xdr:row>
                    <xdr:rowOff>19050</xdr:rowOff>
                  </from>
                  <to>
                    <xdr:col>1</xdr:col>
                    <xdr:colOff>733425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63</xdr:row>
                    <xdr:rowOff>19050</xdr:rowOff>
                  </from>
                  <to>
                    <xdr:col>1</xdr:col>
                    <xdr:colOff>1504950</xdr:colOff>
                    <xdr:row>63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I15" sqref="I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GASTROENTERITIS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193</v>
      </c>
      <c r="D11" s="27" t="s">
        <v>180</v>
      </c>
      <c r="E11" s="27" t="s">
        <v>194</v>
      </c>
      <c r="F11" s="55"/>
      <c r="G11" s="55"/>
      <c r="H11" s="55">
        <v>1</v>
      </c>
      <c r="I11" s="55">
        <v>20</v>
      </c>
      <c r="J11" s="55">
        <f>H11*I11</f>
        <v>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195</v>
      </c>
      <c r="D12" s="27" t="s">
        <v>196</v>
      </c>
      <c r="E12" s="27" t="s">
        <v>197</v>
      </c>
      <c r="F12" s="55"/>
      <c r="G12" s="55"/>
      <c r="H12" s="55">
        <v>6</v>
      </c>
      <c r="I12" s="55">
        <v>9</v>
      </c>
      <c r="J12" s="55">
        <f t="shared" ref="J12:J25" si="0">H12*I12</f>
        <v>54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198</v>
      </c>
      <c r="D13" s="27" t="s">
        <v>172</v>
      </c>
      <c r="E13" s="27" t="s">
        <v>187</v>
      </c>
      <c r="F13" s="55"/>
      <c r="G13" s="55"/>
      <c r="H13" s="55">
        <v>3</v>
      </c>
      <c r="I13" s="55">
        <v>80</v>
      </c>
      <c r="J13" s="55">
        <f t="shared" si="0"/>
        <v>240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190</v>
      </c>
      <c r="D14" s="27" t="s">
        <v>172</v>
      </c>
      <c r="E14" s="27" t="s">
        <v>191</v>
      </c>
      <c r="F14" s="55"/>
      <c r="G14" s="55"/>
      <c r="H14" s="55">
        <v>4</v>
      </c>
      <c r="I14" s="55">
        <v>45</v>
      </c>
      <c r="J14" s="55">
        <f t="shared" si="0"/>
        <v>180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199</v>
      </c>
      <c r="D15" s="27" t="s">
        <v>200</v>
      </c>
      <c r="E15" s="27" t="s">
        <v>201</v>
      </c>
      <c r="F15" s="55"/>
      <c r="G15" s="55"/>
      <c r="H15" s="55">
        <v>2</v>
      </c>
      <c r="I15" s="55">
        <v>30</v>
      </c>
      <c r="J15" s="55">
        <f t="shared" si="0"/>
        <v>60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>SUM(J11:J25)</f>
        <v>554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0"/>
  <sheetViews>
    <sheetView topLeftCell="A10" workbookViewId="0">
      <selection activeCell="F30" sqref="F3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19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181</v>
      </c>
      <c r="E16" s="55">
        <v>1</v>
      </c>
      <c r="F16" s="55">
        <v>85</v>
      </c>
      <c r="G16" s="55">
        <f>E16*F16</f>
        <v>85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168</v>
      </c>
      <c r="D17" s="70" t="s">
        <v>181</v>
      </c>
      <c r="E17" s="55">
        <v>7</v>
      </c>
      <c r="F17" s="55">
        <v>6</v>
      </c>
      <c r="G17" s="55">
        <f t="shared" ref="G17:G33" si="0">E17*F17</f>
        <v>42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173</v>
      </c>
      <c r="D18" s="70" t="s">
        <v>181</v>
      </c>
      <c r="E18" s="55">
        <v>7</v>
      </c>
      <c r="F18" s="55">
        <v>4</v>
      </c>
      <c r="G18" s="55">
        <f t="shared" si="0"/>
        <v>28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182</v>
      </c>
      <c r="D19" s="70" t="s">
        <v>181</v>
      </c>
      <c r="E19" s="55">
        <v>4</v>
      </c>
      <c r="F19" s="55">
        <v>8</v>
      </c>
      <c r="G19" s="55">
        <f t="shared" si="0"/>
        <v>32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174</v>
      </c>
      <c r="D20" s="70" t="s">
        <v>181</v>
      </c>
      <c r="E20" s="55">
        <v>5</v>
      </c>
      <c r="F20" s="55">
        <v>7</v>
      </c>
      <c r="G20" s="55">
        <f t="shared" si="0"/>
        <v>35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183</v>
      </c>
      <c r="D21" s="70" t="s">
        <v>181</v>
      </c>
      <c r="E21" s="55">
        <v>8</v>
      </c>
      <c r="F21" s="55">
        <v>6</v>
      </c>
      <c r="G21" s="55">
        <f t="shared" si="0"/>
        <v>48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176</v>
      </c>
      <c r="D22" s="70" t="s">
        <v>181</v>
      </c>
      <c r="E22" s="55">
        <v>1</v>
      </c>
      <c r="F22" s="55">
        <v>65</v>
      </c>
      <c r="G22" s="55">
        <f t="shared" si="0"/>
        <v>65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203</v>
      </c>
      <c r="D23" s="70" t="s">
        <v>181</v>
      </c>
      <c r="E23" s="55">
        <v>1</v>
      </c>
      <c r="F23" s="55">
        <v>105</v>
      </c>
      <c r="G23" s="55">
        <f t="shared" si="0"/>
        <v>105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188</v>
      </c>
      <c r="D24" s="70" t="s">
        <v>181</v>
      </c>
      <c r="E24" s="55">
        <v>1</v>
      </c>
      <c r="F24" s="55">
        <v>32</v>
      </c>
      <c r="G24" s="55">
        <f t="shared" si="0"/>
        <v>32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202</v>
      </c>
      <c r="D25" s="70" t="s">
        <v>181</v>
      </c>
      <c r="E25" s="55">
        <v>1</v>
      </c>
      <c r="F25" s="55">
        <v>61</v>
      </c>
      <c r="G25" s="55">
        <f t="shared" si="0"/>
        <v>61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184</v>
      </c>
      <c r="D26" s="70" t="s">
        <v>181</v>
      </c>
      <c r="E26" s="55">
        <v>7</v>
      </c>
      <c r="F26" s="55">
        <v>7</v>
      </c>
      <c r="G26" s="55">
        <f t="shared" si="0"/>
        <v>49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185</v>
      </c>
      <c r="D27" s="70" t="s">
        <v>181</v>
      </c>
      <c r="E27" s="55">
        <v>1</v>
      </c>
      <c r="F27" s="55">
        <v>7</v>
      </c>
      <c r="G27" s="55">
        <f t="shared" si="0"/>
        <v>7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204</v>
      </c>
      <c r="D28" s="70" t="s">
        <v>181</v>
      </c>
      <c r="E28" s="55">
        <v>1</v>
      </c>
      <c r="F28" s="55">
        <v>200</v>
      </c>
      <c r="G28" s="55">
        <f t="shared" si="0"/>
        <v>200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205</v>
      </c>
      <c r="D29" s="70" t="s">
        <v>181</v>
      </c>
      <c r="E29" s="55">
        <v>1</v>
      </c>
      <c r="F29" s="55">
        <v>35</v>
      </c>
      <c r="G29" s="55">
        <f t="shared" si="0"/>
        <v>35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>
        <f t="shared" si="0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 t="shared" si="0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 t="shared" si="0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19</v>
      </c>
      <c r="C34" s="69"/>
      <c r="D34" s="70"/>
      <c r="E34" s="55"/>
      <c r="F34" s="55"/>
      <c r="G34" s="55">
        <f>SUM(G16:G33)</f>
        <v>824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136" t="s">
        <v>76</v>
      </c>
      <c r="C35" s="137"/>
      <c r="D35" s="137"/>
      <c r="E35" s="137"/>
      <c r="F35" s="137"/>
      <c r="G35" s="138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1</v>
      </c>
      <c r="C36" s="69"/>
      <c r="D36" s="70"/>
      <c r="E36" s="55"/>
      <c r="F36" s="55"/>
      <c r="G36" s="55">
        <f>E36*F36</f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2</v>
      </c>
      <c r="C37" s="69"/>
      <c r="D37" s="70"/>
      <c r="E37" s="55"/>
      <c r="F37" s="55"/>
      <c r="G37" s="55">
        <f t="shared" ref="G37:G44" si="1">E37*F37</f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3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4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5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6</v>
      </c>
      <c r="C41" s="69"/>
      <c r="D41" s="70"/>
      <c r="E41" s="55"/>
      <c r="F41" s="55"/>
      <c r="G41" s="55">
        <f t="shared" si="1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7</v>
      </c>
      <c r="C42" s="69"/>
      <c r="D42" s="70"/>
      <c r="E42" s="55"/>
      <c r="F42" s="55"/>
      <c r="G42" s="55">
        <f t="shared" si="1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8</v>
      </c>
      <c r="C43" s="69"/>
      <c r="D43" s="70"/>
      <c r="E43" s="55"/>
      <c r="F43" s="55"/>
      <c r="G43" s="55">
        <f t="shared" si="1"/>
        <v>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9</v>
      </c>
      <c r="C44" s="69"/>
      <c r="D44" s="70"/>
      <c r="E44" s="55"/>
      <c r="F44" s="55"/>
      <c r="G44" s="55">
        <f t="shared" si="1"/>
        <v>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10</v>
      </c>
      <c r="C45" s="69"/>
      <c r="D45" s="70"/>
      <c r="E45" s="55"/>
      <c r="F45" s="55"/>
      <c r="G45" s="55">
        <f>SUM(G36:G42)</f>
        <v>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136" t="s">
        <v>29</v>
      </c>
      <c r="C46" s="137"/>
      <c r="D46" s="137"/>
      <c r="E46" s="137"/>
      <c r="F46" s="137"/>
      <c r="G46" s="138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1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3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4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5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6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7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8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9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10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A58" s="44"/>
      <c r="B58" s="39"/>
      <c r="C58" s="44"/>
      <c r="D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Pds9lSWieYau59aebGej3+gn9T53gbqnJZQjVgG+HA3YekP0pvlc/2PPED0I7EdMPKV+gSUpHQvQNf0mv5q9lA==" saltValue="lwO8jPzYAREDaTPLxr+CcA==" spinCount="100000" sheet="1" objects="1" scenarios="1" formatColumns="0" formatRows="0" sort="0" autoFilter="0"/>
  <mergeCells count="9">
    <mergeCell ref="B7:G7"/>
    <mergeCell ref="B35:G35"/>
    <mergeCell ref="B46:G46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6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762000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35</xdr:row>
                    <xdr:rowOff>28575</xdr:rowOff>
                  </from>
                  <to>
                    <xdr:col>1</xdr:col>
                    <xdr:colOff>1533525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46</xdr:row>
                    <xdr:rowOff>28575</xdr:rowOff>
                  </from>
                  <to>
                    <xdr:col>1</xdr:col>
                    <xdr:colOff>771525</xdr:colOff>
                    <xdr:row>46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46</xdr:row>
                    <xdr:rowOff>28575</xdr:rowOff>
                  </from>
                  <to>
                    <xdr:col>1</xdr:col>
                    <xdr:colOff>1543050</xdr:colOff>
                    <xdr:row>46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8" workbookViewId="0">
      <selection activeCell="E14" sqref="E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169</v>
      </c>
      <c r="N12" s="90" t="s">
        <v>170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60</v>
      </c>
      <c r="F13" s="55"/>
      <c r="G13" s="55">
        <v>90</v>
      </c>
      <c r="H13" s="55"/>
      <c r="I13" s="55"/>
      <c r="J13" s="55"/>
      <c r="K13" s="55"/>
      <c r="L13" s="55"/>
      <c r="M13" s="55"/>
      <c r="N13" s="55"/>
      <c r="P13" s="88">
        <f>SUM(D13:N13)</f>
        <v>150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175</v>
      </c>
      <c r="D14" s="55"/>
      <c r="E14" s="55"/>
      <c r="F14" s="55"/>
      <c r="G14" s="55">
        <v>30</v>
      </c>
      <c r="H14" s="55"/>
      <c r="I14" s="55"/>
      <c r="J14" s="55"/>
      <c r="K14" s="55"/>
      <c r="L14" s="55"/>
      <c r="M14" s="55">
        <v>20</v>
      </c>
      <c r="N14" s="55"/>
      <c r="P14" s="88">
        <f t="shared" ref="P14:P22" si="0">SUM(D14:N14)</f>
        <v>50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177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75</v>
      </c>
      <c r="F30" s="88">
        <f t="shared" si="1"/>
        <v>0</v>
      </c>
      <c r="G30" s="88">
        <f t="shared" si="1"/>
        <v>150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20</v>
      </c>
      <c r="N30" s="88">
        <f t="shared" si="1"/>
        <v>0</v>
      </c>
      <c r="P30" s="89">
        <f>SUM(P13:P22)</f>
        <v>245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2018-06-13T07:27:48Z</dcterms:modified>
</cp:coreProperties>
</file>