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3" i="9" l="1"/>
  <c r="J25" i="2"/>
  <c r="J23" i="2"/>
  <c r="J24" i="2"/>
  <c r="J20" i="2" l="1"/>
  <c r="J21" i="2"/>
  <c r="J22" i="2"/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4" i="9" l="1"/>
  <c r="G37" i="9"/>
  <c r="G38" i="9"/>
  <c r="G39" i="9"/>
  <c r="G40" i="9"/>
  <c r="G41" i="9"/>
  <c r="G42" i="9"/>
  <c r="G43" i="9"/>
  <c r="G44" i="9"/>
  <c r="G36" i="9"/>
  <c r="G45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J11" i="2"/>
  <c r="J26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<sst xmlns="http://schemas.openxmlformats.org/spreadsheetml/2006/main" count="542" uniqueCount="229">
  <si>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</si>
  <si>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</si>
  <si>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</si>
  <si>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</si>
  <si>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</si>
  <si>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</si>
  <si>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</si>
  <si>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</si>
  <si>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</si>
  <si>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</si>
  <si>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</si>
  <si>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</si>
  <si>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</si>
  <si>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</si>
  <si>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</si>
  <si>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</si>
  <si>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</si>
  <si>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</si>
  <si>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</si>
  <si>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</si>
  <si>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</si>
  <si>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</si>
  <si>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</si>
  <si>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</si>
  <si>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</si>
  <si>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</si>
  <si>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</si>
  <si>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</si>
  <si>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</si>
  <si>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</si>
  <si>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</si>
  <si>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</si>
  <si>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</si>
  <si>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</si>
  <si>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</si>
  <si>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</si>
  <si>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</si>
  <si>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</si>
  <si>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</si>
  <si>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</si>
  <si>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</si>
  <si>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</si>
  <si>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</si>
  <si>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</si>
  <si>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</si>
  <si>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</si>
  <si>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</si>
  <si>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</si>
  <si>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</si>
  <si>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</si>
  <si>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</si>
  <si>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</si>
  <si>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</si>
  <si>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</si>
  <si>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</si>
  <si>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</si>
  <si>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</si>
  <si>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</si>
  <si>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</si>
  <si>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</si>
  <si>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</si>
  <si>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</si>
  <si>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</si>
  <si>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</si>
  <si>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</si>
  <si>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</si>
  <si>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</si>
  <si>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</si>
  <si>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</si>
  <si>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</si>
  <si>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</si>
  <si>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</si>
  <si>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</si>
  <si>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</si>
  <si>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</si>
  <si>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</si>
  <si>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</si>
  <si>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</si>
  <si>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</si>
  <si>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</si>
  <si>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</si>
  <si>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</si>
  <si>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</si>
  <si>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</si>
  <si>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</si>
  <si>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</si>
  <si>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</si>
  <si>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</si>
  <si>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</si>
  <si>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</si>
  <si>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</si>
  <si>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</si>
  <si>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</si>
  <si>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</si>
  <si>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</si>
  <si>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</si>
  <si>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</si>
  <si>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</si>
  <si>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</si>
  <si>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</si>
  <si>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</si>
  <si>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</si>
  <si>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</si>
  <si>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</si>
  <si>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</si>
  <si>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</si>
  <si>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</si>
  <si>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</si>
  <si>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</si>
  <si>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</si>
  <si>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</si>
  <si>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</si>
  <si>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</si>
  <si>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</si>
  <si>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</si>
  <si>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</si>
  <si>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</si>
  <si>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</si>
  <si>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</si>
  <si>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</si>
  <si>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</si>
  <si>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</si>
  <si>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</si>
  <si>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</si>
  <si>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</si>
  <si>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</si>
  <si>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</si>
  <si>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</si>
  <si>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</si>
  <si>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</si>
  <si>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</si>
  <si>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</si>
  <si>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</si>
  <si>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</si>
  <si>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</si>
  <si>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</si>
  <si>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</si>
  <si>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</si>
  <si>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</si>
  <si>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</si>
  <si>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</si>
  <si>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</si>
  <si>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</si>
  <si>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</si>
  <si>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</si>
  <si>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</si>
  <si>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</si>
  <si>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</si>
  <si>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</si>
  <si>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</si>
  <si>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</si>
  <si>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</si>
  <si>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</si>
  <si>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</si>
  <si>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</si>
  <si>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</si>
  <si>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</si>
  <si>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</si>
  <si>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</si>
  <si>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</si>
  <si>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</si>
  <si>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</si>
  <si>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</si>
  <si>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</si>
  <si>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</si>
  <si>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</si>
  <si>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</si>
  <si>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</si>
  <si>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</si>
  <si>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MEDICAL TECHNOLOGIST</t>
  </si>
  <si>
    <t>RADIOLOGIC TECHNOLOGIST</t>
  </si>
  <si>
    <t>CBC PLATELET COUNT</t>
  </si>
  <si>
    <t>LABORATORY</t>
  </si>
  <si>
    <t>BOTTLE/IV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</si>
  <si>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</si>
  <si>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</si>
  <si>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</si>
  <si>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</si>
  <si>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</si>
  <si>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</si>
  <si>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</si>
  <si>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AMPULE/IV</t>
  </si>
  <si>
    <t>PC</t>
  </si>
  <si>
    <t>10CC SYRINGE</t>
  </si>
  <si>
    <t>3CC SYRINGE</t>
  </si>
  <si>
    <t>5CC SYRINGE</t>
  </si>
  <si>
    <t>ID BRACELET</t>
  </si>
  <si>
    <t>PARACETAMOL</t>
  </si>
  <si>
    <t>IV CATHETER G 26</t>
  </si>
  <si>
    <t>STERILE WATER FOR INJECTION</t>
  </si>
  <si>
    <t>POLYAMPULE/IV</t>
  </si>
  <si>
    <t>10 ML</t>
  </si>
  <si>
    <t>URINALYSIS</t>
  </si>
  <si>
    <t>VIAL/IV</t>
  </si>
  <si>
    <t>150 MG/ML</t>
  </si>
  <si>
    <t>TONGUE DEPRESSOR</t>
  </si>
  <si>
    <t>CEFUROXIME</t>
  </si>
  <si>
    <t>SGPT</t>
  </si>
  <si>
    <t>SGOT</t>
  </si>
  <si>
    <t>CHEM 8</t>
  </si>
  <si>
    <t>OXYGEN FEE</t>
  </si>
  <si>
    <t>CEFEPIME</t>
  </si>
  <si>
    <t>1 GM</t>
  </si>
  <si>
    <t>OMEPRAZOLE</t>
  </si>
  <si>
    <t>40 MG</t>
  </si>
  <si>
    <t>NALBUPHINE HCL</t>
  </si>
  <si>
    <t>10 MG/ML</t>
  </si>
  <si>
    <t>HYOSCINE N BUTYL BROMIDE</t>
  </si>
  <si>
    <t>20 MG/ML</t>
  </si>
  <si>
    <t>MEFENAMIC ACID</t>
  </si>
  <si>
    <t>CAPSULE/ORAL</t>
  </si>
  <si>
    <t>500 MG</t>
  </si>
  <si>
    <t>FUROSEMIDE</t>
  </si>
  <si>
    <t>TABLET/ORAL</t>
  </si>
  <si>
    <t xml:space="preserve">D5LRS </t>
  </si>
  <si>
    <t>1000 ML</t>
  </si>
  <si>
    <t>CELECOXIB</t>
  </si>
  <si>
    <t>200 MG</t>
  </si>
  <si>
    <t xml:space="preserve">BISACODYL </t>
  </si>
  <si>
    <t>SUPPOSITORY/ANAL</t>
  </si>
  <si>
    <t>5 MG</t>
  </si>
  <si>
    <t>IV CATHETER G 22</t>
  </si>
  <si>
    <t>IV SET ADULT</t>
  </si>
  <si>
    <t>IV SPLINT ADULT</t>
  </si>
  <si>
    <t>NASAL CANNULA ADULT</t>
  </si>
  <si>
    <t>HEPLOCK</t>
  </si>
  <si>
    <t>IV CATHETER G 24</t>
  </si>
  <si>
    <t>OXYGEN</t>
  </si>
  <si>
    <t>TANK/INH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</si>
</sst>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opLeftCell="A51" zoomScaleNormal="100" workbookViewId="0">
      <selection activeCell="E68" sqref="E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198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199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44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45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53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55</v>
      </c>
      <c r="C60" s="17" t="s">
        <v>51</v>
      </c>
      <c r="D60" s="17" t="s">
        <v>56</v>
      </c>
      <c r="E60" s="18" t="s">
        <v>57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162</v>
      </c>
      <c r="D61" s="55"/>
      <c r="E61" s="55">
        <v>2000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163</v>
      </c>
      <c r="D62" s="55"/>
      <c r="E62" s="55">
        <v>50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164</v>
      </c>
      <c r="D63" s="55">
        <v>4200</v>
      </c>
      <c r="E63" s="55">
        <v>4252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165</v>
      </c>
      <c r="D64" s="55"/>
      <c r="E64" s="55">
        <v>1693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172</v>
      </c>
      <c r="D65" s="55"/>
      <c r="E65" s="55">
        <v>1770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166</v>
      </c>
      <c r="D66" s="55">
        <v>1800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200</v>
      </c>
      <c r="D67" s="55"/>
      <c r="E67" s="55">
        <v>50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6000</v>
      </c>
      <c r="E72" s="59">
        <f>SUM(E61:E71)</f>
        <v>9815</v>
      </c>
      <c r="F72" s="59">
        <f>SUM(F61:F71)</f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algorithmName="SHA-512" hashValue="Jy6f0VMDfz5dxjrk530mouJzChqgg4hsEp6lcVz9o+HUUrilWrGKxPEx5mHnU8djTxEvjkYTOgXYZ5biYZ8bDw==" saltValue="CcGXEKVJqODfeZmh4K401g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topLeftCell="A8" workbookViewId="0">
      <selection activeCell="I26" sqref="I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201</v>
      </c>
      <c r="D11" s="27" t="s">
        <v>193</v>
      </c>
      <c r="E11" s="27" t="s">
        <v>202</v>
      </c>
      <c r="F11" s="55"/>
      <c r="G11" s="55"/>
      <c r="H11" s="55">
        <v>5</v>
      </c>
      <c r="I11" s="55">
        <v>525</v>
      </c>
      <c r="J11" s="55">
        <f>H11*I11</f>
        <v>2625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203</v>
      </c>
      <c r="D12" s="27" t="s">
        <v>193</v>
      </c>
      <c r="E12" s="27" t="s">
        <v>204</v>
      </c>
      <c r="F12" s="55"/>
      <c r="G12" s="55"/>
      <c r="H12" s="55">
        <v>7</v>
      </c>
      <c r="I12" s="55">
        <v>285</v>
      </c>
      <c r="J12" s="55">
        <f t="shared" ref="J12:J25" si="0">H12*I12</f>
        <v>1995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205</v>
      </c>
      <c r="D13" s="27" t="s">
        <v>181</v>
      </c>
      <c r="E13" s="27" t="s">
        <v>206</v>
      </c>
      <c r="F13" s="55"/>
      <c r="G13" s="55"/>
      <c r="H13" s="55">
        <v>4</v>
      </c>
      <c r="I13" s="55">
        <v>125</v>
      </c>
      <c r="J13" s="55">
        <f t="shared" si="0"/>
        <v>500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207</v>
      </c>
      <c r="D14" s="27" t="s">
        <v>181</v>
      </c>
      <c r="E14" s="27" t="s">
        <v>208</v>
      </c>
      <c r="F14" s="55"/>
      <c r="G14" s="55"/>
      <c r="H14" s="55">
        <v>9</v>
      </c>
      <c r="I14" s="55">
        <v>55</v>
      </c>
      <c r="J14" s="55">
        <f t="shared" si="0"/>
        <v>495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209</v>
      </c>
      <c r="D15" s="27" t="s">
        <v>210</v>
      </c>
      <c r="E15" s="27" t="s">
        <v>211</v>
      </c>
      <c r="F15" s="55"/>
      <c r="G15" s="55"/>
      <c r="H15" s="55">
        <v>9</v>
      </c>
      <c r="I15" s="55">
        <v>4</v>
      </c>
      <c r="J15" s="55">
        <f t="shared" si="0"/>
        <v>36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212</v>
      </c>
      <c r="D16" s="27" t="s">
        <v>181</v>
      </c>
      <c r="E16" s="27" t="s">
        <v>206</v>
      </c>
      <c r="F16" s="55"/>
      <c r="G16" s="55"/>
      <c r="H16" s="55">
        <v>22</v>
      </c>
      <c r="I16" s="55">
        <v>25</v>
      </c>
      <c r="J16" s="55">
        <f t="shared" si="0"/>
        <v>550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203</v>
      </c>
      <c r="D17" s="27" t="s">
        <v>213</v>
      </c>
      <c r="E17" s="27" t="s">
        <v>204</v>
      </c>
      <c r="F17" s="55"/>
      <c r="G17" s="55"/>
      <c r="H17" s="55">
        <v>7</v>
      </c>
      <c r="I17" s="55">
        <v>17</v>
      </c>
      <c r="J17" s="55">
        <f t="shared" si="0"/>
        <v>119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214</v>
      </c>
      <c r="D18" s="27" t="s">
        <v>173</v>
      </c>
      <c r="E18" s="27" t="s">
        <v>215</v>
      </c>
      <c r="F18" s="55"/>
      <c r="G18" s="55"/>
      <c r="H18" s="55">
        <v>16</v>
      </c>
      <c r="I18" s="55">
        <v>80</v>
      </c>
      <c r="J18" s="55">
        <f t="shared" si="0"/>
        <v>1280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216</v>
      </c>
      <c r="D19" s="27" t="s">
        <v>213</v>
      </c>
      <c r="E19" s="27" t="s">
        <v>217</v>
      </c>
      <c r="F19" s="55"/>
      <c r="G19" s="55"/>
      <c r="H19" s="55">
        <v>6</v>
      </c>
      <c r="I19" s="55">
        <v>11</v>
      </c>
      <c r="J19" s="55">
        <f t="shared" si="0"/>
        <v>66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187</v>
      </c>
      <c r="D20" s="27" t="s">
        <v>181</v>
      </c>
      <c r="E20" s="27" t="s">
        <v>194</v>
      </c>
      <c r="F20" s="55"/>
      <c r="G20" s="55"/>
      <c r="H20" s="55">
        <v>6</v>
      </c>
      <c r="I20" s="55">
        <v>35</v>
      </c>
      <c r="J20" s="55">
        <f t="shared" si="0"/>
        <v>210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189</v>
      </c>
      <c r="D21" s="27" t="s">
        <v>190</v>
      </c>
      <c r="E21" s="27" t="s">
        <v>191</v>
      </c>
      <c r="F21" s="55"/>
      <c r="G21" s="55"/>
      <c r="H21" s="55">
        <v>2</v>
      </c>
      <c r="I21" s="55">
        <v>40</v>
      </c>
      <c r="J21" s="55">
        <f t="shared" si="0"/>
        <v>80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218</v>
      </c>
      <c r="D22" s="27" t="s">
        <v>219</v>
      </c>
      <c r="E22" s="27" t="s">
        <v>206</v>
      </c>
      <c r="F22" s="55"/>
      <c r="G22" s="55"/>
      <c r="H22" s="55">
        <v>4</v>
      </c>
      <c r="I22" s="55">
        <v>55</v>
      </c>
      <c r="J22" s="55">
        <f t="shared" si="0"/>
        <v>220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218</v>
      </c>
      <c r="D23" s="27" t="s">
        <v>213</v>
      </c>
      <c r="E23" s="27" t="s">
        <v>220</v>
      </c>
      <c r="F23" s="55"/>
      <c r="G23" s="55"/>
      <c r="H23" s="55">
        <v>2</v>
      </c>
      <c r="I23" s="55">
        <v>3</v>
      </c>
      <c r="J23" s="55">
        <f t="shared" si="0"/>
        <v>6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196</v>
      </c>
      <c r="D24" s="27" t="s">
        <v>213</v>
      </c>
      <c r="E24" s="27" t="s">
        <v>211</v>
      </c>
      <c r="F24" s="55"/>
      <c r="G24" s="55"/>
      <c r="H24" s="55">
        <v>6</v>
      </c>
      <c r="I24" s="55">
        <v>45</v>
      </c>
      <c r="J24" s="55">
        <f t="shared" si="0"/>
        <v>270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227</v>
      </c>
      <c r="D25" s="27" t="s">
        <v>228</v>
      </c>
      <c r="E25" s="27"/>
      <c r="F25" s="55"/>
      <c r="G25" s="55"/>
      <c r="H25" s="55">
        <v>1</v>
      </c>
      <c r="I25" s="55">
        <v>50</v>
      </c>
      <c r="J25" s="55">
        <f t="shared" si="0"/>
        <v>50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SUM(J11:J25)</f>
        <v>8502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2" workbookViewId="0">
      <selection activeCell="E24" sqref="E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182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182</v>
      </c>
      <c r="E17" s="55">
        <v>10</v>
      </c>
      <c r="F17" s="55">
        <v>6</v>
      </c>
      <c r="G17" s="55">
        <f t="shared" ref="G17:G33" si="0">E17*F17</f>
        <v>60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182</v>
      </c>
      <c r="E18" s="55">
        <v>10</v>
      </c>
      <c r="F18" s="55">
        <v>4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182</v>
      </c>
      <c r="E19" s="55">
        <v>8</v>
      </c>
      <c r="F19" s="55">
        <v>7</v>
      </c>
      <c r="G19" s="55">
        <f t="shared" si="0"/>
        <v>56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185</v>
      </c>
      <c r="D20" s="70" t="s">
        <v>182</v>
      </c>
      <c r="E20" s="55">
        <v>12</v>
      </c>
      <c r="F20" s="55">
        <v>7</v>
      </c>
      <c r="G20" s="55">
        <f t="shared" si="0"/>
        <v>84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184</v>
      </c>
      <c r="D21" s="70" t="s">
        <v>182</v>
      </c>
      <c r="E21" s="55">
        <v>13</v>
      </c>
      <c r="F21" s="55">
        <v>6</v>
      </c>
      <c r="G21" s="55">
        <f t="shared" si="0"/>
        <v>78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183</v>
      </c>
      <c r="D22" s="70" t="s">
        <v>182</v>
      </c>
      <c r="E22" s="55">
        <v>10</v>
      </c>
      <c r="F22" s="55">
        <v>8</v>
      </c>
      <c r="G22" s="55">
        <f t="shared" si="0"/>
        <v>80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177</v>
      </c>
      <c r="D23" s="70" t="s">
        <v>182</v>
      </c>
      <c r="E23" s="55">
        <v>1</v>
      </c>
      <c r="F23" s="55">
        <v>65</v>
      </c>
      <c r="G23" s="55">
        <f t="shared" si="0"/>
        <v>65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186</v>
      </c>
      <c r="D24" s="70" t="s">
        <v>182</v>
      </c>
      <c r="E24" s="55">
        <v>1</v>
      </c>
      <c r="F24" s="55">
        <v>7</v>
      </c>
      <c r="G24" s="55">
        <f t="shared" si="0"/>
        <v>7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188</v>
      </c>
      <c r="D25" s="70" t="s">
        <v>182</v>
      </c>
      <c r="E25" s="55">
        <v>2</v>
      </c>
      <c r="F25" s="55">
        <v>61</v>
      </c>
      <c r="G25" s="55">
        <f t="shared" si="0"/>
        <v>122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221</v>
      </c>
      <c r="D26" s="70" t="s">
        <v>182</v>
      </c>
      <c r="E26" s="55">
        <v>6</v>
      </c>
      <c r="F26" s="55">
        <v>61</v>
      </c>
      <c r="G26" s="55">
        <f t="shared" si="0"/>
        <v>366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222</v>
      </c>
      <c r="D27" s="70" t="s">
        <v>182</v>
      </c>
      <c r="E27" s="55">
        <v>2</v>
      </c>
      <c r="F27" s="55">
        <v>32</v>
      </c>
      <c r="G27" s="55">
        <f t="shared" si="0"/>
        <v>64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223</v>
      </c>
      <c r="D28" s="70" t="s">
        <v>182</v>
      </c>
      <c r="E28" s="55">
        <v>1</v>
      </c>
      <c r="F28" s="55">
        <v>110</v>
      </c>
      <c r="G28" s="55">
        <f t="shared" si="0"/>
        <v>110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195</v>
      </c>
      <c r="D29" s="70" t="s">
        <v>182</v>
      </c>
      <c r="E29" s="55">
        <v>1</v>
      </c>
      <c r="F29" s="55">
        <v>2</v>
      </c>
      <c r="G29" s="55">
        <f t="shared" si="0"/>
        <v>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224</v>
      </c>
      <c r="D30" s="70" t="s">
        <v>182</v>
      </c>
      <c r="E30" s="55">
        <v>2</v>
      </c>
      <c r="F30" s="55">
        <v>43</v>
      </c>
      <c r="G30" s="55">
        <f t="shared" si="0"/>
        <v>86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225</v>
      </c>
      <c r="D31" s="70" t="s">
        <v>182</v>
      </c>
      <c r="E31" s="55">
        <v>1</v>
      </c>
      <c r="F31" s="55">
        <v>22</v>
      </c>
      <c r="G31" s="55">
        <f t="shared" si="0"/>
        <v>22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 t="s">
        <v>226</v>
      </c>
      <c r="D32" s="70" t="s">
        <v>182</v>
      </c>
      <c r="E32" s="55">
        <v>6</v>
      </c>
      <c r="F32" s="55">
        <v>61</v>
      </c>
      <c r="G32" s="55">
        <f t="shared" si="0"/>
        <v>366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1693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76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>
        <f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>
        <f t="shared" ref="G37:G44" si="1">E37*F37</f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>
        <f t="shared" si="1"/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>
        <f>SUM(G36:G42)</f>
        <v>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29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ds9lSWieYau59aebGej3+gn9T53gbqnJZQjVgG+HA3YekP0pvlc/2PPED0I7EdMPKV+gSUpHQvQNf0mv5q9lA==" saltValue="lwO8jPzYAREDaTPLxr+CcA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8"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169</v>
      </c>
      <c r="N12" s="90" t="s">
        <v>170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90</v>
      </c>
      <c r="F13" s="55"/>
      <c r="G13" s="55">
        <v>140</v>
      </c>
      <c r="H13" s="55"/>
      <c r="I13" s="55"/>
      <c r="J13" s="55"/>
      <c r="K13" s="55"/>
      <c r="L13" s="55"/>
      <c r="M13" s="55"/>
      <c r="N13" s="55"/>
      <c r="P13" s="88">
        <f>SUM(D13:N13)</f>
        <v>230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176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40</v>
      </c>
      <c r="N14" s="55"/>
      <c r="P14" s="88">
        <f t="shared" ref="P14:P22" si="0">SUM(D14:N14)</f>
        <v>90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178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105</v>
      </c>
      <c r="F30" s="88">
        <f t="shared" si="1"/>
        <v>0</v>
      </c>
      <c r="G30" s="88">
        <f t="shared" si="1"/>
        <v>220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0</v>
      </c>
      <c r="P30" s="89">
        <f>SUM(P13:P22)</f>
        <v>365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2018-06-13T02:40:32Z</dcterms:modified>
</cp:coreProperties>
</file>