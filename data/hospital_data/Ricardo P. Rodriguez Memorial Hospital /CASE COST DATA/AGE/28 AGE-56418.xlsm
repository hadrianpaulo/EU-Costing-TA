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<sst xmlns="http://schemas.openxmlformats.org/spreadsheetml/2006/main" count="516" uniqueCount="218">
  <si>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</si>
  <si>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</si>
  <si>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</si>
  <si>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</si>
  <si>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</si>
  <si>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</si>
  <si>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</si>
  <si>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</si>
  <si>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</si>
  <si>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</si>
  <si>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</si>
  <si>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</si>
  <si>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</si>
  <si>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</si>
  <si>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</si>
  <si>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</si>
  <si>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</si>
  <si>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</si>
  <si>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</si>
  <si>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</si>
  <si>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</si>
  <si>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</si>
  <si>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</si>
  <si>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</si>
  <si>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</si>
  <si>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</si>
  <si>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</si>
  <si>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</si>
  <si>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</si>
  <si>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</si>
  <si>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</si>
  <si>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</si>
  <si>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</si>
  <si>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</si>
  <si>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</si>
  <si>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</si>
  <si>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</si>
  <si>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</si>
  <si>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</si>
  <si>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</si>
  <si>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</si>
  <si>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</si>
  <si>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</si>
  <si>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</si>
  <si>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</si>
  <si>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</si>
  <si>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</si>
  <si>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</si>
  <si>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</si>
  <si>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</si>
  <si>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</si>
  <si>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</si>
  <si>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</si>
  <si>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</si>
  <si>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</si>
  <si>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</si>
  <si>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</si>
  <si>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</si>
  <si>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</si>
  <si>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</si>
  <si>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</si>
  <si>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</si>
  <si>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</si>
  <si>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</si>
  <si>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</si>
  <si>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</si>
  <si>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</si>
  <si>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</si>
  <si>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</si>
  <si>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</si>
  <si>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</si>
  <si>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</si>
  <si>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</si>
  <si>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</si>
  <si>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</si>
  <si>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</si>
  <si>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</si>
  <si>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</si>
  <si>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</si>
  <si>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</si>
  <si>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</si>
  <si>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</si>
  <si>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</si>
  <si>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</si>
  <si>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</si>
  <si>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</si>
  <si>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</si>
  <si>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</si>
  <si>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</si>
  <si>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</si>
  <si>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</si>
  <si>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</si>
  <si>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</si>
  <si>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</si>
  <si>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</si>
  <si>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</si>
  <si>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</si>
  <si>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</si>
  <si>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</si>
  <si>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</si>
  <si>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</si>
  <si>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</si>
  <si>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</si>
  <si>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</si>
  <si>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</si>
  <si>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</si>
  <si>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</si>
  <si>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</si>
  <si>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</si>
  <si>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</si>
  <si>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</si>
  <si>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</si>
  <si>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</si>
  <si>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</si>
  <si>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</si>
  <si>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</si>
  <si>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</si>
  <si>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</si>
  <si>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</si>
  <si>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</si>
  <si>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</si>
  <si>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</si>
  <si>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</si>
  <si>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</si>
  <si>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</si>
  <si>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</si>
  <si>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</si>
  <si>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</si>
  <si>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</si>
  <si>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</si>
  <si>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</si>
  <si>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</si>
  <si>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</si>
  <si>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</si>
  <si>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</si>
  <si>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</si>
  <si>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</si>
  <si>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</si>
  <si>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</si>
  <si>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</si>
  <si>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</si>
  <si>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</si>
  <si>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</si>
  <si>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</si>
  <si>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</si>
  <si>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</si>
  <si>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</si>
  <si>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</si>
  <si>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</si>
  <si>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</si>
  <si>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</si>
  <si>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</si>
  <si>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</si>
  <si>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</si>
  <si>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</si>
  <si>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</si>
  <si>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</si>
  <si>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</si>
  <si>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</si>
  <si>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</si>
  <si>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</si>
  <si>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</si>
  <si>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</si>
  <si>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</si>
  <si>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</si>
  <si>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</si>
  <si>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</si>
  <si>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</si>
  <si>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</si>
  <si>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</si>
  <si>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</si>
  <si>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</si>
  <si>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</si>
  <si>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</si>
  <si>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</si>
  <si>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</si>
  <si>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</si>
  <si>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</si>
  <si>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</si>
  <si>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</si>
  <si>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</si>
  <si>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</si>
  <si>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</si>
  <si>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50 MG/ML</t>
  </si>
  <si>
    <t>3CC SYRINGE</t>
  </si>
  <si>
    <t>5CC SYRINGE</t>
  </si>
  <si>
    <t>ID BRACELET</t>
  </si>
  <si>
    <t>PARACETAMOL</t>
  </si>
  <si>
    <t>DIPHENHYDRAMINE HCL</t>
  </si>
  <si>
    <t>D5 0.3 NACL</t>
  </si>
  <si>
    <t>500 ML</t>
  </si>
  <si>
    <t>STERILE WATER FOR INJECTION</t>
  </si>
  <si>
    <t>POLYAMPULE/IV</t>
  </si>
  <si>
    <t>10 ML</t>
  </si>
  <si>
    <t>IV SET PEDIA</t>
  </si>
  <si>
    <t>FECALYSIS</t>
  </si>
  <si>
    <t>URINALYSIS</t>
  </si>
  <si>
    <t>VIAL/IV</t>
  </si>
  <si>
    <t>750 MG</t>
  </si>
  <si>
    <t>BOTTLE/ORAL</t>
  </si>
  <si>
    <t>WEE BAG</t>
  </si>
  <si>
    <t>150 MG/ML</t>
  </si>
  <si>
    <t>TONGUE DEPRESSOR</t>
  </si>
  <si>
    <t>CEFUROXIME</t>
  </si>
  <si>
    <t>IV CATHETER G 22</t>
  </si>
  <si>
    <t>IV SPLINT ADULT</t>
  </si>
  <si>
    <t>HEPLOCK</t>
  </si>
  <si>
    <t>ELECTROLYTES</t>
  </si>
  <si>
    <t>DROPS/ORAL</t>
  </si>
  <si>
    <t>27.50 MG/ML</t>
  </si>
  <si>
    <t xml:space="preserve">ZINC SULFATE </t>
  </si>
  <si>
    <t>CHEST AP/LATERAL 8X10</t>
  </si>
  <si>
    <t>X-RAY</t>
  </si>
  <si>
    <t>CEFALEXIN</t>
  </si>
  <si>
    <t>100 MG/ML</t>
  </si>
  <si>
    <t>ORAL REHYDRATION SALTS HCL</t>
  </si>
  <si>
    <t>SACHET/ORAL</t>
  </si>
  <si>
    <t>5.50G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</si>
</sst>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32" zoomScaleNormal="100" workbookViewId="0">
      <selection activeCell="E66" sqref="E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207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211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162</v>
      </c>
      <c r="D64" s="55">
        <v>483</v>
      </c>
      <c r="E64" s="55">
        <v>717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163</v>
      </c>
      <c r="D65" s="55"/>
      <c r="E65" s="55">
        <v>30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164</v>
      </c>
      <c r="D66" s="55">
        <v>1939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165</v>
      </c>
      <c r="D67" s="55">
        <v>618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 t="s">
        <v>172</v>
      </c>
      <c r="D68" s="55">
        <v>950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 t="s">
        <v>166</v>
      </c>
      <c r="D69" s="55">
        <v>1800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 t="s">
        <v>212</v>
      </c>
      <c r="D70" s="55">
        <v>210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6000</v>
      </c>
      <c r="E75" s="59">
        <f>SUM(E64:E74)</f>
        <v>747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algorithmName="SHA-512" hashValue="oS1X5L6tOr0STCGKZM9MDcXAyQnHMyb9oGX0nzC56TqtBHLLg5FcIk/mNsGNnMW06G5orv0DBaLurDh35C5NBQ==" saltValue="zarnHz9WFiS5p8QmlM0V7Q==" spinCount="100000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9" sqref="I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203</v>
      </c>
      <c r="D11" s="27" t="s">
        <v>197</v>
      </c>
      <c r="E11" s="27" t="s">
        <v>198</v>
      </c>
      <c r="F11" s="55"/>
      <c r="G11" s="55"/>
      <c r="H11" s="55">
        <v>8</v>
      </c>
      <c r="I11" s="55">
        <v>55</v>
      </c>
      <c r="J11" s="55">
        <f>H11*I11</f>
        <v>440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210</v>
      </c>
      <c r="D12" s="27" t="s">
        <v>208</v>
      </c>
      <c r="E12" s="27" t="s">
        <v>209</v>
      </c>
      <c r="F12" s="55"/>
      <c r="G12" s="55"/>
      <c r="H12" s="55">
        <v>1</v>
      </c>
      <c r="I12" s="55">
        <v>95</v>
      </c>
      <c r="J12" s="55">
        <f t="shared" ref="J12:J25" si="0">H12*I12</f>
        <v>95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213</v>
      </c>
      <c r="D13" s="27" t="s">
        <v>199</v>
      </c>
      <c r="E13" s="27" t="s">
        <v>214</v>
      </c>
      <c r="F13" s="55"/>
      <c r="G13" s="55"/>
      <c r="H13" s="55">
        <v>1</v>
      </c>
      <c r="I13" s="55">
        <v>47</v>
      </c>
      <c r="J13" s="55">
        <f t="shared" si="0"/>
        <v>47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173</v>
      </c>
      <c r="E14" s="27" t="s">
        <v>190</v>
      </c>
      <c r="F14" s="55"/>
      <c r="G14" s="55"/>
      <c r="H14" s="55">
        <v>8</v>
      </c>
      <c r="I14" s="55">
        <v>80</v>
      </c>
      <c r="J14" s="55">
        <f t="shared" si="0"/>
        <v>640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192</v>
      </c>
      <c r="E15" s="27" t="s">
        <v>193</v>
      </c>
      <c r="F15" s="55"/>
      <c r="G15" s="55"/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188</v>
      </c>
      <c r="D16" s="27" t="s">
        <v>181</v>
      </c>
      <c r="E16" s="27" t="s">
        <v>183</v>
      </c>
      <c r="F16" s="55"/>
      <c r="G16" s="55"/>
      <c r="H16" s="55">
        <v>3</v>
      </c>
      <c r="I16" s="55">
        <v>145</v>
      </c>
      <c r="J16" s="55">
        <f t="shared" si="0"/>
        <v>435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181</v>
      </c>
      <c r="E17" s="27" t="s">
        <v>201</v>
      </c>
      <c r="F17" s="55"/>
      <c r="G17" s="55"/>
      <c r="H17" s="55">
        <v>5</v>
      </c>
      <c r="I17" s="55">
        <v>35</v>
      </c>
      <c r="J17" s="55">
        <f t="shared" si="0"/>
        <v>175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215</v>
      </c>
      <c r="D18" s="27" t="s">
        <v>216</v>
      </c>
      <c r="E18" s="27" t="s">
        <v>217</v>
      </c>
      <c r="F18" s="55"/>
      <c r="G18" s="55"/>
      <c r="H18" s="55">
        <v>3</v>
      </c>
      <c r="I18" s="55">
        <v>9</v>
      </c>
      <c r="J18" s="55">
        <f t="shared" si="0"/>
        <v>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1939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3" workbookViewId="0">
      <selection activeCell="F29" sqref="F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182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182</v>
      </c>
      <c r="E17" s="55">
        <v>5</v>
      </c>
      <c r="F17" s="55">
        <v>6</v>
      </c>
      <c r="G17" s="55">
        <f t="shared" ref="G17:G33" si="0">E17*F17</f>
        <v>30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182</v>
      </c>
      <c r="E18" s="55">
        <v>6</v>
      </c>
      <c r="F18" s="55">
        <v>4</v>
      </c>
      <c r="G18" s="55">
        <f t="shared" si="0"/>
        <v>24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185</v>
      </c>
      <c r="D19" s="70" t="s">
        <v>182</v>
      </c>
      <c r="E19" s="55">
        <v>5</v>
      </c>
      <c r="F19" s="55">
        <v>7</v>
      </c>
      <c r="G19" s="55">
        <f t="shared" si="0"/>
        <v>35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175</v>
      </c>
      <c r="D20" s="70" t="s">
        <v>182</v>
      </c>
      <c r="E20" s="55">
        <v>10</v>
      </c>
      <c r="F20" s="55">
        <v>7</v>
      </c>
      <c r="G20" s="55">
        <f t="shared" si="0"/>
        <v>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182</v>
      </c>
      <c r="E21" s="55">
        <v>5</v>
      </c>
      <c r="F21" s="55">
        <v>6</v>
      </c>
      <c r="G21" s="55">
        <f t="shared" si="0"/>
        <v>30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177</v>
      </c>
      <c r="D22" s="70" t="s">
        <v>182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206</v>
      </c>
      <c r="D23" s="70" t="s">
        <v>182</v>
      </c>
      <c r="E23" s="55">
        <v>1</v>
      </c>
      <c r="F23" s="55">
        <v>22</v>
      </c>
      <c r="G23" s="55">
        <f t="shared" si="0"/>
        <v>22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194</v>
      </c>
      <c r="D24" s="70" t="s">
        <v>182</v>
      </c>
      <c r="E24" s="55">
        <v>1</v>
      </c>
      <c r="F24" s="55">
        <v>35</v>
      </c>
      <c r="G24" s="55">
        <f t="shared" si="0"/>
        <v>35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204</v>
      </c>
      <c r="D25" s="70" t="s">
        <v>182</v>
      </c>
      <c r="E25" s="55">
        <v>1</v>
      </c>
      <c r="F25" s="55">
        <v>61</v>
      </c>
      <c r="G25" s="55">
        <f t="shared" si="0"/>
        <v>61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200</v>
      </c>
      <c r="D26" s="70" t="s">
        <v>182</v>
      </c>
      <c r="E26" s="55">
        <v>6</v>
      </c>
      <c r="F26" s="55">
        <v>7</v>
      </c>
      <c r="G26" s="55">
        <f t="shared" si="0"/>
        <v>42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202</v>
      </c>
      <c r="D27" s="70" t="s">
        <v>182</v>
      </c>
      <c r="E27" s="55">
        <v>1</v>
      </c>
      <c r="F27" s="55">
        <v>2</v>
      </c>
      <c r="G27" s="55">
        <f t="shared" si="0"/>
        <v>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205</v>
      </c>
      <c r="D28" s="70" t="s">
        <v>182</v>
      </c>
      <c r="E28" s="55">
        <v>1</v>
      </c>
      <c r="F28" s="55">
        <v>110</v>
      </c>
      <c r="G28" s="55">
        <f t="shared" si="0"/>
        <v>110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186</v>
      </c>
      <c r="D29" s="70" t="s">
        <v>182</v>
      </c>
      <c r="E29" s="55">
        <v>1</v>
      </c>
      <c r="F29" s="55">
        <v>7</v>
      </c>
      <c r="G29" s="55">
        <f t="shared" si="0"/>
        <v>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618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8" workbookViewId="0">
      <selection activeCell="N15" sqref="N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176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40</v>
      </c>
      <c r="N14" s="55">
        <v>20</v>
      </c>
      <c r="P14" s="88">
        <f t="shared" ref="P14:P22" si="0">SUM(D14:N14)</f>
        <v>90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178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20</v>
      </c>
      <c r="P30" s="89">
        <f>SUM(P13:P22)</f>
        <v>265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2018-06-13T06:06:01Z</dcterms:modified>
</cp:coreProperties>
</file>