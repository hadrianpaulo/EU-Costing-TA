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3" i="2" l="1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3" i="9" l="1"/>
  <c r="J25" i="2"/>
  <c r="G36" i="9"/>
  <c r="G37" i="9"/>
  <c r="G38" i="9"/>
  <c r="G39" i="9"/>
  <c r="G40" i="9"/>
  <c r="G41" i="9"/>
  <c r="G42" i="9"/>
  <c r="G43" i="9"/>
  <c r="G35" i="9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<sst xmlns="http://schemas.openxmlformats.org/spreadsheetml/2006/main" count="532" uniqueCount="227">
  <si>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</si>
  <si>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</si>
  <si>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</si>
  <si>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</si>
  <si>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</si>
  <si>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</si>
  <si>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</si>
  <si>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</si>
  <si>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</si>
  <si>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</si>
  <si>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</si>
  <si>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</si>
  <si>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</si>
  <si>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</si>
  <si>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</si>
  <si>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</si>
  <si>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</si>
  <si>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</si>
  <si>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</si>
  <si>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</si>
  <si>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</si>
  <si>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</si>
  <si>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</si>
  <si>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</si>
  <si>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</si>
  <si>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</si>
  <si>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</si>
  <si>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</si>
  <si>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</si>
  <si>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</si>
  <si>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</si>
  <si>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</si>
  <si>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</si>
  <si>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</si>
  <si>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</si>
  <si>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</si>
  <si>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</si>
  <si>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</si>
  <si>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</si>
  <si>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</si>
  <si>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</si>
  <si>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</si>
  <si>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</si>
  <si>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</si>
  <si>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</si>
  <si>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</si>
  <si>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</si>
  <si>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</si>
  <si>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</si>
  <si>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</si>
  <si>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</si>
  <si>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</si>
  <si>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</si>
  <si>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</si>
  <si>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</si>
  <si>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</si>
  <si>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</si>
  <si>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</si>
  <si>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</si>
  <si>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</si>
  <si>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</si>
  <si>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</si>
  <si>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</si>
  <si>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</si>
  <si>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</si>
  <si>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</si>
  <si>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</si>
  <si>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</si>
  <si>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</si>
  <si>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</si>
  <si>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</si>
  <si>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</si>
  <si>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</si>
  <si>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</si>
  <si>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</si>
  <si>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</si>
  <si>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</si>
  <si>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</si>
  <si>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</si>
  <si>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</si>
  <si>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</si>
  <si>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</si>
  <si>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</si>
  <si>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</si>
  <si>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</si>
  <si>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</si>
  <si>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</si>
  <si>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</si>
  <si>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</si>
  <si>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</si>
  <si>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</si>
  <si>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</si>
  <si>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</si>
  <si>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</si>
  <si>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</si>
  <si>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</si>
  <si>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</si>
  <si>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</si>
  <si>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</si>
  <si>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</si>
  <si>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</si>
  <si>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</si>
  <si>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</si>
  <si>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</si>
  <si>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</si>
  <si>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</si>
  <si>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</si>
  <si>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</si>
  <si>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</si>
  <si>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</si>
  <si>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</si>
  <si>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</si>
  <si>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</si>
  <si>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</si>
  <si>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</si>
  <si>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</si>
  <si>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</si>
  <si>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</si>
  <si>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</si>
  <si>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</si>
  <si>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</si>
  <si>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</si>
  <si>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</si>
  <si>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</si>
  <si>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</si>
  <si>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</si>
  <si>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</si>
  <si>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</si>
  <si>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</si>
  <si>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</si>
  <si>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</si>
  <si>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</si>
  <si>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</si>
  <si>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</si>
  <si>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</si>
  <si>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</si>
  <si>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</si>
  <si>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</si>
  <si>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</si>
  <si>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</si>
  <si>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</si>
  <si>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</si>
  <si>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</si>
  <si>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</si>
  <si>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</si>
  <si>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</si>
  <si>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</si>
  <si>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</si>
  <si>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</si>
  <si>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</si>
  <si>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</si>
  <si>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</si>
  <si>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</si>
  <si>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</si>
  <si>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</si>
  <si>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</si>
  <si>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</si>
  <si>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</si>
  <si>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</si>
  <si>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</si>
  <si>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</si>
  <si>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</si>
  <si>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</si>
  <si>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</si>
  <si>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</si>
  <si>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</si>
  <si>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</si>
  <si>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</si>
  <si>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</si>
  <si>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</si>
  <si>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</si>
  <si>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</si>
  <si>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</si>
  <si>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LABORATORY</t>
  </si>
  <si>
    <t>BOTTLE/IV</t>
  </si>
  <si>
    <t>VIAL/IV</t>
  </si>
  <si>
    <t>STERILE WATER FOR INJECTION</t>
  </si>
  <si>
    <t>POLYAMPULE/V</t>
  </si>
  <si>
    <t>10 mg</t>
  </si>
  <si>
    <t>ID BRACELET</t>
  </si>
  <si>
    <t>10CC SYRINGE</t>
  </si>
  <si>
    <t>5CC SYRINGE</t>
  </si>
  <si>
    <t>GLOVES UNSTERILE MEDIUM</t>
  </si>
  <si>
    <t>1CC SYRINGE</t>
  </si>
  <si>
    <t>Procedure</t>
  </si>
  <si>
    <t>Consultation in the ER</t>
  </si>
  <si>
    <t>ACUTE GASTROENTERITIS</t>
  </si>
  <si>
    <t>A09.9</t>
  </si>
  <si>
    <t>ELECTROLYTES</t>
  </si>
  <si>
    <t>X-RAY</t>
  </si>
  <si>
    <t>500 ml</t>
  </si>
  <si>
    <t>D5 IMB</t>
  </si>
  <si>
    <t xml:space="preserve">CEFUROXIME </t>
  </si>
  <si>
    <t>750 mg</t>
  </si>
  <si>
    <t>METRONIDAZOLE</t>
  </si>
  <si>
    <t>500 mg/ml</t>
  </si>
  <si>
    <t>AMPULE/IV</t>
  </si>
  <si>
    <t>PC</t>
  </si>
  <si>
    <t>HEPLOCK</t>
  </si>
  <si>
    <t>IV CATHETER G 26</t>
  </si>
  <si>
    <t>IV SET PEDIA</t>
  </si>
  <si>
    <t>SOLUSET</t>
  </si>
  <si>
    <t>FECALYSIS</t>
  </si>
  <si>
    <t>CHEST AP/LATERAL 8X10</t>
  </si>
  <si>
    <t>D5 LRS</t>
  </si>
  <si>
    <t>1000 ml</t>
  </si>
  <si>
    <t>CEFUROXIME (ZIOMET)</t>
  </si>
  <si>
    <t>750 mg/ml</t>
  </si>
  <si>
    <t>PARACETAMOL</t>
  </si>
  <si>
    <t>BOTTLE/ORAL</t>
  </si>
  <si>
    <t>125 mg</t>
  </si>
  <si>
    <t>Ascorbic acid</t>
  </si>
  <si>
    <t>SYRUP/ORAL</t>
  </si>
  <si>
    <t>100 mg/5 ml</t>
  </si>
  <si>
    <t>RANITIDINE</t>
  </si>
  <si>
    <t>22 mg/ml</t>
  </si>
  <si>
    <t>METOCLOPRAMIDE</t>
  </si>
  <si>
    <t>5 mg/2 ml</t>
  </si>
  <si>
    <t>CARBOCISTEINE</t>
  </si>
  <si>
    <t>250 mg/ml</t>
  </si>
  <si>
    <t>BACILLUS CLAUSIL (ERCEFLORA)</t>
  </si>
  <si>
    <t>REPSULE/ORAL</t>
  </si>
  <si>
    <t>5 ml</t>
  </si>
  <si>
    <t>125 mg/ml</t>
  </si>
  <si>
    <t>PLASTER TRANSPORE</t>
  </si>
  <si>
    <t>IV CATHETER G 24</t>
  </si>
  <si>
    <t>IV SPLINT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</si>
</sst>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C78" sqref="C7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203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/>
      <c r="E60" s="55">
        <v>1600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2</v>
      </c>
      <c r="E61" s="55">
        <v>38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2964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1234</v>
      </c>
      <c r="E63" s="55">
        <v>40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/>
      <c r="E64" s="55">
        <v>900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189</v>
      </c>
      <c r="D66" s="55"/>
      <c r="E66" s="55">
        <v>210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2788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H24" sqref="H24:I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204</v>
      </c>
      <c r="D11" s="27" t="s">
        <v>174</v>
      </c>
      <c r="E11" s="27" t="s">
        <v>205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174</v>
      </c>
      <c r="E12" s="27" t="s">
        <v>190</v>
      </c>
      <c r="F12" s="55"/>
      <c r="G12" s="55"/>
      <c r="H12" s="55">
        <v>6</v>
      </c>
      <c r="I12" s="55">
        <v>80</v>
      </c>
      <c r="J12" s="55">
        <f t="shared" ref="J12:J26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175</v>
      </c>
      <c r="E13" s="27" t="s">
        <v>193</v>
      </c>
      <c r="F13" s="55"/>
      <c r="G13" s="55"/>
      <c r="H13" s="55">
        <v>11</v>
      </c>
      <c r="I13" s="55">
        <v>55</v>
      </c>
      <c r="J13" s="55">
        <f t="shared" si="0"/>
        <v>605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174</v>
      </c>
      <c r="E14" s="27" t="s">
        <v>195</v>
      </c>
      <c r="F14" s="55"/>
      <c r="G14" s="55"/>
      <c r="H14" s="55">
        <v>12</v>
      </c>
      <c r="I14" s="55">
        <v>45</v>
      </c>
      <c r="J14" s="55">
        <f t="shared" si="0"/>
        <v>540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 t="s">
        <v>177</v>
      </c>
      <c r="E15" s="27" t="s">
        <v>178</v>
      </c>
      <c r="F15" s="55"/>
      <c r="G15" s="55"/>
      <c r="H15" s="55">
        <v>5</v>
      </c>
      <c r="I15" s="55">
        <v>40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206</v>
      </c>
      <c r="D16" s="27" t="s">
        <v>175</v>
      </c>
      <c r="E16" s="27" t="s">
        <v>207</v>
      </c>
      <c r="F16" s="55"/>
      <c r="G16" s="55"/>
      <c r="H16" s="55">
        <v>1</v>
      </c>
      <c r="I16" s="55">
        <v>495</v>
      </c>
      <c r="J16" s="55">
        <f t="shared" si="0"/>
        <v>495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208</v>
      </c>
      <c r="D17" s="27" t="s">
        <v>209</v>
      </c>
      <c r="E17" s="27" t="s">
        <v>210</v>
      </c>
      <c r="F17" s="55"/>
      <c r="G17" s="55"/>
      <c r="H17" s="55">
        <v>1</v>
      </c>
      <c r="I17" s="55">
        <v>27</v>
      </c>
      <c r="J17" s="55">
        <f t="shared" si="0"/>
        <v>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212</v>
      </c>
      <c r="E18" s="27" t="s">
        <v>213</v>
      </c>
      <c r="F18" s="55"/>
      <c r="G18" s="55"/>
      <c r="H18" s="55">
        <v>1</v>
      </c>
      <c r="I18" s="55">
        <v>35</v>
      </c>
      <c r="J18" s="55">
        <f t="shared" si="0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214</v>
      </c>
      <c r="D19" s="27" t="s">
        <v>196</v>
      </c>
      <c r="E19" s="27" t="s">
        <v>215</v>
      </c>
      <c r="F19" s="55"/>
      <c r="G19" s="55"/>
      <c r="H19" s="55">
        <v>1</v>
      </c>
      <c r="I19" s="55">
        <v>35</v>
      </c>
      <c r="J19" s="55">
        <f t="shared" si="0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216</v>
      </c>
      <c r="D20" s="27" t="s">
        <v>196</v>
      </c>
      <c r="E20" s="27" t="s">
        <v>217</v>
      </c>
      <c r="F20" s="55"/>
      <c r="G20" s="55"/>
      <c r="H20" s="55">
        <v>1</v>
      </c>
      <c r="I20" s="55">
        <v>20</v>
      </c>
      <c r="J20" s="55">
        <f t="shared" si="0"/>
        <v>20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218</v>
      </c>
      <c r="D21" s="27" t="s">
        <v>212</v>
      </c>
      <c r="E21" s="27" t="s">
        <v>219</v>
      </c>
      <c r="F21" s="55"/>
      <c r="G21" s="55"/>
      <c r="H21" s="55">
        <v>1</v>
      </c>
      <c r="I21" s="55">
        <v>40</v>
      </c>
      <c r="J21" s="55">
        <f t="shared" si="0"/>
        <v>40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220</v>
      </c>
      <c r="D22" s="27" t="s">
        <v>221</v>
      </c>
      <c r="E22" s="27" t="s">
        <v>222</v>
      </c>
      <c r="F22" s="55"/>
      <c r="G22" s="55"/>
      <c r="H22" s="55">
        <v>6</v>
      </c>
      <c r="I22" s="55">
        <v>62</v>
      </c>
      <c r="J22" s="55">
        <f t="shared" si="0"/>
        <v>372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194</v>
      </c>
      <c r="D23" s="27" t="s">
        <v>212</v>
      </c>
      <c r="E23" s="27" t="s">
        <v>223</v>
      </c>
      <c r="F23" s="55"/>
      <c r="G23" s="55"/>
      <c r="H23" s="55">
        <v>1</v>
      </c>
      <c r="I23" s="55">
        <v>35</v>
      </c>
      <c r="J23" s="55">
        <f t="shared" si="0"/>
        <v>35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>SUM(J11:J24)</f>
        <v>2964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abSelected="1" topLeftCell="A12" workbookViewId="0">
      <selection activeCell="C30" sqref="C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197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197</v>
      </c>
      <c r="E17" s="55">
        <v>10</v>
      </c>
      <c r="F17" s="55">
        <v>6</v>
      </c>
      <c r="G17" s="55">
        <f t="shared" ref="G17:G32" si="0">E17*F17</f>
        <v>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197</v>
      </c>
      <c r="E18" s="55">
        <v>9</v>
      </c>
      <c r="F18" s="55">
        <v>4</v>
      </c>
      <c r="G18" s="55">
        <f t="shared" si="0"/>
        <v>36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197</v>
      </c>
      <c r="E19" s="55">
        <v>7</v>
      </c>
      <c r="F19" s="55">
        <v>8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197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197</v>
      </c>
      <c r="E21" s="55">
        <v>13</v>
      </c>
      <c r="F21" s="55">
        <v>6</v>
      </c>
      <c r="G21" s="55">
        <f t="shared" si="0"/>
        <v>78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181</v>
      </c>
      <c r="D22" s="70" t="s">
        <v>197</v>
      </c>
      <c r="E22" s="55">
        <v>13</v>
      </c>
      <c r="F22" s="55">
        <v>7</v>
      </c>
      <c r="G22" s="55">
        <f t="shared" si="0"/>
        <v>91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224</v>
      </c>
      <c r="D23" s="70" t="s">
        <v>197</v>
      </c>
      <c r="E23" s="55">
        <v>2</v>
      </c>
      <c r="F23" s="55">
        <v>145</v>
      </c>
      <c r="G23" s="55">
        <f t="shared" si="0"/>
        <v>290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198</v>
      </c>
      <c r="D24" s="70" t="s">
        <v>197</v>
      </c>
      <c r="E24" s="55">
        <v>1</v>
      </c>
      <c r="F24" s="55">
        <v>22</v>
      </c>
      <c r="G24" s="55">
        <f t="shared" si="0"/>
        <v>22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225</v>
      </c>
      <c r="D25" s="70" t="s">
        <v>197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199</v>
      </c>
      <c r="D26" s="70" t="s">
        <v>197</v>
      </c>
      <c r="E26" s="55">
        <v>2</v>
      </c>
      <c r="F26" s="55">
        <v>61</v>
      </c>
      <c r="G26" s="55">
        <f t="shared" si="0"/>
        <v>122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200</v>
      </c>
      <c r="D27" s="70" t="s">
        <v>197</v>
      </c>
      <c r="E27" s="55">
        <v>1</v>
      </c>
      <c r="F27" s="55">
        <v>35</v>
      </c>
      <c r="G27" s="55">
        <f t="shared" si="0"/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179</v>
      </c>
      <c r="D28" s="70" t="s">
        <v>197</v>
      </c>
      <c r="E28" s="55">
        <v>1</v>
      </c>
      <c r="F28" s="55">
        <v>7</v>
      </c>
      <c r="G28" s="55">
        <f t="shared" si="0"/>
        <v>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226</v>
      </c>
      <c r="D29" s="70" t="s">
        <v>197</v>
      </c>
      <c r="E29" s="55">
        <v>1</v>
      </c>
      <c r="F29" s="55">
        <v>110</v>
      </c>
      <c r="G29" s="55">
        <f t="shared" si="0"/>
        <v>110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201</v>
      </c>
      <c r="D30" s="70" t="s">
        <v>197</v>
      </c>
      <c r="E30" s="55">
        <v>1</v>
      </c>
      <c r="F30" s="55">
        <v>200</v>
      </c>
      <c r="G30" s="55">
        <f t="shared" si="0"/>
        <v>200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1274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76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1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29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sXfCs2q4fdt4cwPpwUFe8zxloQ0sDT1O9b6n6QM8dEWC4xggNaBia7O+8UHCzA8AWkf92g3CQr31JQ/y4a1ryw==" saltValue="WFIRF3RABc4Qv8IdN6S3+g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0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184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185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305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2018-06-12T07:58:49Z</dcterms:modified>
</cp:coreProperties>
</file>