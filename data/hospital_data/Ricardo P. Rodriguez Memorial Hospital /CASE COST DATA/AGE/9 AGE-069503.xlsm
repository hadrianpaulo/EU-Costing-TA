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Supplies_Medical'!$C$15:$C$55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8" i="9" l="1"/>
  <c r="G19" i="9"/>
  <c r="G20" i="9"/>
  <c r="G21" i="9"/>
  <c r="G22" i="9"/>
  <c r="G23" i="9"/>
  <c r="G24" i="9"/>
  <c r="G25" i="9"/>
  <c r="G17" i="9"/>
  <c r="G16" i="9"/>
  <c r="J13" i="2"/>
  <c r="J14" i="2"/>
  <c r="J15" i="2"/>
  <c r="J16" i="2"/>
  <c r="J17" i="2"/>
  <c r="J18" i="2"/>
  <c r="J19" i="2"/>
  <c r="J12" i="2"/>
  <c r="G33" i="9" l="1"/>
  <c r="G36" i="9"/>
  <c r="G37" i="9"/>
  <c r="G38" i="9"/>
  <c r="G39" i="9"/>
  <c r="G40" i="9"/>
  <c r="G41" i="9"/>
  <c r="G42" i="9"/>
  <c r="G43" i="9"/>
  <c r="G35" i="9"/>
  <c r="J21" i="2"/>
  <c r="J22" i="2"/>
  <c r="J23" i="2"/>
  <c r="J24" i="2"/>
  <c r="J25" i="2"/>
  <c r="J26" i="2"/>
  <c r="G44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0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<sst xmlns="http://schemas.openxmlformats.org/spreadsheetml/2006/main" count="492" uniqueCount="198">
  <si>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</si>
  <si>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</si>
  <si>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</si>
  <si>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</si>
  <si>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</si>
  <si>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</si>
  <si>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</si>
  <si>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</si>
  <si>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</si>
  <si>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</si>
  <si>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</si>
  <si>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</si>
  <si>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</si>
  <si>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</si>
  <si>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</si>
  <si>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</si>
  <si>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</si>
  <si>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</si>
  <si>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</si>
  <si>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</si>
  <si>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</si>
  <si>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</si>
  <si>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</si>
  <si>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</si>
  <si>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</si>
  <si>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</si>
  <si>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</si>
  <si>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</si>
  <si>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</si>
  <si>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</si>
  <si>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</si>
  <si>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</si>
  <si>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</si>
  <si>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</si>
  <si>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</si>
  <si>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</si>
  <si>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</si>
  <si>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</si>
  <si>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</si>
  <si>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</si>
  <si>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</si>
  <si>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</si>
  <si>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</si>
  <si>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</si>
  <si>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</si>
  <si>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</si>
  <si>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</si>
  <si>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</si>
  <si>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</si>
  <si>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</si>
  <si>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</si>
  <si>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</si>
  <si>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</si>
  <si>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</si>
  <si>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</si>
  <si>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</si>
  <si>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</si>
  <si>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</si>
  <si>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</si>
  <si>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</si>
  <si>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</si>
  <si>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</si>
  <si>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</si>
  <si>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</si>
  <si>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</si>
  <si>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</si>
  <si>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</si>
  <si>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</si>
  <si>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</si>
  <si>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</si>
  <si>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</si>
  <si>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</si>
  <si>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</si>
  <si>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</si>
  <si>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</si>
  <si>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</si>
  <si>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</si>
  <si>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</si>
  <si>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</si>
  <si>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</si>
  <si>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</si>
  <si>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</si>
  <si>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</si>
  <si>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</si>
  <si>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</si>
  <si>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</si>
  <si>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</si>
  <si>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</si>
  <si>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</si>
  <si>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</si>
  <si>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</si>
  <si>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</si>
  <si>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</si>
  <si>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</si>
  <si>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</si>
  <si>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</si>
  <si>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</si>
  <si>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</si>
  <si>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</si>
  <si>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</si>
  <si>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</si>
  <si>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</si>
  <si>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</si>
  <si>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</si>
  <si>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</si>
  <si>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</si>
  <si>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</si>
  <si>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</si>
  <si>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</si>
  <si>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</si>
  <si>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</si>
  <si>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</si>
  <si>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</si>
  <si>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</si>
  <si>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</si>
  <si>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</si>
  <si>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</si>
  <si>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</si>
  <si>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</si>
  <si>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</si>
  <si>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</si>
  <si>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</si>
  <si>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</si>
  <si>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</si>
  <si>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</si>
  <si>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</si>
  <si>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</si>
  <si>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</si>
  <si>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</si>
  <si>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</si>
  <si>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</si>
  <si>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</si>
  <si>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</si>
  <si>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</si>
  <si>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</si>
  <si>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</si>
  <si>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</si>
  <si>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</si>
  <si>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</si>
  <si>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</si>
  <si>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</si>
  <si>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</si>
  <si>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</si>
  <si>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</si>
  <si>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</si>
  <si>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</si>
  <si>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</si>
  <si>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</si>
  <si>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</si>
  <si>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</si>
  <si>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</si>
  <si>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</si>
  <si>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</si>
  <si>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</si>
  <si>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</si>
  <si>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</si>
  <si>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</si>
  <si>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</si>
  <si>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</si>
  <si>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</si>
  <si>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</si>
  <si>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</si>
  <si>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</si>
  <si>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</si>
  <si>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</si>
  <si>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</si>
  <si>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</si>
  <si>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</si>
  <si>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MEDICAL TECHNOLOGIST</t>
  </si>
  <si>
    <t>RADIOLOGIC TECHNOLOGIST</t>
  </si>
  <si>
    <t>CBC PLATELET COUNT</t>
  </si>
  <si>
    <t>URINALYSIS</t>
  </si>
  <si>
    <t>LABORATORY</t>
  </si>
  <si>
    <t>BOTTLE/IV</t>
  </si>
  <si>
    <t>VIAL/IV</t>
  </si>
  <si>
    <t>PARACETAMOL</t>
  </si>
  <si>
    <t>Procedure</t>
  </si>
  <si>
    <t>Consultation in the ER</t>
  </si>
  <si>
    <t>ACUTE GASTROENTERITIS</t>
  </si>
  <si>
    <t>A09.9</t>
  </si>
  <si>
    <t>D5 0.3 NACL</t>
  </si>
  <si>
    <t>500 ml</t>
  </si>
  <si>
    <t xml:space="preserve">CEFUROXIME </t>
  </si>
  <si>
    <t>750 mg</t>
  </si>
  <si>
    <t>DIPHENHYDRAMINE HCL</t>
  </si>
  <si>
    <t>AMPULE/IV</t>
  </si>
  <si>
    <t>50 mg/ml</t>
  </si>
  <si>
    <t>150 mg/ml</t>
  </si>
  <si>
    <t>SUSPENSION/ORAL</t>
  </si>
  <si>
    <t>PC</t>
  </si>
  <si>
    <t>IV CATHETER G 26</t>
  </si>
  <si>
    <t>WEE BAG</t>
  </si>
  <si>
    <t>IV SPLINT PEDIA</t>
  </si>
  <si>
    <t>SOLUSET</t>
  </si>
  <si>
    <t>CEFUROXIME (ZIOMET)</t>
  </si>
  <si>
    <t>CARBOCISTEINE</t>
  </si>
  <si>
    <t>CEFACLOR</t>
  </si>
  <si>
    <t>PLASTER TRANSPORE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</si>
</sst>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28575</xdr:rowOff>
        </xdr:from>
        <xdr:to>
          <xdr:col>1</xdr:col>
          <xdr:colOff>762000</xdr:colOff>
          <xdr:row>34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34</xdr:row>
          <xdr:rowOff>28575</xdr:rowOff>
        </xdr:from>
        <xdr:to>
          <xdr:col>1</xdr:col>
          <xdr:colOff>1533525</xdr:colOff>
          <xdr:row>34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28575</xdr:rowOff>
        </xdr:from>
        <xdr:to>
          <xdr:col>1</xdr:col>
          <xdr:colOff>771525</xdr:colOff>
          <xdr:row>45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45</xdr:row>
          <xdr:rowOff>28575</xdr:rowOff>
        </xdr:from>
        <xdr:to>
          <xdr:col>1</xdr:col>
          <xdr:colOff>1543050</xdr:colOff>
          <xdr:row>45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54" zoomScaleNormal="100" workbookViewId="0">
      <selection activeCell="E61" sqref="E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>
        <v>299</v>
      </c>
      <c r="E60" s="55">
        <v>501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>
        <v>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2910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165</v>
      </c>
      <c r="D63" s="55">
        <v>671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172</v>
      </c>
      <c r="D64" s="55">
        <v>300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166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6000</v>
      </c>
      <c r="E71" s="59">
        <f>SUM(E60:E70)</f>
        <v>501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8" sqref="I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173</v>
      </c>
      <c r="E11" s="27" t="s">
        <v>181</v>
      </c>
      <c r="F11" s="55"/>
      <c r="G11" s="55"/>
      <c r="H11" s="55">
        <v>2</v>
      </c>
      <c r="I11" s="55">
        <v>80</v>
      </c>
      <c r="J11" s="55">
        <f>H11*I11</f>
        <v>160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194</v>
      </c>
      <c r="D12" s="27" t="s">
        <v>174</v>
      </c>
      <c r="E12" s="27" t="s">
        <v>183</v>
      </c>
      <c r="F12" s="55"/>
      <c r="G12" s="55"/>
      <c r="H12" s="55">
        <v>3</v>
      </c>
      <c r="I12" s="55">
        <v>495</v>
      </c>
      <c r="J12" s="55">
        <f t="shared" ref="J12:J26" si="0">H12*I12</f>
        <v>1485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174</v>
      </c>
      <c r="E13" s="27" t="s">
        <v>183</v>
      </c>
      <c r="F13" s="55"/>
      <c r="G13" s="55"/>
      <c r="H13" s="55">
        <v>3</v>
      </c>
      <c r="I13" s="55">
        <v>55</v>
      </c>
      <c r="J13" s="55">
        <f t="shared" si="0"/>
        <v>165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175</v>
      </c>
      <c r="D14" s="27" t="s">
        <v>185</v>
      </c>
      <c r="E14" s="27" t="s">
        <v>187</v>
      </c>
      <c r="F14" s="55"/>
      <c r="G14" s="55"/>
      <c r="H14" s="55">
        <v>4</v>
      </c>
      <c r="I14" s="55">
        <v>35</v>
      </c>
      <c r="J14" s="55">
        <f t="shared" si="0"/>
        <v>140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185</v>
      </c>
      <c r="E15" s="27" t="s">
        <v>186</v>
      </c>
      <c r="F15" s="55"/>
      <c r="G15" s="55"/>
      <c r="H15" s="55">
        <v>3</v>
      </c>
      <c r="I15" s="55">
        <v>145</v>
      </c>
      <c r="J15" s="55">
        <f t="shared" si="0"/>
        <v>435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188</v>
      </c>
      <c r="E16" s="27" t="s">
        <v>186</v>
      </c>
      <c r="F16" s="55"/>
      <c r="G16" s="55"/>
      <c r="H16" s="55">
        <v>1</v>
      </c>
      <c r="I16" s="55">
        <v>35</v>
      </c>
      <c r="J16" s="55">
        <f t="shared" si="0"/>
        <v>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196</v>
      </c>
      <c r="D17" s="27" t="s">
        <v>188</v>
      </c>
      <c r="E17" s="27" t="s">
        <v>186</v>
      </c>
      <c r="F17" s="55"/>
      <c r="G17" s="55"/>
      <c r="H17" s="55">
        <v>1</v>
      </c>
      <c r="I17" s="55">
        <v>490</v>
      </c>
      <c r="J17" s="55">
        <f t="shared" si="0"/>
        <v>490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>SUM(J11:J17)</f>
        <v>2910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9"/>
  <sheetViews>
    <sheetView topLeftCell="A12" workbookViewId="0">
      <selection activeCell="G21" sqref="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18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189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197</v>
      </c>
      <c r="D17" s="70" t="s">
        <v>189</v>
      </c>
      <c r="E17" s="55">
        <v>1</v>
      </c>
      <c r="F17" s="55">
        <v>145</v>
      </c>
      <c r="G17" s="55">
        <f t="shared" ref="G17:G25" si="0">E17*F17</f>
        <v>145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190</v>
      </c>
      <c r="D18" s="70" t="s">
        <v>189</v>
      </c>
      <c r="E18" s="55">
        <v>2</v>
      </c>
      <c r="F18" s="55">
        <v>61</v>
      </c>
      <c r="G18" s="55">
        <f t="shared" si="0"/>
        <v>122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189</v>
      </c>
      <c r="E19" s="55">
        <v>1</v>
      </c>
      <c r="F19" s="55">
        <v>105</v>
      </c>
      <c r="G19" s="55">
        <f t="shared" si="0"/>
        <v>105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193</v>
      </c>
      <c r="D20" s="70" t="s">
        <v>189</v>
      </c>
      <c r="E20" s="55">
        <v>1</v>
      </c>
      <c r="F20" s="55">
        <v>200</v>
      </c>
      <c r="G20" s="55">
        <f t="shared" si="0"/>
        <v>200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191</v>
      </c>
      <c r="D21" s="70"/>
      <c r="E21" s="55">
        <v>2</v>
      </c>
      <c r="F21" s="55">
        <v>7</v>
      </c>
      <c r="G21" s="55">
        <f t="shared" si="0"/>
        <v>14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>SUM(G16:G32)</f>
        <v>671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136" t="s">
        <v>76</v>
      </c>
      <c r="C34" s="137"/>
      <c r="D34" s="137"/>
      <c r="E34" s="137"/>
      <c r="F34" s="137"/>
      <c r="G34" s="138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</v>
      </c>
      <c r="C35" s="69"/>
      <c r="D35" s="70"/>
      <c r="E35" s="55"/>
      <c r="F35" s="55"/>
      <c r="G35" s="55">
        <f>E35*F35</f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</v>
      </c>
      <c r="C36" s="69"/>
      <c r="D36" s="70"/>
      <c r="E36" s="55"/>
      <c r="F36" s="55"/>
      <c r="G36" s="55">
        <f t="shared" ref="G36:G43" si="1"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3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4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5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6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7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8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9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10</v>
      </c>
      <c r="C44" s="69"/>
      <c r="D44" s="70"/>
      <c r="E44" s="55"/>
      <c r="F44" s="55"/>
      <c r="G44" s="55">
        <f>SUM(G35:G41)</f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136" t="s">
        <v>29</v>
      </c>
      <c r="C45" s="137"/>
      <c r="D45" s="137"/>
      <c r="E45" s="137"/>
      <c r="F45" s="137"/>
      <c r="G45" s="138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3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4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5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6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7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8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9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10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sXfCs2q4fdt4cwPpwUFe8zxloQ0sDT1O9b6n6QM8dEWC4xggNaBia7O+8UHCzA8AWkf92g3CQr31JQ/y4a1ryw==" saltValue="WFIRF3RABc4Qv8IdN6S3+g==" spinCount="100000" sheet="1" objects="1" scenarios="1" formatColumns="0" formatRows="0" sort="0" autoFilter="0"/>
  <mergeCells count="9">
    <mergeCell ref="B7:G7"/>
    <mergeCell ref="B34:G34"/>
    <mergeCell ref="B45:G4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34</xdr:row>
                    <xdr:rowOff>28575</xdr:rowOff>
                  </from>
                  <to>
                    <xdr:col>1</xdr:col>
                    <xdr:colOff>762000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34</xdr:row>
                    <xdr:rowOff>28575</xdr:rowOff>
                  </from>
                  <to>
                    <xdr:col>1</xdr:col>
                    <xdr:colOff>1533525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45</xdr:row>
                    <xdr:rowOff>28575</xdr:rowOff>
                  </from>
                  <to>
                    <xdr:col>1</xdr:col>
                    <xdr:colOff>771525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45</xdr:row>
                    <xdr:rowOff>28575</xdr:rowOff>
                  </from>
                  <to>
                    <xdr:col>1</xdr:col>
                    <xdr:colOff>1543050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N14" sqref="N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168</v>
      </c>
      <c r="N12" s="90" t="s">
        <v>169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176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15</v>
      </c>
      <c r="N14" s="55"/>
      <c r="P14" s="88">
        <f t="shared" ref="P14:P22" si="0">SUM(D14:N14)</f>
        <v>45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177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15</v>
      </c>
      <c r="N30" s="88">
        <f t="shared" si="1"/>
        <v>0</v>
      </c>
      <c r="P30" s="89">
        <f>SUM(P13:P22)</f>
        <v>190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2018-06-12T08:51:47Z</dcterms:modified>
</cp:coreProperties>
</file>