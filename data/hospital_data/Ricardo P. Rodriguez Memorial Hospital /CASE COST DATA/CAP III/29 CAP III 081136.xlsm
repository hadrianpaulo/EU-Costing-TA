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3FA68729-6F44-401C-8A2D-446A16813F3E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J27" i="2" l="1"/>
  <c r="J24" i="2"/>
  <c r="J23" i="2"/>
  <c r="J22" i="2"/>
  <c r="G29" i="9"/>
  <c r="G28" i="9"/>
  <c r="G27" i="9"/>
  <c r="G31" i="9" l="1"/>
  <c r="G33" i="9"/>
  <c r="J15" i="2"/>
  <c r="J17" i="2"/>
  <c r="J16" i="2"/>
  <c r="J14" i="2"/>
  <c r="J13" i="2" l="1"/>
  <c r="J12" i="2"/>
  <c r="J11" i="2"/>
  <c r="G30" i="9"/>
  <c r="J20" i="2"/>
  <c r="G26" i="9" l="1"/>
  <c r="G18" i="9"/>
  <c r="G25" i="9"/>
  <c r="G24" i="9"/>
  <c r="G23" i="9"/>
  <c r="G22" i="9"/>
  <c r="G21" i="9"/>
  <c r="G20" i="9"/>
  <c r="G19" i="9"/>
  <c r="G32" i="9" l="1"/>
  <c r="J18" i="2" l="1"/>
  <c r="G16" i="9" l="1"/>
  <c r="G17" i="9"/>
  <c r="J19" i="2"/>
  <c r="J21" i="2"/>
  <c r="J25" i="2"/>
  <c r="J26" i="2"/>
  <c r="J28" i="2" l="1"/>
  <c r="G34" i="9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<sst xmlns="http://schemas.openxmlformats.org/spreadsheetml/2006/main" count="541" uniqueCount="229">
  <si>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</si>
  <si>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</si>
  <si>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</si>
  <si>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</si>
  <si>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</si>
  <si>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</si>
  <si>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</si>
  <si>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</si>
  <si>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</si>
  <si>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</si>
  <si>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</si>
  <si>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</si>
  <si>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</si>
  <si>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</si>
  <si>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</si>
  <si>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</si>
  <si>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</si>
  <si>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</si>
  <si>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</si>
  <si>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</si>
  <si>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</si>
  <si>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</si>
  <si>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</si>
  <si>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</si>
  <si>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</si>
  <si>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</si>
  <si>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</si>
  <si>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</si>
  <si>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</si>
  <si>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</si>
  <si>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</si>
  <si>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</si>
  <si>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</si>
  <si>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</si>
  <si>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</si>
  <si>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</si>
  <si>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</si>
  <si>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</si>
  <si>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</si>
  <si>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</si>
  <si>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</si>
  <si>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</si>
  <si>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</si>
  <si>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</si>
  <si>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</si>
  <si>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</si>
  <si>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</si>
  <si>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</si>
  <si>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</si>
  <si>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</si>
  <si>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</si>
  <si>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</si>
  <si>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</si>
  <si>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</si>
  <si>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</si>
  <si>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</si>
  <si>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</si>
  <si>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</si>
  <si>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</si>
  <si>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</si>
  <si>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</si>
  <si>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</si>
  <si>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</si>
  <si>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</si>
  <si>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</si>
  <si>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</si>
  <si>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</si>
  <si>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</si>
  <si>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</si>
  <si>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</si>
  <si>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</si>
  <si>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</si>
  <si>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</si>
  <si>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</si>
  <si>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</si>
  <si>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</si>
  <si>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</si>
  <si>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</si>
  <si>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</si>
  <si>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</si>
  <si>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</si>
  <si>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</si>
  <si>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</si>
  <si>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</si>
  <si>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</si>
  <si>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</si>
  <si>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</si>
  <si>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</si>
  <si>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</si>
  <si>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</si>
  <si>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</si>
  <si>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</si>
  <si>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</si>
  <si>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</si>
  <si>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</si>
  <si>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</si>
  <si>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</si>
  <si>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</si>
  <si>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</si>
  <si>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</si>
  <si>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</si>
  <si>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</si>
  <si>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</si>
  <si>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</si>
  <si>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</si>
  <si>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</si>
  <si>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</si>
  <si>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</si>
  <si>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</si>
  <si>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</si>
  <si>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</si>
  <si>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</si>
  <si>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</si>
  <si>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</si>
  <si>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</si>
  <si>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</si>
  <si>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</si>
  <si>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</si>
  <si>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</si>
  <si>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</si>
  <si>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</si>
  <si>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</si>
  <si>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</si>
  <si>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</si>
  <si>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</si>
  <si>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</si>
  <si>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</si>
  <si>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</si>
  <si>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</si>
  <si>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</si>
  <si>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</si>
  <si>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</si>
  <si>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</si>
  <si>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</si>
  <si>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</si>
  <si>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</si>
  <si>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</si>
  <si>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</si>
  <si>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</si>
  <si>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</si>
  <si>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</si>
  <si>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</si>
  <si>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</si>
  <si>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</si>
  <si>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</si>
  <si>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</si>
  <si>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</si>
  <si>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</si>
  <si>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</si>
  <si>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</si>
  <si>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</si>
  <si>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</si>
  <si>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</si>
  <si>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</si>
  <si>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</si>
  <si>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</si>
  <si>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</si>
  <si>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</si>
  <si>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</si>
  <si>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</si>
  <si>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</si>
  <si>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</si>
  <si>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</si>
  <si>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</si>
  <si>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</si>
  <si>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</si>
  <si>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</si>
  <si>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</si>
  <si>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</si>
  <si>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</si>
  <si>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</si>
  <si>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</si>
  <si>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</si>
  <si>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</si>
  <si>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</si>
  <si>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</si>
  <si>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</si>
  <si>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</si>
  <si>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</si>
  <si>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</si>
  <si>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</si>
  <si>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5CC SYRINGE</t>
  </si>
  <si>
    <t>SALBUTAMOL</t>
  </si>
  <si>
    <t>NEBULE/INH</t>
  </si>
  <si>
    <t>1 mg/ml</t>
  </si>
  <si>
    <t>2.50 mg/500 mcg/2.5 ml</t>
  </si>
  <si>
    <t>ID BRACELET</t>
  </si>
  <si>
    <t>NEBULIZING KIT</t>
  </si>
  <si>
    <t>ECG</t>
  </si>
  <si>
    <t>0.9 NACL</t>
  </si>
  <si>
    <t>1000 ml</t>
  </si>
  <si>
    <t>CIPROFLOXACIN</t>
  </si>
  <si>
    <t>2 mg/100 ml</t>
  </si>
  <si>
    <t>TABLET/ORAL</t>
  </si>
  <si>
    <t>500 mg</t>
  </si>
  <si>
    <t>ACETYLCYSTEINE</t>
  </si>
  <si>
    <t>600 mg</t>
  </si>
  <si>
    <t>IV SPLINT ADULT</t>
  </si>
  <si>
    <t>IV SET ADULT</t>
  </si>
  <si>
    <t>SOLUSET</t>
  </si>
  <si>
    <t>MED. TECH</t>
  </si>
  <si>
    <t>RAD. TECH</t>
  </si>
  <si>
    <t>URINALYSIS</t>
  </si>
  <si>
    <t xml:space="preserve">Consultation in the ER </t>
  </si>
  <si>
    <t>ADHESIVE PLASTER</t>
  </si>
  <si>
    <t>IV CATHETER G 24</t>
  </si>
  <si>
    <t>SALBUTAMOL/IPRATROPIUM</t>
  </si>
  <si>
    <t xml:space="preserve">LRS </t>
  </si>
  <si>
    <t>1000ml</t>
  </si>
  <si>
    <t>TRANEXAMIC ACID</t>
  </si>
  <si>
    <t>AMPUL/IV</t>
  </si>
  <si>
    <t>100mg/ml</t>
  </si>
  <si>
    <t>AZITHROMYCIN DIHYDRATE</t>
  </si>
  <si>
    <t>500mg</t>
  </si>
  <si>
    <t>CEFIXIME</t>
  </si>
  <si>
    <t>200mg</t>
  </si>
  <si>
    <t>LOSARTAN K</t>
  </si>
  <si>
    <t>50mg</t>
  </si>
  <si>
    <t>CAPSULE/ORAL</t>
  </si>
  <si>
    <t>METRONIDAZOLE</t>
  </si>
  <si>
    <t>CLONIDINE</t>
  </si>
  <si>
    <t>CLONIDINE (CATAPRES)</t>
  </si>
  <si>
    <t>700mcg</t>
  </si>
  <si>
    <t>150mcg</t>
  </si>
  <si>
    <t>NIFEDIPINE</t>
  </si>
  <si>
    <t>5mg</t>
  </si>
  <si>
    <t>MONTELUKAST</t>
  </si>
  <si>
    <t>10mg</t>
  </si>
  <si>
    <t>BUTAMIRATE CITRATE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</si>
</sst>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36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27" t="s">
        <v>202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188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383.5</v>
      </c>
      <c r="E60" s="55">
        <v>1216.5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7614.5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1122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1220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188</v>
      </c>
      <c r="D67" s="55">
        <v>120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1216.5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80"/>
  <sheetViews>
    <sheetView topLeftCell="A9" workbookViewId="0">
      <selection activeCell="I24" sqref="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173</v>
      </c>
      <c r="E11" s="27" t="s">
        <v>190</v>
      </c>
      <c r="F11" s="55"/>
      <c r="G11" s="55"/>
      <c r="H11" s="55">
        <v>10</v>
      </c>
      <c r="I11" s="55">
        <v>80</v>
      </c>
      <c r="J11" s="55">
        <f t="shared" ref="J11:J17" si="0"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174</v>
      </c>
      <c r="E12" s="27" t="s">
        <v>192</v>
      </c>
      <c r="F12" s="55"/>
      <c r="G12" s="55"/>
      <c r="H12" s="55">
        <v>9</v>
      </c>
      <c r="I12" s="55">
        <v>260</v>
      </c>
      <c r="J12" s="55">
        <f t="shared" si="0"/>
        <v>2340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183</v>
      </c>
      <c r="E13" s="27" t="s">
        <v>184</v>
      </c>
      <c r="F13" s="55"/>
      <c r="G13" s="55"/>
      <c r="H13" s="55">
        <v>11</v>
      </c>
      <c r="I13" s="55">
        <v>15</v>
      </c>
      <c r="J13" s="55">
        <f t="shared" si="0"/>
        <v>165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206</v>
      </c>
      <c r="D14" s="27" t="s">
        <v>183</v>
      </c>
      <c r="E14" s="27" t="s">
        <v>185</v>
      </c>
      <c r="F14" s="55"/>
      <c r="G14" s="55"/>
      <c r="H14" s="55">
        <v>10</v>
      </c>
      <c r="I14" s="55">
        <v>35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173</v>
      </c>
      <c r="E15" s="27" t="s">
        <v>208</v>
      </c>
      <c r="F15" s="55"/>
      <c r="G15" s="55"/>
      <c r="H15" s="55">
        <v>1</v>
      </c>
      <c r="I15" s="55">
        <v>80</v>
      </c>
      <c r="J15" s="55">
        <f>H15*I15</f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209</v>
      </c>
      <c r="D16" s="27" t="s">
        <v>210</v>
      </c>
      <c r="E16" s="27" t="s">
        <v>211</v>
      </c>
      <c r="F16" s="55"/>
      <c r="G16" s="55"/>
      <c r="H16" s="55">
        <v>9</v>
      </c>
      <c r="I16" s="55">
        <v>85</v>
      </c>
      <c r="J16" s="55">
        <f t="shared" si="0"/>
        <v>765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193</v>
      </c>
      <c r="E17" s="27" t="s">
        <v>194</v>
      </c>
      <c r="F17" s="55"/>
      <c r="G17" s="55"/>
      <c r="H17" s="55">
        <v>38</v>
      </c>
      <c r="I17" s="55">
        <v>8</v>
      </c>
      <c r="J17" s="55">
        <f t="shared" si="0"/>
        <v>304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193</v>
      </c>
      <c r="E18" s="27" t="s">
        <v>196</v>
      </c>
      <c r="F18" s="55"/>
      <c r="G18" s="55"/>
      <c r="H18" s="55">
        <v>10</v>
      </c>
      <c r="I18" s="55">
        <v>68</v>
      </c>
      <c r="J18" s="55">
        <f t="shared" ref="J18:J24" si="1">H18*I18</f>
        <v>680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212</v>
      </c>
      <c r="D19" s="27" t="s">
        <v>218</v>
      </c>
      <c r="E19" s="27" t="s">
        <v>213</v>
      </c>
      <c r="F19" s="55"/>
      <c r="G19" s="55"/>
      <c r="H19" s="55">
        <v>5</v>
      </c>
      <c r="I19" s="55">
        <v>110</v>
      </c>
      <c r="J19" s="55">
        <f t="shared" si="1"/>
        <v>550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214</v>
      </c>
      <c r="D20" s="27" t="s">
        <v>218</v>
      </c>
      <c r="E20" s="27" t="s">
        <v>215</v>
      </c>
      <c r="F20" s="55"/>
      <c r="G20" s="55"/>
      <c r="H20" s="55">
        <v>14</v>
      </c>
      <c r="I20" s="55">
        <v>17</v>
      </c>
      <c r="J20" s="55">
        <f t="shared" si="1"/>
        <v>238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216</v>
      </c>
      <c r="D21" s="27" t="s">
        <v>218</v>
      </c>
      <c r="E21" s="27" t="s">
        <v>217</v>
      </c>
      <c r="F21" s="55"/>
      <c r="G21" s="55"/>
      <c r="H21" s="55">
        <v>25</v>
      </c>
      <c r="I21" s="55">
        <v>8</v>
      </c>
      <c r="J21" s="55">
        <f t="shared" si="1"/>
        <v>200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219</v>
      </c>
      <c r="D22" s="27" t="s">
        <v>193</v>
      </c>
      <c r="E22" s="27" t="s">
        <v>213</v>
      </c>
      <c r="F22" s="55"/>
      <c r="G22" s="55"/>
      <c r="H22" s="55">
        <v>21</v>
      </c>
      <c r="I22" s="55">
        <v>2.5</v>
      </c>
      <c r="J22" s="55">
        <f t="shared" si="1"/>
        <v>52.5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221</v>
      </c>
      <c r="D23" s="27" t="s">
        <v>193</v>
      </c>
      <c r="E23" s="27" t="s">
        <v>222</v>
      </c>
      <c r="F23" s="55"/>
      <c r="G23" s="55"/>
      <c r="H23" s="55">
        <v>1</v>
      </c>
      <c r="I23" s="55">
        <v>40</v>
      </c>
      <c r="J23" s="55">
        <f t="shared" si="1"/>
        <v>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220</v>
      </c>
      <c r="D24" s="27" t="s">
        <v>193</v>
      </c>
      <c r="E24" s="27" t="s">
        <v>223</v>
      </c>
      <c r="F24" s="55"/>
      <c r="G24" s="55"/>
      <c r="H24" s="55">
        <v>3</v>
      </c>
      <c r="I24" s="55">
        <v>80</v>
      </c>
      <c r="J24" s="55">
        <f t="shared" si="1"/>
        <v>240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224</v>
      </c>
      <c r="D25" s="27" t="s">
        <v>193</v>
      </c>
      <c r="E25" s="27" t="s">
        <v>225</v>
      </c>
      <c r="F25" s="55"/>
      <c r="G25" s="55"/>
      <c r="H25" s="55">
        <v>5</v>
      </c>
      <c r="I25" s="55">
        <v>6</v>
      </c>
      <c r="J25" s="55">
        <f t="shared" ref="J25:J27" si="2">H25*I25</f>
        <v>30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226</v>
      </c>
      <c r="D26" s="27" t="s">
        <v>193</v>
      </c>
      <c r="E26" s="27" t="s">
        <v>227</v>
      </c>
      <c r="F26" s="55"/>
      <c r="G26" s="55"/>
      <c r="H26" s="55">
        <v>7</v>
      </c>
      <c r="I26" s="55">
        <v>75</v>
      </c>
      <c r="J26" s="55">
        <f t="shared" si="2"/>
        <v>525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228</v>
      </c>
      <c r="D27" s="27" t="s">
        <v>193</v>
      </c>
      <c r="E27" s="27" t="s">
        <v>217</v>
      </c>
      <c r="F27" s="55"/>
      <c r="G27" s="55"/>
      <c r="H27" s="55">
        <v>15</v>
      </c>
      <c r="I27" s="55">
        <v>17</v>
      </c>
      <c r="J27" s="55">
        <f t="shared" si="2"/>
        <v>255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>SUM(J11:J27)</f>
        <v>7614.5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uIeLuGuc2AIKvJfhHDyn3v/0ZeB/xW2yvnOY8cRYtZxDsOyRJhjf8jx+mPXr3s5O5DLgtgvfhTWlrmdk4PVu7g==" saltValue="ipS1Yxs+IhYJfHwXBqjl1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9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80"/>
  <sheetViews>
    <sheetView tabSelected="1" topLeftCell="A14" workbookViewId="0">
      <selection activeCell="C26" sqref="C26:C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29</v>
      </c>
      <c r="E17" s="55">
        <v>2</v>
      </c>
      <c r="F17" s="55">
        <v>61</v>
      </c>
      <c r="G17" s="55">
        <f>E17*F17</f>
        <v>122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11</v>
      </c>
      <c r="F18" s="55">
        <v>6</v>
      </c>
      <c r="G18" s="55">
        <f t="shared" ref="G18:G28" si="0">E18*F18</f>
        <v>66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6</v>
      </c>
      <c r="F20" s="55">
        <v>7</v>
      </c>
      <c r="G20" s="55">
        <f t="shared" si="0"/>
        <v>42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29</v>
      </c>
      <c r="E21" s="55">
        <v>15</v>
      </c>
      <c r="F21" s="55">
        <v>6</v>
      </c>
      <c r="G21" s="55">
        <f t="shared" si="0"/>
        <v>90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204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178</v>
      </c>
      <c r="D23" s="70" t="s">
        <v>29</v>
      </c>
      <c r="E23" s="55">
        <v>11</v>
      </c>
      <c r="F23" s="55">
        <v>4</v>
      </c>
      <c r="G23" s="55">
        <f t="shared" si="0"/>
        <v>44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179</v>
      </c>
      <c r="D24" s="70" t="s">
        <v>29</v>
      </c>
      <c r="E24" s="55">
        <v>2</v>
      </c>
      <c r="F24" s="55">
        <v>85</v>
      </c>
      <c r="G24" s="55">
        <f t="shared" si="0"/>
        <v>170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180</v>
      </c>
      <c r="D25" s="70" t="s">
        <v>29</v>
      </c>
      <c r="E25" s="55">
        <v>6</v>
      </c>
      <c r="F25" s="55">
        <v>8</v>
      </c>
      <c r="G25" s="55">
        <f t="shared" si="0"/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197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 t="s">
        <v>29</v>
      </c>
      <c r="E27" s="55">
        <v>1</v>
      </c>
      <c r="F27" s="55">
        <v>32</v>
      </c>
      <c r="G27" s="55">
        <f t="shared" ref="G27:G29" si="1">E27*F27</f>
        <v>32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187</v>
      </c>
      <c r="D28" s="70" t="s">
        <v>29</v>
      </c>
      <c r="E28" s="55">
        <v>1</v>
      </c>
      <c r="F28" s="55">
        <v>70</v>
      </c>
      <c r="G28" s="55">
        <f t="shared" si="1"/>
        <v>70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199</v>
      </c>
      <c r="D29" s="70" t="s">
        <v>29</v>
      </c>
      <c r="E29" s="55">
        <v>1</v>
      </c>
      <c r="F29" s="55">
        <v>200</v>
      </c>
      <c r="G29" s="55">
        <f t="shared" si="1"/>
        <v>200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ref="G29:G33" si="2">E30*F30</f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2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2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1122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200</v>
      </c>
      <c r="N12" s="90" t="s">
        <v>201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10</v>
      </c>
      <c r="N14" s="55">
        <v>15</v>
      </c>
      <c r="P14" s="88">
        <f t="shared" ref="P14:P22" si="0">SUM(D14:N14)</f>
        <v>75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203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15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2018-06-03T09:50:26Z</dcterms:modified>
</cp:coreProperties>
</file>