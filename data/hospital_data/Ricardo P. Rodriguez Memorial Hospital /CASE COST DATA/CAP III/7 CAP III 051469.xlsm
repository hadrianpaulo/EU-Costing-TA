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9" i="9" l="1"/>
  <c r="G28" i="9"/>
  <c r="G27" i="9"/>
  <c r="G19" i="9"/>
  <c r="G20" i="9"/>
  <c r="G21" i="9"/>
  <c r="G22" i="9"/>
  <c r="G23" i="9"/>
  <c r="G24" i="9"/>
  <c r="G25" i="9"/>
  <c r="G26" i="9"/>
  <c r="G18" i="9"/>
  <c r="G16" i="9"/>
  <c r="G17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<sst xmlns="http://schemas.openxmlformats.org/spreadsheetml/2006/main" count="525" uniqueCount="218">
  <si>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</si>
  <si>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</si>
  <si>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</si>
  <si>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</si>
  <si>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</si>
  <si>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</si>
  <si>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</si>
  <si>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</si>
  <si>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</si>
  <si>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</si>
  <si>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</si>
  <si>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</si>
  <si>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</si>
  <si>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</si>
  <si>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</si>
  <si>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</si>
  <si>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</si>
  <si>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</si>
  <si>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</si>
  <si>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</si>
  <si>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</si>
  <si>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</si>
  <si>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</si>
  <si>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</si>
  <si>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</si>
  <si>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</si>
  <si>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</si>
  <si>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</si>
  <si>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</si>
  <si>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</si>
  <si>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</si>
  <si>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</si>
  <si>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</si>
  <si>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</si>
  <si>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</si>
  <si>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</si>
  <si>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</si>
  <si>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</si>
  <si>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</si>
  <si>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</si>
  <si>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</si>
  <si>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</si>
  <si>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</si>
  <si>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</si>
  <si>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</si>
  <si>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</si>
  <si>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</si>
  <si>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</si>
  <si>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</si>
  <si>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</si>
  <si>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</si>
  <si>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</si>
  <si>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</si>
  <si>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</si>
  <si>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</si>
  <si>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</si>
  <si>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</si>
  <si>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</si>
  <si>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</si>
  <si>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</si>
  <si>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</si>
  <si>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</si>
  <si>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</si>
  <si>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</si>
  <si>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</si>
  <si>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</si>
  <si>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</si>
  <si>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</si>
  <si>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</si>
  <si>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</si>
  <si>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</si>
  <si>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</si>
  <si>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</si>
  <si>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</si>
  <si>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</si>
  <si>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</si>
  <si>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</si>
  <si>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</si>
  <si>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</si>
  <si>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</si>
  <si>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</si>
  <si>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</si>
  <si>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</si>
  <si>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</si>
  <si>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</si>
  <si>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</si>
  <si>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</si>
  <si>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</si>
  <si>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</si>
  <si>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</si>
  <si>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</si>
  <si>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</si>
  <si>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</si>
  <si>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</si>
  <si>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</si>
  <si>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</si>
  <si>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</si>
  <si>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</si>
  <si>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</si>
  <si>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</si>
  <si>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</si>
  <si>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</si>
  <si>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</si>
  <si>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</si>
  <si>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</si>
  <si>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</si>
  <si>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</si>
  <si>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</si>
  <si>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</si>
  <si>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</si>
  <si>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</si>
  <si>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</si>
  <si>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</si>
  <si>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</si>
  <si>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</si>
  <si>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</si>
  <si>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</si>
  <si>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</si>
  <si>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</si>
  <si>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</si>
  <si>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</si>
  <si>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</si>
  <si>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</si>
  <si>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</si>
  <si>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</si>
  <si>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</si>
  <si>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</si>
  <si>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</si>
  <si>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</si>
  <si>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</si>
  <si>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</si>
  <si>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</si>
  <si>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</si>
  <si>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</si>
  <si>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</si>
  <si>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</si>
  <si>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</si>
  <si>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</si>
  <si>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</si>
  <si>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</si>
  <si>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</si>
  <si>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</si>
  <si>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</si>
  <si>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</si>
  <si>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</si>
  <si>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</si>
  <si>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</si>
  <si>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</si>
  <si>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</si>
  <si>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</si>
  <si>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</si>
  <si>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</si>
  <si>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</si>
  <si>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</si>
  <si>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</si>
  <si>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</si>
  <si>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</si>
  <si>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</si>
  <si>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</si>
  <si>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</si>
  <si>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</si>
  <si>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</si>
  <si>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</si>
  <si>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</si>
  <si>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</si>
  <si>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</si>
  <si>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</si>
  <si>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CHEST AP/LATERAL 8X10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</si>
  <si>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</si>
  <si>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</si>
  <si>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</si>
  <si>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</si>
  <si>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</si>
  <si>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</si>
  <si>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</si>
  <si>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</si>
  <si>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</si>
  <si>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</si>
  <si>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</si>
  <si>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D5 IMB</t>
  </si>
  <si>
    <t>CEFUROXIME (ZIOMET)</t>
  </si>
  <si>
    <t>VIAL/IV</t>
  </si>
  <si>
    <t xml:space="preserve">CEFUROXIME </t>
  </si>
  <si>
    <t>CLARITHROMYCIN</t>
  </si>
  <si>
    <t>SALBUTAMOL</t>
  </si>
  <si>
    <t>NEBULES/INHALATION</t>
  </si>
  <si>
    <t>CARBOCISTEINE</t>
  </si>
  <si>
    <t>SUSPENSION/ORAL</t>
  </si>
  <si>
    <t>SYRUP/ORAL</t>
  </si>
  <si>
    <t>10 ml</t>
  </si>
  <si>
    <t>500 ml</t>
  </si>
  <si>
    <t>750 mg</t>
  </si>
  <si>
    <t>125 mg/ml</t>
  </si>
  <si>
    <t>2 mg/5 ml</t>
  </si>
  <si>
    <t>1 mg/ml</t>
  </si>
  <si>
    <t>250 mg/ml</t>
  </si>
  <si>
    <t>50 mg/ml</t>
  </si>
  <si>
    <t>CEFACLOR</t>
  </si>
  <si>
    <t>CETIRIZINE</t>
  </si>
  <si>
    <t>BOTTLE/ORAL</t>
  </si>
  <si>
    <t>2.5 mg/ml</t>
  </si>
  <si>
    <t>IV SET PEDIA</t>
  </si>
  <si>
    <t>IV CATHETER G 26</t>
  </si>
  <si>
    <t>ID BRACELET</t>
  </si>
  <si>
    <t>DISPOSABLE MASK</t>
  </si>
  <si>
    <t>NEBULIZING KIT</t>
  </si>
  <si>
    <t>IV SPLINT ADULT</t>
  </si>
  <si>
    <t>HEPLOCK</t>
  </si>
  <si>
    <t>5CC SYRINGE'</t>
  </si>
  <si>
    <t>1CC SYRINGE</t>
  </si>
  <si>
    <t>3CC SYRINGE</t>
  </si>
  <si>
    <t>GLOVES UNSTERILE MEDIUM</t>
  </si>
  <si>
    <t>DIGITAL THERMOMETER</t>
  </si>
  <si>
    <t>10CC SYRINGE</t>
  </si>
  <si>
    <t>MED. TECH</t>
  </si>
  <si>
    <t>RAD. TECH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</si>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</sst>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7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5280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744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174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12464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178</v>
      </c>
      <c r="E11" s="27" t="s">
        <v>189</v>
      </c>
      <c r="F11" s="55"/>
      <c r="G11" s="55"/>
      <c r="H11" s="55">
        <v>3</v>
      </c>
      <c r="I11" s="55">
        <v>40</v>
      </c>
      <c r="J11" s="55">
        <f>H11*I11</f>
        <v>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190</v>
      </c>
      <c r="F12" s="55"/>
      <c r="G12" s="55"/>
      <c r="H12" s="55">
        <v>1</v>
      </c>
      <c r="I12" s="55">
        <v>80</v>
      </c>
      <c r="J12" s="55">
        <f t="shared" ref="J12:J26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177</v>
      </c>
      <c r="E13" s="27" t="s">
        <v>190</v>
      </c>
      <c r="F13" s="55"/>
      <c r="G13" s="55"/>
      <c r="H13" s="55">
        <v>5</v>
      </c>
      <c r="I13" s="55">
        <v>80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181</v>
      </c>
      <c r="E14" s="27" t="s">
        <v>191</v>
      </c>
      <c r="F14" s="55"/>
      <c r="G14" s="55"/>
      <c r="H14" s="55">
        <v>6</v>
      </c>
      <c r="I14" s="55">
        <v>495</v>
      </c>
      <c r="J14" s="55">
        <f t="shared" si="0"/>
        <v>2970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181</v>
      </c>
      <c r="E15" s="27" t="s">
        <v>191</v>
      </c>
      <c r="F15" s="55"/>
      <c r="G15" s="55"/>
      <c r="H15" s="55">
        <v>5</v>
      </c>
      <c r="I15" s="55">
        <v>55</v>
      </c>
      <c r="J15" s="55">
        <f t="shared" si="0"/>
        <v>275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187</v>
      </c>
      <c r="E16" s="27" t="s">
        <v>192</v>
      </c>
      <c r="F16" s="55"/>
      <c r="G16" s="55"/>
      <c r="H16" s="55">
        <v>1</v>
      </c>
      <c r="I16" s="55">
        <v>260</v>
      </c>
      <c r="J16" s="55">
        <f t="shared" si="0"/>
        <v>260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188</v>
      </c>
      <c r="E17" s="27" t="s">
        <v>193</v>
      </c>
      <c r="F17" s="55"/>
      <c r="G17" s="55"/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185</v>
      </c>
      <c r="E18" s="27" t="s">
        <v>194</v>
      </c>
      <c r="F18" s="55"/>
      <c r="G18" s="55"/>
      <c r="H18" s="55">
        <v>21</v>
      </c>
      <c r="I18" s="55">
        <v>15</v>
      </c>
      <c r="J18" s="55">
        <f t="shared" si="0"/>
        <v>315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186</v>
      </c>
      <c r="D19" s="27" t="s">
        <v>188</v>
      </c>
      <c r="E19" s="27" t="s">
        <v>195</v>
      </c>
      <c r="F19" s="55"/>
      <c r="G19" s="55"/>
      <c r="H19" s="55">
        <v>1</v>
      </c>
      <c r="I19" s="55">
        <v>40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186</v>
      </c>
      <c r="D20" s="27" t="s">
        <v>187</v>
      </c>
      <c r="E20" s="27" t="s">
        <v>196</v>
      </c>
      <c r="F20" s="55"/>
      <c r="G20" s="55"/>
      <c r="H20" s="55">
        <v>1</v>
      </c>
      <c r="I20" s="55">
        <v>35</v>
      </c>
      <c r="J20" s="55">
        <f t="shared" si="0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197</v>
      </c>
      <c r="D21" s="27" t="s">
        <v>187</v>
      </c>
      <c r="E21" s="27" t="s">
        <v>196</v>
      </c>
      <c r="F21" s="55"/>
      <c r="G21" s="55"/>
      <c r="H21" s="55">
        <v>1</v>
      </c>
      <c r="I21" s="55">
        <v>490</v>
      </c>
      <c r="J21" s="55">
        <f t="shared" si="0"/>
        <v>490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198</v>
      </c>
      <c r="D22" s="27" t="s">
        <v>199</v>
      </c>
      <c r="E22" s="27" t="s">
        <v>200</v>
      </c>
      <c r="F22" s="55"/>
      <c r="G22" s="55"/>
      <c r="H22" s="55">
        <v>1</v>
      </c>
      <c r="I22" s="55">
        <v>260</v>
      </c>
      <c r="J22" s="55">
        <f t="shared" si="0"/>
        <v>260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C26" sqref="C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29</v>
      </c>
      <c r="E16" s="55">
        <v>1</v>
      </c>
      <c r="F16" s="55">
        <v>35</v>
      </c>
      <c r="G16" s="55">
        <f>E16*F16</f>
        <v>35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29</v>
      </c>
      <c r="E18" s="55">
        <v>1</v>
      </c>
      <c r="F18" s="55">
        <v>7</v>
      </c>
      <c r="G18" s="55">
        <f>E18*F18</f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204</v>
      </c>
      <c r="D19" s="70" t="s">
        <v>29</v>
      </c>
      <c r="E19" s="55">
        <v>7</v>
      </c>
      <c r="F19" s="55">
        <v>6</v>
      </c>
      <c r="G19" s="55">
        <f t="shared" ref="G19:G29" si="0">E19*F19</f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205</v>
      </c>
      <c r="D20" s="70" t="s">
        <v>29</v>
      </c>
      <c r="E20" s="55">
        <v>1</v>
      </c>
      <c r="F20" s="55">
        <v>70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206</v>
      </c>
      <c r="D21" s="70" t="s">
        <v>29</v>
      </c>
      <c r="E21" s="55">
        <v>1</v>
      </c>
      <c r="F21" s="55">
        <v>110</v>
      </c>
      <c r="G21" s="55">
        <f t="shared" si="0"/>
        <v>110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207</v>
      </c>
      <c r="D22" s="70" t="s">
        <v>29</v>
      </c>
      <c r="E22" s="55">
        <v>1</v>
      </c>
      <c r="F22" s="55">
        <v>22</v>
      </c>
      <c r="G22" s="55">
        <f t="shared" si="0"/>
        <v>22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208</v>
      </c>
      <c r="D23" s="70" t="s">
        <v>29</v>
      </c>
      <c r="E23" s="55">
        <v>7</v>
      </c>
      <c r="F23" s="55">
        <v>7</v>
      </c>
      <c r="G23" s="55">
        <f t="shared" si="0"/>
        <v>49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209</v>
      </c>
      <c r="D24" s="70" t="s">
        <v>29</v>
      </c>
      <c r="E24" s="55">
        <v>3</v>
      </c>
      <c r="F24" s="55">
        <v>7</v>
      </c>
      <c r="G24" s="55">
        <f t="shared" si="0"/>
        <v>21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210</v>
      </c>
      <c r="D25" s="70" t="s">
        <v>29</v>
      </c>
      <c r="E25" s="55">
        <v>8</v>
      </c>
      <c r="F25" s="55">
        <v>6</v>
      </c>
      <c r="G25" s="55">
        <f t="shared" si="0"/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217</v>
      </c>
      <c r="D26" s="70" t="s">
        <v>29</v>
      </c>
      <c r="E26" s="55">
        <v>1</v>
      </c>
      <c r="F26" s="55">
        <v>65</v>
      </c>
      <c r="G26" s="55">
        <f t="shared" si="0"/>
        <v>65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211</v>
      </c>
      <c r="D27" s="70" t="s">
        <v>29</v>
      </c>
      <c r="E27" s="55">
        <v>7</v>
      </c>
      <c r="F27" s="55">
        <v>4</v>
      </c>
      <c r="G27" s="55">
        <f t="shared" si="0"/>
        <v>28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212</v>
      </c>
      <c r="D28" s="70" t="s">
        <v>29</v>
      </c>
      <c r="E28" s="55">
        <v>1</v>
      </c>
      <c r="F28" s="55">
        <v>85</v>
      </c>
      <c r="G28" s="55">
        <f t="shared" si="0"/>
        <v>85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213</v>
      </c>
      <c r="D29" s="70" t="s">
        <v>29</v>
      </c>
      <c r="E29" s="55">
        <v>5</v>
      </c>
      <c r="F29" s="55">
        <v>8</v>
      </c>
      <c r="G29" s="55">
        <f t="shared" si="0"/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78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30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0H5LXG/pxJxHoWepxu2bXkY0L8onZacxQzEkBMNSKlEKJonwgGGsIQmVQVz82Lq7qp2z2UqRL75CdZrUFwy0sQ==" saltValue="tABKfKbeZMxh8KBVvV0w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2" sqref="J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214</v>
      </c>
      <c r="N12" s="90" t="s">
        <v>215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216</v>
      </c>
      <c r="D13" s="55"/>
      <c r="E13" s="55">
        <v>15</v>
      </c>
      <c r="F13" s="55"/>
      <c r="G13" s="55">
        <v>25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43</v>
      </c>
      <c r="D15" s="55"/>
      <c r="E15" s="55"/>
      <c r="F15" s="55"/>
      <c r="G15" s="55">
        <v>50</v>
      </c>
      <c r="H15" s="55"/>
      <c r="I15" s="55"/>
      <c r="J15" s="55"/>
      <c r="K15" s="55"/>
      <c r="L15" s="55"/>
      <c r="M15" s="55">
        <v>20</v>
      </c>
      <c r="N15" s="55">
        <v>15</v>
      </c>
      <c r="P15" s="88">
        <f t="shared" si="0"/>
        <v>85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15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2018-06-04T02:01:30Z</dcterms:modified>
</cp:coreProperties>
</file>