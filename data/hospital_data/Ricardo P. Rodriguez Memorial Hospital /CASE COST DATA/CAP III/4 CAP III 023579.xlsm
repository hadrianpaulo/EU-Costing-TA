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Drugs&amp;Med'!$B$2:$J$29</definedName>
  </definedNames>
  <calcPr calcId="152511"/>
</workbook>
</file>

<file path=xl/calcChain.xml><?xml version="1.0" encoding="utf-8"?>
<calcChain xmlns="http://schemas.openxmlformats.org/spreadsheetml/2006/main">
  <c r="G30" i="9" l="1"/>
  <c r="J27" i="2"/>
  <c r="J28" i="2"/>
  <c r="J23" i="2"/>
  <c r="J22" i="2"/>
  <c r="J20" i="2"/>
  <c r="G28" i="9" l="1"/>
  <c r="G27" i="9"/>
  <c r="G26" i="9"/>
  <c r="G31" i="9"/>
  <c r="G18" i="9"/>
  <c r="G25" i="9"/>
  <c r="G24" i="9"/>
  <c r="G23" i="9"/>
  <c r="G22" i="9"/>
  <c r="G21" i="9"/>
  <c r="G20" i="9"/>
  <c r="G19" i="9"/>
  <c r="J13" i="2" l="1"/>
  <c r="G29" i="9"/>
  <c r="J14" i="2" l="1"/>
  <c r="J17" i="2"/>
  <c r="J18" i="2"/>
  <c r="G16" i="9" l="1"/>
  <c r="G17" i="9"/>
  <c r="J12" i="2"/>
  <c r="J15" i="2"/>
  <c r="J16" i="2"/>
  <c r="J19" i="2"/>
  <c r="J21" i="2"/>
  <c r="J24" i="2"/>
  <c r="J25" i="2"/>
  <c r="J26" i="2"/>
  <c r="G32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<sst xmlns="http://schemas.openxmlformats.org/spreadsheetml/2006/main" count="546" uniqueCount="236">
  <si>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</si>
  <si>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</si>
  <si>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</si>
  <si>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</si>
  <si>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</si>
  <si>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</si>
  <si>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</si>
  <si>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</si>
  <si>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</si>
  <si>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</si>
  <si>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</si>
  <si>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</si>
  <si>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</si>
  <si>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</si>
  <si>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</si>
  <si>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</si>
  <si>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</si>
  <si>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</si>
  <si>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</si>
  <si>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</si>
  <si>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</si>
  <si>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</si>
  <si>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</si>
  <si>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</si>
  <si>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</si>
  <si>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</si>
  <si>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</si>
  <si>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</si>
  <si>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</si>
  <si>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</si>
  <si>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</si>
  <si>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</si>
  <si>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</si>
  <si>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</si>
  <si>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</si>
  <si>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</si>
  <si>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</si>
  <si>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</si>
  <si>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</si>
  <si>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</si>
  <si>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</si>
  <si>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</si>
  <si>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</si>
  <si>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</si>
  <si>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</si>
  <si>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</si>
  <si>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</si>
  <si>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</si>
  <si>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</si>
  <si>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</si>
  <si>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</si>
  <si>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</si>
  <si>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</si>
  <si>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</si>
  <si>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</si>
  <si>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</si>
  <si>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</si>
  <si>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</si>
  <si>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</si>
  <si>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</si>
  <si>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</si>
  <si>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</si>
  <si>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</si>
  <si>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</si>
  <si>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</si>
  <si>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</si>
  <si>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</si>
  <si>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</si>
  <si>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</si>
  <si>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</si>
  <si>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</si>
  <si>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</si>
  <si>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</si>
  <si>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</si>
  <si>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</si>
  <si>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</si>
  <si>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</si>
  <si>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</si>
  <si>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</si>
  <si>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</si>
  <si>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</si>
  <si>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</si>
  <si>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</si>
  <si>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</si>
  <si>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</si>
  <si>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</si>
  <si>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</si>
  <si>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</si>
  <si>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</si>
  <si>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</si>
  <si>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</si>
  <si>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</si>
  <si>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</si>
  <si>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</si>
  <si>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</si>
  <si>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</si>
  <si>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</si>
  <si>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</si>
  <si>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</si>
  <si>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</si>
  <si>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</si>
  <si>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</si>
  <si>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</si>
  <si>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</si>
  <si>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</si>
  <si>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</si>
  <si>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</si>
  <si>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</si>
  <si>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</si>
  <si>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</si>
  <si>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</si>
  <si>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</si>
  <si>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</si>
  <si>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</si>
  <si>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</si>
  <si>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</si>
  <si>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</si>
  <si>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</si>
  <si>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</si>
  <si>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</si>
  <si>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</si>
  <si>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</si>
  <si>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</si>
  <si>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</si>
  <si>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</si>
  <si>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</si>
  <si>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</si>
  <si>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</si>
  <si>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</si>
  <si>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</si>
  <si>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</si>
  <si>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</si>
  <si>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</si>
  <si>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</si>
  <si>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</si>
  <si>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</si>
  <si>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</si>
  <si>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</si>
  <si>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</si>
  <si>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</si>
  <si>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</si>
  <si>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</si>
  <si>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</si>
  <si>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</si>
  <si>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</si>
  <si>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</si>
  <si>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</si>
  <si>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</si>
  <si>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</si>
  <si>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</si>
  <si>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</si>
  <si>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</si>
  <si>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</si>
  <si>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</si>
  <si>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</si>
  <si>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</si>
  <si>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</si>
  <si>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</si>
  <si>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</si>
  <si>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</si>
  <si>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</si>
  <si>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</si>
  <si>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</si>
  <si>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</si>
  <si>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</si>
  <si>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</si>
  <si>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</si>
  <si>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</si>
  <si>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</si>
  <si>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</si>
  <si>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</si>
  <si>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</si>
  <si>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</si>
  <si>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</si>
  <si>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STERILE WATER FOR INJECTION</t>
  </si>
  <si>
    <t>BOTTLE/IV</t>
  </si>
  <si>
    <t>POLYAMPULE/IV</t>
  </si>
  <si>
    <t>VIAL/IV</t>
  </si>
  <si>
    <t>10 ml</t>
  </si>
  <si>
    <t>500 ml</t>
  </si>
  <si>
    <t>750 mg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</si>
  <si>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</si>
  <si>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</si>
  <si>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</si>
  <si>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</si>
  <si>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</si>
  <si>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</si>
  <si>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AMPULE/IV</t>
  </si>
  <si>
    <t>IV SPLINT PEDIA</t>
  </si>
  <si>
    <t>HEPLOCK</t>
  </si>
  <si>
    <t>ELECTROLYTES (Na,K,Cl)</t>
  </si>
  <si>
    <t>CHEST AP/LATERAL 10X12</t>
  </si>
  <si>
    <t>CEFUROXIME (ZIOMET)</t>
  </si>
  <si>
    <t xml:space="preserve">CEFUROXIME </t>
  </si>
  <si>
    <t>5CC SYRINGE</t>
  </si>
  <si>
    <t>IV SET PEDIA</t>
  </si>
  <si>
    <t>RANDOM BLOOD SUGAR</t>
  </si>
  <si>
    <t>SGPT/ALT</t>
  </si>
  <si>
    <t>CHEM 8 (FBS,BUN,CREA,BUA,TC,TAG,HDL,LDL)</t>
  </si>
  <si>
    <t>FUROSEMIDE</t>
  </si>
  <si>
    <t>10 mg/ml</t>
  </si>
  <si>
    <t>CEFTRIAXONE</t>
  </si>
  <si>
    <t>1 gm</t>
  </si>
  <si>
    <t>SALBUTAMOL</t>
  </si>
  <si>
    <t>NEBULE/INHALATION</t>
  </si>
  <si>
    <t>1 mg/ml</t>
  </si>
  <si>
    <t>CLONIDINE</t>
  </si>
  <si>
    <t>TABLET/ORAL</t>
  </si>
  <si>
    <t>150 mcg</t>
  </si>
  <si>
    <t>ENALAPRIL</t>
  </si>
  <si>
    <t>5 mg</t>
  </si>
  <si>
    <t>TRIMETAZIDINE</t>
  </si>
  <si>
    <t>35 mg</t>
  </si>
  <si>
    <t>CARVEDILOL</t>
  </si>
  <si>
    <t>6.25 mg</t>
  </si>
  <si>
    <t>CAPTOPRIL</t>
  </si>
  <si>
    <t>25 mg</t>
  </si>
  <si>
    <t>ASPIRIN</t>
  </si>
  <si>
    <t>80 mg</t>
  </si>
  <si>
    <t>CLOPIDOGREL</t>
  </si>
  <si>
    <t>75 mg</t>
  </si>
  <si>
    <t>CETIRIZINE</t>
  </si>
  <si>
    <t>10 mg</t>
  </si>
  <si>
    <t>CIPROFLOXACIN</t>
  </si>
  <si>
    <t>500 mg</t>
  </si>
  <si>
    <t>0.9 NACL</t>
  </si>
  <si>
    <t>1000 ml</t>
  </si>
  <si>
    <t>D5W</t>
  </si>
  <si>
    <t>NASAL CANNULA ADULT</t>
  </si>
  <si>
    <t>IV CATHETER G 22</t>
  </si>
  <si>
    <t>IV CATHETER G 24</t>
  </si>
  <si>
    <t>NEBULIZING KIT</t>
  </si>
  <si>
    <t>MEDICAL TECHNOLOGIST</t>
  </si>
  <si>
    <t>RADIOLOGIC TECHNOLOGIST</t>
  </si>
  <si>
    <t>Consultation in the ER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</si>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</sst>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57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57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57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57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22" zoomScaleNormal="100" workbookViewId="0">
      <selection activeCell="D77" sqref="D7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198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191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thickBot="1" x14ac:dyDescent="0.35">
      <c r="A44" s="1"/>
      <c r="B44" s="118" t="s">
        <v>46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x14ac:dyDescent="0.3">
      <c r="A45" s="1"/>
      <c r="B45" s="14" t="s">
        <v>47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thickBot="1" x14ac:dyDescent="0.35">
      <c r="A46" s="1"/>
      <c r="B46" s="115" t="s">
        <v>55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hidden="1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57</v>
      </c>
      <c r="C60" s="17" t="s">
        <v>53</v>
      </c>
      <c r="D60" s="17" t="s">
        <v>58</v>
      </c>
      <c r="E60" s="18" t="s">
        <v>59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167</v>
      </c>
      <c r="D61" s="55">
        <v>1200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168</v>
      </c>
      <c r="D62" s="55">
        <v>30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169</v>
      </c>
      <c r="D63" s="55">
        <v>2975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170</v>
      </c>
      <c r="D64" s="55">
        <v>660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171</v>
      </c>
      <c r="D65" s="55">
        <v>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172</v>
      </c>
      <c r="D66" s="55">
        <v>950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173</v>
      </c>
      <c r="D67" s="55">
        <v>4500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10565</v>
      </c>
      <c r="E72" s="59">
        <f>SUM(E61:E71)</f>
        <v>0</v>
      </c>
      <c r="F72" s="59">
        <f>SUM(F61:F71)</f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algorithmName="SHA-512" hashValue="doRm6lTUAIjg0o2IIDXhI8Vpx9FQNioPaS5x+wv9xfczjA8p4V95QzXryptb87yw+KleY5/2Bj9UPZWFaOreKg==" saltValue="JrWjtcW8bqNbVoKrhM3Z/Q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9"/>
  <sheetViews>
    <sheetView topLeftCell="C9" zoomScaleNormal="100" workbookViewId="0">
      <selection activeCell="K13" sqref="K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176</v>
      </c>
      <c r="E11" s="27" t="s">
        <v>178</v>
      </c>
      <c r="F11" s="55"/>
      <c r="G11" s="55"/>
      <c r="H11" s="55">
        <v>3</v>
      </c>
      <c r="I11" s="55">
        <v>40</v>
      </c>
      <c r="J11" s="55">
        <f>H11*I11</f>
        <v>120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227</v>
      </c>
      <c r="D12" s="27" t="s">
        <v>175</v>
      </c>
      <c r="E12" s="27" t="s">
        <v>179</v>
      </c>
      <c r="F12" s="55"/>
      <c r="G12" s="55"/>
      <c r="H12" s="55">
        <v>3</v>
      </c>
      <c r="I12" s="55">
        <v>80</v>
      </c>
      <c r="J12" s="55">
        <f t="shared" ref="J12:J28" si="0">H12*I12</f>
        <v>240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177</v>
      </c>
      <c r="E13" s="27" t="s">
        <v>180</v>
      </c>
      <c r="F13" s="55"/>
      <c r="G13" s="55"/>
      <c r="H13" s="55">
        <v>3</v>
      </c>
      <c r="I13" s="55">
        <v>495</v>
      </c>
      <c r="J13" s="55">
        <f t="shared" ref="J13:J23" si="1">H13*I13</f>
        <v>1485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177</v>
      </c>
      <c r="E14" s="27" t="s">
        <v>180</v>
      </c>
      <c r="F14" s="55"/>
      <c r="G14" s="55"/>
      <c r="H14" s="55">
        <v>2</v>
      </c>
      <c r="I14" s="55">
        <v>55</v>
      </c>
      <c r="J14" s="55">
        <f t="shared" si="1"/>
        <v>110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199</v>
      </c>
      <c r="D15" s="27" t="s">
        <v>187</v>
      </c>
      <c r="E15" s="27" t="s">
        <v>200</v>
      </c>
      <c r="F15" s="55"/>
      <c r="G15" s="55"/>
      <c r="H15" s="55">
        <v>28</v>
      </c>
      <c r="I15" s="55">
        <v>25</v>
      </c>
      <c r="J15" s="55">
        <f t="shared" si="1"/>
        <v>700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201</v>
      </c>
      <c r="D16" s="27" t="s">
        <v>177</v>
      </c>
      <c r="E16" s="27" t="s">
        <v>202</v>
      </c>
      <c r="F16" s="55"/>
      <c r="G16" s="55"/>
      <c r="H16" s="55">
        <v>2</v>
      </c>
      <c r="I16" s="55">
        <v>65</v>
      </c>
      <c r="J16" s="55">
        <f t="shared" si="1"/>
        <v>130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203</v>
      </c>
      <c r="D17" s="27" t="s">
        <v>204</v>
      </c>
      <c r="E17" s="27" t="s">
        <v>205</v>
      </c>
      <c r="F17" s="55"/>
      <c r="G17" s="55"/>
      <c r="H17" s="55">
        <v>14</v>
      </c>
      <c r="I17" s="55">
        <v>15</v>
      </c>
      <c r="J17" s="55">
        <f t="shared" si="1"/>
        <v>210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206</v>
      </c>
      <c r="D18" s="27" t="s">
        <v>207</v>
      </c>
      <c r="E18" s="27" t="s">
        <v>208</v>
      </c>
      <c r="F18" s="55"/>
      <c r="G18" s="55"/>
      <c r="H18" s="55">
        <v>3</v>
      </c>
      <c r="I18" s="55">
        <v>80</v>
      </c>
      <c r="J18" s="55">
        <f t="shared" si="1"/>
        <v>240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209</v>
      </c>
      <c r="D19" s="27" t="s">
        <v>207</v>
      </c>
      <c r="E19" s="27" t="s">
        <v>210</v>
      </c>
      <c r="F19" s="55"/>
      <c r="G19" s="55"/>
      <c r="H19" s="55">
        <v>10</v>
      </c>
      <c r="I19" s="55">
        <v>16</v>
      </c>
      <c r="J19" s="55">
        <f t="shared" si="1"/>
        <v>160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211</v>
      </c>
      <c r="D20" s="27" t="s">
        <v>207</v>
      </c>
      <c r="E20" s="27" t="s">
        <v>212</v>
      </c>
      <c r="F20" s="55"/>
      <c r="G20" s="55"/>
      <c r="H20" s="55">
        <v>7</v>
      </c>
      <c r="I20" s="55">
        <v>15</v>
      </c>
      <c r="J20" s="55">
        <f t="shared" si="1"/>
        <v>105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213</v>
      </c>
      <c r="D21" s="27" t="s">
        <v>207</v>
      </c>
      <c r="E21" s="27" t="s">
        <v>214</v>
      </c>
      <c r="F21" s="55"/>
      <c r="G21" s="55"/>
      <c r="H21" s="55">
        <v>3</v>
      </c>
      <c r="I21" s="55">
        <v>17</v>
      </c>
      <c r="J21" s="55">
        <f t="shared" si="1"/>
        <v>51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215</v>
      </c>
      <c r="D22" s="27" t="s">
        <v>207</v>
      </c>
      <c r="E22" s="27" t="s">
        <v>216</v>
      </c>
      <c r="F22" s="55"/>
      <c r="G22" s="55"/>
      <c r="H22" s="55">
        <v>3</v>
      </c>
      <c r="I22" s="55">
        <v>4</v>
      </c>
      <c r="J22" s="55">
        <f t="shared" si="1"/>
        <v>12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217</v>
      </c>
      <c r="D23" s="27" t="s">
        <v>207</v>
      </c>
      <c r="E23" s="27" t="s">
        <v>218</v>
      </c>
      <c r="F23" s="55"/>
      <c r="G23" s="55"/>
      <c r="H23" s="55">
        <v>3</v>
      </c>
      <c r="I23" s="55">
        <v>3</v>
      </c>
      <c r="J23" s="55">
        <f t="shared" si="1"/>
        <v>9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219</v>
      </c>
      <c r="D24" s="27" t="s">
        <v>207</v>
      </c>
      <c r="E24" s="27" t="s">
        <v>220</v>
      </c>
      <c r="F24" s="55"/>
      <c r="G24" s="55"/>
      <c r="H24" s="55">
        <v>3</v>
      </c>
      <c r="I24" s="55">
        <v>25</v>
      </c>
      <c r="J24" s="55">
        <f t="shared" si="0"/>
        <v>75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221</v>
      </c>
      <c r="D25" s="27" t="s">
        <v>207</v>
      </c>
      <c r="E25" s="27" t="s">
        <v>222</v>
      </c>
      <c r="F25" s="55"/>
      <c r="G25" s="55"/>
      <c r="H25" s="55">
        <v>7</v>
      </c>
      <c r="I25" s="55">
        <v>3</v>
      </c>
      <c r="J25" s="55">
        <f t="shared" si="0"/>
        <v>21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223</v>
      </c>
      <c r="D26" s="27" t="s">
        <v>207</v>
      </c>
      <c r="E26" s="27" t="s">
        <v>224</v>
      </c>
      <c r="F26" s="55"/>
      <c r="G26" s="55"/>
      <c r="H26" s="55">
        <v>14</v>
      </c>
      <c r="I26" s="55">
        <v>8</v>
      </c>
      <c r="J26" s="55">
        <f t="shared" si="0"/>
        <v>112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225</v>
      </c>
      <c r="D27" s="27" t="s">
        <v>175</v>
      </c>
      <c r="E27" s="27" t="s">
        <v>226</v>
      </c>
      <c r="F27" s="55"/>
      <c r="G27" s="55"/>
      <c r="H27" s="55">
        <v>3</v>
      </c>
      <c r="I27" s="55">
        <v>80</v>
      </c>
      <c r="J27" s="55">
        <f t="shared" si="0"/>
        <v>240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0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25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xbi3HzvubcybHseR+mJq+QnlDACInqLajukZ296UyPWoryXrv2hyWxlBAbtpxXJXOH9jYPKsCUuC9hcdLe2Srw==" saltValue="uuXDGodXAEx/nGGfdOWyW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8 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2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228</v>
      </c>
      <c r="D16" s="70" t="s">
        <v>29</v>
      </c>
      <c r="E16" s="55">
        <v>1</v>
      </c>
      <c r="F16" s="55">
        <v>43</v>
      </c>
      <c r="G16" s="55">
        <f>E16*F16</f>
        <v>43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229</v>
      </c>
      <c r="D17" s="70" t="s">
        <v>29</v>
      </c>
      <c r="E17" s="55">
        <v>2</v>
      </c>
      <c r="F17" s="55">
        <v>61</v>
      </c>
      <c r="G17" s="55">
        <f>E17*F17</f>
        <v>122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181</v>
      </c>
      <c r="D18" s="70" t="s">
        <v>29</v>
      </c>
      <c r="E18" s="55">
        <v>6</v>
      </c>
      <c r="F18" s="55">
        <v>6</v>
      </c>
      <c r="G18" s="55">
        <f t="shared" ref="G18:G28" si="0">E18*F18</f>
        <v>36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194</v>
      </c>
      <c r="D19" s="70" t="s">
        <v>29</v>
      </c>
      <c r="E19" s="55">
        <v>5</v>
      </c>
      <c r="F19" s="55">
        <v>7</v>
      </c>
      <c r="G19" s="55">
        <f t="shared" si="0"/>
        <v>35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29</v>
      </c>
      <c r="E20" s="55">
        <v>9</v>
      </c>
      <c r="F20" s="55">
        <v>7</v>
      </c>
      <c r="G20" s="55">
        <f t="shared" si="0"/>
        <v>63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29</v>
      </c>
      <c r="E21" s="55">
        <v>9</v>
      </c>
      <c r="F21" s="55">
        <v>6</v>
      </c>
      <c r="G21" s="55">
        <f t="shared" si="0"/>
        <v>54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235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184</v>
      </c>
      <c r="D23" s="70" t="s">
        <v>29</v>
      </c>
      <c r="E23" s="55">
        <v>6</v>
      </c>
      <c r="F23" s="55">
        <v>4</v>
      </c>
      <c r="G23" s="55">
        <f t="shared" si="0"/>
        <v>24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185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186</v>
      </c>
      <c r="D25" s="70" t="s">
        <v>29</v>
      </c>
      <c r="E25" s="55">
        <v>5</v>
      </c>
      <c r="F25" s="55">
        <v>8</v>
      </c>
      <c r="G25" s="55">
        <f t="shared" si="0"/>
        <v>40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188</v>
      </c>
      <c r="D26" s="70" t="s">
        <v>29</v>
      </c>
      <c r="E26" s="55">
        <v>1</v>
      </c>
      <c r="F26" s="55">
        <v>110</v>
      </c>
      <c r="G26" s="55">
        <f t="shared" si="0"/>
        <v>110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189</v>
      </c>
      <c r="D27" s="70" t="s">
        <v>29</v>
      </c>
      <c r="E27" s="55">
        <v>1</v>
      </c>
      <c r="F27" s="55">
        <v>22</v>
      </c>
      <c r="G27" s="55">
        <f t="shared" si="0"/>
        <v>22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195</v>
      </c>
      <c r="D28" s="70" t="s">
        <v>29</v>
      </c>
      <c r="E28" s="55">
        <v>1</v>
      </c>
      <c r="F28" s="55">
        <v>35</v>
      </c>
      <c r="G28" s="55">
        <f t="shared" si="0"/>
        <v>35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230</v>
      </c>
      <c r="D29" s="70" t="s">
        <v>29</v>
      </c>
      <c r="E29" s="55">
        <v>2</v>
      </c>
      <c r="F29" s="55">
        <v>61</v>
      </c>
      <c r="G29" s="55">
        <f t="shared" ref="G29:G30" si="1">E29*F29</f>
        <v>122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231</v>
      </c>
      <c r="D30" s="70" t="s">
        <v>29</v>
      </c>
      <c r="E30" s="55">
        <v>1</v>
      </c>
      <c r="F30" s="55">
        <v>70</v>
      </c>
      <c r="G30" s="55">
        <f t="shared" si="1"/>
        <v>70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>E31*F31</f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SUM(G16:G30)</f>
        <v>926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78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sHRq+xfLgUevZiPkoS5+DjYXU6pxOlQ6NDM3wwbRgA9rhXPpVq63W14wulneZ7Ua4EYbvdBlaQDDFfuZ6lvBXA==" saltValue="KXZtJWmy77YEteCCHUSFxQ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16" sqref="G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232</v>
      </c>
      <c r="N12" s="90" t="s">
        <v>233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30</v>
      </c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60</v>
      </c>
      <c r="N14" s="55">
        <v>15</v>
      </c>
      <c r="P14" s="88">
        <f t="shared" ref="P14:P22" si="0">SUM(D14:N14)</f>
        <v>125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234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140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60</v>
      </c>
      <c r="N30" s="88">
        <f t="shared" si="1"/>
        <v>15</v>
      </c>
      <c r="P30" s="89">
        <f>SUM(P13:P22)</f>
        <v>260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2018-06-04T02:02:38Z</dcterms:modified>
</cp:coreProperties>
</file>