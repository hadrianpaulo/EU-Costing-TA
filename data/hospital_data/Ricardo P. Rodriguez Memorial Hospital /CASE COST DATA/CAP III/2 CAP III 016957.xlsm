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CAP III REVISE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52511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J19" i="2"/>
  <c r="J18" i="2"/>
  <c r="J17" i="2"/>
  <c r="J28" i="2" l="1"/>
  <c r="J20" i="2"/>
  <c r="J21" i="2"/>
  <c r="J22" i="2"/>
  <c r="J23" i="2"/>
  <c r="J24" i="2"/>
  <c r="J25" i="2"/>
  <c r="J26" i="2"/>
  <c r="J27" i="2"/>
  <c r="G31" i="9" l="1"/>
  <c r="G33" i="9"/>
  <c r="J15" i="2"/>
  <c r="J16" i="2"/>
  <c r="J14" i="2"/>
  <c r="J13" i="2" l="1"/>
  <c r="J12" i="2"/>
  <c r="J11" i="2"/>
  <c r="G30" i="9"/>
  <c r="G28" i="9" l="1"/>
  <c r="G27" i="9"/>
  <c r="G26" i="9"/>
  <c r="G25" i="9"/>
  <c r="G24" i="9"/>
  <c r="G23" i="9"/>
  <c r="G22" i="9"/>
  <c r="G29" i="9" l="1"/>
  <c r="G32" i="9"/>
  <c r="G16" i="9" l="1"/>
  <c r="G34" i="9" s="1"/>
  <c r="J2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<sst xmlns="http://schemas.openxmlformats.org/spreadsheetml/2006/main" count="520" uniqueCount="218">
  <si>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</si>
  <si>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</si>
  <si>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</si>
  <si>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</si>
  <si>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</si>
  <si>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</si>
  <si>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</si>
  <si>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</si>
  <si>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</si>
  <si>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</si>
  <si>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</si>
  <si>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</si>
  <si>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</si>
  <si>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</si>
  <si>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</si>
  <si>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</si>
  <si>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</si>
  <si>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</si>
  <si>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</si>
  <si>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</si>
  <si>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</si>
  <si>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</si>
  <si>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</si>
  <si>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</si>
  <si>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</si>
  <si>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</si>
  <si>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</si>
  <si>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</si>
  <si>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</si>
  <si>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</si>
  <si>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</si>
  <si>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</si>
  <si>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</si>
  <si>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</si>
  <si>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</si>
  <si>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</si>
  <si>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</si>
  <si>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</si>
  <si>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</si>
  <si>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</si>
  <si>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</si>
  <si>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</si>
  <si>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</si>
  <si>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</si>
  <si>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</si>
  <si>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</si>
  <si>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</si>
  <si>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</si>
  <si>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</si>
  <si>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</si>
  <si>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</si>
  <si>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</si>
  <si>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</si>
  <si>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</si>
  <si>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</si>
  <si>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</si>
  <si>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</si>
  <si>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</si>
  <si>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</si>
  <si>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</si>
  <si>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</si>
  <si>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</si>
  <si>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</si>
  <si>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</si>
  <si>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</si>
  <si>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</si>
  <si>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</si>
  <si>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</si>
  <si>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</si>
  <si>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</si>
  <si>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</si>
  <si>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</si>
  <si>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</si>
  <si>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</si>
  <si>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</si>
  <si>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</si>
  <si>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</si>
  <si>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</si>
  <si>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</si>
  <si>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</si>
  <si>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</si>
  <si>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</si>
  <si>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</si>
  <si>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</si>
  <si>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</si>
  <si>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</si>
  <si>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</si>
  <si>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</si>
  <si>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</si>
  <si>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</si>
  <si>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</si>
  <si>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</si>
  <si>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</si>
  <si>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</si>
  <si>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</si>
  <si>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</si>
  <si>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</si>
  <si>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</si>
  <si>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</si>
  <si>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</si>
  <si>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</si>
  <si>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</si>
  <si>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</si>
  <si>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</si>
  <si>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</si>
  <si>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</si>
  <si>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</si>
  <si>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</si>
  <si>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</si>
  <si>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</si>
  <si>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</si>
  <si>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</si>
  <si>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</si>
  <si>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</si>
  <si>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</si>
  <si>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</si>
  <si>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</si>
  <si>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</si>
  <si>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</si>
  <si>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</si>
  <si>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</si>
  <si>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</si>
  <si>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</si>
  <si>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</si>
  <si>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</si>
  <si>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</si>
  <si>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</si>
  <si>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</si>
  <si>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</si>
  <si>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</si>
  <si>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</si>
  <si>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</si>
  <si>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</si>
  <si>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</si>
  <si>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</si>
  <si>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</si>
  <si>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</si>
  <si>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</si>
  <si>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</si>
  <si>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</si>
  <si>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</si>
  <si>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</si>
  <si>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</si>
  <si>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</si>
  <si>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</si>
  <si>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</si>
  <si>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</si>
  <si>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</si>
  <si>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</si>
  <si>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</si>
  <si>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</si>
  <si>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</si>
  <si>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</si>
  <si>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</si>
  <si>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</si>
  <si>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</si>
  <si>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</si>
  <si>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</si>
  <si>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</si>
  <si>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</si>
  <si>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</si>
  <si>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</si>
  <si>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</si>
  <si>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</si>
  <si>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</si>
  <si>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</si>
  <si>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</si>
  <si>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</si>
  <si>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</si>
  <si>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</si>
  <si>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</si>
  <si>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</si>
  <si>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</si>
  <si>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BOTTLE/IV</t>
  </si>
  <si>
    <t>VIAL/IV</t>
  </si>
  <si>
    <t>750 mg</t>
  </si>
  <si>
    <t>DISPOSABLE MASK</t>
  </si>
  <si>
    <t>1CC SYRINGE</t>
  </si>
  <si>
    <t>3CC SYRINGE</t>
  </si>
  <si>
    <t>GLOVES UNSTERILE MEDIUM</t>
  </si>
  <si>
    <t>DIGITAL THERMOMETER</t>
  </si>
  <si>
    <t>10CC SYRINGE</t>
  </si>
  <si>
    <t>HEPLOCK</t>
  </si>
  <si>
    <t>5CC SYRINGE</t>
  </si>
  <si>
    <t>NEBULE/INH</t>
  </si>
  <si>
    <t>2.50 mg/500 mcg/2.5 ml</t>
  </si>
  <si>
    <t>ID BRACELET</t>
  </si>
  <si>
    <t>NEBULIZING KIT</t>
  </si>
  <si>
    <t>1000 ml</t>
  </si>
  <si>
    <t>STERILE WATER FOR INJECTION</t>
  </si>
  <si>
    <t>POLYAMPULE/IV</t>
  </si>
  <si>
    <t>10 ml</t>
  </si>
  <si>
    <t>AMPICILLIN+SULBACTAM</t>
  </si>
  <si>
    <t>TABLET/ORAL</t>
  </si>
  <si>
    <t>500 mg</t>
  </si>
  <si>
    <t>ACETYLCYSTEINE</t>
  </si>
  <si>
    <t>600 mg</t>
  </si>
  <si>
    <t>IV SPLINT ADULT</t>
  </si>
  <si>
    <t>IV SET ADULT</t>
  </si>
  <si>
    <t>CBC PLATELET COUNT</t>
  </si>
  <si>
    <t>CEFOXITIN</t>
  </si>
  <si>
    <t>1 g</t>
  </si>
  <si>
    <t>METFORMIN</t>
  </si>
  <si>
    <t>ATORVASTATIN</t>
  </si>
  <si>
    <t>40 mg</t>
  </si>
  <si>
    <t>CAPSULE/ORAL</t>
  </si>
  <si>
    <t>AZITHROMYCIN DIHYDRATE</t>
  </si>
  <si>
    <t>TONGUE DEPRESSOR</t>
  </si>
  <si>
    <t>D5 LRS</t>
  </si>
  <si>
    <t>PARACETAMOL</t>
  </si>
  <si>
    <t>AMPULE/IV</t>
  </si>
  <si>
    <t>150 mg</t>
  </si>
  <si>
    <t>IV CATHETER 22</t>
  </si>
  <si>
    <t>MEDICAL TECHNOLOGIST</t>
  </si>
  <si>
    <t>RADIOLOGIC TECHNOLOGIST</t>
  </si>
  <si>
    <t>SALBUTAMOL/IPRATROPIUM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</si>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</sst>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3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6010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626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1320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13276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A11" workbookViewId="0">
      <selection activeCell="L17" sqref="L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208</v>
      </c>
      <c r="D11" s="27" t="s">
        <v>173</v>
      </c>
      <c r="E11" s="27" t="s">
        <v>188</v>
      </c>
      <c r="F11" s="55"/>
      <c r="G11" s="55"/>
      <c r="H11" s="55">
        <v>4</v>
      </c>
      <c r="I11" s="55">
        <v>80</v>
      </c>
      <c r="J11" s="55">
        <f t="shared" ref="J11:J16" si="0">H11*I11</f>
        <v>320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200</v>
      </c>
      <c r="D12" s="27" t="s">
        <v>174</v>
      </c>
      <c r="E12" s="27" t="s">
        <v>201</v>
      </c>
      <c r="F12" s="55"/>
      <c r="G12" s="55"/>
      <c r="H12" s="55">
        <v>4</v>
      </c>
      <c r="I12" s="55">
        <v>825</v>
      </c>
      <c r="J12" s="55">
        <f t="shared" si="0"/>
        <v>3300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209</v>
      </c>
      <c r="D13" s="27" t="s">
        <v>210</v>
      </c>
      <c r="E13" s="27" t="s">
        <v>211</v>
      </c>
      <c r="F13" s="55"/>
      <c r="G13" s="55"/>
      <c r="H13" s="55">
        <v>1</v>
      </c>
      <c r="I13" s="55">
        <v>35</v>
      </c>
      <c r="J13" s="55">
        <f t="shared" si="0"/>
        <v>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215</v>
      </c>
      <c r="D14" s="27" t="s">
        <v>184</v>
      </c>
      <c r="E14" s="27" t="s">
        <v>185</v>
      </c>
      <c r="F14" s="55"/>
      <c r="G14" s="55"/>
      <c r="H14" s="55">
        <v>10</v>
      </c>
      <c r="I14" s="55">
        <v>35</v>
      </c>
      <c r="J14" s="55">
        <f t="shared" si="0"/>
        <v>350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190</v>
      </c>
      <c r="E15" s="27" t="s">
        <v>191</v>
      </c>
      <c r="F15" s="55"/>
      <c r="G15" s="55"/>
      <c r="H15" s="55">
        <v>1</v>
      </c>
      <c r="I15" s="55">
        <v>40</v>
      </c>
      <c r="J15" s="55">
        <f>H15*I15</f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193</v>
      </c>
      <c r="E16" s="27" t="s">
        <v>175</v>
      </c>
      <c r="F16" s="55"/>
      <c r="G16" s="55"/>
      <c r="H16" s="55">
        <v>9</v>
      </c>
      <c r="I16" s="55">
        <v>100</v>
      </c>
      <c r="J16" s="55">
        <f t="shared" si="0"/>
        <v>900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195</v>
      </c>
      <c r="D17" s="27" t="s">
        <v>193</v>
      </c>
      <c r="E17" s="27" t="s">
        <v>196</v>
      </c>
      <c r="F17" s="55"/>
      <c r="G17" s="55"/>
      <c r="H17" s="55">
        <v>3</v>
      </c>
      <c r="I17" s="55">
        <v>68</v>
      </c>
      <c r="J17" s="55">
        <f>H17*I17</f>
        <v>204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202</v>
      </c>
      <c r="D18" s="27" t="s">
        <v>193</v>
      </c>
      <c r="E18" s="27" t="s">
        <v>194</v>
      </c>
      <c r="F18" s="55"/>
      <c r="G18" s="55"/>
      <c r="H18" s="55">
        <v>14</v>
      </c>
      <c r="I18" s="55">
        <v>3</v>
      </c>
      <c r="J18" s="55">
        <f t="shared" ref="J18:J19" si="1">H18*I18</f>
        <v>42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 t="s">
        <v>206</v>
      </c>
      <c r="D19" s="27" t="s">
        <v>205</v>
      </c>
      <c r="E19" s="27" t="s">
        <v>194</v>
      </c>
      <c r="F19" s="55"/>
      <c r="G19" s="55"/>
      <c r="H19" s="55">
        <v>7</v>
      </c>
      <c r="I19" s="55">
        <v>110</v>
      </c>
      <c r="J19" s="55">
        <f t="shared" si="1"/>
        <v>770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 t="s">
        <v>203</v>
      </c>
      <c r="D20" s="27" t="s">
        <v>193</v>
      </c>
      <c r="E20" s="27" t="s">
        <v>204</v>
      </c>
      <c r="F20" s="55"/>
      <c r="G20" s="55"/>
      <c r="H20" s="55">
        <v>7</v>
      </c>
      <c r="I20" s="55">
        <v>7</v>
      </c>
      <c r="J20" s="55">
        <f t="shared" ref="J20:J28" si="2">H20*I20</f>
        <v>49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2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2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2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2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2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2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2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2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SUM(J11:J28)</f>
        <v>6010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YWpvcRzeqDp0dvkZC3vSRsHoA2JQSQjIgfEL/0qINNkeedaNsfvtZfYBVfCECHfikOHHzDwoEI7JURGe2zzfDA==" saltValue="aY78X4yS/7fbOMmn7p4aT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32 F11:J1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4" workbookViewId="0">
      <selection activeCell="C27" sqref="C2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29</v>
      </c>
      <c r="E17" s="55">
        <v>1</v>
      </c>
      <c r="F17" s="55">
        <v>70</v>
      </c>
      <c r="G17" s="55">
        <f t="shared" ref="G17:G21" si="0">E17*F17</f>
        <v>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29</v>
      </c>
      <c r="E18" s="55">
        <v>1</v>
      </c>
      <c r="F18" s="55">
        <v>32</v>
      </c>
      <c r="G18" s="55">
        <f t="shared" si="0"/>
        <v>32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197</v>
      </c>
      <c r="D19" s="70" t="s">
        <v>29</v>
      </c>
      <c r="E19" s="55">
        <v>1</v>
      </c>
      <c r="F19" s="55">
        <v>110</v>
      </c>
      <c r="G19" s="55">
        <f t="shared" si="0"/>
        <v>110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29</v>
      </c>
      <c r="E20" s="55">
        <v>1</v>
      </c>
      <c r="F20" s="55">
        <v>85</v>
      </c>
      <c r="G20" s="55">
        <f t="shared" si="0"/>
        <v>85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217</v>
      </c>
      <c r="D21" s="70" t="s">
        <v>29</v>
      </c>
      <c r="E21" s="55">
        <v>1</v>
      </c>
      <c r="F21" s="55">
        <v>65</v>
      </c>
      <c r="G21" s="55">
        <f t="shared" si="0"/>
        <v>65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29</v>
      </c>
      <c r="E22" s="55">
        <v>6</v>
      </c>
      <c r="F22" s="55">
        <v>6</v>
      </c>
      <c r="G22" s="55">
        <f t="shared" ref="G22:G28" si="1">E22*F22</f>
        <v>36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179</v>
      </c>
      <c r="D23" s="70" t="s">
        <v>29</v>
      </c>
      <c r="E23" s="55">
        <v>6</v>
      </c>
      <c r="F23" s="55">
        <v>4</v>
      </c>
      <c r="G23" s="55">
        <f t="shared" si="1"/>
        <v>24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177</v>
      </c>
      <c r="D24" s="70" t="s">
        <v>29</v>
      </c>
      <c r="E24" s="55">
        <v>5</v>
      </c>
      <c r="F24" s="55">
        <v>7</v>
      </c>
      <c r="G24" s="55">
        <f t="shared" si="1"/>
        <v>35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178</v>
      </c>
      <c r="D25" s="70" t="s">
        <v>29</v>
      </c>
      <c r="E25" s="55">
        <v>5</v>
      </c>
      <c r="F25" s="55">
        <v>6</v>
      </c>
      <c r="G25" s="55">
        <f t="shared" si="1"/>
        <v>30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183</v>
      </c>
      <c r="D26" s="70" t="s">
        <v>29</v>
      </c>
      <c r="E26" s="55">
        <v>1</v>
      </c>
      <c r="F26" s="55">
        <v>7</v>
      </c>
      <c r="G26" s="55">
        <f t="shared" si="1"/>
        <v>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181</v>
      </c>
      <c r="D27" s="70" t="s">
        <v>29</v>
      </c>
      <c r="E27" s="55">
        <v>5</v>
      </c>
      <c r="F27" s="55">
        <v>8</v>
      </c>
      <c r="G27" s="55">
        <f t="shared" si="1"/>
        <v>40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212</v>
      </c>
      <c r="D28" s="70" t="s">
        <v>29</v>
      </c>
      <c r="E28" s="55">
        <v>1</v>
      </c>
      <c r="F28" s="55">
        <v>61</v>
      </c>
      <c r="G28" s="55">
        <f t="shared" si="1"/>
        <v>61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207</v>
      </c>
      <c r="D29" s="70" t="s">
        <v>29</v>
      </c>
      <c r="E29" s="55">
        <v>1</v>
      </c>
      <c r="F29" s="55">
        <v>2</v>
      </c>
      <c r="G29" s="55">
        <f t="shared" ref="G29:G33" si="2">E29*F29</f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182</v>
      </c>
      <c r="D30" s="70" t="s">
        <v>29</v>
      </c>
      <c r="E30" s="55">
        <v>1</v>
      </c>
      <c r="F30" s="55">
        <v>22</v>
      </c>
      <c r="G30" s="55">
        <f t="shared" si="2"/>
        <v>22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E31*F31</f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2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2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626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78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30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S2FkxzS+EGP5CqhLwvUcehZL6umgh5BRDgZ7GXJ114EjW91TkpP25n/HCBAjURflLzqgfStKqatPidEoi/w5IQ==" saltValue="pM01LVJl0sSUlRT7RcRM4w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K21" sqref="K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213</v>
      </c>
      <c r="N12" s="90" t="s">
        <v>214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20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>
        <v>50</v>
      </c>
      <c r="F14" s="55"/>
      <c r="G14" s="55">
        <v>20</v>
      </c>
      <c r="H14" s="55"/>
      <c r="I14" s="55"/>
      <c r="J14" s="55"/>
      <c r="K14" s="55"/>
      <c r="L14" s="55"/>
      <c r="M14" s="55">
        <v>10</v>
      </c>
      <c r="N14" s="55"/>
      <c r="P14" s="88">
        <f t="shared" ref="P14:P22" si="0">SUM(D14:N14)</f>
        <v>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216</v>
      </c>
      <c r="D15" s="55"/>
      <c r="E15" s="55">
        <v>15</v>
      </c>
      <c r="F15" s="55"/>
      <c r="G15" s="55">
        <v>25</v>
      </c>
      <c r="H15" s="55"/>
      <c r="I15" s="55"/>
      <c r="J15" s="55"/>
      <c r="K15" s="55"/>
      <c r="L15" s="55"/>
      <c r="M15" s="55"/>
      <c r="N15" s="55"/>
      <c r="P15" s="88">
        <f t="shared" si="0"/>
        <v>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85</v>
      </c>
      <c r="F30" s="88">
        <f t="shared" si="1"/>
        <v>0</v>
      </c>
      <c r="G30" s="88">
        <f t="shared" si="1"/>
        <v>85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10</v>
      </c>
      <c r="N30" s="88">
        <f t="shared" si="1"/>
        <v>0</v>
      </c>
      <c r="P30" s="89">
        <f>SUM(P13:P22)</f>
        <v>180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2018-06-04T02:03:56Z</dcterms:modified>
</cp:coreProperties>
</file>