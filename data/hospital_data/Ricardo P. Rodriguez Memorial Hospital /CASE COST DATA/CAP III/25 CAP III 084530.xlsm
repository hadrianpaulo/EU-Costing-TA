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CASE COST DATA CAP III REVISED\"/>
    </mc:Choice>
  </mc:AlternateContent>
  <xr:revisionPtr revIDLastSave="0" documentId="12_ncr:500000_{A8625165-EAC8-4923-B6D7-995677317685}" xr6:coauthVersionLast="31" xr6:coauthVersionMax="31" xr10:uidLastSave="{00000000-0000-0000-0000-000000000000}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 xr2:uid="{00000000-000D-0000-FFFF-FFFF00000000}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28" i="9" l="1"/>
  <c r="G27" i="9"/>
  <c r="G26" i="9"/>
  <c r="G31" i="9"/>
  <c r="G18" i="9"/>
  <c r="G25" i="9"/>
  <c r="G24" i="9"/>
  <c r="G23" i="9"/>
  <c r="G22" i="9"/>
  <c r="G21" i="9"/>
  <c r="G20" i="9"/>
  <c r="G19" i="9"/>
  <c r="J13" i="2" l="1"/>
  <c r="G29" i="9"/>
  <c r="G32" i="9"/>
  <c r="J14" i="2" l="1"/>
  <c r="J17" i="2"/>
  <c r="J18" i="2"/>
  <c r="G16" i="9" l="1"/>
  <c r="G17" i="9"/>
  <c r="J12" i="2"/>
  <c r="J15" i="2"/>
  <c r="J16" i="2"/>
  <c r="J19" i="2"/>
  <c r="J21" i="2"/>
  <c r="J24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<sst xmlns="http://schemas.openxmlformats.org/spreadsheetml/2006/main" count="517" uniqueCount="217">
  <si>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</si>
  <si>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</si>
  <si>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</si>
  <si>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</si>
  <si>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</si>
  <si>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</si>
  <si>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</si>
  <si>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</si>
  <si>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</si>
  <si>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</si>
  <si>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</si>
  <si>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</si>
  <si>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</si>
  <si>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</si>
  <si>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</si>
  <si>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</si>
  <si>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</si>
  <si>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</si>
  <si>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</si>
  <si>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</si>
  <si>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</si>
  <si>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</si>
  <si>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</si>
  <si>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</si>
  <si>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</si>
  <si>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</si>
  <si>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</si>
  <si>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</si>
  <si>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</si>
  <si>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</si>
  <si>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</si>
  <si>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</si>
  <si>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</si>
  <si>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</si>
  <si>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</si>
  <si>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</si>
  <si>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</si>
  <si>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</si>
  <si>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</si>
  <si>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</si>
  <si>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</si>
  <si>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</si>
  <si>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</si>
  <si>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</si>
  <si>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</si>
  <si>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</si>
  <si>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</si>
  <si>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</si>
  <si>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</si>
  <si>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</si>
  <si>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</si>
  <si>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</si>
  <si>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</si>
  <si>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</si>
  <si>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</si>
  <si>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</si>
  <si>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</si>
  <si>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</si>
  <si>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</si>
  <si>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</si>
  <si>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</si>
  <si>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</si>
  <si>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</si>
  <si>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</si>
  <si>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</si>
  <si>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</si>
  <si>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</si>
  <si>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</si>
  <si>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</si>
  <si>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</si>
  <si>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</si>
  <si>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</si>
  <si>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</si>
  <si>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</si>
  <si>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</si>
  <si>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</si>
  <si>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</si>
  <si>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</si>
  <si>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</si>
  <si>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</si>
  <si>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</si>
  <si>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</si>
  <si>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</si>
  <si>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</si>
  <si>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</si>
  <si>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</si>
  <si>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</si>
  <si>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</si>
  <si>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</si>
  <si>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</si>
  <si>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</si>
  <si>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</si>
  <si>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</si>
  <si>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</si>
  <si>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</si>
  <si>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</si>
  <si>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</si>
  <si>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</si>
  <si>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</si>
  <si>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</si>
  <si>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</si>
  <si>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</si>
  <si>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</si>
  <si>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</si>
  <si>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</si>
  <si>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</si>
  <si>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</si>
  <si>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</si>
  <si>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</si>
  <si>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</si>
  <si>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</si>
  <si>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</si>
  <si>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</si>
  <si>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</si>
  <si>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</si>
  <si>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</si>
  <si>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</si>
  <si>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</si>
  <si>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</si>
  <si>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</si>
  <si>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</si>
  <si>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</si>
  <si>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</si>
  <si>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</si>
  <si>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</si>
  <si>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</si>
  <si>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</si>
  <si>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</si>
  <si>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</si>
  <si>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</si>
  <si>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</si>
  <si>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</si>
  <si>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</si>
  <si>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</si>
  <si>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</si>
  <si>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</si>
  <si>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</si>
  <si>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</si>
  <si>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</si>
  <si>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</si>
  <si>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</si>
  <si>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</si>
  <si>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</si>
  <si>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</si>
  <si>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</si>
  <si>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</si>
  <si>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</si>
  <si>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</si>
  <si>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</si>
  <si>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</si>
  <si>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</si>
  <si>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</si>
  <si>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</si>
  <si>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</si>
  <si>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</si>
  <si>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</si>
  <si>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</si>
  <si>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</si>
  <si>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</si>
  <si>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</si>
  <si>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</si>
  <si>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</si>
  <si>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</si>
  <si>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</si>
  <si>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</si>
  <si>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</si>
  <si>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CBC PLATELET COUNT</t>
  </si>
  <si>
    <t>ROOM AND BOARD</t>
  </si>
  <si>
    <t>GARBAGE FEE</t>
  </si>
  <si>
    <t>DRUGS AND MEDICINES</t>
  </si>
  <si>
    <t>MEDICAL SUPPLIES</t>
  </si>
  <si>
    <t>X-RAY</t>
  </si>
  <si>
    <t>LABORATORY EXAM</t>
  </si>
  <si>
    <t>PROFESSIONAL FEE</t>
  </si>
  <si>
    <t>STERILE WATER FOR INJECTION</t>
  </si>
  <si>
    <t>D50.3 NACL</t>
  </si>
  <si>
    <t>BOTTLE/IV</t>
  </si>
  <si>
    <t>POLYAMPULE/IV</t>
  </si>
  <si>
    <t>VIAL/IV</t>
  </si>
  <si>
    <t>SYRUP/ORAL</t>
  </si>
  <si>
    <t>10 ml</t>
  </si>
  <si>
    <t>500 ml</t>
  </si>
  <si>
    <t>750 mg</t>
  </si>
  <si>
    <t>50 mg/ml</t>
  </si>
  <si>
    <t>BOTTLE/ORAL</t>
  </si>
  <si>
    <t>DISPOSABLE MASK</t>
  </si>
  <si>
    <t>1CC SYRINGE</t>
  </si>
  <si>
    <t>3CC SYRINGE</t>
  </si>
  <si>
    <t>ADHESIVE PLASTER</t>
  </si>
  <si>
    <t>GLOVES UNSTERILE MEDIUM</t>
  </si>
  <si>
    <t>DIGITAL THERMOMETER</t>
  </si>
  <si>
    <t>10CC SYRINGE</t>
  </si>
  <si>
    <t>PARACETAMOL</t>
  </si>
  <si>
    <t>AMPULE/IV</t>
  </si>
  <si>
    <t>IV SPLINT PEDIA</t>
  </si>
  <si>
    <t>HEPLOCK</t>
  </si>
  <si>
    <t>ELECTROLYTES (Na,K,Cl)</t>
  </si>
  <si>
    <t>URINALYSIS</t>
  </si>
  <si>
    <t>FECALYSIS</t>
  </si>
  <si>
    <t>CHEST AP/LATERAL 10X12</t>
  </si>
  <si>
    <t>CEFUROXIME (ZIOMET)</t>
  </si>
  <si>
    <t xml:space="preserve">CEFUROXIME </t>
  </si>
  <si>
    <t>RANITIDINE</t>
  </si>
  <si>
    <t>DIPHENHYDRAMINE HCL</t>
  </si>
  <si>
    <t>25 mg/ml</t>
  </si>
  <si>
    <t>250 mg/ml</t>
  </si>
  <si>
    <t>LACTULOSE SYRUP</t>
  </si>
  <si>
    <t>3.35 mg/ml</t>
  </si>
  <si>
    <t>CEFUROXIME</t>
  </si>
  <si>
    <t>250 mg/5ml</t>
  </si>
  <si>
    <t>OS</t>
  </si>
  <si>
    <t xml:space="preserve">IV CATHETER G 24 </t>
  </si>
  <si>
    <t>5CC SYRINGE</t>
  </si>
  <si>
    <t>IV SET PEDIA</t>
  </si>
  <si>
    <t>MED. TECH</t>
  </si>
  <si>
    <t>RAD. TECH</t>
  </si>
  <si>
    <t>Consultation in the 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</si>
</sst>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56</xdr:row>
          <xdr:rowOff>142875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56</xdr:row>
          <xdr:rowOff>142875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56</xdr:row>
          <xdr:rowOff>142875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56</xdr:row>
          <xdr:rowOff>142875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Y1008"/>
  <sheetViews>
    <sheetView topLeftCell="A18" zoomScaleNormal="100" workbookViewId="0">
      <selection activeCell="B33" sqref="B33:F3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196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197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198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199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hidden="1" customHeight="1" thickBot="1" x14ac:dyDescent="0.35">
      <c r="A43" s="1"/>
      <c r="B43" s="118" t="s">
        <v>46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hidden="1" customHeight="1" x14ac:dyDescent="0.3">
      <c r="A44" s="1"/>
      <c r="B44" s="14" t="s">
        <v>47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hidden="1" customHeight="1" thickBot="1" x14ac:dyDescent="0.35">
      <c r="A45" s="1"/>
      <c r="B45" s="115" t="s">
        <v>55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hidden="1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hidden="1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hidden="1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hidden="1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hidden="1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hidden="1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hidden="1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hidden="1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hidden="1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hidden="1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hidden="1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57</v>
      </c>
      <c r="C59" s="17" t="s">
        <v>53</v>
      </c>
      <c r="D59" s="17" t="s">
        <v>58</v>
      </c>
      <c r="E59" s="18" t="s">
        <v>59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167</v>
      </c>
      <c r="D60" s="55">
        <v>1200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168</v>
      </c>
      <c r="D61" s="55">
        <v>30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169</v>
      </c>
      <c r="D62" s="55">
        <v>2975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170</v>
      </c>
      <c r="D63" s="55">
        <v>660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171</v>
      </c>
      <c r="D64" s="55">
        <v>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172</v>
      </c>
      <c r="D65" s="55">
        <v>950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173</v>
      </c>
      <c r="D66" s="55">
        <v>4500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10565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 xr:uid="{00000000-0002-0000-0000-000000000000}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 xr:uid="{00000000-0002-0000-0000-000001000000}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 xr:uid="{00000000-0002-0000-0000-000002000000}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 xr:uid="{00000000-0002-0000-0000-000003000000}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70C0"/>
    <outlinePr summaryBelow="0" summaryRight="0"/>
  </sheetPr>
  <dimension ref="A1:T977"/>
  <sheetViews>
    <sheetView workbookViewId="0">
      <selection activeCell="K22" sqref="K2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177</v>
      </c>
      <c r="E11" s="27" t="s">
        <v>180</v>
      </c>
      <c r="F11" s="55"/>
      <c r="G11" s="55"/>
      <c r="H11" s="55">
        <v>1</v>
      </c>
      <c r="I11" s="55">
        <v>40</v>
      </c>
      <c r="J11" s="55">
        <f>H11*I11</f>
        <v>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175</v>
      </c>
      <c r="D12" s="27" t="s">
        <v>176</v>
      </c>
      <c r="E12" s="27" t="s">
        <v>181</v>
      </c>
      <c r="F12" s="55"/>
      <c r="G12" s="55"/>
      <c r="H12" s="55">
        <v>7</v>
      </c>
      <c r="I12" s="55">
        <v>80</v>
      </c>
      <c r="J12" s="55">
        <f t="shared" ref="J12:J26" si="0">H12*I12</f>
        <v>560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200</v>
      </c>
      <c r="D13" s="27" t="s">
        <v>178</v>
      </c>
      <c r="E13" s="27" t="s">
        <v>182</v>
      </c>
      <c r="F13" s="55"/>
      <c r="G13" s="55"/>
      <c r="H13" s="55">
        <v>2</v>
      </c>
      <c r="I13" s="55">
        <v>495</v>
      </c>
      <c r="J13" s="55">
        <f t="shared" ref="J13:J21" si="1">H13*I13</f>
        <v>990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201</v>
      </c>
      <c r="D14" s="27" t="s">
        <v>178</v>
      </c>
      <c r="E14" s="27" t="s">
        <v>182</v>
      </c>
      <c r="F14" s="55"/>
      <c r="G14" s="55"/>
      <c r="H14" s="55">
        <v>5</v>
      </c>
      <c r="I14" s="55">
        <v>55</v>
      </c>
      <c r="J14" s="55">
        <f t="shared" si="1"/>
        <v>275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202</v>
      </c>
      <c r="D15" s="27" t="s">
        <v>193</v>
      </c>
      <c r="E15" s="27" t="s">
        <v>204</v>
      </c>
      <c r="F15" s="55"/>
      <c r="G15" s="55"/>
      <c r="H15" s="55">
        <v>7</v>
      </c>
      <c r="I15" s="55">
        <v>35</v>
      </c>
      <c r="J15" s="55">
        <f t="shared" si="1"/>
        <v>245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203</v>
      </c>
      <c r="D16" s="27" t="s">
        <v>193</v>
      </c>
      <c r="E16" s="27" t="s">
        <v>183</v>
      </c>
      <c r="F16" s="55"/>
      <c r="G16" s="55"/>
      <c r="H16" s="55">
        <v>1</v>
      </c>
      <c r="I16" s="55">
        <v>145</v>
      </c>
      <c r="J16" s="55">
        <f t="shared" si="1"/>
        <v>145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192</v>
      </c>
      <c r="D17" s="27" t="s">
        <v>179</v>
      </c>
      <c r="E17" s="27" t="s">
        <v>205</v>
      </c>
      <c r="F17" s="55"/>
      <c r="G17" s="55"/>
      <c r="H17" s="55">
        <v>1</v>
      </c>
      <c r="I17" s="55">
        <v>30</v>
      </c>
      <c r="J17" s="55">
        <f t="shared" si="1"/>
        <v>30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206</v>
      </c>
      <c r="D18" s="27" t="s">
        <v>179</v>
      </c>
      <c r="E18" s="27" t="s">
        <v>207</v>
      </c>
      <c r="F18" s="55"/>
      <c r="G18" s="55"/>
      <c r="H18" s="55">
        <v>1</v>
      </c>
      <c r="I18" s="55">
        <v>250</v>
      </c>
      <c r="J18" s="55">
        <f t="shared" si="1"/>
        <v>250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208</v>
      </c>
      <c r="D19" s="27" t="s">
        <v>184</v>
      </c>
      <c r="E19" s="27" t="s">
        <v>209</v>
      </c>
      <c r="F19" s="55"/>
      <c r="G19" s="55"/>
      <c r="H19" s="55">
        <v>1</v>
      </c>
      <c r="I19" s="55">
        <v>440</v>
      </c>
      <c r="J19" s="55">
        <f t="shared" si="1"/>
        <v>440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1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Zo6IfStXxelxxkjmmgaHG0JflxhsmtN0GVpFuRh19dGUj845SRNJtrpwtWg4HdW5knszToPbE4mfRnSOG5/pg==" saltValue="pVTMU48MNxJ994ywBY0Pf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4:J26 F11:J12" xr:uid="{00000000-0002-0000-0100-000000000000}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rgb="FF0070C0"/>
    <outlinePr summaryBelow="0" summaryRight="0"/>
  </sheetPr>
  <dimension ref="A1:P978"/>
  <sheetViews>
    <sheetView topLeftCell="A19" workbookViewId="0">
      <selection activeCell="H35" sqref="H3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210</v>
      </c>
      <c r="D16" s="70" t="s">
        <v>29</v>
      </c>
      <c r="E16" s="55">
        <v>10</v>
      </c>
      <c r="F16" s="55">
        <v>3</v>
      </c>
      <c r="G16" s="55">
        <f>E16*F16</f>
        <v>30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211</v>
      </c>
      <c r="D17" s="70" t="s">
        <v>29</v>
      </c>
      <c r="E17" s="55">
        <v>1</v>
      </c>
      <c r="F17" s="55">
        <v>61</v>
      </c>
      <c r="G17" s="55">
        <f>E17*F17</f>
        <v>61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185</v>
      </c>
      <c r="D18" s="70" t="s">
        <v>29</v>
      </c>
      <c r="E18" s="55">
        <v>5</v>
      </c>
      <c r="F18" s="55">
        <v>6</v>
      </c>
      <c r="G18" s="55">
        <f t="shared" ref="G18:G28" si="0">E18*F18</f>
        <v>30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212</v>
      </c>
      <c r="D19" s="70" t="s">
        <v>29</v>
      </c>
      <c r="E19" s="55">
        <v>6</v>
      </c>
      <c r="F19" s="55">
        <v>7</v>
      </c>
      <c r="G19" s="55">
        <f t="shared" si="0"/>
        <v>42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186</v>
      </c>
      <c r="D20" s="70" t="s">
        <v>29</v>
      </c>
      <c r="E20" s="55">
        <v>2</v>
      </c>
      <c r="F20" s="55">
        <v>7</v>
      </c>
      <c r="G20" s="55">
        <f t="shared" si="0"/>
        <v>14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187</v>
      </c>
      <c r="D21" s="70" t="s">
        <v>29</v>
      </c>
      <c r="E21" s="55">
        <v>7</v>
      </c>
      <c r="F21" s="55">
        <v>6</v>
      </c>
      <c r="G21" s="55">
        <f t="shared" si="0"/>
        <v>42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188</v>
      </c>
      <c r="D22" s="70" t="s">
        <v>29</v>
      </c>
      <c r="E22" s="55">
        <v>2</v>
      </c>
      <c r="F22" s="55">
        <v>65</v>
      </c>
      <c r="G22" s="55">
        <f t="shared" si="0"/>
        <v>130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189</v>
      </c>
      <c r="D23" s="70" t="s">
        <v>29</v>
      </c>
      <c r="E23" s="55">
        <v>6</v>
      </c>
      <c r="F23" s="55">
        <v>4</v>
      </c>
      <c r="G23" s="55">
        <f t="shared" si="0"/>
        <v>24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190</v>
      </c>
      <c r="D24" s="70" t="s">
        <v>29</v>
      </c>
      <c r="E24" s="55">
        <v>1</v>
      </c>
      <c r="F24" s="55">
        <v>85</v>
      </c>
      <c r="G24" s="55">
        <f t="shared" si="0"/>
        <v>85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191</v>
      </c>
      <c r="D25" s="70" t="s">
        <v>29</v>
      </c>
      <c r="E25" s="55">
        <v>5</v>
      </c>
      <c r="F25" s="55">
        <v>8</v>
      </c>
      <c r="G25" s="55">
        <f t="shared" si="0"/>
        <v>40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194</v>
      </c>
      <c r="D26" s="70" t="s">
        <v>29</v>
      </c>
      <c r="E26" s="55">
        <v>1</v>
      </c>
      <c r="F26" s="55">
        <v>105</v>
      </c>
      <c r="G26" s="55">
        <f t="shared" si="0"/>
        <v>105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195</v>
      </c>
      <c r="D27" s="70" t="s">
        <v>29</v>
      </c>
      <c r="E27" s="55">
        <v>1</v>
      </c>
      <c r="F27" s="55">
        <v>22</v>
      </c>
      <c r="G27" s="55">
        <f t="shared" si="0"/>
        <v>22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213</v>
      </c>
      <c r="D28" s="70" t="s">
        <v>29</v>
      </c>
      <c r="E28" s="55">
        <v>1</v>
      </c>
      <c r="F28" s="55">
        <v>35</v>
      </c>
      <c r="G28" s="55">
        <f t="shared" si="0"/>
        <v>35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 t="shared" ref="G29:G32" si="1">E29*F29</f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>E31*F31</f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1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6" t="s">
        <v>78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6" t="s">
        <v>30</v>
      </c>
      <c r="C44" s="137"/>
      <c r="D44" s="137"/>
      <c r="E44" s="137"/>
      <c r="F44" s="137"/>
      <c r="G44" s="138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sHRq+xfLgUevZiPkoS5+DjYXU6pxOlQ6NDM3wwbRgA9rhXPpVq63W14wulneZ7Ua4EYbvdBlaQDDFfuZ6lvBXA==" saltValue="KXZtJWmy77YEteCCHUSFxQ==" spinCount="100000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8 E30:G54" xr:uid="{00000000-0002-0000-0200-000000000000}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rgb="FF0070C0"/>
    <outlinePr summaryBelow="0" summaryRight="0"/>
  </sheetPr>
  <dimension ref="B1:Z1000"/>
  <sheetViews>
    <sheetView tabSelected="1" topLeftCell="C1" workbookViewId="0">
      <selection activeCell="N18" sqref="N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214</v>
      </c>
      <c r="N12" s="90" t="s">
        <v>215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>
        <v>40</v>
      </c>
      <c r="G13" s="55">
        <v>60</v>
      </c>
      <c r="H13" s="55"/>
      <c r="I13" s="55"/>
      <c r="J13" s="55"/>
      <c r="K13" s="55"/>
      <c r="L13" s="55"/>
      <c r="M13" s="55"/>
      <c r="N13" s="55"/>
      <c r="P13" s="88">
        <f>SUM(D13:N13)</f>
        <v>100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>
        <v>40</v>
      </c>
      <c r="H14" s="55"/>
      <c r="I14" s="55"/>
      <c r="J14" s="55"/>
      <c r="K14" s="55"/>
      <c r="L14" s="55"/>
      <c r="M14" s="55">
        <v>40</v>
      </c>
      <c r="N14" s="55">
        <v>15</v>
      </c>
      <c r="P14" s="88">
        <f t="shared" ref="P14:P22" si="0">SUM(D14:N14)</f>
        <v>95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216</v>
      </c>
      <c r="D15" s="55"/>
      <c r="E15" s="55"/>
      <c r="F15" s="55">
        <v>15</v>
      </c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55</v>
      </c>
      <c r="G30" s="88">
        <f t="shared" si="1"/>
        <v>130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40</v>
      </c>
      <c r="N30" s="88">
        <f t="shared" si="1"/>
        <v>15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Ronna</cp:lastModifiedBy>
  <dcterms:created xsi:type="dcterms:W3CDTF">2018-05-11T08:46:15Z</dcterms:created>
  <dcterms:modified xsi:type="dcterms:W3CDTF">2018-06-03T10:35:01Z</dcterms:modified>
</cp:coreProperties>
</file>