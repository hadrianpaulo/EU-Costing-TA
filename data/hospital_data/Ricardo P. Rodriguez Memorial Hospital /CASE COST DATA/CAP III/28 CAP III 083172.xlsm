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6786CC58-7E23-4E67-B9B9-2FE9D0B7C30D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8" i="9" l="1"/>
  <c r="G27" i="9"/>
  <c r="G31" i="9" l="1"/>
  <c r="G33" i="9"/>
  <c r="J15" i="2"/>
  <c r="J17" i="2"/>
  <c r="J16" i="2"/>
  <c r="J14" i="2"/>
  <c r="J13" i="2" l="1"/>
  <c r="J12" i="2"/>
  <c r="J11" i="2"/>
  <c r="G30" i="9"/>
  <c r="J20" i="2"/>
  <c r="G26" i="9" l="1"/>
  <c r="G18" i="9"/>
  <c r="G25" i="9"/>
  <c r="G24" i="9"/>
  <c r="G23" i="9"/>
  <c r="G22" i="9"/>
  <c r="G21" i="9"/>
  <c r="G20" i="9"/>
  <c r="G19" i="9"/>
  <c r="G29" i="9" l="1"/>
  <c r="G32" i="9"/>
  <c r="J18" i="2" l="1"/>
  <c r="G16" i="9" l="1"/>
  <c r="G17" i="9"/>
  <c r="J19" i="2"/>
  <c r="J21" i="2"/>
  <c r="J25" i="2"/>
  <c r="J26" i="2"/>
  <c r="G3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24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<sst xmlns="http://schemas.openxmlformats.org/spreadsheetml/2006/main" count="516" uniqueCount="213">
  <si>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</si>
  <si>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</si>
  <si>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</si>
  <si>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</si>
  <si>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</si>
  <si>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</si>
  <si>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</si>
  <si>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</si>
  <si>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</si>
  <si>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</si>
  <si>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</si>
  <si>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</si>
  <si>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</si>
  <si>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</si>
  <si>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</si>
  <si>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</si>
  <si>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</si>
  <si>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</si>
  <si>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</si>
  <si>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</si>
  <si>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</si>
  <si>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</si>
  <si>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</si>
  <si>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</si>
  <si>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</si>
  <si>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</si>
  <si>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</si>
  <si>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</si>
  <si>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</si>
  <si>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</si>
  <si>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</si>
  <si>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</si>
  <si>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</si>
  <si>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</si>
  <si>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</si>
  <si>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</si>
  <si>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</si>
  <si>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</si>
  <si>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</si>
  <si>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</si>
  <si>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</si>
  <si>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</si>
  <si>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</si>
  <si>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</si>
  <si>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</si>
  <si>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</si>
  <si>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</si>
  <si>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</si>
  <si>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</si>
  <si>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</si>
  <si>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</si>
  <si>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</si>
  <si>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</si>
  <si>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</si>
  <si>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</si>
  <si>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</si>
  <si>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</si>
  <si>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</si>
  <si>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</si>
  <si>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</si>
  <si>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</si>
  <si>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</si>
  <si>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</si>
  <si>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</si>
  <si>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</si>
  <si>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</si>
  <si>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</si>
  <si>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</si>
  <si>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</si>
  <si>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</si>
  <si>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</si>
  <si>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</si>
  <si>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</si>
  <si>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</si>
  <si>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</si>
  <si>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</si>
  <si>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</si>
  <si>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</si>
  <si>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</si>
  <si>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</si>
  <si>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</si>
  <si>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</si>
  <si>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</si>
  <si>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</si>
  <si>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</si>
  <si>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</si>
  <si>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</si>
  <si>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</si>
  <si>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</si>
  <si>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</si>
  <si>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</si>
  <si>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</si>
  <si>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</si>
  <si>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</si>
  <si>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</si>
  <si>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</si>
  <si>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</si>
  <si>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</si>
  <si>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</si>
  <si>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</si>
  <si>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</si>
  <si>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</si>
  <si>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</si>
  <si>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</si>
  <si>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</si>
  <si>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</si>
  <si>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</si>
  <si>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</si>
  <si>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</si>
  <si>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</si>
  <si>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</si>
  <si>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</si>
  <si>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</si>
  <si>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</si>
  <si>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</si>
  <si>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</si>
  <si>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</si>
  <si>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</si>
  <si>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</si>
  <si>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</si>
  <si>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</si>
  <si>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</si>
  <si>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</si>
  <si>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</si>
  <si>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</si>
  <si>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</si>
  <si>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</si>
  <si>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</si>
  <si>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</si>
  <si>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</si>
  <si>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</si>
  <si>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</si>
  <si>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</si>
  <si>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</si>
  <si>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</si>
  <si>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</si>
  <si>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</si>
  <si>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</si>
  <si>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</si>
  <si>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</si>
  <si>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</si>
  <si>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</si>
  <si>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</si>
  <si>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</si>
  <si>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</si>
  <si>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</si>
  <si>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</si>
  <si>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</si>
  <si>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</si>
  <si>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</si>
  <si>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</si>
  <si>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</si>
  <si>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</si>
  <si>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</si>
  <si>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</si>
  <si>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</si>
  <si>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</si>
  <si>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</si>
  <si>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</si>
  <si>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</si>
  <si>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</si>
  <si>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</si>
  <si>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</si>
  <si>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</si>
  <si>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</si>
  <si>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</si>
  <si>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</si>
  <si>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</si>
  <si>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</si>
  <si>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</si>
  <si>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</si>
  <si>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</si>
  <si>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</si>
  <si>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</si>
  <si>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</si>
  <si>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</si>
  <si>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</si>
  <si>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</si>
  <si>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</si>
  <si>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</si>
  <si>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</si>
  <si>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5CC SYRINGE</t>
  </si>
  <si>
    <t>SALBUTAMOL</t>
  </si>
  <si>
    <t>NEBULE/INH</t>
  </si>
  <si>
    <t>ID BRACELET</t>
  </si>
  <si>
    <t>NEBULIZING KIT</t>
  </si>
  <si>
    <t>MED. TECH</t>
  </si>
  <si>
    <t>RAD. TECH</t>
  </si>
  <si>
    <t>URINALYSIS</t>
  </si>
  <si>
    <t xml:space="preserve">Consultation in the ER </t>
  </si>
  <si>
    <t>D5.3 NACL</t>
  </si>
  <si>
    <t>500ml</t>
  </si>
  <si>
    <t>CEFUROXIME</t>
  </si>
  <si>
    <t>750mg</t>
  </si>
  <si>
    <t>CEFUROXIME (ZIOMET)</t>
  </si>
  <si>
    <t>1mg/ml</t>
  </si>
  <si>
    <t>PARACETAMOL</t>
  </si>
  <si>
    <t>AMPULE/IV</t>
  </si>
  <si>
    <t>150mg/ml</t>
  </si>
  <si>
    <t>SYRUP/ORAL</t>
  </si>
  <si>
    <t>2mg/5ml</t>
  </si>
  <si>
    <t>CARBOCISTEINE</t>
  </si>
  <si>
    <t>SUSPENSION/ORAL</t>
  </si>
  <si>
    <t>CLARITHROMYCIN</t>
  </si>
  <si>
    <t>125mg/ml</t>
  </si>
  <si>
    <t>250mg/ml</t>
  </si>
  <si>
    <t>AMBROXOL</t>
  </si>
  <si>
    <t>15mg/5ml</t>
  </si>
  <si>
    <t>D5 IMB</t>
  </si>
  <si>
    <t>ADHESIVE PLASTER</t>
  </si>
  <si>
    <t>IV CATHETER G 24</t>
  </si>
  <si>
    <t>IV SPLINT PEDIA</t>
  </si>
  <si>
    <t>IV SET PEDIA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</si>
</sst>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33" zoomScaleNormal="100" workbookViewId="0">
      <selection activeCell="C67" sqref="C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188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2040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677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8497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topLeftCell="A9" workbookViewId="0">
      <selection activeCell="J20" sqref="J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173</v>
      </c>
      <c r="E11" s="27" t="s">
        <v>191</v>
      </c>
      <c r="F11" s="55"/>
      <c r="G11" s="55"/>
      <c r="H11" s="55">
        <v>3</v>
      </c>
      <c r="I11" s="55">
        <v>80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174</v>
      </c>
      <c r="E12" s="27" t="s">
        <v>193</v>
      </c>
      <c r="F12" s="55"/>
      <c r="G12" s="55"/>
      <c r="H12" s="55">
        <v>4</v>
      </c>
      <c r="I12" s="55">
        <v>55</v>
      </c>
      <c r="J12" s="55">
        <f t="shared" si="0"/>
        <v>220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174</v>
      </c>
      <c r="E13" s="27" t="s">
        <v>193</v>
      </c>
      <c r="F13" s="55"/>
      <c r="G13" s="55"/>
      <c r="H13" s="55">
        <v>1</v>
      </c>
      <c r="I13" s="55">
        <v>495</v>
      </c>
      <c r="J13" s="55">
        <f t="shared" si="0"/>
        <v>495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183</v>
      </c>
      <c r="E14" s="27" t="s">
        <v>195</v>
      </c>
      <c r="F14" s="55"/>
      <c r="G14" s="55"/>
      <c r="H14" s="55">
        <v>15</v>
      </c>
      <c r="I14" s="55">
        <v>15</v>
      </c>
      <c r="J14" s="55">
        <f t="shared" si="0"/>
        <v>225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197</v>
      </c>
      <c r="E15" s="27" t="s">
        <v>198</v>
      </c>
      <c r="F15" s="55"/>
      <c r="G15" s="55"/>
      <c r="H15" s="55">
        <v>1</v>
      </c>
      <c r="I15" s="55">
        <v>40</v>
      </c>
      <c r="J15" s="55">
        <f>H15*I15</f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199</v>
      </c>
      <c r="E16" s="27" t="s">
        <v>200</v>
      </c>
      <c r="F16" s="55"/>
      <c r="G16" s="55"/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202</v>
      </c>
      <c r="E17" s="27" t="s">
        <v>205</v>
      </c>
      <c r="F17" s="55"/>
      <c r="G17" s="55"/>
      <c r="H17" s="55">
        <v>1</v>
      </c>
      <c r="I17" s="55">
        <v>35</v>
      </c>
      <c r="J17" s="55">
        <f t="shared" si="0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203</v>
      </c>
      <c r="D18" s="27" t="s">
        <v>202</v>
      </c>
      <c r="E18" s="27" t="s">
        <v>204</v>
      </c>
      <c r="F18" s="55"/>
      <c r="G18" s="55"/>
      <c r="H18" s="55">
        <v>2</v>
      </c>
      <c r="I18" s="55">
        <v>260</v>
      </c>
      <c r="J18" s="55">
        <f t="shared" ref="J18:J21" si="1">H18*I18</f>
        <v>520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206</v>
      </c>
      <c r="D19" s="27" t="s">
        <v>199</v>
      </c>
      <c r="E19" s="27" t="s">
        <v>207</v>
      </c>
      <c r="F19" s="55"/>
      <c r="G19" s="55"/>
      <c r="H19" s="55">
        <v>2</v>
      </c>
      <c r="I19" s="55">
        <v>35</v>
      </c>
      <c r="J19" s="55">
        <f t="shared" si="1"/>
        <v>70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208</v>
      </c>
      <c r="D20" s="27" t="s">
        <v>173</v>
      </c>
      <c r="E20" s="27" t="s">
        <v>191</v>
      </c>
      <c r="F20" s="55"/>
      <c r="G20" s="55"/>
      <c r="H20" s="55">
        <v>2</v>
      </c>
      <c r="I20" s="55">
        <v>80</v>
      </c>
      <c r="J20" s="55">
        <f t="shared" si="1"/>
        <v>160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2040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ref="J25:J26" si="2">H25*I25</f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2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80"/>
  <sheetViews>
    <sheetView tabSelected="1" topLeftCell="A14" workbookViewId="0">
      <selection activeCell="G31" sqref="G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210</v>
      </c>
      <c r="D17" s="70" t="s">
        <v>29</v>
      </c>
      <c r="E17" s="55">
        <v>1</v>
      </c>
      <c r="F17" s="55">
        <v>61</v>
      </c>
      <c r="G17" s="55">
        <f>E17*F17</f>
        <v>61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29</v>
      </c>
      <c r="E18" s="55">
        <v>7</v>
      </c>
      <c r="F18" s="55">
        <v>6</v>
      </c>
      <c r="G18" s="55">
        <f t="shared" ref="G18:G28" si="0">E18*F18</f>
        <v>42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8</v>
      </c>
      <c r="F19" s="55">
        <v>7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5</v>
      </c>
      <c r="F20" s="55">
        <v>7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29</v>
      </c>
      <c r="E21" s="55">
        <v>8</v>
      </c>
      <c r="F21" s="55">
        <v>6</v>
      </c>
      <c r="G21" s="55">
        <f t="shared" si="0"/>
        <v>48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209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7</v>
      </c>
      <c r="F23" s="55">
        <v>4</v>
      </c>
      <c r="G23" s="55">
        <f t="shared" si="0"/>
        <v>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179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180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211</v>
      </c>
      <c r="D26" s="70" t="s">
        <v>29</v>
      </c>
      <c r="E26" s="55">
        <v>1</v>
      </c>
      <c r="F26" s="55">
        <v>105</v>
      </c>
      <c r="G26" s="55">
        <f t="shared" si="0"/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212</v>
      </c>
      <c r="D27" s="70" t="s">
        <v>29</v>
      </c>
      <c r="E27" s="55">
        <v>1</v>
      </c>
      <c r="F27" s="55">
        <v>35</v>
      </c>
      <c r="G27" s="55">
        <f t="shared" ref="G27:G28" si="1">E27*F27</f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185</v>
      </c>
      <c r="D28" s="70" t="s">
        <v>29</v>
      </c>
      <c r="E28" s="55">
        <v>1</v>
      </c>
      <c r="F28" s="55">
        <v>70</v>
      </c>
      <c r="G28" s="55">
        <f t="shared" si="1"/>
        <v>70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ref="G29:G33" si="2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2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2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2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677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186</v>
      </c>
      <c r="N12" s="90" t="s">
        <v>187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0</v>
      </c>
      <c r="P30" s="89">
        <f>SUM(P13:P22)</f>
        <v>205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2018-06-03T08:53:17Z</dcterms:modified>
</cp:coreProperties>
</file>