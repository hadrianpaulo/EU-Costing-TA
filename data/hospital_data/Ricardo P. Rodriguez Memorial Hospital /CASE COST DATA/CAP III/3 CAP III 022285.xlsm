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Drugs&amp;Med'!$B$2:$J$33</definedName>
  </definedNames>
  <calcPr calcId="152511"/>
</workbook>
</file>

<file path=xl/calcChain.xml><?xml version="1.0" encoding="utf-8"?>
<calcChain xmlns="http://schemas.openxmlformats.org/spreadsheetml/2006/main">
  <c r="G30" i="9" l="1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9" i="2"/>
  <c r="J18" i="2"/>
  <c r="J17" i="2"/>
  <c r="J28" i="2" l="1"/>
  <c r="J20" i="2"/>
  <c r="J21" i="2"/>
  <c r="J22" i="2"/>
  <c r="J23" i="2"/>
  <c r="J24" i="2"/>
  <c r="J25" i="2"/>
  <c r="J26" i="2"/>
  <c r="J27" i="2"/>
  <c r="G33" i="9" l="1"/>
  <c r="J15" i="2"/>
  <c r="J16" i="2"/>
  <c r="J14" i="2"/>
  <c r="J13" i="2" l="1"/>
  <c r="J12" i="2"/>
  <c r="J11" i="2"/>
  <c r="G32" i="9" l="1"/>
  <c r="G34" i="9" l="1"/>
  <c r="J2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<sst xmlns="http://schemas.openxmlformats.org/spreadsheetml/2006/main" count="549" uniqueCount="238">
  <si>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</si>
  <si>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</si>
  <si>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</si>
  <si>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</si>
  <si>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</si>
  <si>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</si>
  <si>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</si>
  <si>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</si>
  <si>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</si>
  <si>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</si>
  <si>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</si>
  <si>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</si>
  <si>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</si>
  <si>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</si>
  <si>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</si>
  <si>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</si>
  <si>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</si>
  <si>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</si>
  <si>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</si>
  <si>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</si>
  <si>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</si>
  <si>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</si>
  <si>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</si>
  <si>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</si>
  <si>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</si>
  <si>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</si>
  <si>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</si>
  <si>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</si>
  <si>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</si>
  <si>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</si>
  <si>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</si>
  <si>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</si>
  <si>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</si>
  <si>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</si>
  <si>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</si>
  <si>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</si>
  <si>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</si>
  <si>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</si>
  <si>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</si>
  <si>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</si>
  <si>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</si>
  <si>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</si>
  <si>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</si>
  <si>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</si>
  <si>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</si>
  <si>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</si>
  <si>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</si>
  <si>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</si>
  <si>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</si>
  <si>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</si>
  <si>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</si>
  <si>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</si>
  <si>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</si>
  <si>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</si>
  <si>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</si>
  <si>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</si>
  <si>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</si>
  <si>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</si>
  <si>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</si>
  <si>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</si>
  <si>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</si>
  <si>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</si>
  <si>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</si>
  <si>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</si>
  <si>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</si>
  <si>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</si>
  <si>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</si>
  <si>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</si>
  <si>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</si>
  <si>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</si>
  <si>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</si>
  <si>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</si>
  <si>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</si>
  <si>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</si>
  <si>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</si>
  <si>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</si>
  <si>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</si>
  <si>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</si>
  <si>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</si>
  <si>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</si>
  <si>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</si>
  <si>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</si>
  <si>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</si>
  <si>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</si>
  <si>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</si>
  <si>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</si>
  <si>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</si>
  <si>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</si>
  <si>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</si>
  <si>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</si>
  <si>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</si>
  <si>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</si>
  <si>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</si>
  <si>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</si>
  <si>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</si>
  <si>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</si>
  <si>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</si>
  <si>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</si>
  <si>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</si>
  <si>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</si>
  <si>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</si>
  <si>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</si>
  <si>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</si>
  <si>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</si>
  <si>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</si>
  <si>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</si>
  <si>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</si>
  <si>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</si>
  <si>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</si>
  <si>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</si>
  <si>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</si>
  <si>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</si>
  <si>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</si>
  <si>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</si>
  <si>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</si>
  <si>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</si>
  <si>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</si>
  <si>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</si>
  <si>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</si>
  <si>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</si>
  <si>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</si>
  <si>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</si>
  <si>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</si>
  <si>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</si>
  <si>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</si>
  <si>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</si>
  <si>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</si>
  <si>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</si>
  <si>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</si>
  <si>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</si>
  <si>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</si>
  <si>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</si>
  <si>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</si>
  <si>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</si>
  <si>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</si>
  <si>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</si>
  <si>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</si>
  <si>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</si>
  <si>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</si>
  <si>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</si>
  <si>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</si>
  <si>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</si>
  <si>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</si>
  <si>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</si>
  <si>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</si>
  <si>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</si>
  <si>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</si>
  <si>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</si>
  <si>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</si>
  <si>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</si>
  <si>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</si>
  <si>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</si>
  <si>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</si>
  <si>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</si>
  <si>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</si>
  <si>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</si>
  <si>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</si>
  <si>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</si>
  <si>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</si>
  <si>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</si>
  <si>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</si>
  <si>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</si>
  <si>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</si>
  <si>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</si>
  <si>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</si>
  <si>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</si>
  <si>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</si>
  <si>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</si>
  <si>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</si>
  <si>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</si>
  <si>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</si>
  <si>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</si>
  <si>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</si>
  <si>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</si>
  <si>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</si>
  <si>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</si>
  <si>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</si>
  <si>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</si>
  <si>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</si>
  <si>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</si>
  <si>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</si>
  <si>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</si>
  <si>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5CC SYRINGE</t>
  </si>
  <si>
    <t>NEBULE/INH</t>
  </si>
  <si>
    <t>1 mg/ml</t>
  </si>
  <si>
    <t>2.50 mg/500 mcg/2.5 ml</t>
  </si>
  <si>
    <t>NEBULIZING KIT</t>
  </si>
  <si>
    <t>ECG</t>
  </si>
  <si>
    <t>1000 ml</t>
  </si>
  <si>
    <t>CIPROFLOXACIN</t>
  </si>
  <si>
    <t>2 mg/100 ml</t>
  </si>
  <si>
    <t>STERILE WATER FOR INJECTION</t>
  </si>
  <si>
    <t>POLYAMPULE/IV</t>
  </si>
  <si>
    <t>10 ml</t>
  </si>
  <si>
    <t>AMPICILLIN+SULBACTAM</t>
  </si>
  <si>
    <t>TABLET/ORAL</t>
  </si>
  <si>
    <t>500 mg</t>
  </si>
  <si>
    <t>ACETYLCYSTEINE</t>
  </si>
  <si>
    <t>600 mg</t>
  </si>
  <si>
    <t>IV SPLINT ADULT</t>
  </si>
  <si>
    <t>IV SET ADULT</t>
  </si>
  <si>
    <t>NASAL CANNULA ADULT</t>
  </si>
  <si>
    <t>SOLUSET</t>
  </si>
  <si>
    <t>CBC PLATELET COUNT</t>
  </si>
  <si>
    <t>URINALYSIS</t>
  </si>
  <si>
    <t>MONTELUKAST</t>
  </si>
  <si>
    <t>10 mg</t>
  </si>
  <si>
    <t>CAPSULE/ORAL</t>
  </si>
  <si>
    <t>PARACETAMOL</t>
  </si>
  <si>
    <t>AMPULE/IV</t>
  </si>
  <si>
    <t>150 mg</t>
  </si>
  <si>
    <t>IV CATHETER 22</t>
  </si>
  <si>
    <t>ELECTROLYTES (Na,K,Cl)</t>
  </si>
  <si>
    <t>CHEM 8</t>
  </si>
  <si>
    <t>SGPT/ALT</t>
  </si>
  <si>
    <t>RANDOM BLOOD SUGAR</t>
  </si>
  <si>
    <t>CHEST PA 14X14</t>
  </si>
  <si>
    <t>OXYGEN FEE</t>
  </si>
  <si>
    <t>0.9% NACL</t>
  </si>
  <si>
    <t xml:space="preserve">AMPICILLIN </t>
  </si>
  <si>
    <t>50 mg</t>
  </si>
  <si>
    <t>LOSARTAN K</t>
  </si>
  <si>
    <t>CLONIDINE</t>
  </si>
  <si>
    <t>150 mcg</t>
  </si>
  <si>
    <t>CLONIDINE (CATAPRES)</t>
  </si>
  <si>
    <t>75 mcg</t>
  </si>
  <si>
    <t>CARBOCISTEINE</t>
  </si>
  <si>
    <t>SABUTAMOL</t>
  </si>
  <si>
    <t>ASPIRIN</t>
  </si>
  <si>
    <t>80 mg</t>
  </si>
  <si>
    <t>OXYGEN</t>
  </si>
  <si>
    <t>IV CATHETER 24</t>
  </si>
  <si>
    <t>MEDICAL TECHNOLOGIST</t>
  </si>
  <si>
    <t>RADIOLOGIC TECHNOLOGIST</t>
  </si>
  <si>
    <t>SALBUTAMOL/IPRATROPIUM</t>
  </si>
  <si>
    <t>TANK/INH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</si>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</sst>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58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58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58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58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36" zoomScaleNormal="100" workbookViewId="0">
      <selection activeCell="G36" sqref="G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212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216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 t="s">
        <v>187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8" t="s">
        <v>46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thickBot="1" x14ac:dyDescent="0.35">
      <c r="A47" s="1"/>
      <c r="B47" s="115" t="s">
        <v>55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/>
      <c r="E62" s="55">
        <v>2000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/>
      <c r="E63" s="55">
        <v>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7768.8</v>
      </c>
      <c r="E64" s="55">
        <v>1942.2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169</v>
      </c>
      <c r="D65" s="55">
        <v>1724.8</v>
      </c>
      <c r="E65" s="55">
        <v>431.2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170</v>
      </c>
      <c r="D66" s="55"/>
      <c r="E66" s="55">
        <v>160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171</v>
      </c>
      <c r="D67" s="55">
        <v>1006.4</v>
      </c>
      <c r="E67" s="55">
        <v>1263.5999999999999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172</v>
      </c>
      <c r="D68" s="55">
        <v>4500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 t="s">
        <v>217</v>
      </c>
      <c r="D69" s="55"/>
      <c r="E69" s="55">
        <v>60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 t="s">
        <v>187</v>
      </c>
      <c r="D70" s="55"/>
      <c r="E70" s="55">
        <v>120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6027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s0NHGp4PgKLjglfgyoMoGasB6kF6bm6pfDUrLRZwKYu7tkRz29iX2+kLHsJhgw8fnWaf6IyCrnINmx4HIe5bjw==" saltValue="n8NEL8CMMtr5uhUXrgRk2w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A5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218</v>
      </c>
      <c r="D11" s="27" t="s">
        <v>173</v>
      </c>
      <c r="E11" s="27" t="s">
        <v>188</v>
      </c>
      <c r="F11" s="55"/>
      <c r="G11" s="55"/>
      <c r="H11" s="55">
        <v>10</v>
      </c>
      <c r="I11" s="55">
        <v>80</v>
      </c>
      <c r="J11" s="55">
        <f t="shared" ref="J11:J16" si="0"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219</v>
      </c>
      <c r="D12" s="27" t="s">
        <v>174</v>
      </c>
      <c r="E12" s="27" t="s">
        <v>196</v>
      </c>
      <c r="F12" s="55"/>
      <c r="G12" s="55"/>
      <c r="H12" s="55">
        <v>7</v>
      </c>
      <c r="I12" s="55">
        <v>23</v>
      </c>
      <c r="J12" s="55">
        <f t="shared" si="0"/>
        <v>161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208</v>
      </c>
      <c r="D13" s="27" t="s">
        <v>209</v>
      </c>
      <c r="E13" s="27" t="s">
        <v>210</v>
      </c>
      <c r="F13" s="55"/>
      <c r="G13" s="55"/>
      <c r="H13" s="55">
        <v>4</v>
      </c>
      <c r="I13" s="55">
        <v>35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234</v>
      </c>
      <c r="D14" s="27" t="s">
        <v>183</v>
      </c>
      <c r="E14" s="27" t="s">
        <v>185</v>
      </c>
      <c r="F14" s="55"/>
      <c r="G14" s="55"/>
      <c r="H14" s="55">
        <v>10</v>
      </c>
      <c r="I14" s="55">
        <v>35</v>
      </c>
      <c r="J14" s="55">
        <f t="shared" si="0"/>
        <v>350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193</v>
      </c>
      <c r="F15" s="55"/>
      <c r="G15" s="55"/>
      <c r="H15" s="55">
        <v>2</v>
      </c>
      <c r="I15" s="55">
        <v>40</v>
      </c>
      <c r="J15" s="55">
        <f>H15*I15</f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195</v>
      </c>
      <c r="E16" s="27" t="s">
        <v>175</v>
      </c>
      <c r="F16" s="55"/>
      <c r="G16" s="55"/>
      <c r="H16" s="55">
        <v>24</v>
      </c>
      <c r="I16" s="55">
        <v>100</v>
      </c>
      <c r="J16" s="55">
        <f t="shared" si="0"/>
        <v>2400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197</v>
      </c>
      <c r="D17" s="27" t="s">
        <v>195</v>
      </c>
      <c r="E17" s="27" t="s">
        <v>198</v>
      </c>
      <c r="F17" s="55"/>
      <c r="G17" s="55"/>
      <c r="H17" s="55">
        <v>8</v>
      </c>
      <c r="I17" s="55">
        <v>68</v>
      </c>
      <c r="J17" s="55">
        <f>H17*I17</f>
        <v>544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221</v>
      </c>
      <c r="D18" s="27" t="s">
        <v>195</v>
      </c>
      <c r="E18" s="27" t="s">
        <v>220</v>
      </c>
      <c r="F18" s="55"/>
      <c r="G18" s="55"/>
      <c r="H18" s="55">
        <v>10</v>
      </c>
      <c r="I18" s="55">
        <v>8</v>
      </c>
      <c r="J18" s="55">
        <f t="shared" ref="J18:J19" si="1">H18*I18</f>
        <v>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222</v>
      </c>
      <c r="D19" s="27" t="s">
        <v>195</v>
      </c>
      <c r="E19" s="27" t="s">
        <v>223</v>
      </c>
      <c r="F19" s="55"/>
      <c r="G19" s="55"/>
      <c r="H19" s="55">
        <v>3</v>
      </c>
      <c r="I19" s="55">
        <v>80</v>
      </c>
      <c r="J19" s="55">
        <f t="shared" si="1"/>
        <v>240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224</v>
      </c>
      <c r="D20" s="27" t="s">
        <v>195</v>
      </c>
      <c r="E20" s="27" t="s">
        <v>225</v>
      </c>
      <c r="F20" s="55"/>
      <c r="G20" s="55"/>
      <c r="H20" s="55">
        <v>2</v>
      </c>
      <c r="I20" s="55">
        <v>40</v>
      </c>
      <c r="J20" s="55">
        <f t="shared" ref="J20:J28" si="2">H20*I20</f>
        <v>80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226</v>
      </c>
      <c r="D21" s="27" t="s">
        <v>207</v>
      </c>
      <c r="E21" s="27" t="s">
        <v>196</v>
      </c>
      <c r="F21" s="55"/>
      <c r="G21" s="55"/>
      <c r="H21" s="55">
        <v>10</v>
      </c>
      <c r="I21" s="55">
        <v>3</v>
      </c>
      <c r="J21" s="55">
        <f t="shared" si="2"/>
        <v>30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227</v>
      </c>
      <c r="D22" s="27" t="s">
        <v>183</v>
      </c>
      <c r="E22" s="27" t="s">
        <v>184</v>
      </c>
      <c r="F22" s="55"/>
      <c r="G22" s="55"/>
      <c r="H22" s="55">
        <v>24</v>
      </c>
      <c r="I22" s="55">
        <v>15</v>
      </c>
      <c r="J22" s="55">
        <f t="shared" si="2"/>
        <v>360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189</v>
      </c>
      <c r="D23" s="27" t="s">
        <v>195</v>
      </c>
      <c r="E23" s="27" t="s">
        <v>196</v>
      </c>
      <c r="F23" s="55"/>
      <c r="G23" s="55"/>
      <c r="H23" s="55">
        <v>24</v>
      </c>
      <c r="I23" s="55">
        <v>8</v>
      </c>
      <c r="J23" s="55">
        <f t="shared" si="2"/>
        <v>192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189</v>
      </c>
      <c r="D24" s="27" t="s">
        <v>174</v>
      </c>
      <c r="E24" s="27" t="s">
        <v>190</v>
      </c>
      <c r="F24" s="55"/>
      <c r="G24" s="55"/>
      <c r="H24" s="55">
        <v>12</v>
      </c>
      <c r="I24" s="55">
        <v>260</v>
      </c>
      <c r="J24" s="55">
        <f t="shared" si="2"/>
        <v>3120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228</v>
      </c>
      <c r="D25" s="27" t="s">
        <v>195</v>
      </c>
      <c r="E25" s="27" t="s">
        <v>229</v>
      </c>
      <c r="F25" s="55"/>
      <c r="G25" s="55"/>
      <c r="H25" s="55">
        <v>3</v>
      </c>
      <c r="I25" s="55">
        <v>3</v>
      </c>
      <c r="J25" s="55">
        <f t="shared" si="2"/>
        <v>9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205</v>
      </c>
      <c r="D26" s="27" t="s">
        <v>195</v>
      </c>
      <c r="E26" s="27" t="s">
        <v>206</v>
      </c>
      <c r="F26" s="55"/>
      <c r="G26" s="55"/>
      <c r="H26" s="55">
        <v>15</v>
      </c>
      <c r="I26" s="55">
        <v>75</v>
      </c>
      <c r="J26" s="55">
        <f t="shared" si="2"/>
        <v>1125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230</v>
      </c>
      <c r="D27" s="27" t="s">
        <v>235</v>
      </c>
      <c r="E27" s="27"/>
      <c r="F27" s="55"/>
      <c r="G27" s="55"/>
      <c r="H27" s="55">
        <v>1</v>
      </c>
      <c r="I27" s="55">
        <v>60</v>
      </c>
      <c r="J27" s="55">
        <f t="shared" si="2"/>
        <v>60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2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SUM(J11:J28)</f>
        <v>9771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YWpvcRzeqDp0dvkZC3vSRsHoA2JQSQjIgfEL/0qINNkeedaNsfvtZfYBVfCECHfikOHHzDwoEI7JURGe2zzfDA==" saltValue="aY78X4yS/7fbOMmn7p4aT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32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4" workbookViewId="0">
      <selection activeCell="C20" sqref="C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29</v>
      </c>
      <c r="E16" s="55">
        <v>1</v>
      </c>
      <c r="F16" s="55">
        <v>70</v>
      </c>
      <c r="G16" s="55">
        <f t="shared" ref="G16:G29" si="0">E16*F16</f>
        <v>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29</v>
      </c>
      <c r="E17" s="55">
        <v>1</v>
      </c>
      <c r="F17" s="55">
        <v>32</v>
      </c>
      <c r="G17" s="55">
        <f t="shared" si="0"/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199</v>
      </c>
      <c r="D18" s="70" t="s">
        <v>29</v>
      </c>
      <c r="E18" s="55">
        <v>1</v>
      </c>
      <c r="F18" s="55">
        <v>110</v>
      </c>
      <c r="G18" s="55">
        <f t="shared" si="0"/>
        <v>110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29</v>
      </c>
      <c r="E19" s="55">
        <v>1</v>
      </c>
      <c r="F19" s="55">
        <v>85</v>
      </c>
      <c r="G19" s="55">
        <f t="shared" si="0"/>
        <v>85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237</v>
      </c>
      <c r="D20" s="70" t="s">
        <v>29</v>
      </c>
      <c r="E20" s="55">
        <v>2</v>
      </c>
      <c r="F20" s="55">
        <v>65</v>
      </c>
      <c r="G20" s="55">
        <f t="shared" si="0"/>
        <v>130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176</v>
      </c>
      <c r="D21" s="70" t="s">
        <v>29</v>
      </c>
      <c r="E21" s="55">
        <v>9</v>
      </c>
      <c r="F21" s="55">
        <v>6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29</v>
      </c>
      <c r="E22" s="55">
        <v>10</v>
      </c>
      <c r="F22" s="55">
        <v>4</v>
      </c>
      <c r="G22" s="55">
        <f t="shared" si="0"/>
        <v>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29</v>
      </c>
      <c r="E23" s="55">
        <v>7</v>
      </c>
      <c r="F23" s="55">
        <v>7</v>
      </c>
      <c r="G23" s="55">
        <f t="shared" si="0"/>
        <v>49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178</v>
      </c>
      <c r="D24" s="70" t="s">
        <v>29</v>
      </c>
      <c r="E24" s="55">
        <v>13</v>
      </c>
      <c r="F24" s="55">
        <v>6</v>
      </c>
      <c r="G24" s="55">
        <f t="shared" si="0"/>
        <v>78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182</v>
      </c>
      <c r="D25" s="70" t="s">
        <v>29</v>
      </c>
      <c r="E25" s="55">
        <v>10</v>
      </c>
      <c r="F25" s="55">
        <v>7</v>
      </c>
      <c r="G25" s="55">
        <f t="shared" si="0"/>
        <v>70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181</v>
      </c>
      <c r="D26" s="70" t="s">
        <v>29</v>
      </c>
      <c r="E26" s="55">
        <v>10</v>
      </c>
      <c r="F26" s="55">
        <v>8</v>
      </c>
      <c r="G26" s="55">
        <f t="shared" si="0"/>
        <v>80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211</v>
      </c>
      <c r="D27" s="70" t="s">
        <v>29</v>
      </c>
      <c r="E27" s="55">
        <v>3</v>
      </c>
      <c r="F27" s="55">
        <v>61</v>
      </c>
      <c r="G27" s="55">
        <f t="shared" si="0"/>
        <v>183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231</v>
      </c>
      <c r="D28" s="70" t="s">
        <v>29</v>
      </c>
      <c r="E28" s="55">
        <v>12</v>
      </c>
      <c r="F28" s="55">
        <v>61</v>
      </c>
      <c r="G28" s="55">
        <f t="shared" si="0"/>
        <v>732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202</v>
      </c>
      <c r="D29" s="70" t="s">
        <v>29</v>
      </c>
      <c r="E29" s="55">
        <v>2</v>
      </c>
      <c r="F29" s="55">
        <v>200</v>
      </c>
      <c r="G29" s="55">
        <f t="shared" si="0"/>
        <v>400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201</v>
      </c>
      <c r="D30" s="70" t="s">
        <v>29</v>
      </c>
      <c r="E30" s="55">
        <v>1</v>
      </c>
      <c r="F30" s="55">
        <v>43</v>
      </c>
      <c r="G30" s="55">
        <f>E30*F30</f>
        <v>43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ref="G32:G33" si="1"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2156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L26" sqref="L2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232</v>
      </c>
      <c r="N12" s="90" t="s">
        <v>233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60</v>
      </c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50</v>
      </c>
      <c r="N14" s="55">
        <v>30</v>
      </c>
      <c r="P14" s="88">
        <f t="shared" ref="P14:P22" si="0">SUM(D14:N14)</f>
        <v>130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236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50</v>
      </c>
      <c r="N30" s="88">
        <f t="shared" si="1"/>
        <v>30</v>
      </c>
      <c r="P30" s="89">
        <f>SUM(P13:P22)</f>
        <v>330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2018-06-04T02:02:54Z</dcterms:modified>
</cp:coreProperties>
</file>