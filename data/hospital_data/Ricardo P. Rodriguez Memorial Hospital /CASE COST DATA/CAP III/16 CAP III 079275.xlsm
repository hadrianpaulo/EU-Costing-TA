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CAP III REVISED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Supplies_Medical'!$C$15:$C$54</definedName>
    <definedName name="Drugs">'1.2 Drugs&amp;Med'!$C$11:$C$25</definedName>
    <definedName name="_xlnm.Print_Area" localSheetId="0">'1.1 Case data_general'!$B$1:$F$76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18" i="9" l="1"/>
  <c r="G19" i="9"/>
  <c r="G20" i="9"/>
  <c r="G21" i="9"/>
  <c r="G22" i="9"/>
  <c r="G23" i="9"/>
  <c r="G24" i="9"/>
  <c r="G25" i="9"/>
  <c r="G26" i="9"/>
  <c r="J20" i="2" l="1"/>
  <c r="G28" i="9" l="1"/>
  <c r="G27" i="9"/>
  <c r="J13" i="2" l="1"/>
  <c r="G29" i="9"/>
  <c r="G32" i="9"/>
  <c r="J14" i="2" l="1"/>
  <c r="J17" i="2"/>
  <c r="J18" i="2"/>
  <c r="G16" i="9" l="1"/>
  <c r="G17" i="9"/>
  <c r="J12" i="2"/>
  <c r="J15" i="2"/>
  <c r="J16" i="2"/>
  <c r="J19" i="2"/>
  <c r="J21" i="2"/>
  <c r="J25" i="2"/>
  <c r="J26" i="2"/>
  <c r="G30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6" i="1"/>
  <c r="E76" i="1"/>
  <c r="D76" i="1"/>
  <c r="G11" i="11" l="1" a="1"/>
  <c r="G11" i="11" s="1"/>
  <c r="G12" i="11" s="1" a="1"/>
  <c r="G12" i="11" s="1"/>
  <c r="F8" i="11" a="1"/>
  <c r="F8" i="11" s="1"/>
  <c r="F9" i="11" s="1" a="1"/>
  <c r="F9" i="11" s="1"/>
  <c r="J11" i="2"/>
  <c r="J24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<sst xmlns="http://schemas.openxmlformats.org/spreadsheetml/2006/main" count="519" uniqueCount="215">
  <si>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</si>
  <si>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</si>
  <si>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</si>
  <si>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</si>
  <si>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</si>
  <si>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</si>
  <si>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</si>
  <si>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</si>
  <si>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</si>
  <si>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</si>
  <si>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</si>
  <si>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</si>
  <si>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</si>
  <si>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</si>
  <si>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</si>
  <si>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</si>
  <si>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</si>
  <si>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</si>
  <si>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</si>
  <si>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</si>
  <si>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</si>
  <si>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</si>
  <si>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</si>
  <si>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</si>
  <si>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</si>
  <si>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</si>
  <si>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</si>
  <si>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</si>
  <si>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</si>
  <si>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</si>
  <si>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</si>
  <si>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</si>
  <si>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</si>
  <si>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</si>
  <si>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</si>
  <si>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</si>
  <si>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</si>
  <si>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</si>
  <si>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</si>
  <si>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</si>
  <si>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</si>
  <si>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</si>
  <si>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</si>
  <si>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</si>
  <si>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</si>
  <si>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</si>
  <si>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</si>
  <si>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</si>
  <si>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</si>
  <si>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</si>
  <si>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</si>
  <si>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</si>
  <si>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</si>
  <si>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</si>
  <si>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</si>
  <si>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</si>
  <si>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</si>
  <si>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</si>
  <si>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</si>
  <si>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</si>
  <si>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</si>
  <si>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</si>
  <si>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</si>
  <si>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</si>
  <si>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</si>
  <si>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</si>
  <si>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</si>
  <si>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</si>
  <si>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</si>
  <si>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</si>
  <si>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</si>
  <si>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</si>
  <si>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</si>
  <si>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</si>
  <si>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</si>
  <si>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</si>
  <si>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</si>
  <si>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</si>
  <si>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</si>
  <si>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</si>
  <si>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</si>
  <si>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</si>
  <si>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</si>
  <si>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</si>
  <si>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</si>
  <si>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</si>
  <si>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</si>
  <si>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</si>
  <si>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</si>
  <si>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</si>
  <si>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</si>
  <si>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</si>
  <si>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</si>
  <si>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</si>
  <si>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</si>
  <si>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</si>
  <si>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</si>
  <si>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</si>
  <si>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</si>
  <si>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</si>
  <si>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</si>
  <si>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</si>
  <si>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</si>
  <si>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</si>
  <si>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</si>
  <si>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</si>
  <si>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</si>
  <si>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</si>
  <si>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</si>
  <si>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</si>
  <si>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</si>
  <si>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</si>
  <si>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</si>
  <si>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</si>
  <si>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</si>
  <si>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</si>
  <si>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</si>
  <si>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</si>
  <si>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</si>
  <si>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</si>
  <si>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</si>
  <si>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</si>
  <si>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</si>
  <si>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</si>
  <si>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</si>
  <si>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</si>
  <si>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</si>
  <si>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</si>
  <si>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</si>
  <si>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</si>
  <si>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</si>
  <si>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</si>
  <si>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</si>
  <si>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</si>
  <si>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</si>
  <si>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</si>
  <si>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</si>
  <si>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</si>
  <si>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</si>
  <si>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</si>
  <si>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</si>
  <si>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</si>
  <si>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</si>
  <si>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</si>
  <si>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</si>
  <si>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</si>
  <si>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</si>
  <si>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</si>
  <si>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</si>
  <si>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</si>
  <si>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</si>
  <si>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</si>
  <si>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</si>
  <si>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</si>
  <si>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</si>
  <si>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</si>
  <si>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</si>
  <si>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</si>
  <si>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</si>
  <si>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</si>
  <si>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</si>
  <si>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</si>
  <si>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</si>
  <si>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</si>
  <si>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</si>
  <si>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</si>
  <si>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CBC PLATELET COUNT</t>
  </si>
  <si>
    <t>ROOM AND BOARD</t>
  </si>
  <si>
    <t>GARBAGE FEE</t>
  </si>
  <si>
    <t>DRUGS AND MEDICINES</t>
  </si>
  <si>
    <t>MEDICAL SUPPLIES</t>
  </si>
  <si>
    <t>X-RAY</t>
  </si>
  <si>
    <t>LABORATORY EXAM</t>
  </si>
  <si>
    <t>PROFESSIONAL FEE</t>
  </si>
  <si>
    <t>BOTTLE/IV</t>
  </si>
  <si>
    <t>VIAL/IV</t>
  </si>
  <si>
    <t>SYRUP/ORAL</t>
  </si>
  <si>
    <t>500 ml</t>
  </si>
  <si>
    <t>750 mg</t>
  </si>
  <si>
    <t>DISPOSABLE MASK</t>
  </si>
  <si>
    <t>1CC SYRINGE</t>
  </si>
  <si>
    <t>3CC SYRINGE</t>
  </si>
  <si>
    <t>GLOVES UNSTERILE MEDIUM</t>
  </si>
  <si>
    <t>DIGITAL THERMOMETER</t>
  </si>
  <si>
    <t>10CC SYRINGE</t>
  </si>
  <si>
    <t>PARACETAMOL</t>
  </si>
  <si>
    <t>AMPULE/IV</t>
  </si>
  <si>
    <t>IV SPLINT PEDIA</t>
  </si>
  <si>
    <t>CEFUROXIME (ZIOMET)</t>
  </si>
  <si>
    <t xml:space="preserve">CEFUROXIME </t>
  </si>
  <si>
    <t>5CC SYRINGE</t>
  </si>
  <si>
    <t>150 mg/ml</t>
  </si>
  <si>
    <t>SALBUTAMOL</t>
  </si>
  <si>
    <t>NEBULE/INH</t>
  </si>
  <si>
    <t>1 mg/ml</t>
  </si>
  <si>
    <t>2 mg/5 ml</t>
  </si>
  <si>
    <t>CLARITHROMYCIN</t>
  </si>
  <si>
    <t>SUSPENSION/ORAL</t>
  </si>
  <si>
    <t>125 mg/ml</t>
  </si>
  <si>
    <t>ID BRACELET</t>
  </si>
  <si>
    <t>TONGUE DEPRESSOR</t>
  </si>
  <si>
    <t>NEBULIZING KIT</t>
  </si>
  <si>
    <t>D5 IMB</t>
  </si>
  <si>
    <t>GENTAMICIN</t>
  </si>
  <si>
    <t>40 mg/ml</t>
  </si>
  <si>
    <t>CARBOCISTEINE</t>
  </si>
  <si>
    <t>50 mg/ml</t>
  </si>
  <si>
    <t>SOLUSET</t>
  </si>
  <si>
    <t>IV CATHETER G26</t>
  </si>
  <si>
    <t>CHEST AP/LATERAL 8X10</t>
  </si>
  <si>
    <t>D5 0.3 NACL</t>
  </si>
  <si>
    <t>Consultation in the ER</t>
  </si>
  <si>
    <t>MED. TECH</t>
  </si>
  <si>
    <t>RAD. TECH</t>
  </si>
  <si>
    <t>ADHESIVE PLASTER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</si>
</sst>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61</xdr:row>
          <xdr:rowOff>142875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61</xdr:row>
          <xdr:rowOff>142875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1</xdr:col>
          <xdr:colOff>733425</xdr:colOff>
          <xdr:row>61</xdr:row>
          <xdr:rowOff>142875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1504950</xdr:colOff>
          <xdr:row>61</xdr:row>
          <xdr:rowOff>142875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64</xdr:row>
          <xdr:rowOff>19050</xdr:rowOff>
        </xdr:from>
        <xdr:to>
          <xdr:col>1</xdr:col>
          <xdr:colOff>733425</xdr:colOff>
          <xdr:row>64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64</xdr:row>
          <xdr:rowOff>19050</xdr:rowOff>
        </xdr:from>
        <xdr:to>
          <xdr:col>1</xdr:col>
          <xdr:colOff>1504950</xdr:colOff>
          <xdr:row>64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28575</xdr:rowOff>
        </xdr:from>
        <xdr:to>
          <xdr:col>1</xdr:col>
          <xdr:colOff>762000</xdr:colOff>
          <xdr:row>33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33</xdr:row>
          <xdr:rowOff>28575</xdr:rowOff>
        </xdr:from>
        <xdr:to>
          <xdr:col>1</xdr:col>
          <xdr:colOff>1533525</xdr:colOff>
          <xdr:row>33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44</xdr:row>
          <xdr:rowOff>28575</xdr:rowOff>
        </xdr:from>
        <xdr:to>
          <xdr:col>1</xdr:col>
          <xdr:colOff>771525</xdr:colOff>
          <xdr:row>44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44</xdr:row>
          <xdr:rowOff>28575</xdr:rowOff>
        </xdr:from>
        <xdr:to>
          <xdr:col>1</xdr:col>
          <xdr:colOff>1543050</xdr:colOff>
          <xdr:row>44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3"/>
  <sheetViews>
    <sheetView tabSelected="1" topLeftCell="A26" zoomScaleNormal="100" workbookViewId="0">
      <selection activeCell="H47" sqref="H4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62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63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54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45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19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</v>
      </c>
      <c r="C44" s="27" t="s">
        <v>209</v>
      </c>
      <c r="D44" s="23"/>
      <c r="E44" s="55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2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3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4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hidden="1" customHeight="1" thickBot="1" x14ac:dyDescent="0.35">
      <c r="A48" s="1"/>
      <c r="B48" s="118" t="s">
        <v>46</v>
      </c>
      <c r="C48" s="119"/>
      <c r="D48" s="116"/>
      <c r="E48" s="119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hidden="1" customHeight="1" x14ac:dyDescent="0.3">
      <c r="A49" s="1"/>
      <c r="B49" s="14" t="s">
        <v>47</v>
      </c>
      <c r="C49" s="13"/>
      <c r="D49" s="13"/>
      <c r="E49" s="16"/>
      <c r="F49" s="13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hidden="1" customHeight="1" thickBot="1" x14ac:dyDescent="0.35">
      <c r="A50" s="1"/>
      <c r="B50" s="115" t="s">
        <v>55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hidden="1" customHeight="1" x14ac:dyDescent="0.3">
      <c r="A51" s="20"/>
      <c r="B51" s="30">
        <v>1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hidden="1" customHeight="1" x14ac:dyDescent="0.3">
      <c r="A52" s="20"/>
      <c r="B52" s="30">
        <v>2</v>
      </c>
      <c r="C52" s="31"/>
      <c r="D52" s="32"/>
      <c r="E52" s="57"/>
      <c r="F52" s="5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hidden="1" customHeight="1" x14ac:dyDescent="0.3">
      <c r="A53" s="20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hidden="1" customHeight="1" x14ac:dyDescent="0.3">
      <c r="A54" s="20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hidden="1" customHeight="1" thickBot="1" x14ac:dyDescent="0.35">
      <c r="A55" s="1"/>
      <c r="B55" s="115" t="s">
        <v>20</v>
      </c>
      <c r="C55" s="116"/>
      <c r="D55" s="116"/>
      <c r="E55" s="116"/>
      <c r="F55" s="11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hidden="1" customHeight="1" x14ac:dyDescent="0.3">
      <c r="A56" s="1"/>
      <c r="B56" s="26">
        <v>1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hidden="1" customHeight="1" x14ac:dyDescent="0.3">
      <c r="A57" s="1"/>
      <c r="B57" s="26">
        <v>2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hidden="1" customHeight="1" x14ac:dyDescent="0.3">
      <c r="A58" s="1"/>
      <c r="B58" s="26">
        <v>3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hidden="1" customHeight="1" x14ac:dyDescent="0.3">
      <c r="A59" s="1"/>
      <c r="B59" s="26">
        <v>4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hidden="1" customHeight="1" x14ac:dyDescent="0.3">
      <c r="A60" s="1"/>
      <c r="B60" s="26">
        <v>5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hidden="1" customHeight="1" x14ac:dyDescent="0.3">
      <c r="A61" s="1"/>
      <c r="B61" s="26">
        <v>6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5"/>
      <c r="C62" s="25"/>
      <c r="D62" s="25"/>
      <c r="E62" s="25"/>
      <c r="F62" s="2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57.75" customHeight="1" thickBot="1" x14ac:dyDescent="0.35">
      <c r="A64" s="1"/>
      <c r="B64" s="17" t="s">
        <v>57</v>
      </c>
      <c r="C64" s="17" t="s">
        <v>53</v>
      </c>
      <c r="D64" s="17" t="s">
        <v>58</v>
      </c>
      <c r="E64" s="18" t="s">
        <v>59</v>
      </c>
      <c r="F64" s="19" t="s">
        <v>21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2">
        <v>1</v>
      </c>
      <c r="C65" s="27" t="s">
        <v>167</v>
      </c>
      <c r="D65" s="55">
        <v>1600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2</v>
      </c>
      <c r="C66" s="27" t="s">
        <v>168</v>
      </c>
      <c r="D66" s="55">
        <v>40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3</v>
      </c>
      <c r="C67" s="27" t="s">
        <v>169</v>
      </c>
      <c r="D67" s="55">
        <v>3930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4</v>
      </c>
      <c r="C68" s="27" t="s">
        <v>170</v>
      </c>
      <c r="D68" s="55">
        <v>1356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5</v>
      </c>
      <c r="C69" s="27" t="s">
        <v>171</v>
      </c>
      <c r="D69" s="55">
        <v>210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6</v>
      </c>
      <c r="C70" s="27" t="s">
        <v>172</v>
      </c>
      <c r="D70" s="55">
        <v>250</v>
      </c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7</v>
      </c>
      <c r="C71" s="27" t="s">
        <v>173</v>
      </c>
      <c r="D71" s="55">
        <v>4500</v>
      </c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8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9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10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4.9000000000000004" customHeight="1" thickBot="1" x14ac:dyDescent="0.35">
      <c r="A75" s="1"/>
      <c r="B75" s="1"/>
      <c r="C75" s="1"/>
      <c r="D75" s="58"/>
      <c r="E75" s="58"/>
      <c r="F75" s="58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thickTop="1" x14ac:dyDescent="0.3">
      <c r="A76" s="1"/>
      <c r="B76" s="11"/>
      <c r="C76" s="4" t="s">
        <v>22</v>
      </c>
      <c r="D76" s="59">
        <f>SUM(D65:D75)</f>
        <v>11886</v>
      </c>
      <c r="E76" s="59">
        <f>SUM(E65:E75)</f>
        <v>0</v>
      </c>
      <c r="F76" s="59">
        <f>SUM(F65:F75)</f>
        <v>0</v>
      </c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</sheetData>
  <sheetProtection algorithmName="SHA-512" hashValue="0ZBtJ0nkXb4oYfvbvR0cS4O70ZFR5Y+Z4Q/MWyoHMzm5Cun6sIEPEHgKcgfB4O2VXQCGo1GjBtBVCu2OMvwdZQ==" saltValue="WC/vJbd85aMmEXZljtlUBg==" spinCount="100000" sheet="1" objects="1" scenarios="1" formatColumns="0" formatRows="0" sort="0" autoFilter="0"/>
  <mergeCells count="12">
    <mergeCell ref="B55:F55"/>
    <mergeCell ref="B48:F48"/>
    <mergeCell ref="B12:F12"/>
    <mergeCell ref="B13:F13"/>
    <mergeCell ref="B14:F14"/>
    <mergeCell ref="B15:F15"/>
    <mergeCell ref="B18:F18"/>
    <mergeCell ref="B22:F22"/>
    <mergeCell ref="B33:F33"/>
    <mergeCell ref="B28:F28"/>
    <mergeCell ref="B43:F43"/>
    <mergeCell ref="B50:F50"/>
  </mergeCells>
  <dataValidations count="1">
    <dataValidation type="decimal" operator="greaterThanOrEqual" allowBlank="1" showInputMessage="1" showErrorMessage="1" sqref="E32 E44:E47 E49 E23:F27 E51:F54 E56:F61 D65:F74 E34:E36 E37:E4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3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55</xdr:row>
                    <xdr:rowOff>19050</xdr:rowOff>
                  </from>
                  <to>
                    <xdr:col>1</xdr:col>
                    <xdr:colOff>733425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64</xdr:row>
                    <xdr:rowOff>19050</xdr:rowOff>
                  </from>
                  <to>
                    <xdr:col>1</xdr:col>
                    <xdr:colOff>733425</xdr:colOff>
                    <xdr:row>64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64</xdr:row>
                    <xdr:rowOff>19050</xdr:rowOff>
                  </from>
                  <to>
                    <xdr:col>1</xdr:col>
                    <xdr:colOff>1504950</xdr:colOff>
                    <xdr:row>64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C12" sqref="C1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66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202</v>
      </c>
      <c r="D11" s="27" t="s">
        <v>174</v>
      </c>
      <c r="E11" s="27" t="s">
        <v>177</v>
      </c>
      <c r="F11" s="55"/>
      <c r="G11" s="55"/>
      <c r="H11" s="55">
        <v>2</v>
      </c>
      <c r="I11" s="55">
        <v>80</v>
      </c>
      <c r="J11" s="55">
        <f>H11*I11</f>
        <v>160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210</v>
      </c>
      <c r="D12" s="27" t="s">
        <v>174</v>
      </c>
      <c r="E12" s="27" t="s">
        <v>177</v>
      </c>
      <c r="F12" s="55"/>
      <c r="G12" s="55"/>
      <c r="H12" s="55">
        <v>7</v>
      </c>
      <c r="I12" s="55">
        <v>80</v>
      </c>
      <c r="J12" s="55">
        <f t="shared" ref="J12:J26" si="0">H12*I12</f>
        <v>560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188</v>
      </c>
      <c r="D13" s="27" t="s">
        <v>175</v>
      </c>
      <c r="E13" s="27" t="s">
        <v>178</v>
      </c>
      <c r="F13" s="55"/>
      <c r="G13" s="55"/>
      <c r="H13" s="55">
        <v>4</v>
      </c>
      <c r="I13" s="55">
        <v>495</v>
      </c>
      <c r="J13" s="55">
        <f t="shared" ref="J13:J21" si="1">H13*I13</f>
        <v>1980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189</v>
      </c>
      <c r="D14" s="27" t="s">
        <v>175</v>
      </c>
      <c r="E14" s="27" t="s">
        <v>178</v>
      </c>
      <c r="F14" s="55"/>
      <c r="G14" s="55"/>
      <c r="H14" s="55">
        <v>5</v>
      </c>
      <c r="I14" s="55">
        <v>55</v>
      </c>
      <c r="J14" s="55">
        <f t="shared" si="1"/>
        <v>275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185</v>
      </c>
      <c r="D15" s="27" t="s">
        <v>186</v>
      </c>
      <c r="E15" s="27" t="s">
        <v>191</v>
      </c>
      <c r="F15" s="55"/>
      <c r="G15" s="55"/>
      <c r="H15" s="55">
        <v>5</v>
      </c>
      <c r="I15" s="55">
        <v>35</v>
      </c>
      <c r="J15" s="55">
        <f t="shared" si="1"/>
        <v>175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192</v>
      </c>
      <c r="D16" s="27" t="s">
        <v>193</v>
      </c>
      <c r="E16" s="27" t="s">
        <v>194</v>
      </c>
      <c r="F16" s="55"/>
      <c r="G16" s="55"/>
      <c r="H16" s="55">
        <v>26</v>
      </c>
      <c r="I16" s="55">
        <v>15</v>
      </c>
      <c r="J16" s="55">
        <f t="shared" si="1"/>
        <v>390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203</v>
      </c>
      <c r="D17" s="27" t="s">
        <v>186</v>
      </c>
      <c r="E17" s="27" t="s">
        <v>204</v>
      </c>
      <c r="F17" s="55"/>
      <c r="G17" s="55"/>
      <c r="H17" s="55">
        <v>1</v>
      </c>
      <c r="I17" s="55">
        <v>25</v>
      </c>
      <c r="J17" s="55">
        <f t="shared" si="1"/>
        <v>25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196</v>
      </c>
      <c r="D18" s="27" t="s">
        <v>197</v>
      </c>
      <c r="E18" s="27" t="s">
        <v>198</v>
      </c>
      <c r="F18" s="55"/>
      <c r="G18" s="55"/>
      <c r="H18" s="55">
        <v>1</v>
      </c>
      <c r="I18" s="55">
        <v>260</v>
      </c>
      <c r="J18" s="55">
        <f t="shared" si="1"/>
        <v>260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192</v>
      </c>
      <c r="D19" s="27" t="s">
        <v>176</v>
      </c>
      <c r="E19" s="27" t="s">
        <v>195</v>
      </c>
      <c r="F19" s="55"/>
      <c r="G19" s="55"/>
      <c r="H19" s="55">
        <v>1</v>
      </c>
      <c r="I19" s="55">
        <v>35</v>
      </c>
      <c r="J19" s="55">
        <f t="shared" si="1"/>
        <v>35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205</v>
      </c>
      <c r="D20" s="27" t="s">
        <v>197</v>
      </c>
      <c r="E20" s="27" t="s">
        <v>206</v>
      </c>
      <c r="F20" s="55"/>
      <c r="G20" s="55"/>
      <c r="H20" s="55">
        <v>2</v>
      </c>
      <c r="I20" s="55">
        <v>35</v>
      </c>
      <c r="J20" s="55">
        <f t="shared" si="1"/>
        <v>70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1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>SUM(J11:J21)</f>
        <v>3930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k92ez0S2ZNvSwLmCSUkYUMXlUy6zTbT0fclRImt1DXmstJw05TQFPvOx+jPNh+x0jxXO1Sc+pEMR+qXWNKBiyA==" saltValue="txOUnjZGUg50RxLXVP7Stw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4:J26 F11:J12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8"/>
  <sheetViews>
    <sheetView topLeftCell="A12" workbookViewId="0">
      <selection activeCell="C17" sqref="C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71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74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199</v>
      </c>
      <c r="D16" s="70" t="s">
        <v>29</v>
      </c>
      <c r="E16" s="55">
        <v>1</v>
      </c>
      <c r="F16" s="55">
        <v>7</v>
      </c>
      <c r="G16" s="55">
        <f>E16*F16</f>
        <v>7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214</v>
      </c>
      <c r="D17" s="70" t="s">
        <v>29</v>
      </c>
      <c r="E17" s="55">
        <v>1</v>
      </c>
      <c r="F17" s="55">
        <v>65</v>
      </c>
      <c r="G17" s="55">
        <f>E17*F17</f>
        <v>65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183</v>
      </c>
      <c r="D18" s="70" t="s">
        <v>29</v>
      </c>
      <c r="E18" s="55">
        <v>1</v>
      </c>
      <c r="F18" s="55">
        <v>85</v>
      </c>
      <c r="G18" s="55">
        <f t="shared" ref="G18:G26" si="0">E18*F18</f>
        <v>85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187</v>
      </c>
      <c r="D19" s="70" t="s">
        <v>29</v>
      </c>
      <c r="E19" s="55">
        <v>1</v>
      </c>
      <c r="F19" s="55">
        <v>105</v>
      </c>
      <c r="G19" s="55">
        <f t="shared" si="0"/>
        <v>105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201</v>
      </c>
      <c r="D20" s="70" t="s">
        <v>29</v>
      </c>
      <c r="E20" s="55">
        <v>1</v>
      </c>
      <c r="F20" s="55">
        <v>70</v>
      </c>
      <c r="G20" s="55">
        <f t="shared" si="0"/>
        <v>70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179</v>
      </c>
      <c r="D21" s="70" t="s">
        <v>29</v>
      </c>
      <c r="E21" s="55">
        <v>15</v>
      </c>
      <c r="F21" s="55">
        <v>6</v>
      </c>
      <c r="G21" s="55">
        <f t="shared" si="0"/>
        <v>90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182</v>
      </c>
      <c r="D22" s="70" t="s">
        <v>29</v>
      </c>
      <c r="E22" s="55">
        <v>16</v>
      </c>
      <c r="F22" s="55">
        <v>4</v>
      </c>
      <c r="G22" s="55">
        <f t="shared" si="0"/>
        <v>64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180</v>
      </c>
      <c r="D23" s="70" t="s">
        <v>29</v>
      </c>
      <c r="E23" s="55">
        <v>30</v>
      </c>
      <c r="F23" s="55">
        <v>7</v>
      </c>
      <c r="G23" s="55">
        <f t="shared" si="0"/>
        <v>210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181</v>
      </c>
      <c r="D24" s="70" t="s">
        <v>29</v>
      </c>
      <c r="E24" s="55">
        <v>22</v>
      </c>
      <c r="F24" s="55">
        <v>6</v>
      </c>
      <c r="G24" s="55">
        <f t="shared" si="0"/>
        <v>132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207</v>
      </c>
      <c r="D25" s="70" t="s">
        <v>29</v>
      </c>
      <c r="E25" s="55">
        <v>1</v>
      </c>
      <c r="F25" s="55">
        <v>200</v>
      </c>
      <c r="G25" s="55">
        <f t="shared" si="0"/>
        <v>200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208</v>
      </c>
      <c r="D26" s="70" t="s">
        <v>29</v>
      </c>
      <c r="E26" s="55">
        <v>2</v>
      </c>
      <c r="F26" s="55">
        <v>61</v>
      </c>
      <c r="G26" s="55">
        <f t="shared" si="0"/>
        <v>122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190</v>
      </c>
      <c r="D27" s="70" t="s">
        <v>29</v>
      </c>
      <c r="E27" s="55">
        <v>12</v>
      </c>
      <c r="F27" s="55">
        <v>7</v>
      </c>
      <c r="G27" s="55">
        <f t="shared" ref="G27:G28" si="1">E27*F27</f>
        <v>84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184</v>
      </c>
      <c r="D28" s="70" t="s">
        <v>29</v>
      </c>
      <c r="E28" s="55">
        <v>15</v>
      </c>
      <c r="F28" s="55">
        <v>8</v>
      </c>
      <c r="G28" s="55">
        <f t="shared" si="1"/>
        <v>120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200</v>
      </c>
      <c r="D29" s="70" t="s">
        <v>29</v>
      </c>
      <c r="E29" s="55">
        <v>1</v>
      </c>
      <c r="F29" s="55">
        <v>2</v>
      </c>
      <c r="G29" s="55">
        <f t="shared" ref="G29:G32" si="2">E29*F29</f>
        <v>2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>
        <f>SUM(G16:G29)</f>
        <v>1356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 t="shared" si="2"/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136" t="s">
        <v>78</v>
      </c>
      <c r="C33" s="137"/>
      <c r="D33" s="137"/>
      <c r="E33" s="137"/>
      <c r="F33" s="137"/>
      <c r="G33" s="138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3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4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5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6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7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8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9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10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136" t="s">
        <v>30</v>
      </c>
      <c r="C44" s="137"/>
      <c r="D44" s="137"/>
      <c r="E44" s="137"/>
      <c r="F44" s="137"/>
      <c r="G44" s="138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2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3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4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5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6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7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8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9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10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</sheetData>
  <sheetProtection algorithmName="SHA-512" hashValue="/+KOsSKC6SA5T6Ndx6ysLeD1P1KZIpoZ6kj/vuhuF3iUwAEb3G7Pdn87sBIABNmPrXTUYxc2QYdhcO1KgFtUxA==" saltValue="t5CK5vuQvv8rLKeZXwiQWw==" spinCount="100000" sheet="1" objects="1" scenarios="1" formatColumns="0" formatRows="0" sort="0" autoFilter="0"/>
  <mergeCells count="9">
    <mergeCell ref="B7:G7"/>
    <mergeCell ref="B33:G33"/>
    <mergeCell ref="B44:G44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G26 E25:G25 E27:G28 G18 E16:G17 E19:G21 G22:G24 E30:G54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33</xdr:row>
                    <xdr:rowOff>28575</xdr:rowOff>
                  </from>
                  <to>
                    <xdr:col>1</xdr:col>
                    <xdr:colOff>762000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33</xdr:row>
                    <xdr:rowOff>28575</xdr:rowOff>
                  </from>
                  <to>
                    <xdr:col>1</xdr:col>
                    <xdr:colOff>1533525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44</xdr:row>
                    <xdr:rowOff>28575</xdr:rowOff>
                  </from>
                  <to>
                    <xdr:col>1</xdr:col>
                    <xdr:colOff>771525</xdr:colOff>
                    <xdr:row>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44</xdr:row>
                    <xdr:rowOff>28575</xdr:rowOff>
                  </from>
                  <to>
                    <xdr:col>1</xdr:col>
                    <xdr:colOff>1543050</xdr:colOff>
                    <xdr:row>44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1" workbookViewId="0">
      <selection activeCell="G16" sqref="G16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212</v>
      </c>
      <c r="N12" s="90" t="s">
        <v>213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>
        <v>50</v>
      </c>
      <c r="F13" s="55"/>
      <c r="G13" s="55">
        <v>70</v>
      </c>
      <c r="H13" s="55"/>
      <c r="I13" s="55"/>
      <c r="J13" s="55"/>
      <c r="K13" s="55"/>
      <c r="L13" s="55"/>
      <c r="M13" s="55"/>
      <c r="N13" s="55"/>
      <c r="P13" s="88">
        <f>SUM(D13:N13)</f>
        <v>120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>
        <v>40</v>
      </c>
      <c r="H14" s="55"/>
      <c r="I14" s="55"/>
      <c r="J14" s="55"/>
      <c r="K14" s="55"/>
      <c r="L14" s="55"/>
      <c r="M14" s="55">
        <v>15</v>
      </c>
      <c r="N14" s="55">
        <v>15</v>
      </c>
      <c r="P14" s="88">
        <f t="shared" ref="P14:P22" si="0">SUM(D14:N14)</f>
        <v>70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211</v>
      </c>
      <c r="D15" s="55"/>
      <c r="E15" s="55">
        <v>15</v>
      </c>
      <c r="F15" s="55"/>
      <c r="G15" s="55">
        <v>25</v>
      </c>
      <c r="H15" s="55"/>
      <c r="I15" s="55"/>
      <c r="J15" s="55"/>
      <c r="K15" s="55"/>
      <c r="L15" s="55"/>
      <c r="M15" s="55"/>
      <c r="N15" s="55"/>
      <c r="P15" s="88">
        <f t="shared" si="0"/>
        <v>40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65</v>
      </c>
      <c r="F30" s="88">
        <f t="shared" si="1"/>
        <v>0</v>
      </c>
      <c r="G30" s="88">
        <f t="shared" si="1"/>
        <v>135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15</v>
      </c>
      <c r="N30" s="88">
        <f t="shared" si="1"/>
        <v>15</v>
      </c>
      <c r="P30" s="89">
        <f>SUM(P13:P22)</f>
        <v>230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2018-06-04T02:06:47Z</dcterms:modified>
</cp:coreProperties>
</file>