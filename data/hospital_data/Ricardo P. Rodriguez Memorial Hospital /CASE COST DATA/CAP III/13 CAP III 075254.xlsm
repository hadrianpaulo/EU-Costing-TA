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9" i="9" l="1"/>
  <c r="G30" i="9"/>
  <c r="J22" i="2"/>
  <c r="J24" i="2"/>
  <c r="J20" i="2" l="1"/>
  <c r="J19" i="2"/>
  <c r="J18" i="2"/>
  <c r="J17" i="2"/>
  <c r="J16" i="2"/>
  <c r="J15" i="2" l="1"/>
  <c r="G25" i="9"/>
  <c r="G28" i="9"/>
  <c r="G31" i="9"/>
  <c r="G18" i="9" l="1"/>
  <c r="G19" i="9"/>
  <c r="G20" i="9"/>
  <c r="G21" i="9"/>
  <c r="G22" i="9"/>
  <c r="G23" i="9"/>
  <c r="G24" i="9"/>
  <c r="G26" i="9"/>
  <c r="G27" i="9" l="1"/>
  <c r="J13" i="2" l="1"/>
  <c r="G16" i="9" l="1"/>
  <c r="G17" i="9"/>
  <c r="J12" i="2"/>
  <c r="J14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5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<sst xmlns="http://schemas.openxmlformats.org/spreadsheetml/2006/main" count="530" uniqueCount="226">
  <si>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</si>
  <si>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</si>
  <si>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</si>
  <si>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</si>
  <si>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</si>
  <si>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</si>
  <si>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</si>
  <si>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</si>
  <si>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</si>
  <si>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</si>
  <si>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</si>
  <si>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</si>
  <si>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</si>
  <si>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</si>
  <si>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</si>
  <si>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</si>
  <si>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</si>
  <si>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</si>
  <si>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</si>
  <si>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</si>
  <si>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</si>
  <si>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</si>
  <si>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</si>
  <si>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</si>
  <si>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</si>
  <si>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</si>
  <si>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</si>
  <si>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</si>
  <si>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</si>
  <si>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</si>
  <si>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</si>
  <si>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</si>
  <si>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</si>
  <si>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</si>
  <si>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</si>
  <si>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</si>
  <si>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</si>
  <si>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</si>
  <si>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</si>
  <si>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</si>
  <si>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</si>
  <si>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</si>
  <si>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</si>
  <si>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</si>
  <si>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</si>
  <si>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</si>
  <si>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</si>
  <si>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</si>
  <si>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</si>
  <si>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</si>
  <si>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</si>
  <si>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</si>
  <si>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</si>
  <si>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</si>
  <si>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</si>
  <si>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</si>
  <si>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</si>
  <si>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</si>
  <si>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</si>
  <si>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</si>
  <si>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</si>
  <si>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</si>
  <si>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</si>
  <si>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</si>
  <si>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</si>
  <si>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</si>
  <si>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</si>
  <si>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</si>
  <si>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</si>
  <si>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</si>
  <si>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</si>
  <si>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</si>
  <si>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</si>
  <si>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</si>
  <si>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</si>
  <si>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</si>
  <si>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</si>
  <si>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</si>
  <si>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</si>
  <si>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</si>
  <si>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</si>
  <si>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</si>
  <si>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</si>
  <si>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</si>
  <si>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</si>
  <si>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</si>
  <si>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</si>
  <si>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</si>
  <si>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</si>
  <si>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</si>
  <si>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</si>
  <si>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</si>
  <si>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</si>
  <si>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</si>
  <si>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</si>
  <si>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</si>
  <si>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</si>
  <si>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</si>
  <si>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</si>
  <si>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</si>
  <si>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</si>
  <si>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</si>
  <si>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</si>
  <si>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</si>
  <si>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</si>
  <si>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</si>
  <si>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</si>
  <si>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</si>
  <si>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</si>
  <si>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</si>
  <si>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</si>
  <si>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</si>
  <si>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</si>
  <si>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</si>
  <si>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</si>
  <si>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</si>
  <si>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</si>
  <si>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</si>
  <si>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</si>
  <si>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</si>
  <si>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</si>
  <si>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</si>
  <si>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</si>
  <si>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</si>
  <si>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</si>
  <si>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</si>
  <si>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</si>
  <si>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</si>
  <si>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</si>
  <si>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</si>
  <si>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</si>
  <si>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</si>
  <si>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</si>
  <si>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</si>
  <si>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</si>
  <si>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</si>
  <si>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</si>
  <si>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</si>
  <si>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</si>
  <si>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</si>
  <si>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</si>
  <si>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</si>
  <si>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</si>
  <si>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</si>
  <si>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</si>
  <si>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</si>
  <si>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</si>
  <si>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</si>
  <si>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</si>
  <si>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</si>
  <si>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</si>
  <si>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</si>
  <si>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</si>
  <si>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</si>
  <si>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</si>
  <si>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</si>
  <si>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</si>
  <si>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</si>
  <si>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</si>
  <si>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</si>
  <si>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</si>
  <si>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</si>
  <si>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</si>
  <si>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</si>
  <si>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</si>
  <si>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</si>
  <si>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</si>
  <si>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</si>
  <si>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</si>
  <si>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</si>
  <si>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</si>
  <si>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</si>
  <si>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</si>
  <si>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</si>
  <si>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</si>
  <si>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</si>
  <si>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SYRUP/ORAL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</si>
  <si>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</si>
  <si>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</si>
  <si>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</si>
  <si>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</si>
  <si>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</si>
  <si>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</si>
  <si>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CEFUROXIME (ZIOMET)</t>
  </si>
  <si>
    <t>5CC SYRINGE</t>
  </si>
  <si>
    <t>SALBUTAMOL</t>
  </si>
  <si>
    <t>NEBULE/INH</t>
  </si>
  <si>
    <t>NEBULIZING KIT</t>
  </si>
  <si>
    <t>IV CATHETER G24</t>
  </si>
  <si>
    <t>1mg/ml</t>
  </si>
  <si>
    <t>STERILE WATER FOR INJECTION</t>
  </si>
  <si>
    <t>POLYAMPULE</t>
  </si>
  <si>
    <t>10ml</t>
  </si>
  <si>
    <t>500ml</t>
  </si>
  <si>
    <t>CHEST AP/LATERAL 8X10</t>
  </si>
  <si>
    <t>D5.3NACL</t>
  </si>
  <si>
    <t>CEFUROXIME</t>
  </si>
  <si>
    <t>750mg</t>
  </si>
  <si>
    <t>750ml</t>
  </si>
  <si>
    <t>2mg/5ml</t>
  </si>
  <si>
    <t>URINALYSIS</t>
  </si>
  <si>
    <t>WEE BAG</t>
  </si>
  <si>
    <t>IV SPLINT ADULT</t>
  </si>
  <si>
    <t>IV SET ADULT</t>
  </si>
  <si>
    <t>SOLUSET</t>
  </si>
  <si>
    <t>IV CATHETER G26</t>
  </si>
  <si>
    <t>HEPLOCK</t>
  </si>
  <si>
    <t>D5 IMB</t>
  </si>
  <si>
    <t>500 ml</t>
  </si>
  <si>
    <t>PARACETAMOL</t>
  </si>
  <si>
    <t>AMPULE/IV</t>
  </si>
  <si>
    <t>150 mg/ml</t>
  </si>
  <si>
    <t>CETIRIZINE</t>
  </si>
  <si>
    <t>BOTTLE (DROPS)/ORAL</t>
  </si>
  <si>
    <t>2.50 mg/ml</t>
  </si>
  <si>
    <t>CLARITHROMYCIN</t>
  </si>
  <si>
    <t>SUSPENSION/ORAL</t>
  </si>
  <si>
    <t>125 mg/ml</t>
  </si>
  <si>
    <t>CARBOCISTEINE</t>
  </si>
  <si>
    <t>50 mg/ml</t>
  </si>
  <si>
    <t>MULTIVITAMINS + MINERALS</t>
  </si>
  <si>
    <t>60 ml</t>
  </si>
  <si>
    <t>Consultation in the ER</t>
  </si>
  <si>
    <t>MED. TECH</t>
  </si>
  <si>
    <t>RAD.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</si>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</sst>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1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1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15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194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9" t="s">
        <v>46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6" t="s">
        <v>55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2400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32</v>
      </c>
      <c r="E66" s="55">
        <v>28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5480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1578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210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800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15000</v>
      </c>
      <c r="E76" s="59">
        <f>SUM(E65:E75)</f>
        <v>28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174</v>
      </c>
      <c r="E11" s="27" t="s">
        <v>193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175</v>
      </c>
      <c r="E12" s="27" t="s">
        <v>197</v>
      </c>
      <c r="F12" s="55"/>
      <c r="G12" s="55"/>
      <c r="H12" s="55">
        <v>8</v>
      </c>
      <c r="I12" s="55">
        <v>55</v>
      </c>
      <c r="J12" s="55">
        <f t="shared" ref="J12:J26" si="0">H12*I12</f>
        <v>440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186</v>
      </c>
      <c r="E13" s="27" t="s">
        <v>189</v>
      </c>
      <c r="F13" s="55"/>
      <c r="G13" s="55"/>
      <c r="H13" s="55">
        <v>35</v>
      </c>
      <c r="I13" s="55">
        <v>15</v>
      </c>
      <c r="J13" s="55">
        <f t="shared" ref="J13" si="1">H13*I13</f>
        <v>525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191</v>
      </c>
      <c r="E14" s="27" t="s">
        <v>192</v>
      </c>
      <c r="F14" s="55"/>
      <c r="G14" s="55"/>
      <c r="H14" s="55">
        <v>2</v>
      </c>
      <c r="I14" s="55">
        <v>40</v>
      </c>
      <c r="J14" s="55">
        <f t="shared" ref="J14:J24" si="2">H14*I14</f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174</v>
      </c>
      <c r="E15" s="27" t="s">
        <v>208</v>
      </c>
      <c r="F15" s="55"/>
      <c r="G15" s="55"/>
      <c r="H15" s="55">
        <v>7</v>
      </c>
      <c r="I15" s="55">
        <v>80</v>
      </c>
      <c r="J15" s="55">
        <f t="shared" si="2"/>
        <v>560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175</v>
      </c>
      <c r="E16" s="27" t="s">
        <v>198</v>
      </c>
      <c r="F16" s="55"/>
      <c r="G16" s="55"/>
      <c r="H16" s="55">
        <v>6</v>
      </c>
      <c r="I16" s="55">
        <v>495</v>
      </c>
      <c r="J16" s="55">
        <f t="shared" si="2"/>
        <v>2970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210</v>
      </c>
      <c r="E17" s="27" t="s">
        <v>211</v>
      </c>
      <c r="F17" s="55"/>
      <c r="G17" s="55"/>
      <c r="H17" s="55">
        <v>3</v>
      </c>
      <c r="I17" s="55">
        <v>35</v>
      </c>
      <c r="J17" s="55">
        <f t="shared" si="2"/>
        <v>105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212</v>
      </c>
      <c r="D18" s="27" t="s">
        <v>213</v>
      </c>
      <c r="E18" s="27" t="s">
        <v>214</v>
      </c>
      <c r="F18" s="55"/>
      <c r="G18" s="55"/>
      <c r="H18" s="55">
        <v>1</v>
      </c>
      <c r="I18" s="55">
        <v>260</v>
      </c>
      <c r="J18" s="55">
        <f t="shared" si="2"/>
        <v>260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215</v>
      </c>
      <c r="D19" s="27" t="s">
        <v>216</v>
      </c>
      <c r="E19" s="27" t="s">
        <v>217</v>
      </c>
      <c r="F19" s="55"/>
      <c r="G19" s="55"/>
      <c r="H19" s="55">
        <v>1</v>
      </c>
      <c r="I19" s="55">
        <v>260</v>
      </c>
      <c r="J19" s="55">
        <f t="shared" si="2"/>
        <v>260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185</v>
      </c>
      <c r="D20" s="27" t="s">
        <v>176</v>
      </c>
      <c r="E20" s="27" t="s">
        <v>199</v>
      </c>
      <c r="F20" s="55"/>
      <c r="G20" s="55"/>
      <c r="H20" s="55">
        <v>1</v>
      </c>
      <c r="I20" s="55">
        <v>35</v>
      </c>
      <c r="J20" s="55">
        <f t="shared" si="2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218</v>
      </c>
      <c r="D21" s="27" t="s">
        <v>216</v>
      </c>
      <c r="E21" s="27" t="s">
        <v>219</v>
      </c>
      <c r="F21" s="55"/>
      <c r="G21" s="55"/>
      <c r="H21" s="55">
        <v>1</v>
      </c>
      <c r="I21" s="55">
        <v>35</v>
      </c>
      <c r="J21" s="55">
        <v>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220</v>
      </c>
      <c r="D22" s="27" t="s">
        <v>176</v>
      </c>
      <c r="E22" s="27" t="s">
        <v>221</v>
      </c>
      <c r="F22" s="55"/>
      <c r="G22" s="55"/>
      <c r="H22" s="55">
        <v>1</v>
      </c>
      <c r="I22" s="55">
        <v>130</v>
      </c>
      <c r="J22" s="55">
        <f t="shared" si="2"/>
        <v>130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SUM(J11:J23)</f>
        <v>5480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 F14:J15 F17:J20 J21 F23:J23 F25:J26 F24:I2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29</v>
      </c>
      <c r="E16" s="55">
        <v>8</v>
      </c>
      <c r="F16" s="55">
        <v>7</v>
      </c>
      <c r="G16" s="55">
        <f>E16*F16</f>
        <v>56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225</v>
      </c>
      <c r="D17" s="70" t="s">
        <v>29</v>
      </c>
      <c r="E17" s="55">
        <v>2</v>
      </c>
      <c r="F17" s="55">
        <v>65</v>
      </c>
      <c r="G17" s="55">
        <f>E17*F17</f>
        <v>130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29</v>
      </c>
      <c r="E20" s="55">
        <v>1</v>
      </c>
      <c r="F20" s="55">
        <v>32</v>
      </c>
      <c r="G20" s="55">
        <f t="shared" si="0"/>
        <v>32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10</v>
      </c>
      <c r="F21" s="55">
        <v>6</v>
      </c>
      <c r="G21" s="55">
        <f t="shared" si="0"/>
        <v>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180</v>
      </c>
      <c r="D22" s="70" t="s">
        <v>29</v>
      </c>
      <c r="E22" s="55">
        <v>11</v>
      </c>
      <c r="F22" s="55">
        <v>4</v>
      </c>
      <c r="G22" s="55">
        <f t="shared" si="0"/>
        <v>44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6</v>
      </c>
      <c r="F23" s="55">
        <v>7</v>
      </c>
      <c r="G23" s="55">
        <f t="shared" si="0"/>
        <v>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8</v>
      </c>
      <c r="F24" s="55">
        <v>6</v>
      </c>
      <c r="G24" s="55">
        <f t="shared" si="0"/>
        <v>48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182</v>
      </c>
      <c r="D25" s="70" t="s">
        <v>29</v>
      </c>
      <c r="E25" s="55">
        <v>6</v>
      </c>
      <c r="F25" s="55">
        <v>8</v>
      </c>
      <c r="G25" s="55">
        <f>E25*F25</f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188</v>
      </c>
      <c r="D26" s="70" t="s">
        <v>29</v>
      </c>
      <c r="E26" s="55">
        <v>3</v>
      </c>
      <c r="F26" s="55">
        <v>61</v>
      </c>
      <c r="G26" s="55">
        <f t="shared" si="0"/>
        <v>183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184</v>
      </c>
      <c r="D27" s="70" t="s">
        <v>29</v>
      </c>
      <c r="E27" s="55">
        <v>3</v>
      </c>
      <c r="F27" s="55">
        <v>7</v>
      </c>
      <c r="G27" s="55">
        <f t="shared" ref="G27:G29" si="1">E27*F27</f>
        <v>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187</v>
      </c>
      <c r="D28" s="70" t="s">
        <v>29</v>
      </c>
      <c r="E28" s="55">
        <v>1</v>
      </c>
      <c r="F28" s="55">
        <v>70</v>
      </c>
      <c r="G28" s="55">
        <f>E28*F28</f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204</v>
      </c>
      <c r="D29" s="70" t="s">
        <v>29</v>
      </c>
      <c r="E29" s="55">
        <v>1</v>
      </c>
      <c r="F29" s="55">
        <v>200</v>
      </c>
      <c r="G29" s="55">
        <f t="shared" si="1"/>
        <v>200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205</v>
      </c>
      <c r="D30" s="70" t="s">
        <v>29</v>
      </c>
      <c r="E30" s="55">
        <v>7</v>
      </c>
      <c r="F30" s="55">
        <v>61</v>
      </c>
      <c r="G30" s="55">
        <f>E30*F30</f>
        <v>427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206</v>
      </c>
      <c r="D31" s="70" t="s">
        <v>29</v>
      </c>
      <c r="E31" s="55">
        <v>1</v>
      </c>
      <c r="F31" s="55">
        <v>22</v>
      </c>
      <c r="G31" s="55">
        <f t="shared" ref="G31" si="2">E31*F31</f>
        <v>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SUM(G16:G31)</f>
        <v>1578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78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30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31:G54 G18 E16:G17 E19:G21 G22:G24 E25:G25 E27:G2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223</v>
      </c>
      <c r="N12" s="90" t="s">
        <v>224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70</v>
      </c>
      <c r="F13" s="55"/>
      <c r="G13" s="55">
        <v>120</v>
      </c>
      <c r="H13" s="55"/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>
        <v>15</v>
      </c>
      <c r="P14" s="88">
        <f t="shared" ref="P14:P22" si="0">SUM(D14:N14)</f>
        <v>105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222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85</v>
      </c>
      <c r="F30" s="88">
        <f t="shared" si="1"/>
        <v>0</v>
      </c>
      <c r="G30" s="88">
        <f t="shared" si="1"/>
        <v>200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15</v>
      </c>
      <c r="P30" s="89">
        <f>SUM(P13:P22)</f>
        <v>340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2018-06-04T01:59:54Z</dcterms:modified>
</cp:coreProperties>
</file>