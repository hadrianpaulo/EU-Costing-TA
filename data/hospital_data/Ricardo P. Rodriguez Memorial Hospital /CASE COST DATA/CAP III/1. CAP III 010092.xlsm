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20" i="2" l="1"/>
  <c r="J19" i="2"/>
  <c r="J18" i="2"/>
  <c r="J17" i="2"/>
  <c r="J16" i="2"/>
  <c r="J15" i="2" l="1"/>
  <c r="G25" i="9"/>
  <c r="G28" i="9"/>
  <c r="G31" i="9"/>
  <c r="G18" i="9" l="1"/>
  <c r="G19" i="9"/>
  <c r="G20" i="9"/>
  <c r="G21" i="9"/>
  <c r="G22" i="9"/>
  <c r="G23" i="9"/>
  <c r="G24" i="9"/>
  <c r="G26" i="9"/>
  <c r="G27" i="9" l="1"/>
  <c r="J13" i="2" l="1"/>
  <c r="G16" i="9" l="1"/>
  <c r="G17" i="9"/>
  <c r="G32" i="9" s="1"/>
  <c r="J12" i="2"/>
  <c r="J1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J21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<sst xmlns="http://schemas.openxmlformats.org/spreadsheetml/2006/main" count="517" uniqueCount="216">
  <si>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</si>
  <si>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</si>
  <si>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</si>
  <si>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</si>
  <si>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</si>
  <si>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</si>
  <si>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</si>
  <si>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</si>
  <si>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</si>
  <si>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</si>
  <si>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</si>
  <si>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</si>
  <si>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</si>
  <si>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</si>
  <si>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</si>
  <si>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</si>
  <si>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</si>
  <si>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</si>
  <si>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</si>
  <si>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</si>
  <si>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</si>
  <si>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</si>
  <si>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</si>
  <si>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</si>
  <si>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</si>
  <si>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</si>
  <si>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</si>
  <si>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</si>
  <si>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</si>
  <si>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</si>
  <si>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</si>
  <si>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</si>
  <si>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</si>
  <si>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</si>
  <si>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</si>
  <si>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</si>
  <si>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</si>
  <si>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</si>
  <si>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</si>
  <si>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</si>
  <si>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</si>
  <si>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</si>
  <si>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</si>
  <si>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</si>
  <si>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</si>
  <si>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</si>
  <si>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</si>
  <si>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</si>
  <si>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</si>
  <si>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</si>
  <si>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</si>
  <si>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</si>
  <si>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</si>
  <si>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</si>
  <si>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</si>
  <si>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</si>
  <si>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</si>
  <si>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</si>
  <si>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</si>
  <si>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</si>
  <si>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</si>
  <si>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</si>
  <si>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</si>
  <si>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</si>
  <si>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</si>
  <si>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</si>
  <si>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</si>
  <si>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</si>
  <si>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</si>
  <si>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</si>
  <si>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</si>
  <si>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</si>
  <si>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</si>
  <si>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</si>
  <si>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</si>
  <si>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</si>
  <si>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</si>
  <si>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</si>
  <si>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</si>
  <si>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</si>
  <si>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</si>
  <si>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</si>
  <si>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</si>
  <si>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</si>
  <si>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</si>
  <si>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</si>
  <si>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</si>
  <si>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</si>
  <si>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</si>
  <si>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</si>
  <si>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</si>
  <si>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</si>
  <si>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</si>
  <si>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</si>
  <si>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</si>
  <si>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</si>
  <si>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</si>
  <si>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</si>
  <si>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</si>
  <si>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</si>
  <si>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</si>
  <si>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</si>
  <si>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</si>
  <si>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</si>
  <si>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</si>
  <si>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</si>
  <si>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</si>
  <si>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</si>
  <si>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</si>
  <si>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</si>
  <si>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</si>
  <si>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</si>
  <si>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</si>
  <si>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</si>
  <si>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</si>
  <si>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</si>
  <si>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</si>
  <si>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</si>
  <si>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</si>
  <si>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</si>
  <si>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</si>
  <si>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</si>
  <si>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</si>
  <si>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</si>
  <si>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</si>
  <si>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</si>
  <si>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</si>
  <si>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</si>
  <si>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</si>
  <si>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</si>
  <si>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</si>
  <si>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</si>
  <si>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</si>
  <si>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</si>
  <si>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</si>
  <si>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</si>
  <si>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</si>
  <si>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</si>
  <si>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</si>
  <si>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</si>
  <si>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</si>
  <si>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</si>
  <si>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</si>
  <si>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</si>
  <si>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</si>
  <si>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</si>
  <si>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</si>
  <si>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</si>
  <si>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</si>
  <si>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</si>
  <si>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</si>
  <si>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</si>
  <si>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</si>
  <si>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</si>
  <si>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</si>
  <si>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</si>
  <si>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</si>
  <si>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</si>
  <si>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</si>
  <si>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</si>
  <si>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</si>
  <si>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</si>
  <si>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</si>
  <si>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</si>
  <si>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</si>
  <si>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</si>
  <si>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</si>
  <si>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</si>
  <si>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</si>
  <si>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</si>
  <si>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</si>
  <si>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</si>
  <si>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</si>
  <si>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</si>
  <si>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</si>
  <si>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</si>
  <si>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SYRUP/ORAL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</si>
  <si>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</si>
  <si>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</si>
  <si>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</si>
  <si>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</si>
  <si>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</si>
  <si>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</si>
  <si>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IV SPLINT PEDIA</t>
  </si>
  <si>
    <t>CEFUROXIME (ZIOMET)</t>
  </si>
  <si>
    <t>5CC SYRINGE</t>
  </si>
  <si>
    <t>SALBUTAMOL</t>
  </si>
  <si>
    <t>NEBULE/INH</t>
  </si>
  <si>
    <t>ID BRACELET</t>
  </si>
  <si>
    <t>NEBULIZING KIT</t>
  </si>
  <si>
    <t>IV CATHETER G24</t>
  </si>
  <si>
    <t>1mg/ml</t>
  </si>
  <si>
    <t>2.5mg/500mcg/2.5ml</t>
  </si>
  <si>
    <t>STERILE WATER FOR INJECTION</t>
  </si>
  <si>
    <t>POLYAMPULE</t>
  </si>
  <si>
    <t>10ml</t>
  </si>
  <si>
    <t>500ml</t>
  </si>
  <si>
    <t>100mg</t>
  </si>
  <si>
    <t>CHEST AP/LATERAL 8X10</t>
  </si>
  <si>
    <t>D5.3NACL</t>
  </si>
  <si>
    <t>CEFIXIME</t>
  </si>
  <si>
    <t>IV SET PEDIA</t>
  </si>
  <si>
    <t>CEFUROXIME</t>
  </si>
  <si>
    <t>750mg</t>
  </si>
  <si>
    <t>750ml</t>
  </si>
  <si>
    <t>HYDROCORTISONE</t>
  </si>
  <si>
    <t>DYPHENHYDRAMINE HCL</t>
  </si>
  <si>
    <t>12.50mg/ml</t>
  </si>
  <si>
    <t>2mg/5ml</t>
  </si>
  <si>
    <t>100mg/ml</t>
  </si>
  <si>
    <t>BOTTLE/ORAL</t>
  </si>
  <si>
    <t>SALBUTAMOL/IPRATROPIUM</t>
  </si>
  <si>
    <t>MEDICAL TECHNOLOGIST</t>
  </si>
  <si>
    <t>RADIOLOGIC TECHNOLOGIST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</si>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</sst>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20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115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115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19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198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thickBot="1" x14ac:dyDescent="0.35">
      <c r="A48" s="1"/>
      <c r="B48" s="119" t="s">
        <v>46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1"/>
      <c r="B49" s="14" t="s">
        <v>47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6" t="s">
        <v>55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thickBot="1" x14ac:dyDescent="0.35">
      <c r="A55" s="1"/>
      <c r="B55" s="116" t="s">
        <v>20</v>
      </c>
      <c r="C55" s="117"/>
      <c r="D55" s="117"/>
      <c r="E55" s="117"/>
      <c r="F55" s="11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hidden="1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hidden="1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hidden="1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hidden="1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57</v>
      </c>
      <c r="C64" s="17" t="s">
        <v>53</v>
      </c>
      <c r="D64" s="17" t="s">
        <v>58</v>
      </c>
      <c r="E64" s="18" t="s">
        <v>59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1600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>
        <v>40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4165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170</v>
      </c>
      <c r="D68" s="55">
        <v>1108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171</v>
      </c>
      <c r="D69" s="55">
        <v>210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172</v>
      </c>
      <c r="D70" s="55">
        <v>250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173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11873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algorithmName="SHA-512" hashValue="0ZBtJ0nkXb4oYfvbvR0cS4O70ZFR5Y+Z4Q/MWyoHMzm5Cun6sIEPEHgKcgfB4O2VXQCGo1GjBtBVCu2OMvwdZQ==" saltValue="WC/vJbd85aMmEXZljtlUBg==" spinCount="100000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B28" sqref="B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199</v>
      </c>
      <c r="D11" s="27" t="s">
        <v>174</v>
      </c>
      <c r="E11" s="27" t="s">
        <v>196</v>
      </c>
      <c r="F11" s="55"/>
      <c r="G11" s="55"/>
      <c r="H11" s="55">
        <v>9</v>
      </c>
      <c r="I11" s="55">
        <v>80</v>
      </c>
      <c r="J11" s="55">
        <f>H11*I11</f>
        <v>720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202</v>
      </c>
      <c r="D12" s="27" t="s">
        <v>175</v>
      </c>
      <c r="E12" s="27" t="s">
        <v>203</v>
      </c>
      <c r="F12" s="55"/>
      <c r="G12" s="55"/>
      <c r="H12" s="55">
        <v>12</v>
      </c>
      <c r="I12" s="55">
        <v>55</v>
      </c>
      <c r="J12" s="55">
        <f t="shared" ref="J12:J26" si="0">H12*I12</f>
        <v>660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187</v>
      </c>
      <c r="E13" s="27" t="s">
        <v>191</v>
      </c>
      <c r="F13" s="55"/>
      <c r="G13" s="55"/>
      <c r="H13" s="55">
        <v>14</v>
      </c>
      <c r="I13" s="55">
        <v>15</v>
      </c>
      <c r="J13" s="55">
        <f t="shared" ref="J13" si="1">H13*I13</f>
        <v>210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194</v>
      </c>
      <c r="E14" s="27" t="s">
        <v>195</v>
      </c>
      <c r="F14" s="55"/>
      <c r="G14" s="55"/>
      <c r="H14" s="55">
        <v>3</v>
      </c>
      <c r="I14" s="55">
        <v>40</v>
      </c>
      <c r="J14" s="55">
        <f t="shared" ref="J14:J20" si="2">H14*I14</f>
        <v>120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200</v>
      </c>
      <c r="D15" s="27" t="s">
        <v>210</v>
      </c>
      <c r="E15" s="27" t="s">
        <v>209</v>
      </c>
      <c r="F15" s="55"/>
      <c r="G15" s="55"/>
      <c r="H15" s="55">
        <v>1</v>
      </c>
      <c r="I15" s="55">
        <v>280</v>
      </c>
      <c r="J15" s="55">
        <f t="shared" si="2"/>
        <v>280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175</v>
      </c>
      <c r="E16" s="27" t="s">
        <v>204</v>
      </c>
      <c r="F16" s="55"/>
      <c r="G16" s="55"/>
      <c r="H16" s="55">
        <v>2</v>
      </c>
      <c r="I16" s="55">
        <v>495</v>
      </c>
      <c r="J16" s="55">
        <f t="shared" si="2"/>
        <v>990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205</v>
      </c>
      <c r="D17" s="27" t="s">
        <v>175</v>
      </c>
      <c r="E17" s="27" t="s">
        <v>197</v>
      </c>
      <c r="F17" s="55"/>
      <c r="G17" s="55"/>
      <c r="H17" s="55">
        <v>14</v>
      </c>
      <c r="I17" s="55">
        <v>50</v>
      </c>
      <c r="J17" s="55">
        <f t="shared" si="2"/>
        <v>700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211</v>
      </c>
      <c r="D18" s="27" t="s">
        <v>187</v>
      </c>
      <c r="E18" s="27" t="s">
        <v>192</v>
      </c>
      <c r="F18" s="55"/>
      <c r="G18" s="55"/>
      <c r="H18" s="55">
        <v>12</v>
      </c>
      <c r="I18" s="55">
        <v>35</v>
      </c>
      <c r="J18" s="55">
        <f t="shared" si="2"/>
        <v>420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206</v>
      </c>
      <c r="D19" s="27" t="s">
        <v>176</v>
      </c>
      <c r="E19" s="27" t="s">
        <v>207</v>
      </c>
      <c r="F19" s="55"/>
      <c r="G19" s="55"/>
      <c r="H19" s="55">
        <v>1</v>
      </c>
      <c r="I19" s="55">
        <v>30</v>
      </c>
      <c r="J19" s="55">
        <f t="shared" si="2"/>
        <v>30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186</v>
      </c>
      <c r="D20" s="27" t="s">
        <v>176</v>
      </c>
      <c r="E20" s="27" t="s">
        <v>208</v>
      </c>
      <c r="F20" s="55"/>
      <c r="G20" s="55"/>
      <c r="H20" s="55">
        <v>1</v>
      </c>
      <c r="I20" s="55">
        <v>35</v>
      </c>
      <c r="J20" s="55">
        <f t="shared" si="2"/>
        <v>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>SUM(J11:J20)</f>
        <v>4165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2 F14:J15 F17:J20 J21 F23:J23 F25:J26 F24:I2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6" workbookViewId="0">
      <selection activeCell="K19" sqref="K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215</v>
      </c>
      <c r="D17" s="70" t="s">
        <v>29</v>
      </c>
      <c r="E17" s="55">
        <v>2</v>
      </c>
      <c r="F17" s="55">
        <v>65</v>
      </c>
      <c r="G17" s="55">
        <f>E17*F17</f>
        <v>130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29</v>
      </c>
      <c r="E18" s="55">
        <v>1</v>
      </c>
      <c r="F18" s="55">
        <v>85</v>
      </c>
      <c r="G18" s="55">
        <f t="shared" ref="G18:G26" si="0">E18*F18</f>
        <v>85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29</v>
      </c>
      <c r="E19" s="55">
        <v>1</v>
      </c>
      <c r="F19" s="55">
        <v>105</v>
      </c>
      <c r="G19" s="55">
        <f t="shared" si="0"/>
        <v>105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201</v>
      </c>
      <c r="D20" s="70" t="s">
        <v>29</v>
      </c>
      <c r="E20" s="55">
        <v>1</v>
      </c>
      <c r="F20" s="55">
        <v>35</v>
      </c>
      <c r="G20" s="55">
        <f t="shared" si="0"/>
        <v>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177</v>
      </c>
      <c r="D21" s="70" t="s">
        <v>29</v>
      </c>
      <c r="E21" s="55">
        <v>14</v>
      </c>
      <c r="F21" s="55">
        <v>6</v>
      </c>
      <c r="G21" s="55">
        <f t="shared" si="0"/>
        <v>84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180</v>
      </c>
      <c r="D22" s="70" t="s">
        <v>29</v>
      </c>
      <c r="E22" s="55">
        <v>13</v>
      </c>
      <c r="F22" s="55">
        <v>4</v>
      </c>
      <c r="G22" s="55">
        <f t="shared" si="0"/>
        <v>52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29</v>
      </c>
      <c r="E23" s="55">
        <v>7</v>
      </c>
      <c r="F23" s="55">
        <v>7</v>
      </c>
      <c r="G23" s="55">
        <f t="shared" si="0"/>
        <v>49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179</v>
      </c>
      <c r="D24" s="70" t="s">
        <v>29</v>
      </c>
      <c r="E24" s="55">
        <v>16</v>
      </c>
      <c r="F24" s="55">
        <v>6</v>
      </c>
      <c r="G24" s="55">
        <f t="shared" si="0"/>
        <v>96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182</v>
      </c>
      <c r="D25" s="70" t="s">
        <v>29</v>
      </c>
      <c r="E25" s="55">
        <v>16</v>
      </c>
      <c r="F25" s="55">
        <v>8</v>
      </c>
      <c r="G25" s="55">
        <f>E25*F25</f>
        <v>128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190</v>
      </c>
      <c r="D26" s="70" t="s">
        <v>29</v>
      </c>
      <c r="E26" s="55">
        <v>3</v>
      </c>
      <c r="F26" s="55">
        <v>61</v>
      </c>
      <c r="G26" s="55">
        <f t="shared" si="0"/>
        <v>183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185</v>
      </c>
      <c r="D27" s="70" t="s">
        <v>29</v>
      </c>
      <c r="E27" s="55">
        <v>12</v>
      </c>
      <c r="F27" s="55">
        <v>7</v>
      </c>
      <c r="G27" s="55">
        <f t="shared" ref="G27" si="1">E27*F27</f>
        <v>84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189</v>
      </c>
      <c r="D28" s="70" t="s">
        <v>29</v>
      </c>
      <c r="E28" s="55">
        <v>1</v>
      </c>
      <c r="F28" s="55">
        <v>70</v>
      </c>
      <c r="G28" s="55">
        <f>E28*F28</f>
        <v>70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ref="G31" si="2"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SUM(G16:G28)</f>
        <v>1108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78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30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+KOsSKC6SA5T6Ndx6ysLeD1P1KZIpoZ6kj/vuhuF3iUwAEb3G7Pdn87sBIABNmPrXTUYxc2QYdhcO1KgFtUxA==" saltValue="t5CK5vuQvv8rLKeZXwiQWw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G26 E31:G54 G18 E16:G17 E19:G21 G22:G24 E25:G25 E27:G2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8" sqref="H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212</v>
      </c>
      <c r="N12" s="90" t="s">
        <v>213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10</v>
      </c>
      <c r="N14" s="55">
        <v>10</v>
      </c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214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10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2018-06-04T02:04:25Z</dcterms:modified>
</cp:coreProperties>
</file>