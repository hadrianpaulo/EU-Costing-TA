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12_ncr:500000_{AE17B786-B95D-43B7-861D-7F2E013DD0D9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30" i="9" l="1"/>
  <c r="J20" i="2"/>
  <c r="G28" i="9" l="1"/>
  <c r="G27" i="9"/>
  <c r="G26" i="9"/>
  <c r="G18" i="9"/>
  <c r="G25" i="9"/>
  <c r="G24" i="9"/>
  <c r="G23" i="9"/>
  <c r="G22" i="9"/>
  <c r="G21" i="9"/>
  <c r="G20" i="9"/>
  <c r="G19" i="9"/>
  <c r="J13" i="2" l="1"/>
  <c r="G29" i="9"/>
  <c r="G31" i="9" s="1"/>
  <c r="G32" i="9"/>
  <c r="J14" i="2" l="1"/>
  <c r="J17" i="2"/>
  <c r="J18" i="2"/>
  <c r="G16" i="9" l="1"/>
  <c r="G17" i="9"/>
  <c r="J12" i="2"/>
  <c r="J24" i="2" s="1"/>
  <c r="J15" i="2"/>
  <c r="J16" i="2"/>
  <c r="J19" i="2"/>
  <c r="J21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<sst xmlns="http://schemas.openxmlformats.org/spreadsheetml/2006/main" count="525" uniqueCount="221">
  <si>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</si>
  <si>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</si>
  <si>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</si>
  <si>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</si>
  <si>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</si>
  <si>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</si>
  <si>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</si>
  <si>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</si>
  <si>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</si>
  <si>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</si>
  <si>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</si>
  <si>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</si>
  <si>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</si>
  <si>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</si>
  <si>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</si>
  <si>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</si>
  <si>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</si>
  <si>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</si>
  <si>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</si>
  <si>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</si>
  <si>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</si>
  <si>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</si>
  <si>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</si>
  <si>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</si>
  <si>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</si>
  <si>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</si>
  <si>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</si>
  <si>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</si>
  <si>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</si>
  <si>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</si>
  <si>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</si>
  <si>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</si>
  <si>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</si>
  <si>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</si>
  <si>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</si>
  <si>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</si>
  <si>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</si>
  <si>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</si>
  <si>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</si>
  <si>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</si>
  <si>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</si>
  <si>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</si>
  <si>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</si>
  <si>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</si>
  <si>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</si>
  <si>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</si>
  <si>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</si>
  <si>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</si>
  <si>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</si>
  <si>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</si>
  <si>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</si>
  <si>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</si>
  <si>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</si>
  <si>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</si>
  <si>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</si>
  <si>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</si>
  <si>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</si>
  <si>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</si>
  <si>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</si>
  <si>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</si>
  <si>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</si>
  <si>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</si>
  <si>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</si>
  <si>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</si>
  <si>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</si>
  <si>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</si>
  <si>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</si>
  <si>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</si>
  <si>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</si>
  <si>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</si>
  <si>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</si>
  <si>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</si>
  <si>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</si>
  <si>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</si>
  <si>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</si>
  <si>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</si>
  <si>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</si>
  <si>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</si>
  <si>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</si>
  <si>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</si>
  <si>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</si>
  <si>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</si>
  <si>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</si>
  <si>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</si>
  <si>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</si>
  <si>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</si>
  <si>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</si>
  <si>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</si>
  <si>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</si>
  <si>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</si>
  <si>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</si>
  <si>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</si>
  <si>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</si>
  <si>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</si>
  <si>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</si>
  <si>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</si>
  <si>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</si>
  <si>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</si>
  <si>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</si>
  <si>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</si>
  <si>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</si>
  <si>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</si>
  <si>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</si>
  <si>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</si>
  <si>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</si>
  <si>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</si>
  <si>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</si>
  <si>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</si>
  <si>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</si>
  <si>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</si>
  <si>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</si>
  <si>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</si>
  <si>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</si>
  <si>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</si>
  <si>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</si>
  <si>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</si>
  <si>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</si>
  <si>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</si>
  <si>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</si>
  <si>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</si>
  <si>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</si>
  <si>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</si>
  <si>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</si>
  <si>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</si>
  <si>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</si>
  <si>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</si>
  <si>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</si>
  <si>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</si>
  <si>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</si>
  <si>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</si>
  <si>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</si>
  <si>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</si>
  <si>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</si>
  <si>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</si>
  <si>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</si>
  <si>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</si>
  <si>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</si>
  <si>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</si>
  <si>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</si>
  <si>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</si>
  <si>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</si>
  <si>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</si>
  <si>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</si>
  <si>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</si>
  <si>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</si>
  <si>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</si>
  <si>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</si>
  <si>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</si>
  <si>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</si>
  <si>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</si>
  <si>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</si>
  <si>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</si>
  <si>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</si>
  <si>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</si>
  <si>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</si>
  <si>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</si>
  <si>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</si>
  <si>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</si>
  <si>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</si>
  <si>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</si>
  <si>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</si>
  <si>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</si>
  <si>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</si>
  <si>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</si>
  <si>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</si>
  <si>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</si>
  <si>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</si>
  <si>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</si>
  <si>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</si>
  <si>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</si>
  <si>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</si>
  <si>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</si>
  <si>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</si>
  <si>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</si>
  <si>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STERILE WATER FOR INJECTION</t>
  </si>
  <si>
    <t>D50.3 NACL</t>
  </si>
  <si>
    <t>BOTTLE/IV</t>
  </si>
  <si>
    <t>POLYAMPULE/IV</t>
  </si>
  <si>
    <t>VIAL/IV</t>
  </si>
  <si>
    <t>SYRUP/ORAL</t>
  </si>
  <si>
    <t>10 ml</t>
  </si>
  <si>
    <t>500 ml</t>
  </si>
  <si>
    <t>750 mg</t>
  </si>
  <si>
    <t>DISPOSABLE MASK</t>
  </si>
  <si>
    <t>1CC SYRINGE</t>
  </si>
  <si>
    <t>3CC SYRINGE</t>
  </si>
  <si>
    <t>ADHESIVE PLASTER</t>
  </si>
  <si>
    <t>GLOVES UNSTERILE MEDIUM</t>
  </si>
  <si>
    <t>DIGITAL THERMOMETER</t>
  </si>
  <si>
    <t>10CC SYRINGE</t>
  </si>
  <si>
    <t>PARACETAMOL</t>
  </si>
  <si>
    <t>AMPULE/IV</t>
  </si>
  <si>
    <t>IV SPLINT PEDIA</t>
  </si>
  <si>
    <t>HEPLOCK</t>
  </si>
  <si>
    <t>CEFUROXIME (ZIOMET)</t>
  </si>
  <si>
    <t xml:space="preserve">CEFUROXIME </t>
  </si>
  <si>
    <t>25 mg/ml</t>
  </si>
  <si>
    <t xml:space="preserve">IV CATHETER G 24 </t>
  </si>
  <si>
    <t>5CC SYRINGE</t>
  </si>
  <si>
    <t>IV SET PEDIA</t>
  </si>
  <si>
    <t>\</t>
  </si>
  <si>
    <t>CHEST AP/LATERAL 8X10</t>
  </si>
  <si>
    <t>HYDROCORTISONE</t>
  </si>
  <si>
    <t>150 mg/ml</t>
  </si>
  <si>
    <t>SALBUTAMOL</t>
  </si>
  <si>
    <t>NEBULE/INH</t>
  </si>
  <si>
    <t>1 mg/ml</t>
  </si>
  <si>
    <t>2.50 mg/500 mcg/2.5 ml</t>
  </si>
  <si>
    <t>2 mg/5 ml</t>
  </si>
  <si>
    <t>AMBROXOL HCL</t>
  </si>
  <si>
    <t>15 mg/5 ml</t>
  </si>
  <si>
    <t>CLARITHROMYCIN</t>
  </si>
  <si>
    <t>SUSPENSION/ORAL</t>
  </si>
  <si>
    <t>125 mg/ml</t>
  </si>
  <si>
    <t>ID BRACELET</t>
  </si>
  <si>
    <t>TONGUE DEPRESSOR</t>
  </si>
  <si>
    <t>NEBULIZING KIT</t>
  </si>
  <si>
    <t>SALBUTAMOL/IPRATROPIUM</t>
  </si>
  <si>
    <t>Consultation in the ER</t>
  </si>
  <si>
    <t>MED. TECH</t>
  </si>
  <si>
    <t>RAD. 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</si>
</sst>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opLeftCell="A20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200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201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2650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170</v>
      </c>
      <c r="D63" s="55">
        <v>715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171</v>
      </c>
      <c r="D64" s="55">
        <v>210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>
        <v>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173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9555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77"/>
  <sheetViews>
    <sheetView topLeftCell="A9" workbookViewId="0">
      <selection activeCell="C24" sqref="C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177</v>
      </c>
      <c r="E11" s="27" t="s">
        <v>180</v>
      </c>
      <c r="F11" s="55"/>
      <c r="G11" s="55"/>
      <c r="H11" s="55">
        <v>1</v>
      </c>
      <c r="I11" s="55">
        <v>40</v>
      </c>
      <c r="J11" s="55">
        <f>H11*I11</f>
        <v>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176</v>
      </c>
      <c r="E12" s="27" t="s">
        <v>181</v>
      </c>
      <c r="F12" s="55"/>
      <c r="G12" s="55"/>
      <c r="H12" s="55">
        <v>5</v>
      </c>
      <c r="I12" s="55">
        <v>80</v>
      </c>
      <c r="J12" s="55">
        <f t="shared" ref="J12:J26" si="0">H12*I12</f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178</v>
      </c>
      <c r="E13" s="27" t="s">
        <v>182</v>
      </c>
      <c r="F13" s="55"/>
      <c r="G13" s="55"/>
      <c r="H13" s="55">
        <v>2</v>
      </c>
      <c r="I13" s="55">
        <v>495</v>
      </c>
      <c r="J13" s="55">
        <f t="shared" ref="J13:J21" si="1">H13*I13</f>
        <v>990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178</v>
      </c>
      <c r="E14" s="27" t="s">
        <v>182</v>
      </c>
      <c r="F14" s="55"/>
      <c r="G14" s="55"/>
      <c r="H14" s="55">
        <v>4</v>
      </c>
      <c r="I14" s="55">
        <v>55</v>
      </c>
      <c r="J14" s="55">
        <f t="shared" si="1"/>
        <v>220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178</v>
      </c>
      <c r="E15" s="27" t="s">
        <v>196</v>
      </c>
      <c r="F15" s="55"/>
      <c r="G15" s="55"/>
      <c r="H15" s="55">
        <v>5</v>
      </c>
      <c r="I15" s="55">
        <v>50</v>
      </c>
      <c r="J15" s="55">
        <f t="shared" si="1"/>
        <v>250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191</v>
      </c>
      <c r="E16" s="27" t="s">
        <v>203</v>
      </c>
      <c r="F16" s="55"/>
      <c r="G16" s="55"/>
      <c r="H16" s="55">
        <v>1</v>
      </c>
      <c r="I16" s="55">
        <v>35</v>
      </c>
      <c r="J16" s="55">
        <f t="shared" si="1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204</v>
      </c>
      <c r="D17" s="27" t="s">
        <v>205</v>
      </c>
      <c r="E17" s="27" t="s">
        <v>206</v>
      </c>
      <c r="F17" s="55"/>
      <c r="G17" s="55"/>
      <c r="H17" s="55">
        <v>14</v>
      </c>
      <c r="I17" s="55">
        <v>15</v>
      </c>
      <c r="J17" s="55">
        <f t="shared" si="1"/>
        <v>210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217</v>
      </c>
      <c r="D18" s="27" t="s">
        <v>205</v>
      </c>
      <c r="E18" s="27" t="s">
        <v>207</v>
      </c>
      <c r="F18" s="55"/>
      <c r="G18" s="55"/>
      <c r="H18" s="55">
        <v>5</v>
      </c>
      <c r="I18" s="55">
        <v>35</v>
      </c>
      <c r="J18" s="55">
        <f t="shared" si="1"/>
        <v>175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204</v>
      </c>
      <c r="D19" s="27" t="s">
        <v>179</v>
      </c>
      <c r="E19" s="27" t="s">
        <v>208</v>
      </c>
      <c r="F19" s="55"/>
      <c r="G19" s="55"/>
      <c r="H19" s="55">
        <v>1</v>
      </c>
      <c r="I19" s="55">
        <v>35</v>
      </c>
      <c r="J19" s="55">
        <f t="shared" si="1"/>
        <v>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209</v>
      </c>
      <c r="D20" s="27" t="s">
        <v>179</v>
      </c>
      <c r="E20" s="27" t="s">
        <v>210</v>
      </c>
      <c r="F20" s="55"/>
      <c r="G20" s="55"/>
      <c r="H20" s="55">
        <v>1</v>
      </c>
      <c r="I20" s="55">
        <v>35</v>
      </c>
      <c r="J20" s="55">
        <f t="shared" si="1"/>
        <v>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211</v>
      </c>
      <c r="D21" s="27" t="s">
        <v>212</v>
      </c>
      <c r="E21" s="27" t="s">
        <v>213</v>
      </c>
      <c r="F21" s="55"/>
      <c r="G21" s="55"/>
      <c r="H21" s="55">
        <v>1</v>
      </c>
      <c r="I21" s="55">
        <v>260</v>
      </c>
      <c r="J21" s="55">
        <f t="shared" si="1"/>
        <v>260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>SUM(J11:J21)</f>
        <v>2650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78"/>
  <sheetViews>
    <sheetView topLeftCell="A16" workbookViewId="0">
      <selection activeCell="E30" sqref="E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214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29</v>
      </c>
      <c r="E17" s="55">
        <v>1</v>
      </c>
      <c r="F17" s="55">
        <v>61</v>
      </c>
      <c r="G17" s="55">
        <f>E17*F17</f>
        <v>61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29</v>
      </c>
      <c r="E18" s="55">
        <v>7</v>
      </c>
      <c r="F18" s="55">
        <v>6</v>
      </c>
      <c r="G18" s="55">
        <f t="shared" ref="G18:G28" si="0">E18*F18</f>
        <v>42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198</v>
      </c>
      <c r="D19" s="70" t="s">
        <v>29</v>
      </c>
      <c r="E19" s="55">
        <v>8</v>
      </c>
      <c r="F19" s="55">
        <v>7</v>
      </c>
      <c r="G19" s="55">
        <f t="shared" si="0"/>
        <v>56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29</v>
      </c>
      <c r="E20" s="55">
        <v>7</v>
      </c>
      <c r="F20" s="55">
        <v>7</v>
      </c>
      <c r="G20" s="55">
        <f t="shared" si="0"/>
        <v>49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185</v>
      </c>
      <c r="D21" s="70" t="s">
        <v>29</v>
      </c>
      <c r="E21" s="55">
        <v>8</v>
      </c>
      <c r="F21" s="55">
        <v>6</v>
      </c>
      <c r="G21" s="55">
        <f t="shared" si="0"/>
        <v>48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186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187</v>
      </c>
      <c r="D23" s="70" t="s">
        <v>29</v>
      </c>
      <c r="E23" s="55">
        <v>7</v>
      </c>
      <c r="F23" s="55">
        <v>4</v>
      </c>
      <c r="G23" s="55">
        <f t="shared" si="0"/>
        <v>28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188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189</v>
      </c>
      <c r="D25" s="70" t="s">
        <v>29</v>
      </c>
      <c r="E25" s="55">
        <v>5</v>
      </c>
      <c r="F25" s="55">
        <v>8</v>
      </c>
      <c r="G25" s="55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192</v>
      </c>
      <c r="D26" s="70" t="s">
        <v>29</v>
      </c>
      <c r="E26" s="55">
        <v>1</v>
      </c>
      <c r="F26" s="55">
        <v>105</v>
      </c>
      <c r="G26" s="55">
        <f t="shared" si="0"/>
        <v>105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193</v>
      </c>
      <c r="D27" s="70" t="s">
        <v>29</v>
      </c>
      <c r="E27" s="55">
        <v>1</v>
      </c>
      <c r="F27" s="55">
        <v>22</v>
      </c>
      <c r="G27" s="55">
        <f t="shared" si="0"/>
        <v>22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199</v>
      </c>
      <c r="D28" s="70" t="s">
        <v>29</v>
      </c>
      <c r="E28" s="55">
        <v>1</v>
      </c>
      <c r="F28" s="55">
        <v>35</v>
      </c>
      <c r="G28" s="55">
        <f t="shared" si="0"/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215</v>
      </c>
      <c r="D29" s="70" t="s">
        <v>29</v>
      </c>
      <c r="E29" s="55">
        <v>1</v>
      </c>
      <c r="F29" s="55">
        <v>2</v>
      </c>
      <c r="G29" s="55">
        <f t="shared" ref="G29:G32" si="1">E29*F29</f>
        <v>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216</v>
      </c>
      <c r="D30" s="70" t="s">
        <v>29</v>
      </c>
      <c r="E30" s="55">
        <v>1</v>
      </c>
      <c r="F30" s="55">
        <v>70</v>
      </c>
      <c r="G30" s="55">
        <f t="shared" si="1"/>
        <v>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SUM(G16:G30)</f>
        <v>715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abSelected="1" topLeftCell="E1" workbookViewId="0">
      <selection activeCell="N15" sqref="N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219</v>
      </c>
      <c r="N12" s="90" t="s">
        <v>220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15</v>
      </c>
      <c r="N14" s="55">
        <v>15</v>
      </c>
      <c r="P14" s="88">
        <f t="shared" ref="P14:P22" si="0">SUM(D14:N14)</f>
        <v>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15</v>
      </c>
      <c r="P30" s="89">
        <f>SUM(P13:P22)</f>
        <v>225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2018-06-03T10:40:45Z</dcterms:modified>
</cp:coreProperties>
</file>