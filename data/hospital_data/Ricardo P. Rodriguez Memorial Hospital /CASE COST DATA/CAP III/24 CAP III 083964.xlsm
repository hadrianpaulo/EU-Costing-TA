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0C43DB87-ECFD-46EA-87D7-8B23A8CA739A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Drugs&amp;Med'!$B$2:$J$29</definedName>
  </definedNames>
  <calcPr calcId="162913"/>
</workbook>
</file>

<file path=xl/calcChain.xml><?xml version="1.0" encoding="utf-8"?>
<calcChain xmlns="http://schemas.openxmlformats.org/spreadsheetml/2006/main">
  <c r="J25" i="2" l="1"/>
  <c r="J23" i="2"/>
  <c r="G30" i="9" l="1"/>
  <c r="J27" i="2"/>
  <c r="J28" i="2"/>
  <c r="J22" i="2"/>
  <c r="J20" i="2"/>
  <c r="G28" i="9" l="1"/>
  <c r="G27" i="9"/>
  <c r="G26" i="9"/>
  <c r="G31" i="9"/>
  <c r="G18" i="9"/>
  <c r="G25" i="9"/>
  <c r="G24" i="9"/>
  <c r="G23" i="9"/>
  <c r="G22" i="9"/>
  <c r="G21" i="9"/>
  <c r="G20" i="9"/>
  <c r="G19" i="9"/>
  <c r="J13" i="2" l="1"/>
  <c r="G29" i="9"/>
  <c r="J14" i="2" l="1"/>
  <c r="J17" i="2"/>
  <c r="J18" i="2"/>
  <c r="G16" i="9" l="1"/>
  <c r="G32" i="9" s="1"/>
  <c r="G17" i="9"/>
  <c r="J12" i="2"/>
  <c r="J15" i="2"/>
  <c r="J16" i="2"/>
  <c r="J19" i="2"/>
  <c r="J21" i="2"/>
  <c r="J24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<sst xmlns="http://schemas.openxmlformats.org/spreadsheetml/2006/main" count="532" uniqueCount="229">
  <si>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</si>
  <si>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</si>
  <si>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</si>
  <si>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</si>
  <si>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</si>
  <si>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</si>
  <si>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</si>
  <si>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</si>
  <si>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</si>
  <si>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</si>
  <si>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</si>
  <si>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</si>
  <si>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</si>
  <si>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</si>
  <si>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</si>
  <si>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</si>
  <si>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</si>
  <si>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</si>
  <si>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</si>
  <si>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</si>
  <si>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</si>
  <si>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</si>
  <si>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</si>
  <si>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</si>
  <si>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</si>
  <si>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</si>
  <si>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</si>
  <si>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</si>
  <si>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</si>
  <si>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</si>
  <si>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</si>
  <si>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</si>
  <si>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</si>
  <si>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</si>
  <si>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</si>
  <si>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</si>
  <si>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</si>
  <si>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</si>
  <si>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</si>
  <si>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</si>
  <si>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</si>
  <si>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</si>
  <si>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</si>
  <si>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</si>
  <si>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</si>
  <si>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</si>
  <si>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</si>
  <si>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</si>
  <si>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</si>
  <si>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</si>
  <si>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</si>
  <si>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</si>
  <si>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</si>
  <si>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</si>
  <si>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</si>
  <si>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</si>
  <si>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</si>
  <si>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</si>
  <si>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</si>
  <si>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</si>
  <si>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</si>
  <si>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</si>
  <si>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</si>
  <si>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</si>
  <si>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</si>
  <si>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</si>
  <si>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</si>
  <si>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</si>
  <si>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</si>
  <si>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</si>
  <si>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</si>
  <si>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</si>
  <si>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</si>
  <si>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</si>
  <si>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</si>
  <si>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</si>
  <si>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</si>
  <si>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</si>
  <si>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</si>
  <si>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</si>
  <si>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</si>
  <si>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</si>
  <si>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</si>
  <si>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</si>
  <si>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</si>
  <si>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</si>
  <si>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</si>
  <si>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</si>
  <si>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</si>
  <si>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</si>
  <si>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</si>
  <si>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</si>
  <si>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</si>
  <si>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</si>
  <si>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</si>
  <si>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</si>
  <si>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</si>
  <si>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</si>
  <si>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</si>
  <si>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</si>
  <si>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</si>
  <si>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</si>
  <si>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</si>
  <si>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</si>
  <si>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</si>
  <si>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</si>
  <si>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</si>
  <si>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</si>
  <si>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</si>
  <si>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</si>
  <si>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</si>
  <si>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</si>
  <si>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</si>
  <si>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</si>
  <si>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</si>
  <si>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</si>
  <si>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</si>
  <si>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</si>
  <si>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</si>
  <si>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</si>
  <si>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</si>
  <si>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</si>
  <si>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</si>
  <si>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</si>
  <si>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</si>
  <si>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</si>
  <si>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</si>
  <si>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</si>
  <si>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</si>
  <si>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</si>
  <si>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</si>
  <si>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</si>
  <si>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</si>
  <si>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</si>
  <si>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</si>
  <si>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</si>
  <si>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</si>
  <si>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</si>
  <si>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</si>
  <si>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</si>
  <si>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</si>
  <si>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</si>
  <si>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</si>
  <si>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</si>
  <si>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</si>
  <si>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</si>
  <si>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</si>
  <si>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</si>
  <si>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</si>
  <si>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</si>
  <si>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</si>
  <si>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</si>
  <si>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</si>
  <si>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</si>
  <si>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</si>
  <si>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</si>
  <si>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</si>
  <si>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</si>
  <si>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</si>
  <si>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</si>
  <si>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</si>
  <si>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</si>
  <si>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</si>
  <si>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</si>
  <si>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</si>
  <si>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</si>
  <si>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</si>
  <si>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</si>
  <si>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</si>
  <si>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</si>
  <si>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</si>
  <si>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</si>
  <si>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</si>
  <si>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</si>
  <si>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</si>
  <si>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BOTTLE/IV</t>
  </si>
  <si>
    <t>POLYAMPULE/IV</t>
  </si>
  <si>
    <t>VIAL/IV</t>
  </si>
  <si>
    <t>SYRUP/ORAL</t>
  </si>
  <si>
    <t>10 ml</t>
  </si>
  <si>
    <t>500 ml</t>
  </si>
  <si>
    <t>DISPOSABLE MASK</t>
  </si>
  <si>
    <t>1CC SYRINGE</t>
  </si>
  <si>
    <t>3CC SYRINGE</t>
  </si>
  <si>
    <t>ADHESIVE PLASTER</t>
  </si>
  <si>
    <t>GLOVES UNSTERILE MEDIUM</t>
  </si>
  <si>
    <t>DIGITAL THERMOMETER</t>
  </si>
  <si>
    <t>10CC SYRINGE</t>
  </si>
  <si>
    <t>PARACETAMOL</t>
  </si>
  <si>
    <t>AMPULE/IV</t>
  </si>
  <si>
    <t>IV SPLINT PEDIA</t>
  </si>
  <si>
    <t>ELECTROLYTES (Na,K,Cl)</t>
  </si>
  <si>
    <t xml:space="preserve">CEFUROXIME </t>
  </si>
  <si>
    <t>250 mg/ml</t>
  </si>
  <si>
    <t>5CC SYRINGE</t>
  </si>
  <si>
    <t>IV SET PEDIA</t>
  </si>
  <si>
    <t>CEFTRIAXONE</t>
  </si>
  <si>
    <t>1 gm</t>
  </si>
  <si>
    <t>SALBUTAMOL</t>
  </si>
  <si>
    <t>1 mg/ml</t>
  </si>
  <si>
    <t>IV CATHETER G 24</t>
  </si>
  <si>
    <t>NEBULIZING KIT</t>
  </si>
  <si>
    <t>CHEST AP/LATERAL 8X10</t>
  </si>
  <si>
    <t>D5 0.3NACL</t>
  </si>
  <si>
    <t>150 mg/ml</t>
  </si>
  <si>
    <t>SUSPENSION/ORAL</t>
  </si>
  <si>
    <t>ID BRACELET</t>
  </si>
  <si>
    <t>IV CATHETER G 26</t>
  </si>
  <si>
    <t>WEE BAG</t>
  </si>
  <si>
    <t>URINALYSIS</t>
  </si>
  <si>
    <t>BOTTLE/ORAL</t>
  </si>
  <si>
    <t>DIPHENHYDRAMINE HCL</t>
  </si>
  <si>
    <t>50 mg/ml</t>
  </si>
  <si>
    <t>12.5 mg/ml</t>
  </si>
  <si>
    <t>MULTI VITAMINS+MINERALS</t>
  </si>
  <si>
    <t>60 ml</t>
  </si>
  <si>
    <t>ASCORBIC ACID</t>
  </si>
  <si>
    <t>100 mg/5 ml</t>
  </si>
  <si>
    <t>ZINC SULFATE</t>
  </si>
  <si>
    <t>55 mg/5 ml</t>
  </si>
  <si>
    <t>OXANTEL+PYRANTEL</t>
  </si>
  <si>
    <t>20 mg/10 ml</t>
  </si>
  <si>
    <t>BACILLUS CLAUSIL (ERCEFLORA)</t>
  </si>
  <si>
    <t>RESPULE/ORAL</t>
  </si>
  <si>
    <t>5 ml</t>
  </si>
  <si>
    <t>NEBULE/INH</t>
  </si>
  <si>
    <t>Consultation in the ER</t>
  </si>
  <si>
    <t>MED. TECH</t>
  </si>
  <si>
    <t>RAD. 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</si>
</sst>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9"/>
  <sheetViews>
    <sheetView topLeftCell="B31" zoomScale="150" zoomScaleNormal="150" workbookViewId="0">
      <selection activeCell="E34" sqref="E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202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thickBot="1" x14ac:dyDescent="0.35">
      <c r="A44" s="1"/>
      <c r="B44" s="118" t="s">
        <v>46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x14ac:dyDescent="0.3">
      <c r="A45" s="1"/>
      <c r="B45" s="14" t="s">
        <v>47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thickBot="1" x14ac:dyDescent="0.35">
      <c r="A46" s="1"/>
      <c r="B46" s="115" t="s">
        <v>55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57</v>
      </c>
      <c r="C60" s="17" t="s">
        <v>53</v>
      </c>
      <c r="D60" s="17" t="s">
        <v>58</v>
      </c>
      <c r="E60" s="18" t="s">
        <v>59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167</v>
      </c>
      <c r="D61" s="55">
        <v>1600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168</v>
      </c>
      <c r="D62" s="55">
        <v>40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169</v>
      </c>
      <c r="D63" s="55">
        <v>3928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170</v>
      </c>
      <c r="D64" s="55">
        <v>910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171</v>
      </c>
      <c r="D65" s="55">
        <v>210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172</v>
      </c>
      <c r="D66" s="55">
        <v>900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173</v>
      </c>
      <c r="D67" s="55">
        <v>4500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12088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doRm6lTUAIjg0o2IIDXhI8Vpx9FQNioPaS5x+wv9xfczjA8p4V95QzXryptb87yw+KleY5/2Bj9UPZWFaOreKg==" saltValue="JrWjtcW8bqNbVoKrhM3Z/Q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9"/>
  <sheetViews>
    <sheetView topLeftCell="C10" zoomScale="122" zoomScaleNormal="120"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176</v>
      </c>
      <c r="E11" s="27" t="s">
        <v>179</v>
      </c>
      <c r="F11" s="55"/>
      <c r="G11" s="55"/>
      <c r="H11" s="55">
        <v>1</v>
      </c>
      <c r="I11" s="55">
        <v>40</v>
      </c>
      <c r="J11" s="55">
        <f>H11*I11</f>
        <v>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203</v>
      </c>
      <c r="D12" s="27" t="s">
        <v>175</v>
      </c>
      <c r="E12" s="27" t="s">
        <v>180</v>
      </c>
      <c r="F12" s="55"/>
      <c r="G12" s="55"/>
      <c r="H12" s="55">
        <v>5</v>
      </c>
      <c r="I12" s="55">
        <v>80</v>
      </c>
      <c r="J12" s="55">
        <f t="shared" ref="J12:J28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177</v>
      </c>
      <c r="E13" s="27" t="s">
        <v>197</v>
      </c>
      <c r="F13" s="55"/>
      <c r="G13" s="55"/>
      <c r="H13" s="55">
        <v>2</v>
      </c>
      <c r="I13" s="55">
        <v>65</v>
      </c>
      <c r="J13" s="55">
        <f t="shared" ref="J13:J23" si="1">H13*I13</f>
        <v>130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210</v>
      </c>
      <c r="E14" s="27" t="s">
        <v>193</v>
      </c>
      <c r="F14" s="55"/>
      <c r="G14" s="55"/>
      <c r="H14" s="55">
        <v>1</v>
      </c>
      <c r="I14" s="55">
        <v>440</v>
      </c>
      <c r="J14" s="55">
        <f t="shared" si="1"/>
        <v>440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189</v>
      </c>
      <c r="E15" s="27" t="s">
        <v>204</v>
      </c>
      <c r="F15" s="55"/>
      <c r="G15" s="55"/>
      <c r="H15" s="55">
        <v>6</v>
      </c>
      <c r="I15" s="55">
        <v>35</v>
      </c>
      <c r="J15" s="55">
        <f t="shared" si="1"/>
        <v>210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211</v>
      </c>
      <c r="D16" s="27" t="s">
        <v>189</v>
      </c>
      <c r="E16" s="27" t="s">
        <v>212</v>
      </c>
      <c r="F16" s="55"/>
      <c r="G16" s="55"/>
      <c r="H16" s="55">
        <v>9</v>
      </c>
      <c r="I16" s="55">
        <v>145</v>
      </c>
      <c r="J16" s="55">
        <f t="shared" si="1"/>
        <v>1305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211</v>
      </c>
      <c r="D17" s="27" t="s">
        <v>178</v>
      </c>
      <c r="E17" s="27" t="s">
        <v>213</v>
      </c>
      <c r="F17" s="55"/>
      <c r="G17" s="55"/>
      <c r="H17" s="55">
        <v>1</v>
      </c>
      <c r="I17" s="55">
        <v>30</v>
      </c>
      <c r="J17" s="55">
        <f t="shared" si="1"/>
        <v>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214</v>
      </c>
      <c r="D18" s="27" t="s">
        <v>178</v>
      </c>
      <c r="E18" s="27" t="s">
        <v>215</v>
      </c>
      <c r="F18" s="55"/>
      <c r="G18" s="55"/>
      <c r="H18" s="55">
        <v>2</v>
      </c>
      <c r="I18" s="55">
        <v>130</v>
      </c>
      <c r="J18" s="55">
        <f t="shared" si="1"/>
        <v>260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216</v>
      </c>
      <c r="D19" s="27" t="s">
        <v>178</v>
      </c>
      <c r="E19" s="27" t="s">
        <v>217</v>
      </c>
      <c r="F19" s="55"/>
      <c r="G19" s="55"/>
      <c r="H19" s="55">
        <v>1</v>
      </c>
      <c r="I19" s="55">
        <v>35</v>
      </c>
      <c r="J19" s="55">
        <f t="shared" si="1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218</v>
      </c>
      <c r="D20" s="27" t="s">
        <v>210</v>
      </c>
      <c r="E20" s="27" t="s">
        <v>219</v>
      </c>
      <c r="F20" s="55"/>
      <c r="G20" s="55"/>
      <c r="H20" s="55">
        <v>1</v>
      </c>
      <c r="I20" s="55">
        <v>138</v>
      </c>
      <c r="J20" s="55">
        <f t="shared" si="1"/>
        <v>138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220</v>
      </c>
      <c r="D21" s="27" t="s">
        <v>205</v>
      </c>
      <c r="E21" s="27" t="s">
        <v>221</v>
      </c>
      <c r="F21" s="55"/>
      <c r="G21" s="55"/>
      <c r="H21" s="55">
        <v>1</v>
      </c>
      <c r="I21" s="55">
        <v>230</v>
      </c>
      <c r="J21" s="55">
        <f t="shared" si="1"/>
        <v>230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222</v>
      </c>
      <c r="D22" s="27" t="s">
        <v>223</v>
      </c>
      <c r="E22" s="27" t="s">
        <v>224</v>
      </c>
      <c r="F22" s="55"/>
      <c r="G22" s="55"/>
      <c r="H22" s="55">
        <v>10</v>
      </c>
      <c r="I22" s="55">
        <v>62</v>
      </c>
      <c r="J22" s="55">
        <f t="shared" si="1"/>
        <v>620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198</v>
      </c>
      <c r="D23" s="27" t="s">
        <v>225</v>
      </c>
      <c r="E23" s="27" t="s">
        <v>199</v>
      </c>
      <c r="F23" s="55"/>
      <c r="G23" s="55"/>
      <c r="H23" s="55">
        <v>6</v>
      </c>
      <c r="I23" s="55">
        <v>15</v>
      </c>
      <c r="J23" s="55">
        <f t="shared" si="1"/>
        <v>90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>SUM(J11:J23)</f>
        <v>3928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xbi3HzvubcybHseR+mJq+QnlDACInqLajukZ296UyPWoryXrv2hyWxlBAbtpxXJXOH9jYPKsCUuC9hcdLe2Srw==" saltValue="uuXDGodXAEx/nGGfdOWyW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8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78"/>
  <sheetViews>
    <sheetView topLeftCell="A10" workbookViewId="0">
      <selection activeCell="E28" sqref="E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206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207</v>
      </c>
      <c r="D17" s="70" t="s">
        <v>29</v>
      </c>
      <c r="E17" s="55">
        <v>2</v>
      </c>
      <c r="F17" s="55">
        <v>61</v>
      </c>
      <c r="G17" s="55">
        <f>E17*F17</f>
        <v>122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29</v>
      </c>
      <c r="E18" s="55">
        <v>8</v>
      </c>
      <c r="F18" s="55">
        <v>6</v>
      </c>
      <c r="G18" s="55">
        <f t="shared" ref="G18:G28" si="0">E18*F18</f>
        <v>48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29</v>
      </c>
      <c r="E19" s="55">
        <v>8</v>
      </c>
      <c r="F19" s="55">
        <v>7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6</v>
      </c>
      <c r="F20" s="55">
        <v>7</v>
      </c>
      <c r="G20" s="55">
        <f t="shared" si="0"/>
        <v>42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16</v>
      </c>
      <c r="F21" s="55">
        <v>6</v>
      </c>
      <c r="G21" s="55">
        <f t="shared" si="0"/>
        <v>96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184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29</v>
      </c>
      <c r="E23" s="55">
        <v>10</v>
      </c>
      <c r="F23" s="55">
        <v>4</v>
      </c>
      <c r="G23" s="55">
        <f t="shared" si="0"/>
        <v>40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186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187</v>
      </c>
      <c r="D25" s="70" t="s">
        <v>29</v>
      </c>
      <c r="E25" s="55">
        <v>8</v>
      </c>
      <c r="F25" s="55">
        <v>8</v>
      </c>
      <c r="G25" s="55">
        <f t="shared" si="0"/>
        <v>64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190</v>
      </c>
      <c r="D26" s="70" t="s">
        <v>29</v>
      </c>
      <c r="E26" s="55">
        <v>1</v>
      </c>
      <c r="F26" s="55">
        <v>105</v>
      </c>
      <c r="G26" s="55">
        <f t="shared" si="0"/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200</v>
      </c>
      <c r="D27" s="70" t="s">
        <v>29</v>
      </c>
      <c r="E27" s="55">
        <v>1</v>
      </c>
      <c r="F27" s="55">
        <v>61</v>
      </c>
      <c r="G27" s="55">
        <f t="shared" si="0"/>
        <v>61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195</v>
      </c>
      <c r="D28" s="70" t="s">
        <v>29</v>
      </c>
      <c r="E28" s="55">
        <v>1</v>
      </c>
      <c r="F28" s="55">
        <v>35</v>
      </c>
      <c r="G28" s="55">
        <f t="shared" si="0"/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208</v>
      </c>
      <c r="D29" s="70" t="s">
        <v>29</v>
      </c>
      <c r="E29" s="55">
        <v>2</v>
      </c>
      <c r="F29" s="55">
        <v>7</v>
      </c>
      <c r="G29" s="55">
        <f t="shared" ref="G29:G30" si="1">E29*F29</f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201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910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abSelected="1" topLeftCell="C1" workbookViewId="0">
      <selection activeCell="N15" sqref="N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227</v>
      </c>
      <c r="N12" s="90" t="s">
        <v>228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60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30</v>
      </c>
      <c r="N14" s="55">
        <v>15</v>
      </c>
      <c r="P14" s="88">
        <f t="shared" ref="P14:P22" si="0">SUM(D14:N14)</f>
        <v>95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226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15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2018-06-03T10:36:47Z</dcterms:modified>
</cp:coreProperties>
</file>