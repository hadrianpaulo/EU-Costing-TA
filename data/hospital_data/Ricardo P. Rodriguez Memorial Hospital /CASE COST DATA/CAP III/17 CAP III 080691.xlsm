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CASE COST DATA CAP III REVISED\"/>
    </mc:Choice>
  </mc:AlternateContent>
  <xr:revisionPtr revIDLastSave="0" documentId="12_ncr:500000_{8A81CE10-E47D-45D9-AA10-0CE3E20ADDAF}" xr6:coauthVersionLast="31" xr6:coauthVersionMax="31" xr10:uidLastSave="{00000000-0000-0000-0000-000000000000}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Drugs&amp;Med'!$B$2:$J$33</definedName>
  </definedNames>
  <calcPr calcId="162913"/>
</workbook>
</file>

<file path=xl/calcChain.xml><?xml version="1.0" encoding="utf-8"?>
<calcChain xmlns="http://schemas.openxmlformats.org/spreadsheetml/2006/main">
  <c r="J29" i="2" l="1"/>
  <c r="J28" i="2" l="1"/>
  <c r="J20" i="2"/>
  <c r="J21" i="2"/>
  <c r="J22" i="2"/>
  <c r="J23" i="2"/>
  <c r="J24" i="2"/>
  <c r="J25" i="2"/>
  <c r="J26" i="2"/>
  <c r="J27" i="2"/>
  <c r="J18" i="2"/>
  <c r="G31" i="9" l="1"/>
  <c r="G33" i="9"/>
  <c r="J15" i="2"/>
  <c r="J17" i="2"/>
  <c r="J16" i="2"/>
  <c r="J14" i="2"/>
  <c r="J13" i="2" l="1"/>
  <c r="J12" i="2"/>
  <c r="J11" i="2"/>
  <c r="G30" i="9"/>
  <c r="G28" i="9" l="1"/>
  <c r="G27" i="9"/>
  <c r="G26" i="9"/>
  <c r="G18" i="9"/>
  <c r="G25" i="9"/>
  <c r="G24" i="9"/>
  <c r="G23" i="9"/>
  <c r="G22" i="9"/>
  <c r="G21" i="9"/>
  <c r="G20" i="9"/>
  <c r="G19" i="9"/>
  <c r="G29" i="9" l="1"/>
  <c r="G32" i="9"/>
  <c r="G16" i="9" l="1"/>
  <c r="G17" i="9"/>
  <c r="G34" i="9" s="1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<sst xmlns="http://schemas.openxmlformats.org/spreadsheetml/2006/main" count="554" uniqueCount="238">
  <si>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</si>
  <si>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</si>
  <si>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</si>
  <si>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</si>
  <si>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</si>
  <si>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</si>
  <si>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</si>
  <si>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</si>
  <si>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</si>
  <si>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</si>
  <si>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</si>
  <si>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</si>
  <si>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</si>
  <si>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</si>
  <si>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</si>
  <si>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</si>
  <si>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</si>
  <si>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</si>
  <si>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</si>
  <si>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</si>
  <si>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</si>
  <si>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</si>
  <si>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</si>
  <si>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</si>
  <si>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</si>
  <si>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</si>
  <si>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</si>
  <si>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</si>
  <si>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</si>
  <si>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</si>
  <si>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</si>
  <si>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</si>
  <si>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</si>
  <si>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</si>
  <si>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</si>
  <si>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</si>
  <si>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</si>
  <si>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</si>
  <si>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</si>
  <si>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</si>
  <si>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</si>
  <si>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</si>
  <si>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</si>
  <si>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</si>
  <si>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</si>
  <si>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</si>
  <si>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</si>
  <si>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</si>
  <si>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</si>
  <si>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</si>
  <si>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</si>
  <si>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</si>
  <si>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</si>
  <si>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</si>
  <si>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</si>
  <si>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</si>
  <si>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</si>
  <si>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</si>
  <si>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</si>
  <si>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</si>
  <si>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</si>
  <si>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</si>
  <si>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</si>
  <si>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</si>
  <si>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</si>
  <si>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</si>
  <si>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</si>
  <si>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</si>
  <si>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</si>
  <si>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</si>
  <si>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</si>
  <si>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</si>
  <si>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</si>
  <si>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</si>
  <si>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</si>
  <si>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</si>
  <si>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</si>
  <si>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</si>
  <si>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</si>
  <si>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</si>
  <si>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</si>
  <si>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</si>
  <si>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</si>
  <si>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</si>
  <si>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</si>
  <si>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</si>
  <si>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</si>
  <si>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</si>
  <si>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</si>
  <si>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</si>
  <si>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</si>
  <si>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</si>
  <si>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</si>
  <si>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</si>
  <si>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</si>
  <si>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</si>
  <si>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</si>
  <si>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</si>
  <si>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</si>
  <si>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</si>
  <si>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</si>
  <si>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</si>
  <si>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</si>
  <si>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</si>
  <si>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</si>
  <si>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</si>
  <si>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</si>
  <si>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</si>
  <si>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</si>
  <si>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</si>
  <si>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</si>
  <si>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</si>
  <si>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</si>
  <si>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</si>
  <si>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</si>
  <si>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</si>
  <si>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</si>
  <si>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</si>
  <si>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</si>
  <si>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</si>
  <si>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</si>
  <si>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</si>
  <si>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</si>
  <si>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</si>
  <si>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</si>
  <si>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</si>
  <si>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</si>
  <si>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</si>
  <si>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</si>
  <si>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</si>
  <si>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</si>
  <si>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</si>
  <si>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</si>
  <si>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</si>
  <si>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</si>
  <si>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</si>
  <si>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</si>
  <si>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</si>
  <si>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</si>
  <si>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</si>
  <si>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</si>
  <si>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</si>
  <si>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</si>
  <si>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</si>
  <si>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</si>
  <si>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</si>
  <si>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</si>
  <si>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</si>
  <si>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</si>
  <si>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</si>
  <si>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</si>
  <si>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</si>
  <si>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</si>
  <si>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</si>
  <si>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</si>
  <si>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</si>
  <si>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</si>
  <si>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</si>
  <si>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</si>
  <si>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</si>
  <si>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</si>
  <si>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</si>
  <si>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</si>
  <si>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</si>
  <si>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</si>
  <si>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</si>
  <si>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</si>
  <si>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</si>
  <si>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</si>
  <si>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</si>
  <si>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</si>
  <si>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</si>
  <si>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</si>
  <si>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</si>
  <si>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</si>
  <si>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750 mg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</si>
  <si>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</si>
  <si>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</si>
  <si>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</si>
  <si>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</si>
  <si>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</si>
  <si>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</si>
  <si>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NEBULE/INH</t>
  </si>
  <si>
    <t>SALBUTAMOL/IPATROPIUM</t>
  </si>
  <si>
    <t>2.50 mg/500 mcg/2.5 ml</t>
  </si>
  <si>
    <t>ID BRACELET</t>
  </si>
  <si>
    <t>NEBULIZING KIT</t>
  </si>
  <si>
    <t>CHEM 8 (FBS,BUN,CREA,BUA,TC,TAG,HDL,LDL)</t>
  </si>
  <si>
    <t>CHEST PA 14X17</t>
  </si>
  <si>
    <t>ECG</t>
  </si>
  <si>
    <t>0.9 NACL</t>
  </si>
  <si>
    <t>1000 ml</t>
  </si>
  <si>
    <t>STERILE WATER FOR INJECTION</t>
  </si>
  <si>
    <t>POLYAMPULE/IV</t>
  </si>
  <si>
    <t>10 ml</t>
  </si>
  <si>
    <t>AMPICILLIN+SULBACTAM</t>
  </si>
  <si>
    <t>TABLET/ORAL</t>
  </si>
  <si>
    <t>500 mg</t>
  </si>
  <si>
    <t>ACETYLCYSTEINE</t>
  </si>
  <si>
    <t>600 mg</t>
  </si>
  <si>
    <t>IV SPLINT ADULT</t>
  </si>
  <si>
    <t>IV SET ADULT</t>
  </si>
  <si>
    <t>NASAL CANNULA ADULT</t>
  </si>
  <si>
    <t>CBC PLATELET COUNT</t>
  </si>
  <si>
    <t>URINALYSIS</t>
  </si>
  <si>
    <t>CEFOXITIN</t>
  </si>
  <si>
    <t>1 g</t>
  </si>
  <si>
    <t>HYDROCORTISONE</t>
  </si>
  <si>
    <t>250 mg</t>
  </si>
  <si>
    <t>CEFUROXIME</t>
  </si>
  <si>
    <t>BUDENOSIDE</t>
  </si>
  <si>
    <t>250 mcg/ml</t>
  </si>
  <si>
    <t>GLIMEPIRIDE</t>
  </si>
  <si>
    <t>METFORMIN</t>
  </si>
  <si>
    <t>ATORVASTATIN</t>
  </si>
  <si>
    <t>DOXOFYLLINE</t>
  </si>
  <si>
    <t>MONTELUKAST</t>
  </si>
  <si>
    <t>PREDNISONE</t>
  </si>
  <si>
    <t>TRIMETAZIDINE</t>
  </si>
  <si>
    <t>4 mg</t>
  </si>
  <si>
    <t>40 mg</t>
  </si>
  <si>
    <t>400 mg</t>
  </si>
  <si>
    <t>10 mg</t>
  </si>
  <si>
    <t>20 mg</t>
  </si>
  <si>
    <t>35 mg</t>
  </si>
  <si>
    <t>CAPSULE/ORAL</t>
  </si>
  <si>
    <t>AZITHROMYCIN DIHYDRATE</t>
  </si>
  <si>
    <t>100 mg</t>
  </si>
  <si>
    <t>IV CATHETER G 24</t>
  </si>
  <si>
    <t>TONGUE DEPRESSOR</t>
  </si>
  <si>
    <t>IV CATHETER G 22</t>
  </si>
  <si>
    <t>IV CATHETER G 26</t>
  </si>
  <si>
    <t>OXYGEN</t>
  </si>
  <si>
    <t>TANK/INH</t>
  </si>
  <si>
    <t>Consultation in the ER</t>
  </si>
  <si>
    <t>MED. TECH</t>
  </si>
  <si>
    <t>RAD. TECH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</si>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</sst>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08"/>
  <sheetViews>
    <sheetView topLeftCell="A22" zoomScaleNormal="100" workbookViewId="0">
      <selection activeCell="F39" sqref="F3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204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188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 t="s">
        <v>189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/>
      <c r="E60" s="55">
        <v>800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20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10404</v>
      </c>
      <c r="E62" s="55">
        <v>2601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169</v>
      </c>
      <c r="D63" s="55">
        <v>96</v>
      </c>
      <c r="E63" s="55">
        <v>889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/>
      <c r="E64" s="55">
        <v>160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171</v>
      </c>
      <c r="D65" s="55"/>
      <c r="E65" s="55">
        <v>1370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172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189</v>
      </c>
      <c r="D67" s="55"/>
      <c r="E67" s="55">
        <v>120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168</v>
      </c>
      <c r="D68" s="55"/>
      <c r="E68" s="55">
        <v>60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6020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983"/>
  <sheetViews>
    <sheetView topLeftCell="A9" workbookViewId="0">
      <selection activeCell="F29" sqref="F2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22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173</v>
      </c>
      <c r="E11" s="27" t="s">
        <v>191</v>
      </c>
      <c r="F11" s="55"/>
      <c r="G11" s="55"/>
      <c r="H11" s="55">
        <v>5</v>
      </c>
      <c r="I11" s="55">
        <v>80</v>
      </c>
      <c r="J11" s="55">
        <f t="shared" ref="J11:J17" si="0"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205</v>
      </c>
      <c r="D12" s="27" t="s">
        <v>174</v>
      </c>
      <c r="E12" s="27" t="s">
        <v>206</v>
      </c>
      <c r="F12" s="55"/>
      <c r="G12" s="55"/>
      <c r="H12" s="55">
        <v>7</v>
      </c>
      <c r="I12" s="55">
        <v>825</v>
      </c>
      <c r="J12" s="55">
        <f t="shared" si="0"/>
        <v>5775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207</v>
      </c>
      <c r="D13" s="27" t="s">
        <v>174</v>
      </c>
      <c r="E13" s="27" t="s">
        <v>208</v>
      </c>
      <c r="F13" s="55"/>
      <c r="G13" s="55"/>
      <c r="H13" s="55">
        <v>5</v>
      </c>
      <c r="I13" s="55">
        <v>85</v>
      </c>
      <c r="J13" s="55">
        <f t="shared" si="0"/>
        <v>425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182</v>
      </c>
      <c r="E14" s="27" t="s">
        <v>184</v>
      </c>
      <c r="F14" s="55"/>
      <c r="G14" s="55"/>
      <c r="H14" s="55">
        <v>15</v>
      </c>
      <c r="I14" s="55">
        <v>35</v>
      </c>
      <c r="J14" s="55">
        <f t="shared" si="0"/>
        <v>525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193</v>
      </c>
      <c r="E15" s="27" t="s">
        <v>194</v>
      </c>
      <c r="F15" s="55"/>
      <c r="G15" s="55"/>
      <c r="H15" s="55">
        <v>1</v>
      </c>
      <c r="I15" s="55">
        <v>40</v>
      </c>
      <c r="J15" s="55">
        <f>H15*I15</f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196</v>
      </c>
      <c r="E16" s="27" t="s">
        <v>175</v>
      </c>
      <c r="F16" s="55"/>
      <c r="G16" s="55"/>
      <c r="H16" s="55">
        <v>21</v>
      </c>
      <c r="I16" s="55">
        <v>100</v>
      </c>
      <c r="J16" s="55">
        <f t="shared" si="0"/>
        <v>2100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209</v>
      </c>
      <c r="D17" s="27" t="s">
        <v>196</v>
      </c>
      <c r="E17" s="27" t="s">
        <v>197</v>
      </c>
      <c r="F17" s="55"/>
      <c r="G17" s="55"/>
      <c r="H17" s="55">
        <v>6</v>
      </c>
      <c r="I17" s="55">
        <v>45</v>
      </c>
      <c r="J17" s="55">
        <f t="shared" si="0"/>
        <v>270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198</v>
      </c>
      <c r="D18" s="27" t="s">
        <v>196</v>
      </c>
      <c r="E18" s="27" t="s">
        <v>199</v>
      </c>
      <c r="F18" s="55"/>
      <c r="G18" s="55"/>
      <c r="H18" s="55">
        <v>5</v>
      </c>
      <c r="I18" s="55">
        <v>68</v>
      </c>
      <c r="J18" s="55">
        <f>H18*I18</f>
        <v>340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210</v>
      </c>
      <c r="D19" s="27" t="s">
        <v>182</v>
      </c>
      <c r="E19" s="27" t="s">
        <v>211</v>
      </c>
      <c r="F19" s="55"/>
      <c r="G19" s="55"/>
      <c r="H19" s="55">
        <v>7</v>
      </c>
      <c r="I19" s="55">
        <v>85</v>
      </c>
      <c r="J19" s="55">
        <f t="shared" ref="J19:J29" si="1">H19*I19</f>
        <v>595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212</v>
      </c>
      <c r="D20" s="27" t="s">
        <v>196</v>
      </c>
      <c r="E20" s="27" t="s">
        <v>219</v>
      </c>
      <c r="F20" s="55"/>
      <c r="G20" s="55"/>
      <c r="H20" s="55">
        <v>10</v>
      </c>
      <c r="I20" s="55">
        <v>11</v>
      </c>
      <c r="J20" s="55">
        <f t="shared" si="1"/>
        <v>110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213</v>
      </c>
      <c r="D21" s="27" t="s">
        <v>196</v>
      </c>
      <c r="E21" s="27" t="s">
        <v>197</v>
      </c>
      <c r="F21" s="55"/>
      <c r="G21" s="55"/>
      <c r="H21" s="55">
        <v>20</v>
      </c>
      <c r="I21" s="55">
        <v>3</v>
      </c>
      <c r="J21" s="55">
        <f t="shared" si="1"/>
        <v>60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214</v>
      </c>
      <c r="D22" s="27" t="s">
        <v>196</v>
      </c>
      <c r="E22" s="27" t="s">
        <v>220</v>
      </c>
      <c r="F22" s="55"/>
      <c r="G22" s="55"/>
      <c r="H22" s="55">
        <v>10</v>
      </c>
      <c r="I22" s="55">
        <v>7</v>
      </c>
      <c r="J22" s="55">
        <f t="shared" si="1"/>
        <v>70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215</v>
      </c>
      <c r="D23" s="27" t="s">
        <v>196</v>
      </c>
      <c r="E23" s="27" t="s">
        <v>221</v>
      </c>
      <c r="F23" s="55"/>
      <c r="G23" s="55"/>
      <c r="H23" s="55">
        <v>7</v>
      </c>
      <c r="I23" s="55">
        <v>60</v>
      </c>
      <c r="J23" s="55">
        <f t="shared" si="1"/>
        <v>420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216</v>
      </c>
      <c r="D24" s="27" t="s">
        <v>196</v>
      </c>
      <c r="E24" s="27" t="s">
        <v>222</v>
      </c>
      <c r="F24" s="55"/>
      <c r="G24" s="55"/>
      <c r="H24" s="55">
        <v>10</v>
      </c>
      <c r="I24" s="55">
        <v>75</v>
      </c>
      <c r="J24" s="55">
        <f t="shared" si="1"/>
        <v>750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 t="s">
        <v>217</v>
      </c>
      <c r="D25" s="27" t="s">
        <v>196</v>
      </c>
      <c r="E25" s="27" t="s">
        <v>223</v>
      </c>
      <c r="F25" s="55"/>
      <c r="G25" s="55"/>
      <c r="H25" s="55">
        <v>15</v>
      </c>
      <c r="I25" s="55">
        <v>11</v>
      </c>
      <c r="J25" s="55">
        <f t="shared" si="1"/>
        <v>165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 t="s">
        <v>226</v>
      </c>
      <c r="D26" s="27" t="s">
        <v>225</v>
      </c>
      <c r="E26" s="27" t="s">
        <v>197</v>
      </c>
      <c r="F26" s="55"/>
      <c r="G26" s="55"/>
      <c r="H26" s="55">
        <v>5</v>
      </c>
      <c r="I26" s="55">
        <v>110</v>
      </c>
      <c r="J26" s="55">
        <f t="shared" si="1"/>
        <v>550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 t="s">
        <v>218</v>
      </c>
      <c r="D27" s="27" t="s">
        <v>196</v>
      </c>
      <c r="E27" s="27" t="s">
        <v>224</v>
      </c>
      <c r="F27" s="55"/>
      <c r="G27" s="55"/>
      <c r="H27" s="55">
        <v>14</v>
      </c>
      <c r="I27" s="55">
        <v>15</v>
      </c>
      <c r="J27" s="55">
        <f t="shared" si="1"/>
        <v>210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 t="s">
        <v>207</v>
      </c>
      <c r="D28" s="27" t="s">
        <v>174</v>
      </c>
      <c r="E28" s="27" t="s">
        <v>227</v>
      </c>
      <c r="F28" s="55"/>
      <c r="G28" s="55"/>
      <c r="H28" s="55">
        <v>4</v>
      </c>
      <c r="I28" s="55">
        <v>50</v>
      </c>
      <c r="J28" s="55">
        <f t="shared" si="1"/>
        <v>200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 t="s">
        <v>232</v>
      </c>
      <c r="D29" s="27" t="s">
        <v>233</v>
      </c>
      <c r="E29" s="27"/>
      <c r="F29" s="55"/>
      <c r="G29" s="55"/>
      <c r="H29" s="55">
        <v>1</v>
      </c>
      <c r="I29" s="55">
        <v>60</v>
      </c>
      <c r="J29" s="55">
        <f t="shared" si="1"/>
        <v>60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19" ht="12.75" customHeight="1" x14ac:dyDescent="0.25">
      <c r="A33" s="33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</row>
    <row r="34" spans="1:19" ht="15.75" customHeight="1" x14ac:dyDescent="0.25"/>
    <row r="35" spans="1:19" ht="15.75" customHeight="1" x14ac:dyDescent="0.25"/>
    <row r="36" spans="1:19" ht="15.75" customHeight="1" x14ac:dyDescent="0.25"/>
    <row r="37" spans="1:19" ht="15.75" customHeight="1" x14ac:dyDescent="0.25"/>
    <row r="38" spans="1:19" ht="15.75" customHeight="1" x14ac:dyDescent="0.25"/>
    <row r="39" spans="1:19" ht="15.75" customHeight="1" x14ac:dyDescent="0.25"/>
    <row r="40" spans="1:19" ht="15.75" customHeight="1" x14ac:dyDescent="0.25"/>
    <row r="41" spans="1:19" ht="15.75" customHeight="1" x14ac:dyDescent="0.25"/>
    <row r="42" spans="1:19" ht="15.75" customHeight="1" x14ac:dyDescent="0.25"/>
    <row r="43" spans="1:19" ht="15.75" customHeight="1" x14ac:dyDescent="0.25"/>
    <row r="44" spans="1:19" ht="15.75" customHeight="1" x14ac:dyDescent="0.25"/>
    <row r="45" spans="1:19" ht="15.75" customHeight="1" x14ac:dyDescent="0.25"/>
    <row r="46" spans="1:19" ht="15.75" customHeight="1" x14ac:dyDescent="0.25"/>
    <row r="47" spans="1:19" ht="15.75" customHeight="1" x14ac:dyDescent="0.25"/>
    <row r="48" spans="1:19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</sheetData>
  <sheetProtection algorithmName="SHA-512" hashValue="YWpvcRzeqDp0dvkZC3vSRsHoA2JQSQjIgfEL/0qINNkeedaNsfvtZfYBVfCECHfikOHHzDwoEI7JURGe2zzfDA==" saltValue="aY78X4yS/7fbOMmn7p4aT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32 F11:J12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980"/>
  <sheetViews>
    <sheetView tabSelected="1" topLeftCell="A14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185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228</v>
      </c>
      <c r="D17" s="70" t="s">
        <v>29</v>
      </c>
      <c r="E17" s="55">
        <v>5</v>
      </c>
      <c r="F17" s="55">
        <v>61</v>
      </c>
      <c r="G17" s="55">
        <f>E17*F17</f>
        <v>305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29</v>
      </c>
      <c r="E18" s="55">
        <v>6</v>
      </c>
      <c r="F18" s="55">
        <v>6</v>
      </c>
      <c r="G18" s="55">
        <f t="shared" ref="G18:G28" si="0">E18*F18</f>
        <v>36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230</v>
      </c>
      <c r="D19" s="70" t="s">
        <v>29</v>
      </c>
      <c r="E19" s="55">
        <v>1</v>
      </c>
      <c r="F19" s="55">
        <v>61</v>
      </c>
      <c r="G19" s="55">
        <f t="shared" si="0"/>
        <v>61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29</v>
      </c>
      <c r="E20" s="55">
        <v>4</v>
      </c>
      <c r="F20" s="55">
        <v>7</v>
      </c>
      <c r="G20" s="55">
        <f t="shared" si="0"/>
        <v>28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178</v>
      </c>
      <c r="D21" s="70" t="s">
        <v>29</v>
      </c>
      <c r="E21" s="55">
        <v>4</v>
      </c>
      <c r="F21" s="55">
        <v>6</v>
      </c>
      <c r="G21" s="55">
        <f t="shared" si="0"/>
        <v>24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237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179</v>
      </c>
      <c r="D23" s="70" t="s">
        <v>29</v>
      </c>
      <c r="E23" s="55">
        <v>6</v>
      </c>
      <c r="F23" s="55">
        <v>4</v>
      </c>
      <c r="G23" s="55">
        <f t="shared" si="0"/>
        <v>24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180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181</v>
      </c>
      <c r="D25" s="70" t="s">
        <v>29</v>
      </c>
      <c r="E25" s="55">
        <v>4</v>
      </c>
      <c r="F25" s="55">
        <v>8</v>
      </c>
      <c r="G25" s="55">
        <f t="shared" si="0"/>
        <v>32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200</v>
      </c>
      <c r="D26" s="70" t="s">
        <v>29</v>
      </c>
      <c r="E26" s="55">
        <v>1</v>
      </c>
      <c r="F26" s="55">
        <v>110</v>
      </c>
      <c r="G26" s="55">
        <f t="shared" si="0"/>
        <v>110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229</v>
      </c>
      <c r="D27" s="70" t="s">
        <v>29</v>
      </c>
      <c r="E27" s="55">
        <v>1</v>
      </c>
      <c r="F27" s="55">
        <v>2</v>
      </c>
      <c r="G27" s="55">
        <f t="shared" si="0"/>
        <v>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201</v>
      </c>
      <c r="D28" s="70" t="s">
        <v>29</v>
      </c>
      <c r="E28" s="55">
        <v>1</v>
      </c>
      <c r="F28" s="55">
        <v>32</v>
      </c>
      <c r="G28" s="55">
        <f t="shared" si="0"/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202</v>
      </c>
      <c r="D29" s="70" t="s">
        <v>29</v>
      </c>
      <c r="E29" s="55">
        <v>1</v>
      </c>
      <c r="F29" s="55">
        <v>43</v>
      </c>
      <c r="G29" s="55">
        <f t="shared" ref="G29:G33" si="1">E29*F29</f>
        <v>43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186</v>
      </c>
      <c r="D30" s="70" t="s">
        <v>29</v>
      </c>
      <c r="E30" s="55">
        <v>1</v>
      </c>
      <c r="F30" s="55">
        <v>70</v>
      </c>
      <c r="G30" s="55">
        <f t="shared" si="1"/>
        <v>70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231</v>
      </c>
      <c r="D31" s="70" t="s">
        <v>29</v>
      </c>
      <c r="E31" s="55">
        <v>1</v>
      </c>
      <c r="F31" s="55">
        <v>61</v>
      </c>
      <c r="G31" s="55">
        <f>E31*F31</f>
        <v>61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1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1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985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78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30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S2FkxzS+EGP5CqhLwvUcehZL6umgh5BRDgZ7GXJ114EjW91TkpP25n/HCBAjURflLzqgfStKqatPidEoi/w5IQ==" saltValue="pM01LVJl0sSUlRT7RcRM4w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6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topLeftCell="C1" workbookViewId="0">
      <selection activeCell="E20" sqref="E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235</v>
      </c>
      <c r="N12" s="90" t="s">
        <v>236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30</v>
      </c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20</v>
      </c>
      <c r="N14" s="55">
        <v>25</v>
      </c>
      <c r="P14" s="88">
        <f t="shared" ref="P14:P22" si="0">SUM(D14:N14)</f>
        <v>95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234</v>
      </c>
      <c r="D15" s="55"/>
      <c r="E15" s="55">
        <v>20</v>
      </c>
      <c r="F15" s="55"/>
      <c r="G15" s="55">
        <v>40</v>
      </c>
      <c r="H15" s="55"/>
      <c r="I15" s="55"/>
      <c r="J15" s="55"/>
      <c r="K15" s="55"/>
      <c r="L15" s="55"/>
      <c r="M15" s="55"/>
      <c r="N15" s="55"/>
      <c r="P15" s="88">
        <f t="shared" si="0"/>
        <v>60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130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20</v>
      </c>
      <c r="N30" s="88">
        <f t="shared" si="1"/>
        <v>25</v>
      </c>
      <c r="P30" s="89">
        <f>SUM(P13:P22)</f>
        <v>225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Ronna</cp:lastModifiedBy>
  <dcterms:created xsi:type="dcterms:W3CDTF">2018-05-11T08:46:15Z</dcterms:created>
  <dcterms:modified xsi:type="dcterms:W3CDTF">2018-06-03T07:08:57Z</dcterms:modified>
</cp:coreProperties>
</file>