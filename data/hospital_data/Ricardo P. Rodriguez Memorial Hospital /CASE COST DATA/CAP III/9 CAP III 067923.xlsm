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CAP III REVISE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8" i="9" l="1"/>
  <c r="G19" i="9"/>
  <c r="G20" i="9"/>
  <c r="G21" i="9"/>
  <c r="G22" i="9"/>
  <c r="G23" i="9"/>
  <c r="G24" i="9"/>
  <c r="G25" i="9"/>
  <c r="G26" i="9"/>
  <c r="J20" i="2" l="1"/>
  <c r="G28" i="9" l="1"/>
  <c r="G27" i="9"/>
  <c r="J13" i="2" l="1"/>
  <c r="G29" i="9"/>
  <c r="G32" i="9"/>
  <c r="J14" i="2" l="1"/>
  <c r="J17" i="2"/>
  <c r="J18" i="2"/>
  <c r="G16" i="9" l="1"/>
  <c r="G17" i="9"/>
  <c r="J12" i="2"/>
  <c r="J15" i="2"/>
  <c r="J16" i="2"/>
  <c r="J19" i="2"/>
  <c r="J21" i="2"/>
  <c r="J25" i="2"/>
  <c r="J26" i="2"/>
  <c r="G30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J24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<sst xmlns="http://schemas.openxmlformats.org/spreadsheetml/2006/main" count="515" uniqueCount="213">
  <si>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</si>
  <si>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</si>
  <si>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</si>
  <si>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</si>
  <si>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</si>
  <si>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</si>
  <si>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</si>
  <si>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</si>
  <si>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</si>
  <si>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</si>
  <si>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</si>
  <si>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</si>
  <si>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</si>
  <si>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</si>
  <si>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</si>
  <si>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</si>
  <si>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</si>
  <si>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</si>
  <si>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</si>
  <si>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</si>
  <si>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</si>
  <si>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</si>
  <si>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</si>
  <si>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</si>
  <si>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</si>
  <si>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</si>
  <si>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</si>
  <si>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</si>
  <si>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</si>
  <si>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</si>
  <si>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</si>
  <si>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</si>
  <si>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</si>
  <si>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</si>
  <si>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</si>
  <si>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</si>
  <si>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</si>
  <si>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</si>
  <si>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</si>
  <si>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</si>
  <si>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</si>
  <si>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</si>
  <si>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</si>
  <si>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</si>
  <si>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</si>
  <si>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</si>
  <si>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</si>
  <si>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</si>
  <si>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</si>
  <si>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</si>
  <si>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</si>
  <si>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</si>
  <si>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</si>
  <si>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</si>
  <si>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</si>
  <si>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</si>
  <si>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</si>
  <si>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</si>
  <si>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</si>
  <si>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</si>
  <si>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</si>
  <si>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</si>
  <si>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</si>
  <si>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</si>
  <si>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</si>
  <si>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</si>
  <si>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</si>
  <si>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</si>
  <si>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</si>
  <si>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</si>
  <si>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</si>
  <si>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</si>
  <si>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</si>
  <si>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</si>
  <si>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</si>
  <si>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</si>
  <si>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</si>
  <si>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</si>
  <si>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</si>
  <si>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</si>
  <si>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</si>
  <si>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</si>
  <si>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</si>
  <si>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</si>
  <si>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</si>
  <si>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</si>
  <si>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</si>
  <si>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</si>
  <si>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</si>
  <si>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</si>
  <si>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</si>
  <si>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</si>
  <si>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</si>
  <si>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</si>
  <si>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</si>
  <si>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</si>
  <si>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</si>
  <si>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</si>
  <si>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</si>
  <si>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</si>
  <si>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</si>
  <si>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</si>
  <si>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</si>
  <si>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</si>
  <si>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</si>
  <si>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</si>
  <si>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</si>
  <si>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</si>
  <si>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</si>
  <si>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</si>
  <si>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</si>
  <si>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</si>
  <si>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</si>
  <si>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</si>
  <si>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</si>
  <si>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</si>
  <si>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</si>
  <si>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</si>
  <si>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</si>
  <si>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</si>
  <si>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</si>
  <si>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</si>
  <si>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</si>
  <si>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</si>
  <si>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</si>
  <si>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</si>
  <si>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</si>
  <si>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</si>
  <si>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</si>
  <si>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</si>
  <si>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</si>
  <si>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</si>
  <si>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</si>
  <si>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</si>
  <si>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</si>
  <si>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</si>
  <si>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</si>
  <si>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</si>
  <si>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</si>
  <si>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</si>
  <si>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</si>
  <si>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</si>
  <si>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</si>
  <si>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</si>
  <si>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</si>
  <si>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</si>
  <si>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</si>
  <si>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</si>
  <si>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</si>
  <si>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</si>
  <si>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</si>
  <si>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</si>
  <si>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</si>
  <si>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</si>
  <si>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</si>
  <si>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</si>
  <si>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</si>
  <si>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</si>
  <si>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</si>
  <si>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</si>
  <si>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</si>
  <si>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</si>
  <si>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</si>
  <si>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</si>
  <si>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</si>
  <si>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</si>
  <si>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PLATELET COUNT</t>
  </si>
  <si>
    <t>ROOM AND BOARD</t>
  </si>
  <si>
    <t>GARBAGE FEE</t>
  </si>
  <si>
    <t>DRUGS AND MEDICINES</t>
  </si>
  <si>
    <t>MEDICAL SUPPLIES</t>
  </si>
  <si>
    <t>X-RAY</t>
  </si>
  <si>
    <t>LABORATORY EXAM</t>
  </si>
  <si>
    <t>PROFESSIONAL FEE</t>
  </si>
  <si>
    <t>D50.3 NACL</t>
  </si>
  <si>
    <t>BOTTLE/IV</t>
  </si>
  <si>
    <t>VIAL/IV</t>
  </si>
  <si>
    <t>SYRUP/ORAL</t>
  </si>
  <si>
    <t>500 ml</t>
  </si>
  <si>
    <t>750 mg</t>
  </si>
  <si>
    <t>DISPOSABLE MASK</t>
  </si>
  <si>
    <t>1CC SYRINGE</t>
  </si>
  <si>
    <t>3CC SYRINGE</t>
  </si>
  <si>
    <t>GLOVES UNSTERILE MEDIUM</t>
  </si>
  <si>
    <t>DIGITAL THERMOMETER</t>
  </si>
  <si>
    <t>AMPULE/IV</t>
  </si>
  <si>
    <t>CEFUROXIME (ZIOMET)</t>
  </si>
  <si>
    <t xml:space="preserve">CEFUROXIME </t>
  </si>
  <si>
    <t>IV SET PEDIA</t>
  </si>
  <si>
    <t>SALBUTAMOL</t>
  </si>
  <si>
    <t>NEBULE/INH</t>
  </si>
  <si>
    <t>1 mg/ml</t>
  </si>
  <si>
    <t>SALBUTAMOL/IPATROPIUM</t>
  </si>
  <si>
    <t>2.50 mg/500 mcg/2.5 ml</t>
  </si>
  <si>
    <t>2 mg/5 ml</t>
  </si>
  <si>
    <t>CLARITHROMYCIN</t>
  </si>
  <si>
    <t>SUSPENSION/ORAL</t>
  </si>
  <si>
    <t>125 mg/ml</t>
  </si>
  <si>
    <t>ID BRACELET</t>
  </si>
  <si>
    <t>NEBULIZING KIT</t>
  </si>
  <si>
    <t>CHEST AP/LATERAL 10X12</t>
  </si>
  <si>
    <t>D5 IMB</t>
  </si>
  <si>
    <t>GENTAMICIN</t>
  </si>
  <si>
    <t>40 mg/ml</t>
  </si>
  <si>
    <t>CARBOCISTEINE</t>
  </si>
  <si>
    <t>50 mg/ml</t>
  </si>
  <si>
    <t>SOLUSET</t>
  </si>
  <si>
    <t>IV CATHETER G22</t>
  </si>
  <si>
    <t>IV CATHETER G26</t>
  </si>
  <si>
    <t>Consultation in the ER</t>
  </si>
  <si>
    <t>MED. TECH</t>
  </si>
  <si>
    <t>RAD. TECH</t>
  </si>
  <si>
    <t>ADHESIVE PLASTER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</si>
</sst>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7" zoomScaleNormal="100" workbookViewId="0">
      <selection activeCell="H35" sqref="H3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200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hidden="1" customHeight="1" thickBot="1" x14ac:dyDescent="0.35">
      <c r="A43" s="1"/>
      <c r="B43" s="118" t="s">
        <v>46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hidden="1" customHeight="1" x14ac:dyDescent="0.3">
      <c r="A44" s="1"/>
      <c r="B44" s="14" t="s">
        <v>47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hidden="1" customHeight="1" thickBot="1" x14ac:dyDescent="0.35">
      <c r="A45" s="1"/>
      <c r="B45" s="115" t="s">
        <v>55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hidden="1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hidden="1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hidden="1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57</v>
      </c>
      <c r="C59" s="17" t="s">
        <v>53</v>
      </c>
      <c r="D59" s="17" t="s">
        <v>58</v>
      </c>
      <c r="E59" s="18" t="s">
        <v>59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167</v>
      </c>
      <c r="D60" s="55">
        <v>800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168</v>
      </c>
      <c r="D61" s="55">
        <v>20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169</v>
      </c>
      <c r="D62" s="55">
        <v>1850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170</v>
      </c>
      <c r="D63" s="55">
        <v>861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171</v>
      </c>
      <c r="D64" s="55">
        <v>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172</v>
      </c>
      <c r="D65" s="55">
        <v>250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173</v>
      </c>
      <c r="D66" s="55">
        <v>4500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8531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15" sqref="H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201</v>
      </c>
      <c r="D11" s="27" t="s">
        <v>175</v>
      </c>
      <c r="E11" s="27" t="s">
        <v>178</v>
      </c>
      <c r="F11" s="55"/>
      <c r="G11" s="55"/>
      <c r="H11" s="55">
        <v>1</v>
      </c>
      <c r="I11" s="55">
        <v>80</v>
      </c>
      <c r="J11" s="55">
        <f>H11*I11</f>
        <v>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174</v>
      </c>
      <c r="D12" s="27" t="s">
        <v>175</v>
      </c>
      <c r="E12" s="27" t="s">
        <v>178</v>
      </c>
      <c r="F12" s="55"/>
      <c r="G12" s="55"/>
      <c r="H12" s="55">
        <v>1</v>
      </c>
      <c r="I12" s="55">
        <v>80</v>
      </c>
      <c r="J12" s="55">
        <f t="shared" ref="J12:J26" si="0">H12*I12</f>
        <v>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186</v>
      </c>
      <c r="D13" s="27" t="s">
        <v>176</v>
      </c>
      <c r="E13" s="27" t="s">
        <v>179</v>
      </c>
      <c r="F13" s="55"/>
      <c r="G13" s="55"/>
      <c r="H13" s="55">
        <v>2</v>
      </c>
      <c r="I13" s="55">
        <v>495</v>
      </c>
      <c r="J13" s="55">
        <f t="shared" ref="J13:J21" si="1">H13*I13</f>
        <v>990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187</v>
      </c>
      <c r="D14" s="27" t="s">
        <v>176</v>
      </c>
      <c r="E14" s="27" t="s">
        <v>179</v>
      </c>
      <c r="F14" s="55"/>
      <c r="G14" s="55"/>
      <c r="H14" s="55">
        <v>2</v>
      </c>
      <c r="I14" s="55">
        <v>55</v>
      </c>
      <c r="J14" s="55">
        <f t="shared" si="1"/>
        <v>110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202</v>
      </c>
      <c r="D15" s="27" t="s">
        <v>185</v>
      </c>
      <c r="E15" s="27" t="s">
        <v>203</v>
      </c>
      <c r="F15" s="55"/>
      <c r="G15" s="55"/>
      <c r="H15" s="55">
        <v>2</v>
      </c>
      <c r="I15" s="55">
        <v>25</v>
      </c>
      <c r="J15" s="55">
        <f t="shared" si="1"/>
        <v>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189</v>
      </c>
      <c r="D16" s="27" t="s">
        <v>190</v>
      </c>
      <c r="E16" s="27" t="s">
        <v>191</v>
      </c>
      <c r="F16" s="55"/>
      <c r="G16" s="55"/>
      <c r="H16" s="55">
        <v>7</v>
      </c>
      <c r="I16" s="55">
        <v>15</v>
      </c>
      <c r="J16" s="55">
        <f t="shared" si="1"/>
        <v>105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192</v>
      </c>
      <c r="D17" s="27" t="s">
        <v>190</v>
      </c>
      <c r="E17" s="27" t="s">
        <v>193</v>
      </c>
      <c r="F17" s="55"/>
      <c r="G17" s="55"/>
      <c r="H17" s="55">
        <v>3</v>
      </c>
      <c r="I17" s="55">
        <v>35</v>
      </c>
      <c r="J17" s="55">
        <f t="shared" si="1"/>
        <v>105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195</v>
      </c>
      <c r="D18" s="27" t="s">
        <v>196</v>
      </c>
      <c r="E18" s="27" t="s">
        <v>197</v>
      </c>
      <c r="F18" s="55"/>
      <c r="G18" s="55"/>
      <c r="H18" s="55">
        <v>1</v>
      </c>
      <c r="I18" s="55">
        <v>260</v>
      </c>
      <c r="J18" s="55">
        <f t="shared" si="1"/>
        <v>260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189</v>
      </c>
      <c r="D19" s="27" t="s">
        <v>177</v>
      </c>
      <c r="E19" s="27" t="s">
        <v>194</v>
      </c>
      <c r="F19" s="55"/>
      <c r="G19" s="55"/>
      <c r="H19" s="55">
        <v>1</v>
      </c>
      <c r="I19" s="55">
        <v>35</v>
      </c>
      <c r="J19" s="55">
        <f t="shared" si="1"/>
        <v>35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204</v>
      </c>
      <c r="D20" s="27" t="s">
        <v>196</v>
      </c>
      <c r="E20" s="27" t="s">
        <v>205</v>
      </c>
      <c r="F20" s="55"/>
      <c r="G20" s="55"/>
      <c r="H20" s="55">
        <v>1</v>
      </c>
      <c r="I20" s="55">
        <v>35</v>
      </c>
      <c r="J20" s="55">
        <f t="shared" si="1"/>
        <v>35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1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>SUM(J11:J21)</f>
        <v>1850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k92ez0S2ZNvSwLmCSUkYUMXlUy6zTbT0fclRImt1DXmstJw05TQFPvOx+jPNh+x0jxXO1Sc+pEMR+qXWNKBiyA==" saltValue="txOUnjZGUg50RxLXVP7Stw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4:J26 F11:J12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A12" workbookViewId="0">
      <selection activeCell="C17" sqref="C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198</v>
      </c>
      <c r="D16" s="70" t="s">
        <v>29</v>
      </c>
      <c r="E16" s="55">
        <v>1</v>
      </c>
      <c r="F16" s="55">
        <v>7</v>
      </c>
      <c r="G16" s="55">
        <f>E16*F16</f>
        <v>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212</v>
      </c>
      <c r="D17" s="70" t="s">
        <v>29</v>
      </c>
      <c r="E17" s="55">
        <v>1</v>
      </c>
      <c r="F17" s="55">
        <v>65</v>
      </c>
      <c r="G17" s="55">
        <f>E17*F17</f>
        <v>65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184</v>
      </c>
      <c r="D18" s="70" t="s">
        <v>29</v>
      </c>
      <c r="E18" s="55">
        <v>1</v>
      </c>
      <c r="F18" s="55">
        <v>85</v>
      </c>
      <c r="G18" s="55">
        <f t="shared" ref="G18:G26" si="0">E18*F18</f>
        <v>85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188</v>
      </c>
      <c r="D19" s="70" t="s">
        <v>29</v>
      </c>
      <c r="E19" s="55">
        <v>1</v>
      </c>
      <c r="F19" s="55">
        <v>35</v>
      </c>
      <c r="G19" s="55">
        <f t="shared" si="0"/>
        <v>35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199</v>
      </c>
      <c r="D20" s="70" t="s">
        <v>29</v>
      </c>
      <c r="E20" s="55">
        <v>2</v>
      </c>
      <c r="F20" s="55">
        <v>70</v>
      </c>
      <c r="G20" s="55">
        <f t="shared" si="0"/>
        <v>140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180</v>
      </c>
      <c r="D21" s="70" t="s">
        <v>29</v>
      </c>
      <c r="E21" s="55">
        <v>2</v>
      </c>
      <c r="F21" s="55">
        <v>6</v>
      </c>
      <c r="G21" s="55">
        <f t="shared" si="0"/>
        <v>12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183</v>
      </c>
      <c r="D22" s="70" t="s">
        <v>29</v>
      </c>
      <c r="E22" s="55">
        <v>2</v>
      </c>
      <c r="F22" s="55">
        <v>4</v>
      </c>
      <c r="G22" s="55">
        <f t="shared" si="0"/>
        <v>8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181</v>
      </c>
      <c r="D23" s="70" t="s">
        <v>29</v>
      </c>
      <c r="E23" s="55">
        <v>5</v>
      </c>
      <c r="F23" s="55">
        <v>7</v>
      </c>
      <c r="G23" s="55">
        <f t="shared" si="0"/>
        <v>35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182</v>
      </c>
      <c r="D24" s="70" t="s">
        <v>29</v>
      </c>
      <c r="E24" s="55">
        <v>5</v>
      </c>
      <c r="F24" s="55">
        <v>6</v>
      </c>
      <c r="G24" s="55">
        <f t="shared" si="0"/>
        <v>30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206</v>
      </c>
      <c r="D25" s="70" t="s">
        <v>29</v>
      </c>
      <c r="E25" s="55">
        <v>1</v>
      </c>
      <c r="F25" s="55">
        <v>200</v>
      </c>
      <c r="G25" s="55">
        <f t="shared" si="0"/>
        <v>200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207</v>
      </c>
      <c r="D26" s="70" t="s">
        <v>29</v>
      </c>
      <c r="E26" s="55">
        <v>1</v>
      </c>
      <c r="F26" s="55">
        <v>61</v>
      </c>
      <c r="G26" s="55">
        <f t="shared" si="0"/>
        <v>61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208</v>
      </c>
      <c r="D27" s="70" t="s">
        <v>29</v>
      </c>
      <c r="E27" s="55">
        <v>3</v>
      </c>
      <c r="F27" s="55">
        <v>61</v>
      </c>
      <c r="G27" s="55">
        <f t="shared" ref="G27:G28" si="1">E27*F27</f>
        <v>183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>
        <f t="shared" si="1"/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ref="G29:G32" si="2">E29*F29</f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>SUM(G16:G28)</f>
        <v>861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2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6" t="s">
        <v>78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6" t="s">
        <v>30</v>
      </c>
      <c r="C44" s="137"/>
      <c r="D44" s="137"/>
      <c r="E44" s="137"/>
      <c r="F44" s="137"/>
      <c r="G44" s="138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/+KOsSKC6SA5T6Ndx6ysLeD1P1KZIpoZ6kj/vuhuF3iUwAEb3G7Pdn87sBIABNmPrXTUYxc2QYdhcO1KgFtUxA==" saltValue="t5CK5vuQvv8rLKeZXwiQWw==" spinCount="100000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G26 E25:G25 E27:G28 G18 E16:G17 E19:G21 G22:G24 E30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1" workbookViewId="0">
      <selection activeCell="G16" sqref="G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210</v>
      </c>
      <c r="N12" s="90" t="s">
        <v>211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20</v>
      </c>
      <c r="F13" s="55"/>
      <c r="G13" s="55">
        <v>40</v>
      </c>
      <c r="H13" s="55"/>
      <c r="I13" s="55"/>
      <c r="J13" s="55"/>
      <c r="K13" s="55"/>
      <c r="L13" s="55"/>
      <c r="M13" s="55"/>
      <c r="N13" s="55"/>
      <c r="P13" s="88">
        <f>SUM(D13:N13)</f>
        <v>60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30</v>
      </c>
      <c r="H14" s="55"/>
      <c r="I14" s="55"/>
      <c r="J14" s="55"/>
      <c r="K14" s="55"/>
      <c r="L14" s="55"/>
      <c r="M14" s="55">
        <v>15</v>
      </c>
      <c r="N14" s="55">
        <v>15</v>
      </c>
      <c r="P14" s="88">
        <f t="shared" ref="P14:P22" si="0">SUM(D14:N14)</f>
        <v>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209</v>
      </c>
      <c r="D15" s="55"/>
      <c r="E15" s="55">
        <v>15</v>
      </c>
      <c r="F15" s="55"/>
      <c r="G15" s="55">
        <v>25</v>
      </c>
      <c r="H15" s="55"/>
      <c r="I15" s="55"/>
      <c r="J15" s="55"/>
      <c r="K15" s="55"/>
      <c r="L15" s="55"/>
      <c r="M15" s="55"/>
      <c r="N15" s="55"/>
      <c r="P15" s="88">
        <f t="shared" si="0"/>
        <v>40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35</v>
      </c>
      <c r="F30" s="88">
        <f t="shared" si="1"/>
        <v>0</v>
      </c>
      <c r="G30" s="88">
        <f t="shared" si="1"/>
        <v>95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15</v>
      </c>
      <c r="N30" s="88">
        <f t="shared" si="1"/>
        <v>15</v>
      </c>
      <c r="P30" s="89">
        <f>SUM(P13:P22)</f>
        <v>160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2018-06-04T02:00:57Z</dcterms:modified>
</cp:coreProperties>
</file>