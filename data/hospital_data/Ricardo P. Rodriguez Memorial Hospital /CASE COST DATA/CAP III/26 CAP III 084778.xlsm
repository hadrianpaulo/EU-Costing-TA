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CAP III REVISE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1" i="9" l="1"/>
  <c r="G33" i="9"/>
  <c r="J15" i="2"/>
  <c r="J17" i="2"/>
  <c r="J16" i="2"/>
  <c r="J14" i="2"/>
  <c r="J13" i="2" l="1"/>
  <c r="J12" i="2"/>
  <c r="J11" i="2"/>
  <c r="G30" i="9"/>
  <c r="J20" i="2"/>
  <c r="G28" i="9" l="1"/>
  <c r="G27" i="9"/>
  <c r="G26" i="9"/>
  <c r="G18" i="9"/>
  <c r="G25" i="9"/>
  <c r="G34" i="9" s="1"/>
  <c r="G24" i="9"/>
  <c r="G23" i="9"/>
  <c r="G22" i="9"/>
  <c r="G21" i="9"/>
  <c r="G20" i="9"/>
  <c r="G19" i="9"/>
  <c r="G29" i="9" l="1"/>
  <c r="G32" i="9"/>
  <c r="J18" i="2" l="1"/>
  <c r="G16" i="9" l="1"/>
  <c r="G17" i="9"/>
  <c r="J19" i="2"/>
  <c r="J21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24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<sst xmlns="http://schemas.openxmlformats.org/spreadsheetml/2006/main" count="526" uniqueCount="219">
  <si>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</si>
  <si>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</si>
  <si>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</si>
  <si>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</si>
  <si>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</si>
  <si>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</si>
  <si>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</si>
  <si>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</si>
  <si>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</si>
  <si>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</si>
  <si>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</si>
  <si>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</si>
  <si>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</si>
  <si>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</si>
  <si>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</si>
  <si>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</si>
  <si>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</si>
  <si>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</si>
  <si>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</si>
  <si>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</si>
  <si>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</si>
  <si>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</si>
  <si>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</si>
  <si>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</si>
  <si>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</si>
  <si>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</si>
  <si>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</si>
  <si>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</si>
  <si>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</si>
  <si>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</si>
  <si>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</si>
  <si>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</si>
  <si>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</si>
  <si>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</si>
  <si>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</si>
  <si>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</si>
  <si>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</si>
  <si>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</si>
  <si>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</si>
  <si>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</si>
  <si>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</si>
  <si>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</si>
  <si>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</si>
  <si>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</si>
  <si>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</si>
  <si>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</si>
  <si>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</si>
  <si>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</si>
  <si>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</si>
  <si>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</si>
  <si>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</si>
  <si>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</si>
  <si>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</si>
  <si>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</si>
  <si>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</si>
  <si>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</si>
  <si>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</si>
  <si>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</si>
  <si>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</si>
  <si>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</si>
  <si>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</si>
  <si>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</si>
  <si>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</si>
  <si>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</si>
  <si>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</si>
  <si>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</si>
  <si>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</si>
  <si>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</si>
  <si>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</si>
  <si>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</si>
  <si>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</si>
  <si>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</si>
  <si>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</si>
  <si>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</si>
  <si>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</si>
  <si>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</si>
  <si>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</si>
  <si>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</si>
  <si>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</si>
  <si>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</si>
  <si>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</si>
  <si>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</si>
  <si>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</si>
  <si>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</si>
  <si>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</si>
  <si>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</si>
  <si>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</si>
  <si>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</si>
  <si>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</si>
  <si>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</si>
  <si>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</si>
  <si>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</si>
  <si>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</si>
  <si>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</si>
  <si>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</si>
  <si>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</si>
  <si>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</si>
  <si>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</si>
  <si>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</si>
  <si>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</si>
  <si>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</si>
  <si>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</si>
  <si>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</si>
  <si>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</si>
  <si>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</si>
  <si>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</si>
  <si>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</si>
  <si>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</si>
  <si>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</si>
  <si>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</si>
  <si>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</si>
  <si>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</si>
  <si>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</si>
  <si>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</si>
  <si>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</si>
  <si>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</si>
  <si>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</si>
  <si>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</si>
  <si>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</si>
  <si>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</si>
  <si>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</si>
  <si>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</si>
  <si>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</si>
  <si>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</si>
  <si>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</si>
  <si>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</si>
  <si>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</si>
  <si>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</si>
  <si>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</si>
  <si>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</si>
  <si>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</si>
  <si>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</si>
  <si>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</si>
  <si>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</si>
  <si>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</si>
  <si>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</si>
  <si>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</si>
  <si>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</si>
  <si>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</si>
  <si>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</si>
  <si>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</si>
  <si>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</si>
  <si>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</si>
  <si>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</si>
  <si>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</si>
  <si>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</si>
  <si>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</si>
  <si>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</si>
  <si>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</si>
  <si>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</si>
  <si>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</si>
  <si>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</si>
  <si>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</si>
  <si>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</si>
  <si>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</si>
  <si>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</si>
  <si>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</si>
  <si>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</si>
  <si>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</si>
  <si>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</si>
  <si>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</si>
  <si>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</si>
  <si>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</si>
  <si>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</si>
  <si>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</si>
  <si>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</si>
  <si>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</si>
  <si>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</si>
  <si>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</si>
  <si>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</si>
  <si>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</si>
  <si>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</si>
  <si>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</si>
  <si>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BOTTLE/IV</t>
  </si>
  <si>
    <t>VIAL/IV</t>
  </si>
  <si>
    <t>750 mg</t>
  </si>
  <si>
    <t>DISPOSABLE MASK</t>
  </si>
  <si>
    <t>1CC SYRINGE</t>
  </si>
  <si>
    <t>3CC SYRINGE</t>
  </si>
  <si>
    <t>GLOVES UNSTERILE MEDIUM</t>
  </si>
  <si>
    <t>DIGITAL THERMOMETER</t>
  </si>
  <si>
    <t>10CC SYRINGE</t>
  </si>
  <si>
    <t>HEPLOCK</t>
  </si>
  <si>
    <t>5CC SYRINGE</t>
  </si>
  <si>
    <t>SALBUTAMOL</t>
  </si>
  <si>
    <t>NEBULE/INH</t>
  </si>
  <si>
    <t>1 mg/ml</t>
  </si>
  <si>
    <t>2.50 mg/500 mcg/2.5 ml</t>
  </si>
  <si>
    <t>ID BRACELET</t>
  </si>
  <si>
    <t>NEBULIZING KIT</t>
  </si>
  <si>
    <t>CHEM 8 (FBS,BUN,CREA,BUA,TC,TAG,HDL,LDL)</t>
  </si>
  <si>
    <t>CHEST PA 14X17</t>
  </si>
  <si>
    <t>ECG</t>
  </si>
  <si>
    <t>0.9 NACL</t>
  </si>
  <si>
    <t>1000 ml</t>
  </si>
  <si>
    <t>CIPROFLOXACIN</t>
  </si>
  <si>
    <t>2 mg/100 ml</t>
  </si>
  <si>
    <t>STERILE WATER FOR INJECTION</t>
  </si>
  <si>
    <t>POLYAMPULE/IV</t>
  </si>
  <si>
    <t>10 ml</t>
  </si>
  <si>
    <t>AMPICILLIN+SULBACTAM</t>
  </si>
  <si>
    <t>TABLET/ORAL</t>
  </si>
  <si>
    <t>500 mg</t>
  </si>
  <si>
    <t>ACETYLCYSTEINE</t>
  </si>
  <si>
    <t>600 mg</t>
  </si>
  <si>
    <t xml:space="preserve">IV CATHETER G 22 </t>
  </si>
  <si>
    <t>IV SPLINT ADULT</t>
  </si>
  <si>
    <t>NEONATAL CANNULA</t>
  </si>
  <si>
    <t>IV SET ADULT</t>
  </si>
  <si>
    <t>NASAL CANNULA ADULT</t>
  </si>
  <si>
    <t>MALE URINAL</t>
  </si>
  <si>
    <t>SOLUSET</t>
  </si>
  <si>
    <t>OXYGEN FEE</t>
  </si>
  <si>
    <t>TANK/INH</t>
  </si>
  <si>
    <t>MED. TECH</t>
  </si>
  <si>
    <t>RAD. TECH</t>
  </si>
  <si>
    <t>Consultation in the ER</t>
  </si>
  <si>
    <t>SALBUTAMOL/IPRATROPIUM</t>
  </si>
  <si>
    <t>ADHESIVE PLASTER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</si>
</sst>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27" zoomScaleNormal="100" workbookViewId="0">
      <selection activeCell="B33" sqref="B33:F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191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 t="s">
        <v>192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hidden="1" customHeight="1" thickBot="1" x14ac:dyDescent="0.35">
      <c r="A43" s="1"/>
      <c r="B43" s="118" t="s">
        <v>46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thickBot="1" x14ac:dyDescent="0.35">
      <c r="A45" s="1"/>
      <c r="B45" s="115" t="s">
        <v>55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546</v>
      </c>
      <c r="E60" s="55">
        <v>654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>
        <v>30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6890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169</v>
      </c>
      <c r="D63" s="55">
        <v>1284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>
        <v>170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171</v>
      </c>
      <c r="D65" s="55">
        <v>1070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172</v>
      </c>
      <c r="D66" s="55">
        <v>4500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212</v>
      </c>
      <c r="D67" s="55">
        <v>390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192</v>
      </c>
      <c r="D68" s="55">
        <v>120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654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9" workbookViewId="0">
      <selection activeCell="D27" sqref="D2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193</v>
      </c>
      <c r="D11" s="27" t="s">
        <v>173</v>
      </c>
      <c r="E11" s="27" t="s">
        <v>194</v>
      </c>
      <c r="F11" s="55"/>
      <c r="G11" s="55"/>
      <c r="H11" s="55">
        <v>6</v>
      </c>
      <c r="I11" s="55">
        <v>80</v>
      </c>
      <c r="J11" s="55">
        <f t="shared" ref="J11:J17" si="0">H11*I11</f>
        <v>480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195</v>
      </c>
      <c r="D12" s="27" t="s">
        <v>174</v>
      </c>
      <c r="E12" s="27" t="s">
        <v>196</v>
      </c>
      <c r="F12" s="55"/>
      <c r="G12" s="55"/>
      <c r="H12" s="55">
        <v>13</v>
      </c>
      <c r="I12" s="55">
        <v>260</v>
      </c>
      <c r="J12" s="55">
        <f t="shared" si="0"/>
        <v>3380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185</v>
      </c>
      <c r="E13" s="27" t="s">
        <v>186</v>
      </c>
      <c r="F13" s="55"/>
      <c r="G13" s="55"/>
      <c r="H13" s="55">
        <v>12</v>
      </c>
      <c r="I13" s="55">
        <v>15</v>
      </c>
      <c r="J13" s="55">
        <f t="shared" si="0"/>
        <v>180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217</v>
      </c>
      <c r="D14" s="27" t="s">
        <v>185</v>
      </c>
      <c r="E14" s="27" t="s">
        <v>187</v>
      </c>
      <c r="F14" s="55"/>
      <c r="G14" s="55"/>
      <c r="H14" s="55">
        <v>6</v>
      </c>
      <c r="I14" s="55">
        <v>35</v>
      </c>
      <c r="J14" s="55">
        <f t="shared" si="0"/>
        <v>210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197</v>
      </c>
      <c r="D15" s="27" t="s">
        <v>198</v>
      </c>
      <c r="E15" s="27" t="s">
        <v>199</v>
      </c>
      <c r="F15" s="55"/>
      <c r="G15" s="55"/>
      <c r="H15" s="55">
        <v>1</v>
      </c>
      <c r="I15" s="55">
        <v>40</v>
      </c>
      <c r="J15" s="55">
        <f>H15*I15</f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200</v>
      </c>
      <c r="D16" s="27" t="s">
        <v>201</v>
      </c>
      <c r="E16" s="27" t="s">
        <v>175</v>
      </c>
      <c r="F16" s="55"/>
      <c r="G16" s="55"/>
      <c r="H16" s="55">
        <v>21</v>
      </c>
      <c r="I16" s="55">
        <v>100</v>
      </c>
      <c r="J16" s="55">
        <f t="shared" si="0"/>
        <v>2100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195</v>
      </c>
      <c r="D17" s="27" t="s">
        <v>201</v>
      </c>
      <c r="E17" s="27" t="s">
        <v>202</v>
      </c>
      <c r="F17" s="55"/>
      <c r="G17" s="55"/>
      <c r="H17" s="55">
        <v>20</v>
      </c>
      <c r="I17" s="55">
        <v>8</v>
      </c>
      <c r="J17" s="55">
        <f t="shared" si="0"/>
        <v>160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203</v>
      </c>
      <c r="D18" s="27" t="s">
        <v>201</v>
      </c>
      <c r="E18" s="27" t="s">
        <v>204</v>
      </c>
      <c r="F18" s="55"/>
      <c r="G18" s="55"/>
      <c r="H18" s="55">
        <v>5</v>
      </c>
      <c r="I18" s="55">
        <v>68</v>
      </c>
      <c r="J18" s="55">
        <f t="shared" ref="J18:J21" si="1">H18*I18</f>
        <v>340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212</v>
      </c>
      <c r="D19" s="27" t="s">
        <v>213</v>
      </c>
      <c r="E19" s="27"/>
      <c r="F19" s="55"/>
      <c r="G19" s="55"/>
      <c r="H19" s="55">
        <v>1</v>
      </c>
      <c r="I19" s="55">
        <v>390</v>
      </c>
      <c r="J19" s="55">
        <f t="shared" si="1"/>
        <v>390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1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1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>SUM(J11:J21)</f>
        <v>7280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ref="J25:J26" si="2">H25*I25</f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2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k92ez0S2ZNvSwLmCSUkYUMXlUy6zTbT0fclRImt1DXmstJw05TQFPvOx+jPNh+x0jxXO1Sc+pEMR+qXWNKBiyA==" saltValue="txOUnjZGUg50RxLXVP7St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26 F11:J1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4" workbookViewId="0">
      <selection activeCell="K21" sqref="K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188</v>
      </c>
      <c r="D16" s="70" t="s">
        <v>29</v>
      </c>
      <c r="E16" s="55">
        <v>1</v>
      </c>
      <c r="F16" s="55">
        <v>7</v>
      </c>
      <c r="G16" s="55">
        <f>E16*F16</f>
        <v>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205</v>
      </c>
      <c r="D17" s="70" t="s">
        <v>29</v>
      </c>
      <c r="E17" s="55">
        <v>3</v>
      </c>
      <c r="F17" s="55">
        <v>61</v>
      </c>
      <c r="G17" s="55">
        <f>E17*F17</f>
        <v>183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176</v>
      </c>
      <c r="D18" s="70" t="s">
        <v>29</v>
      </c>
      <c r="E18" s="55">
        <v>9</v>
      </c>
      <c r="F18" s="55">
        <v>6</v>
      </c>
      <c r="G18" s="55">
        <f t="shared" ref="G18:G28" si="0">E18*F18</f>
        <v>54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183</v>
      </c>
      <c r="D19" s="70" t="s">
        <v>29</v>
      </c>
      <c r="E19" s="55">
        <v>6</v>
      </c>
      <c r="F19" s="55">
        <v>7</v>
      </c>
      <c r="G19" s="55">
        <f t="shared" si="0"/>
        <v>42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177</v>
      </c>
      <c r="D20" s="70" t="s">
        <v>29</v>
      </c>
      <c r="E20" s="55">
        <v>7</v>
      </c>
      <c r="F20" s="55">
        <v>7</v>
      </c>
      <c r="G20" s="55">
        <f t="shared" si="0"/>
        <v>49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178</v>
      </c>
      <c r="D21" s="70" t="s">
        <v>29</v>
      </c>
      <c r="E21" s="55">
        <v>7</v>
      </c>
      <c r="F21" s="55">
        <v>6</v>
      </c>
      <c r="G21" s="55">
        <f t="shared" si="0"/>
        <v>42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218</v>
      </c>
      <c r="D22" s="70" t="s">
        <v>29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179</v>
      </c>
      <c r="D23" s="70" t="s">
        <v>29</v>
      </c>
      <c r="E23" s="55">
        <v>7</v>
      </c>
      <c r="F23" s="55">
        <v>4</v>
      </c>
      <c r="G23" s="55">
        <f t="shared" si="0"/>
        <v>28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180</v>
      </c>
      <c r="D24" s="70" t="s">
        <v>29</v>
      </c>
      <c r="E24" s="55">
        <v>1</v>
      </c>
      <c r="F24" s="55">
        <v>85</v>
      </c>
      <c r="G24" s="55">
        <f t="shared" si="0"/>
        <v>85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181</v>
      </c>
      <c r="D25" s="70" t="s">
        <v>29</v>
      </c>
      <c r="E25" s="55">
        <v>10</v>
      </c>
      <c r="F25" s="55">
        <v>8</v>
      </c>
      <c r="G25" s="55">
        <f t="shared" si="0"/>
        <v>80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206</v>
      </c>
      <c r="D26" s="70" t="s">
        <v>29</v>
      </c>
      <c r="E26" s="55">
        <v>1</v>
      </c>
      <c r="F26" s="55">
        <v>110</v>
      </c>
      <c r="G26" s="55">
        <f t="shared" si="0"/>
        <v>110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207</v>
      </c>
      <c r="D27" s="70" t="s">
        <v>29</v>
      </c>
      <c r="E27" s="55">
        <v>1</v>
      </c>
      <c r="F27" s="55">
        <v>75</v>
      </c>
      <c r="G27" s="55">
        <f t="shared" si="0"/>
        <v>75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208</v>
      </c>
      <c r="D28" s="70" t="s">
        <v>29</v>
      </c>
      <c r="E28" s="55">
        <v>2</v>
      </c>
      <c r="F28" s="55">
        <v>32</v>
      </c>
      <c r="G28" s="55">
        <f t="shared" si="0"/>
        <v>64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209</v>
      </c>
      <c r="D29" s="70" t="s">
        <v>29</v>
      </c>
      <c r="E29" s="55">
        <v>1</v>
      </c>
      <c r="F29" s="55">
        <v>43</v>
      </c>
      <c r="G29" s="55">
        <f t="shared" ref="G29:G33" si="1">E29*F29</f>
        <v>43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189</v>
      </c>
      <c r="D30" s="70" t="s">
        <v>29</v>
      </c>
      <c r="E30" s="55">
        <v>1</v>
      </c>
      <c r="F30" s="55">
        <v>70</v>
      </c>
      <c r="G30" s="55">
        <f t="shared" si="1"/>
        <v>70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210</v>
      </c>
      <c r="D31" s="70" t="s">
        <v>29</v>
      </c>
      <c r="E31" s="55">
        <v>1</v>
      </c>
      <c r="F31" s="55">
        <v>65</v>
      </c>
      <c r="G31" s="55">
        <f>E31*F31</f>
        <v>65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 t="s">
        <v>182</v>
      </c>
      <c r="D32" s="70" t="s">
        <v>29</v>
      </c>
      <c r="E32" s="55">
        <v>1</v>
      </c>
      <c r="F32" s="55">
        <v>22</v>
      </c>
      <c r="G32" s="55">
        <f t="shared" si="1"/>
        <v>22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 t="s">
        <v>211</v>
      </c>
      <c r="D33" s="70" t="s">
        <v>29</v>
      </c>
      <c r="E33" s="55">
        <v>1</v>
      </c>
      <c r="F33" s="55">
        <v>200</v>
      </c>
      <c r="G33" s="55">
        <f t="shared" si="1"/>
        <v>200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1284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78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30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S2FkxzS+EGP5CqhLwvUcehZL6umgh5BRDgZ7GXJ114EjW91TkpP25n/HCBAjURflLzqgfStKqatPidEoi/w5IQ==" saltValue="pM01LVJl0sSUlRT7RcRM4w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8 E30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G16" sqref="G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214</v>
      </c>
      <c r="N12" s="90" t="s">
        <v>215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30</v>
      </c>
      <c r="F13" s="55"/>
      <c r="G13" s="55">
        <v>70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50</v>
      </c>
      <c r="H14" s="55"/>
      <c r="I14" s="55"/>
      <c r="J14" s="55"/>
      <c r="K14" s="55"/>
      <c r="L14" s="55"/>
      <c r="M14" s="55">
        <v>10</v>
      </c>
      <c r="N14" s="55">
        <v>15</v>
      </c>
      <c r="P14" s="88">
        <f t="shared" ref="P14:P22" si="0">SUM(D14:N14)</f>
        <v>75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216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45</v>
      </c>
      <c r="F30" s="88">
        <f t="shared" si="1"/>
        <v>0</v>
      </c>
      <c r="G30" s="88">
        <f t="shared" si="1"/>
        <v>150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10</v>
      </c>
      <c r="N30" s="88">
        <f t="shared" si="1"/>
        <v>15</v>
      </c>
      <c r="P30" s="89">
        <f>SUM(P13:P22)</f>
        <v>220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2018-06-04T01:51:43Z</dcterms:modified>
</cp:coreProperties>
</file>