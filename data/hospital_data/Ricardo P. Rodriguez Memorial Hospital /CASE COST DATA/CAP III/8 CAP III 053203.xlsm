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5" i="9" l="1"/>
  <c r="G29" i="9"/>
  <c r="G28" i="9"/>
  <c r="J22" i="2"/>
  <c r="G31" i="9"/>
  <c r="G18" i="9" l="1"/>
  <c r="G19" i="9"/>
  <c r="G20" i="9"/>
  <c r="G21" i="9"/>
  <c r="G22" i="9"/>
  <c r="G23" i="9"/>
  <c r="G24" i="9"/>
  <c r="G26" i="9"/>
  <c r="J20" i="2" l="1"/>
  <c r="G27" i="9" l="1"/>
  <c r="J13" i="2" l="1"/>
  <c r="J14" i="2" l="1"/>
  <c r="J17" i="2"/>
  <c r="J18" i="2"/>
  <c r="G16" i="9" l="1"/>
  <c r="G17" i="9"/>
  <c r="G32" i="9" s="1"/>
  <c r="J12" i="2"/>
  <c r="J15" i="2"/>
  <c r="J16" i="2"/>
  <c r="J19" i="2"/>
  <c r="J21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<sst xmlns="http://schemas.openxmlformats.org/spreadsheetml/2006/main" count="530" uniqueCount="225">
  <si>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</si>
  <si>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</si>
  <si>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</si>
  <si>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</si>
  <si>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</si>
  <si>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</si>
  <si>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</si>
  <si>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</si>
  <si>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</si>
  <si>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</si>
  <si>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</si>
  <si>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</si>
  <si>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</si>
  <si>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</si>
  <si>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</si>
  <si>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</si>
  <si>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</si>
  <si>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</si>
  <si>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</si>
  <si>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</si>
  <si>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</si>
  <si>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</si>
  <si>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</si>
  <si>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</si>
  <si>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</si>
  <si>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</si>
  <si>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</si>
  <si>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</si>
  <si>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</si>
  <si>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</si>
  <si>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</si>
  <si>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</si>
  <si>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</si>
  <si>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</si>
  <si>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</si>
  <si>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</si>
  <si>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</si>
  <si>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</si>
  <si>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</si>
  <si>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</si>
  <si>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</si>
  <si>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</si>
  <si>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</si>
  <si>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</si>
  <si>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</si>
  <si>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</si>
  <si>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</si>
  <si>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</si>
  <si>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</si>
  <si>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</si>
  <si>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</si>
  <si>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</si>
  <si>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</si>
  <si>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</si>
  <si>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</si>
  <si>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</si>
  <si>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</si>
  <si>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</si>
  <si>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</si>
  <si>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</si>
  <si>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</si>
  <si>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</si>
  <si>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</si>
  <si>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</si>
  <si>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</si>
  <si>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</si>
  <si>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</si>
  <si>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</si>
  <si>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</si>
  <si>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</si>
  <si>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</si>
  <si>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</si>
  <si>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</si>
  <si>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</si>
  <si>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</si>
  <si>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</si>
  <si>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</si>
  <si>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</si>
  <si>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</si>
  <si>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</si>
  <si>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</si>
  <si>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</si>
  <si>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</si>
  <si>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</si>
  <si>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</si>
  <si>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</si>
  <si>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</si>
  <si>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</si>
  <si>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</si>
  <si>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</si>
  <si>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</si>
  <si>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</si>
  <si>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</si>
  <si>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</si>
  <si>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</si>
  <si>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</si>
  <si>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</si>
  <si>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</si>
  <si>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</si>
  <si>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</si>
  <si>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</si>
  <si>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</si>
  <si>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</si>
  <si>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</si>
  <si>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</si>
  <si>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</si>
  <si>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</si>
  <si>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</si>
  <si>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</si>
  <si>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</si>
  <si>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</si>
  <si>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</si>
  <si>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</si>
  <si>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</si>
  <si>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</si>
  <si>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</si>
  <si>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</si>
  <si>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</si>
  <si>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</si>
  <si>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</si>
  <si>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</si>
  <si>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</si>
  <si>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</si>
  <si>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</si>
  <si>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</si>
  <si>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</si>
  <si>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</si>
  <si>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</si>
  <si>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</si>
  <si>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</si>
  <si>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</si>
  <si>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</si>
  <si>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</si>
  <si>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</si>
  <si>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</si>
  <si>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</si>
  <si>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</si>
  <si>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</si>
  <si>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</si>
  <si>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</si>
  <si>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</si>
  <si>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</si>
  <si>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</si>
  <si>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</si>
  <si>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</si>
  <si>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</si>
  <si>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</si>
  <si>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</si>
  <si>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</si>
  <si>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</si>
  <si>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</si>
  <si>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</si>
  <si>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</si>
  <si>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</si>
  <si>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</si>
  <si>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</si>
  <si>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</si>
  <si>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</si>
  <si>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</si>
  <si>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</si>
  <si>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</si>
  <si>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</si>
  <si>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</si>
  <si>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</si>
  <si>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</si>
  <si>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</si>
  <si>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</si>
  <si>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</si>
  <si>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</si>
  <si>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</si>
  <si>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</si>
  <si>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</si>
  <si>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</si>
  <si>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</si>
  <si>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</si>
  <si>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</si>
  <si>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</si>
  <si>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</si>
  <si>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</si>
  <si>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</si>
  <si>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</si>
  <si>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</si>
  <si>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</si>
  <si>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SALBUTAMOL</t>
  </si>
  <si>
    <t>NEBULE/INH</t>
  </si>
  <si>
    <t>ID BRACELET</t>
  </si>
  <si>
    <t>NEBULIZING KIT</t>
  </si>
  <si>
    <t>ELECTROLYTES (Na,K,Cl)</t>
  </si>
  <si>
    <t>RANDOM BLOOD SUGAR</t>
  </si>
  <si>
    <t xml:space="preserve">0.9 % NACL </t>
  </si>
  <si>
    <t>1000ml</t>
  </si>
  <si>
    <t>10mg</t>
  </si>
  <si>
    <t>50mg</t>
  </si>
  <si>
    <t>IV SPLINT ADULT</t>
  </si>
  <si>
    <t>IV SET ADULT</t>
  </si>
  <si>
    <t>IV CATHETER G22</t>
  </si>
  <si>
    <t>CHEM 8</t>
  </si>
  <si>
    <t>CHEST PA 14X14</t>
  </si>
  <si>
    <t>ECG</t>
  </si>
  <si>
    <t>500mg</t>
  </si>
  <si>
    <t>1mg/ml</t>
  </si>
  <si>
    <t>SALBUTAMOL/IPRATROPUM</t>
  </si>
  <si>
    <t>2.5mg/500mcg/2.5ml</t>
  </si>
  <si>
    <t>STERILE WATER FOR INJECTION</t>
  </si>
  <si>
    <t>POLYAMPULE</t>
  </si>
  <si>
    <t>10ml</t>
  </si>
  <si>
    <t>ASCORBIC ACID</t>
  </si>
  <si>
    <t>TABLET ORAL</t>
  </si>
  <si>
    <t>500ml</t>
  </si>
  <si>
    <t>MULTIVITAMINS+IRON</t>
  </si>
  <si>
    <t>CAPSULE ORAL</t>
  </si>
  <si>
    <t>100mg</t>
  </si>
  <si>
    <t>MONTELUKAST</t>
  </si>
  <si>
    <t>BUTAMIRATE CITRATE</t>
  </si>
  <si>
    <t>METOPROLOL</t>
  </si>
  <si>
    <t>GLICLAZIDE</t>
  </si>
  <si>
    <t>80mg</t>
  </si>
  <si>
    <t>ACETYLCYSTEINE</t>
  </si>
  <si>
    <t>600mg</t>
  </si>
  <si>
    <t>INSULINE SYRINGE</t>
  </si>
  <si>
    <t>Consultation in the ER</t>
  </si>
  <si>
    <t>MED. TECH</t>
  </si>
  <si>
    <t>RAD. TECH</t>
  </si>
  <si>
    <t>ADHESIVE PLASTER</t>
  </si>
  <si>
    <t>AMPICILLIN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</si>
</sst>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2" zoomScaleNormal="100" workbookViewId="0">
      <selection activeCell="I40" sqref="I4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1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15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197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 t="s">
        <v>198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9" t="s">
        <v>46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6" t="s">
        <v>55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1600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3480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1001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160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2020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 t="s">
        <v>198</v>
      </c>
      <c r="D72" s="55">
        <v>120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12921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174</v>
      </c>
      <c r="E11" s="27" t="s">
        <v>190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224</v>
      </c>
      <c r="D12" s="27" t="s">
        <v>175</v>
      </c>
      <c r="E12" s="27" t="s">
        <v>199</v>
      </c>
      <c r="F12" s="55"/>
      <c r="G12" s="55"/>
      <c r="H12" s="55">
        <v>20</v>
      </c>
      <c r="I12" s="55">
        <v>23</v>
      </c>
      <c r="J12" s="55">
        <f t="shared" ref="J12:J26" si="0">H12*I12</f>
        <v>460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184</v>
      </c>
      <c r="E13" s="27" t="s">
        <v>200</v>
      </c>
      <c r="F13" s="55"/>
      <c r="G13" s="55"/>
      <c r="H13" s="55">
        <v>10</v>
      </c>
      <c r="I13" s="55">
        <v>15</v>
      </c>
      <c r="J13" s="55">
        <f t="shared" ref="J13:J22" si="1">H13*I13</f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184</v>
      </c>
      <c r="E14" s="27" t="s">
        <v>202</v>
      </c>
      <c r="F14" s="55"/>
      <c r="G14" s="55"/>
      <c r="H14" s="55">
        <v>17</v>
      </c>
      <c r="I14" s="55">
        <v>35</v>
      </c>
      <c r="J14" s="55">
        <f t="shared" si="1"/>
        <v>595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203</v>
      </c>
      <c r="D15" s="27" t="s">
        <v>204</v>
      </c>
      <c r="E15" s="27" t="s">
        <v>205</v>
      </c>
      <c r="F15" s="55"/>
      <c r="G15" s="55"/>
      <c r="H15" s="55">
        <v>2</v>
      </c>
      <c r="I15" s="55">
        <v>40</v>
      </c>
      <c r="J15" s="55">
        <f t="shared" si="1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206</v>
      </c>
      <c r="D16" s="27" t="s">
        <v>207</v>
      </c>
      <c r="E16" s="27" t="s">
        <v>208</v>
      </c>
      <c r="F16" s="55"/>
      <c r="G16" s="55"/>
      <c r="H16" s="55">
        <v>10</v>
      </c>
      <c r="I16" s="55">
        <v>3</v>
      </c>
      <c r="J16" s="55">
        <f t="shared" si="1"/>
        <v>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210</v>
      </c>
      <c r="E17" s="27" t="s">
        <v>211</v>
      </c>
      <c r="F17" s="55"/>
      <c r="G17" s="55"/>
      <c r="H17" s="55">
        <v>10</v>
      </c>
      <c r="I17" s="55">
        <v>3.5</v>
      </c>
      <c r="J17" s="55">
        <f t="shared" si="1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212</v>
      </c>
      <c r="D18" s="27" t="s">
        <v>207</v>
      </c>
      <c r="E18" s="27" t="s">
        <v>191</v>
      </c>
      <c r="F18" s="55"/>
      <c r="G18" s="55"/>
      <c r="H18" s="55">
        <v>10</v>
      </c>
      <c r="I18" s="55">
        <v>75</v>
      </c>
      <c r="J18" s="55">
        <f t="shared" si="1"/>
        <v>750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213</v>
      </c>
      <c r="D19" s="27" t="s">
        <v>207</v>
      </c>
      <c r="E19" s="27" t="s">
        <v>192</v>
      </c>
      <c r="F19" s="55"/>
      <c r="G19" s="55"/>
      <c r="H19" s="55">
        <v>21</v>
      </c>
      <c r="I19" s="55">
        <v>17</v>
      </c>
      <c r="J19" s="55">
        <f t="shared" si="1"/>
        <v>357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214</v>
      </c>
      <c r="D20" s="27" t="s">
        <v>207</v>
      </c>
      <c r="E20" s="27" t="s">
        <v>192</v>
      </c>
      <c r="F20" s="55"/>
      <c r="G20" s="55"/>
      <c r="H20" s="55">
        <v>5</v>
      </c>
      <c r="I20" s="55">
        <v>5</v>
      </c>
      <c r="J20" s="55">
        <f t="shared" si="1"/>
        <v>25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215</v>
      </c>
      <c r="D21" s="27" t="s">
        <v>207</v>
      </c>
      <c r="E21" s="27" t="s">
        <v>216</v>
      </c>
      <c r="F21" s="55"/>
      <c r="G21" s="55"/>
      <c r="H21" s="55">
        <v>14</v>
      </c>
      <c r="I21" s="55">
        <v>7</v>
      </c>
      <c r="J21" s="55">
        <f t="shared" si="1"/>
        <v>98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217</v>
      </c>
      <c r="D22" s="27" t="s">
        <v>207</v>
      </c>
      <c r="E22" s="27" t="s">
        <v>218</v>
      </c>
      <c r="F22" s="55"/>
      <c r="G22" s="55"/>
      <c r="H22" s="55">
        <v>5</v>
      </c>
      <c r="I22" s="55">
        <v>68</v>
      </c>
      <c r="J22" s="55">
        <f t="shared" si="1"/>
        <v>340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SUM(J11:J22)</f>
        <v>3480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223</v>
      </c>
      <c r="D17" s="70" t="s">
        <v>29</v>
      </c>
      <c r="E17" s="55">
        <v>1</v>
      </c>
      <c r="F17" s="55">
        <v>65</v>
      </c>
      <c r="G17" s="55">
        <f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29</v>
      </c>
      <c r="E20" s="55">
        <v>2</v>
      </c>
      <c r="F20" s="55">
        <v>32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29</v>
      </c>
      <c r="E21" s="55">
        <v>16</v>
      </c>
      <c r="F21" s="55">
        <v>6</v>
      </c>
      <c r="G21" s="55">
        <f t="shared" si="0"/>
        <v>96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29</v>
      </c>
      <c r="E22" s="55">
        <v>16</v>
      </c>
      <c r="F22" s="55">
        <v>4</v>
      </c>
      <c r="G22" s="55">
        <f t="shared" si="0"/>
        <v>64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29</v>
      </c>
      <c r="E23" s="55">
        <v>2</v>
      </c>
      <c r="F23" s="55">
        <v>7</v>
      </c>
      <c r="G23" s="55">
        <f t="shared" si="0"/>
        <v>14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178</v>
      </c>
      <c r="D24" s="70" t="s">
        <v>29</v>
      </c>
      <c r="E24" s="55">
        <v>15</v>
      </c>
      <c r="F24" s="55">
        <v>6</v>
      </c>
      <c r="G24" s="55">
        <f t="shared" si="0"/>
        <v>90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181</v>
      </c>
      <c r="D25" s="70" t="s">
        <v>29</v>
      </c>
      <c r="E25" s="55">
        <v>12</v>
      </c>
      <c r="F25" s="55">
        <v>8</v>
      </c>
      <c r="G25" s="55">
        <f>E25*F25</f>
        <v>96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195</v>
      </c>
      <c r="D26" s="70" t="s">
        <v>29</v>
      </c>
      <c r="E26" s="55">
        <v>2</v>
      </c>
      <c r="F26" s="55">
        <v>61</v>
      </c>
      <c r="G26" s="55">
        <f t="shared" si="0"/>
        <v>122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182</v>
      </c>
      <c r="D27" s="70" t="s">
        <v>29</v>
      </c>
      <c r="E27" s="55">
        <v>12</v>
      </c>
      <c r="F27" s="55">
        <v>7</v>
      </c>
      <c r="G27" s="55">
        <f t="shared" ref="G27:G29" si="1">E27*F27</f>
        <v>84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219</v>
      </c>
      <c r="D28" s="70" t="s">
        <v>29</v>
      </c>
      <c r="E28" s="55">
        <v>2</v>
      </c>
      <c r="F28" s="55">
        <v>17</v>
      </c>
      <c r="G28" s="55">
        <f t="shared" si="1"/>
        <v>34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186</v>
      </c>
      <c r="D29" s="70" t="s">
        <v>29</v>
      </c>
      <c r="E29" s="55">
        <v>1</v>
      </c>
      <c r="F29" s="55">
        <v>70</v>
      </c>
      <c r="G29" s="55">
        <f t="shared" si="1"/>
        <v>70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115"/>
      <c r="D30" s="115"/>
      <c r="E30" s="115"/>
      <c r="F30" s="115"/>
      <c r="G30" s="11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ref="G31" si="2"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SUM(G16:G29)</f>
        <v>1001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78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30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7:G28 G18 E16:G17 E19:G21 G22:G24 E25:G25 E31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2" sqref="G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221</v>
      </c>
      <c r="N12" s="90" t="s">
        <v>222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>
        <v>30</v>
      </c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220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30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2018-06-04T02:01:11Z</dcterms:modified>
</cp:coreProperties>
</file>