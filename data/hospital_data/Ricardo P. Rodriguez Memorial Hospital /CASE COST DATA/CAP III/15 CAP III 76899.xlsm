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Drugs&amp;Med'!$B$2:$J$29</definedName>
  </definedNames>
  <calcPr calcId="152511"/>
</workbook>
</file>

<file path=xl/calcChain.xml><?xml version="1.0" encoding="utf-8"?>
<calcChain xmlns="http://schemas.openxmlformats.org/spreadsheetml/2006/main">
  <c r="J15" i="2" l="1"/>
  <c r="G28" i="9" l="1"/>
  <c r="G27" i="9"/>
  <c r="G26" i="9"/>
  <c r="G25" i="9"/>
  <c r="G30" i="9" l="1"/>
  <c r="J27" i="2"/>
  <c r="J28" i="2"/>
  <c r="J22" i="2"/>
  <c r="J20" i="2"/>
  <c r="G31" i="9" l="1"/>
  <c r="G18" i="9"/>
  <c r="G24" i="9"/>
  <c r="G23" i="9"/>
  <c r="G22" i="9"/>
  <c r="G21" i="9"/>
  <c r="G20" i="9"/>
  <c r="G19" i="9"/>
  <c r="J13" i="2" l="1"/>
  <c r="G29" i="9"/>
  <c r="J14" i="2" l="1"/>
  <c r="J17" i="2"/>
  <c r="J18" i="2"/>
  <c r="G16" i="9" l="1"/>
  <c r="G17" i="9"/>
  <c r="J12" i="2"/>
  <c r="J16" i="2"/>
  <c r="J19" i="2"/>
  <c r="J21" i="2"/>
  <c r="J24" i="2"/>
  <c r="J25" i="2"/>
  <c r="J26" i="2"/>
  <c r="G32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J23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<sst xmlns="http://schemas.openxmlformats.org/spreadsheetml/2006/main" count="503" uniqueCount="206">
  <si>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</si>
  <si>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</si>
  <si>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</si>
  <si>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</si>
  <si>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</si>
  <si>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</si>
  <si>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</si>
  <si>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</si>
  <si>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</si>
  <si>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</si>
  <si>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</si>
  <si>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</si>
  <si>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</si>
  <si>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</si>
  <si>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</si>
  <si>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</si>
  <si>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</si>
  <si>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</si>
  <si>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</si>
  <si>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</si>
  <si>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</si>
  <si>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</si>
  <si>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</si>
  <si>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</si>
  <si>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</si>
  <si>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</si>
  <si>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</si>
  <si>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</si>
  <si>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</si>
  <si>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</si>
  <si>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</si>
  <si>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</si>
  <si>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</si>
  <si>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</si>
  <si>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</si>
  <si>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</si>
  <si>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</si>
  <si>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</si>
  <si>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</si>
  <si>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</si>
  <si>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</si>
  <si>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</si>
  <si>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</si>
  <si>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</si>
  <si>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</si>
  <si>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</si>
  <si>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</si>
  <si>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</si>
  <si>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</si>
  <si>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</si>
  <si>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</si>
  <si>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</si>
  <si>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</si>
  <si>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</si>
  <si>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</si>
  <si>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</si>
  <si>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</si>
  <si>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</si>
  <si>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</si>
  <si>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</si>
  <si>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</si>
  <si>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</si>
  <si>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</si>
  <si>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</si>
  <si>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</si>
  <si>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</si>
  <si>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</si>
  <si>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</si>
  <si>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</si>
  <si>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</si>
  <si>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</si>
  <si>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</si>
  <si>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</si>
  <si>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</si>
  <si>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</si>
  <si>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</si>
  <si>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</si>
  <si>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</si>
  <si>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</si>
  <si>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</si>
  <si>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</si>
  <si>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</si>
  <si>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</si>
  <si>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</si>
  <si>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</si>
  <si>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</si>
  <si>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</si>
  <si>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</si>
  <si>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</si>
  <si>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</si>
  <si>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</si>
  <si>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</si>
  <si>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</si>
  <si>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</si>
  <si>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</si>
  <si>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</si>
  <si>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</si>
  <si>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</si>
  <si>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</si>
  <si>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</si>
  <si>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</si>
  <si>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</si>
  <si>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</si>
  <si>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</si>
  <si>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</si>
  <si>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</si>
  <si>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</si>
  <si>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</si>
  <si>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</si>
  <si>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</si>
  <si>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</si>
  <si>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</si>
  <si>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</si>
  <si>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</si>
  <si>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</si>
  <si>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</si>
  <si>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</si>
  <si>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</si>
  <si>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</si>
  <si>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</si>
  <si>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</si>
  <si>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</si>
  <si>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</si>
  <si>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</si>
  <si>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</si>
  <si>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</si>
  <si>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</si>
  <si>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</si>
  <si>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</si>
  <si>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</si>
  <si>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</si>
  <si>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</si>
  <si>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</si>
  <si>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</si>
  <si>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</si>
  <si>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</si>
  <si>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</si>
  <si>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</si>
  <si>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</si>
  <si>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</si>
  <si>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</si>
  <si>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</si>
  <si>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</si>
  <si>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</si>
  <si>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</si>
  <si>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</si>
  <si>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</si>
  <si>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</si>
  <si>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</si>
  <si>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</si>
  <si>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</si>
  <si>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</si>
  <si>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</si>
  <si>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</si>
  <si>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</si>
  <si>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</si>
  <si>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</si>
  <si>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</si>
  <si>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</si>
  <si>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</si>
  <si>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</si>
  <si>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</si>
  <si>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</si>
  <si>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</si>
  <si>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</si>
  <si>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</si>
  <si>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</si>
  <si>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</si>
  <si>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</si>
  <si>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</si>
  <si>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</si>
  <si>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</si>
  <si>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PROFESSIONAL FEE</t>
  </si>
  <si>
    <t>BOTTLE/IV</t>
  </si>
  <si>
    <t>VIAL/IV</t>
  </si>
  <si>
    <t>SYRUP/ORAL</t>
  </si>
  <si>
    <t>500 ml</t>
  </si>
  <si>
    <t>50 mg/ml</t>
  </si>
  <si>
    <t>DISPOSABLE MASK</t>
  </si>
  <si>
    <t>1CC SYRINGE</t>
  </si>
  <si>
    <t>3CC SYRINGE</t>
  </si>
  <si>
    <t>GLOVES UNSTERILE MEDIUM</t>
  </si>
  <si>
    <t>DIGITAL THERMOMETER</t>
  </si>
  <si>
    <t>IV SPLINT PEDIA</t>
  </si>
  <si>
    <t>SALBUTAMOL</t>
  </si>
  <si>
    <t>NEBULE/INHALATION</t>
  </si>
  <si>
    <t>1 mg/ml</t>
  </si>
  <si>
    <t>NEBULIZING KIT</t>
  </si>
  <si>
    <t>SUSPENSION/ORAL</t>
  </si>
  <si>
    <t>IV CATHETER G 26</t>
  </si>
  <si>
    <t>LABORATORY EXAM</t>
  </si>
  <si>
    <t>D5 0.3 NACL</t>
  </si>
  <si>
    <t>1 gm</t>
  </si>
  <si>
    <t>CEFACLOR</t>
  </si>
  <si>
    <t>2mg/5ml</t>
  </si>
  <si>
    <t>CBC PLATELET COUNT</t>
  </si>
  <si>
    <t>OXYGEN FEE</t>
  </si>
  <si>
    <t>CEFTRIAXONE</t>
  </si>
  <si>
    <t>CARBOCISTEINE</t>
  </si>
  <si>
    <t>NEONATAL CANNULA</t>
  </si>
  <si>
    <t>OXYGEN MASK PEDIA</t>
  </si>
  <si>
    <t>OXYGEN</t>
  </si>
  <si>
    <t>TANK/INH</t>
  </si>
  <si>
    <t>Consultation in the ER</t>
  </si>
  <si>
    <t>MED. TECH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</si>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</sst>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55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55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55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55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26" zoomScaleNormal="100" workbookViewId="0">
      <selection activeCell="G41" sqref="G4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hidden="1" customHeight="1" thickBot="1" x14ac:dyDescent="0.35">
      <c r="A42" s="1"/>
      <c r="B42" s="118" t="s">
        <v>46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x14ac:dyDescent="0.3">
      <c r="A43" s="1"/>
      <c r="B43" s="14" t="s">
        <v>47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thickBot="1" x14ac:dyDescent="0.35">
      <c r="A44" s="1"/>
      <c r="B44" s="115" t="s">
        <v>55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57</v>
      </c>
      <c r="C58" s="17" t="s">
        <v>53</v>
      </c>
      <c r="D58" s="17" t="s">
        <v>58</v>
      </c>
      <c r="E58" s="18" t="s">
        <v>59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1600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40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2045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170</v>
      </c>
      <c r="D62" s="55">
        <v>785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171</v>
      </c>
      <c r="D63" s="55">
        <v>210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 t="s">
        <v>190</v>
      </c>
      <c r="D64" s="55">
        <v>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 t="s">
        <v>172</v>
      </c>
      <c r="D65" s="55">
        <v>4500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 t="s">
        <v>196</v>
      </c>
      <c r="D66" s="55">
        <v>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9480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algorithmName="SHA-512" hashValue="R8Xo+uFIBpBTHY3jdKv8x2L806TKVB1Mt5Ck6rsHKJkk+XEjg5ZNAMM3MiOzfVfZVP+9EJyoFw0npbWIXDVWfw==" saltValue="F1g1HQIocaO8BgG5uN6t3Q==" spinCount="100000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9"/>
  <sheetViews>
    <sheetView topLeftCell="C8" zoomScaleNormal="100" workbookViewId="0">
      <selection activeCell="G17" sqref="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173</v>
      </c>
      <c r="E11" s="27" t="s">
        <v>176</v>
      </c>
      <c r="F11" s="55"/>
      <c r="G11" s="55"/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174</v>
      </c>
      <c r="E12" s="27" t="s">
        <v>192</v>
      </c>
      <c r="F12" s="55"/>
      <c r="G12" s="55"/>
      <c r="H12" s="55">
        <v>5</v>
      </c>
      <c r="I12" s="55">
        <v>65</v>
      </c>
      <c r="J12" s="55">
        <f t="shared" ref="J12:J28" si="0">H12*I12</f>
        <v>325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185</v>
      </c>
      <c r="E13" s="27" t="s">
        <v>186</v>
      </c>
      <c r="F13" s="55"/>
      <c r="G13" s="55"/>
      <c r="H13" s="55">
        <v>18</v>
      </c>
      <c r="I13" s="55">
        <v>15</v>
      </c>
      <c r="J13" s="55">
        <f t="shared" ref="J13:J22" si="1">H13*I13</f>
        <v>270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188</v>
      </c>
      <c r="E14" s="27" t="s">
        <v>177</v>
      </c>
      <c r="F14" s="55"/>
      <c r="G14" s="55"/>
      <c r="H14" s="55">
        <v>2</v>
      </c>
      <c r="I14" s="55">
        <v>490</v>
      </c>
      <c r="J14" s="55">
        <f t="shared" si="1"/>
        <v>980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175</v>
      </c>
      <c r="E15" s="27" t="s">
        <v>194</v>
      </c>
      <c r="F15" s="55"/>
      <c r="G15" s="55"/>
      <c r="H15" s="55">
        <v>1</v>
      </c>
      <c r="I15" s="55">
        <v>35</v>
      </c>
      <c r="J15" s="55">
        <f t="shared" ref="J15" si="2">H15*I15</f>
        <v>35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188</v>
      </c>
      <c r="E16" s="27" t="s">
        <v>177</v>
      </c>
      <c r="F16" s="55"/>
      <c r="G16" s="55"/>
      <c r="H16" s="55">
        <v>1</v>
      </c>
      <c r="I16" s="55">
        <v>35</v>
      </c>
      <c r="J16" s="55">
        <f t="shared" si="1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202</v>
      </c>
      <c r="E17" s="27"/>
      <c r="F17" s="55"/>
      <c r="G17" s="55"/>
      <c r="H17" s="55">
        <v>1</v>
      </c>
      <c r="I17" s="55">
        <v>50</v>
      </c>
      <c r="J17" s="55">
        <f t="shared" si="1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1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>SUM(J1:J20)</f>
        <v>2095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25">
      <c r="A29" s="33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</row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xbi3HzvubcybHseR+mJq+QnlDACInqLajukZ296UyPWoryXrv2hyWxlBAbtpxXJXOH9jYPKsCUuC9hcdLe2Srw==" saltValue="uuXDGodXAEx/nGGfdOWyW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8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C3" zoomScaleNormal="100"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29</v>
      </c>
      <c r="E16" s="55">
        <v>1</v>
      </c>
      <c r="F16" s="55">
        <v>75</v>
      </c>
      <c r="G16" s="55">
        <f>E16*F16</f>
        <v>75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29</v>
      </c>
      <c r="E17" s="55">
        <v>3</v>
      </c>
      <c r="F17" s="55">
        <v>61</v>
      </c>
      <c r="G17" s="55">
        <f>E17*F17</f>
        <v>183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5</v>
      </c>
      <c r="F18" s="55">
        <v>6</v>
      </c>
      <c r="G18" s="55">
        <f t="shared" ref="G18:G24" si="0">E18*F18</f>
        <v>30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200</v>
      </c>
      <c r="D19" s="70" t="s">
        <v>29</v>
      </c>
      <c r="E19" s="5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29</v>
      </c>
      <c r="E20" s="55">
        <v>6</v>
      </c>
      <c r="F20" s="55">
        <v>7</v>
      </c>
      <c r="G20" s="55">
        <f t="shared" si="0"/>
        <v>42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29</v>
      </c>
      <c r="E21" s="55">
        <v>6</v>
      </c>
      <c r="F21" s="55">
        <v>6</v>
      </c>
      <c r="G21" s="55">
        <f t="shared" si="0"/>
        <v>36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205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181</v>
      </c>
      <c r="D23" s="70" t="s">
        <v>29</v>
      </c>
      <c r="E23" s="55">
        <v>6</v>
      </c>
      <c r="F23" s="55">
        <v>4</v>
      </c>
      <c r="G23" s="55">
        <f t="shared" si="0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182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187</v>
      </c>
      <c r="D25" s="70" t="s">
        <v>29</v>
      </c>
      <c r="E25" s="55">
        <v>1</v>
      </c>
      <c r="F25" s="55">
        <v>70</v>
      </c>
      <c r="G25" s="55">
        <f t="shared" ref="G25" si="1">E25*F25</f>
        <v>70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183</v>
      </c>
      <c r="D26" s="70" t="s">
        <v>29</v>
      </c>
      <c r="E26" s="55">
        <v>1</v>
      </c>
      <c r="F26" s="55">
        <v>105</v>
      </c>
      <c r="G26" s="55">
        <f>E26*F26</f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ref="G27:G28" si="2">E27*F27</f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2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ref="G29:G30" si="3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3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785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204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15</v>
      </c>
      <c r="N14" s="55"/>
      <c r="P14" s="88">
        <f t="shared" ref="P14:P22" si="0">SUM(D14:N14)</f>
        <v>65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203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0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2018-06-04T02:06:21Z</dcterms:modified>
</cp:coreProperties>
</file>