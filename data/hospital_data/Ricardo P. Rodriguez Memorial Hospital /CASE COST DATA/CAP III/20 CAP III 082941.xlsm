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0" i="9" l="1"/>
  <c r="G31" i="9"/>
  <c r="G18" i="9" l="1"/>
  <c r="G19" i="9"/>
  <c r="G20" i="9"/>
  <c r="G21" i="9"/>
  <c r="G22" i="9"/>
  <c r="G23" i="9"/>
  <c r="G24" i="9"/>
  <c r="G25" i="9"/>
  <c r="G26" i="9"/>
  <c r="J20" i="2" l="1"/>
  <c r="G28" i="9" l="1"/>
  <c r="G27" i="9"/>
  <c r="J13" i="2" l="1"/>
  <c r="G29" i="9"/>
  <c r="J14" i="2" l="1"/>
  <c r="J17" i="2"/>
  <c r="J18" i="2"/>
  <c r="G16" i="9" l="1"/>
  <c r="G17" i="9"/>
  <c r="J12" i="2"/>
  <c r="J15" i="2"/>
  <c r="J16" i="2"/>
  <c r="J19" i="2"/>
  <c r="J21" i="2"/>
  <c r="J25" i="2"/>
  <c r="J26" i="2"/>
  <c r="G32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J24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<sst xmlns="http://schemas.openxmlformats.org/spreadsheetml/2006/main" count="512" uniqueCount="212">
  <si>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</si>
  <si>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</si>
  <si>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</si>
  <si>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</si>
  <si>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</si>
  <si>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</si>
  <si>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</si>
  <si>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</si>
  <si>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</si>
  <si>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</si>
  <si>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</si>
  <si>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</si>
  <si>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</si>
  <si>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</si>
  <si>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</si>
  <si>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</si>
  <si>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</si>
  <si>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</si>
  <si>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</si>
  <si>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</si>
  <si>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</si>
  <si>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</si>
  <si>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</si>
  <si>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</si>
  <si>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</si>
  <si>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</si>
  <si>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</si>
  <si>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</si>
  <si>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</si>
  <si>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</si>
  <si>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</si>
  <si>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</si>
  <si>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</si>
  <si>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</si>
  <si>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</si>
  <si>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</si>
  <si>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</si>
  <si>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</si>
  <si>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</si>
  <si>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</si>
  <si>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</si>
  <si>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</si>
  <si>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</si>
  <si>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</si>
  <si>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</si>
  <si>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</si>
  <si>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</si>
  <si>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</si>
  <si>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</si>
  <si>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</si>
  <si>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</si>
  <si>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</si>
  <si>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</si>
  <si>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</si>
  <si>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</si>
  <si>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</si>
  <si>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</si>
  <si>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</si>
  <si>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</si>
  <si>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</si>
  <si>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</si>
  <si>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</si>
  <si>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</si>
  <si>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</si>
  <si>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</si>
  <si>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</si>
  <si>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</si>
  <si>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</si>
  <si>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</si>
  <si>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</si>
  <si>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</si>
  <si>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</si>
  <si>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</si>
  <si>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</si>
  <si>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</si>
  <si>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</si>
  <si>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</si>
  <si>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</si>
  <si>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</si>
  <si>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</si>
  <si>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</si>
  <si>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</si>
  <si>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</si>
  <si>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</si>
  <si>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</si>
  <si>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</si>
  <si>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</si>
  <si>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</si>
  <si>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</si>
  <si>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</si>
  <si>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</si>
  <si>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</si>
  <si>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</si>
  <si>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</si>
  <si>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</si>
  <si>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</si>
  <si>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</si>
  <si>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</si>
  <si>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</si>
  <si>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</si>
  <si>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</si>
  <si>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</si>
  <si>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</si>
  <si>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</si>
  <si>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</si>
  <si>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</si>
  <si>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</si>
  <si>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</si>
  <si>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</si>
  <si>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</si>
  <si>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</si>
  <si>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</si>
  <si>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</si>
  <si>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</si>
  <si>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</si>
  <si>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</si>
  <si>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</si>
  <si>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</si>
  <si>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</si>
  <si>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</si>
  <si>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</si>
  <si>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</si>
  <si>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</si>
  <si>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</si>
  <si>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</si>
  <si>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</si>
  <si>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</si>
  <si>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</si>
  <si>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</si>
  <si>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</si>
  <si>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</si>
  <si>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</si>
  <si>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</si>
  <si>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</si>
  <si>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</si>
  <si>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</si>
  <si>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</si>
  <si>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</si>
  <si>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</si>
  <si>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</si>
  <si>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</si>
  <si>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</si>
  <si>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</si>
  <si>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</si>
  <si>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</si>
  <si>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</si>
  <si>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</si>
  <si>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</si>
  <si>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</si>
  <si>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</si>
  <si>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</si>
  <si>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</si>
  <si>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</si>
  <si>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</si>
  <si>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</si>
  <si>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</si>
  <si>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</si>
  <si>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</si>
  <si>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</si>
  <si>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</si>
  <si>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</si>
  <si>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</si>
  <si>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</si>
  <si>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</si>
  <si>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</si>
  <si>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</si>
  <si>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</si>
  <si>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</si>
  <si>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</si>
  <si>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</si>
  <si>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</si>
  <si>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</si>
  <si>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</si>
  <si>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</si>
  <si>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</si>
  <si>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</si>
  <si>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</si>
  <si>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</si>
  <si>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</si>
  <si>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</si>
  <si>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</si>
  <si>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AMPULE/IV</t>
  </si>
  <si>
    <t>5CC SYRINGE</t>
  </si>
  <si>
    <t>ID BRACELET</t>
  </si>
  <si>
    <t>TONGUE DEPRESSOR</t>
  </si>
  <si>
    <t>CHEST AP 8X10</t>
  </si>
  <si>
    <t>BLOOD UREA NITROGEN(BUN)</t>
  </si>
  <si>
    <t xml:space="preserve">CREATININE </t>
  </si>
  <si>
    <t>LIPID PROFILE</t>
  </si>
  <si>
    <t>ELECTROLYTES (Na,K,Cl)</t>
  </si>
  <si>
    <t>FASTING BLOOD SUGAR</t>
  </si>
  <si>
    <t>RANDOM BLOOD SUGAR</t>
  </si>
  <si>
    <t xml:space="preserve">0.9 % NACL </t>
  </si>
  <si>
    <t>1000ml</t>
  </si>
  <si>
    <t>DIAZEPAM</t>
  </si>
  <si>
    <t>5mg/ml</t>
  </si>
  <si>
    <t>AMLODIPINE</t>
  </si>
  <si>
    <t>TABLET/ORAL</t>
  </si>
  <si>
    <t>10mg</t>
  </si>
  <si>
    <t>CELECOXIB</t>
  </si>
  <si>
    <t>200mg</t>
  </si>
  <si>
    <t>50mg</t>
  </si>
  <si>
    <t>LOSARTAN K</t>
  </si>
  <si>
    <t>IV SPLINT ADULT</t>
  </si>
  <si>
    <t>IV SET ADULT</t>
  </si>
  <si>
    <t>HEPLOCK</t>
  </si>
  <si>
    <t>IV CATHETER G22</t>
  </si>
  <si>
    <t>IV CATHETER G24</t>
  </si>
  <si>
    <t>ADHESIVE PLASTER</t>
  </si>
  <si>
    <t>Consultation in the ER</t>
  </si>
  <si>
    <t>MED. TECH</t>
  </si>
  <si>
    <t>RAD. TECH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</si>
</sst>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61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61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61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61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24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189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190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191</v>
      </c>
      <c r="D40" s="23"/>
      <c r="E40" s="55">
        <v>3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185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thickBot="1" x14ac:dyDescent="0.35">
      <c r="A48" s="1"/>
      <c r="B48" s="118" t="s">
        <v>46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1"/>
      <c r="B49" s="14" t="s">
        <v>47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55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1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hidden="1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hidden="1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hidden="1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hidden="1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hidden="1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57</v>
      </c>
      <c r="C64" s="17" t="s">
        <v>53</v>
      </c>
      <c r="D64" s="17" t="s">
        <v>58</v>
      </c>
      <c r="E64" s="18" t="s">
        <v>59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167</v>
      </c>
      <c r="D65" s="55">
        <v>1200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168</v>
      </c>
      <c r="D66" s="55">
        <v>30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169</v>
      </c>
      <c r="D67" s="55">
        <v>466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170</v>
      </c>
      <c r="D68" s="55">
        <v>760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 t="s">
        <v>171</v>
      </c>
      <c r="D69" s="55">
        <v>310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 t="s">
        <v>172</v>
      </c>
      <c r="D70" s="55">
        <v>2120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 t="s">
        <v>173</v>
      </c>
      <c r="D71" s="55">
        <v>4500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9386</v>
      </c>
      <c r="E76" s="59">
        <f>SUM(E65:E75)</f>
        <v>0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algorithmName="SHA-512" hashValue="0ZBtJ0nkXb4oYfvbvR0cS4O70ZFR5Y+Z4Q/MWyoHMzm5Cun6sIEPEHgKcgfB4O2VXQCGo1GjBtBVCu2OMvwdZQ==" saltValue="WC/vJbd85aMmEXZljtlUBg==" spinCount="100000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8" sqref="H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192</v>
      </c>
      <c r="D11" s="27" t="s">
        <v>174</v>
      </c>
      <c r="E11" s="27" t="s">
        <v>193</v>
      </c>
      <c r="F11" s="55"/>
      <c r="G11" s="55"/>
      <c r="H11" s="55">
        <v>3</v>
      </c>
      <c r="I11" s="55">
        <v>80</v>
      </c>
      <c r="J11" s="55">
        <f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194</v>
      </c>
      <c r="D12" s="27" t="s">
        <v>181</v>
      </c>
      <c r="E12" s="27" t="s">
        <v>195</v>
      </c>
      <c r="F12" s="55"/>
      <c r="G12" s="55"/>
      <c r="H12" s="55">
        <v>1</v>
      </c>
      <c r="I12" s="55">
        <v>135</v>
      </c>
      <c r="J12" s="55">
        <f t="shared" ref="J12:J26" si="0">H12*I12</f>
        <v>135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196</v>
      </c>
      <c r="D13" s="27" t="s">
        <v>197</v>
      </c>
      <c r="E13" s="27" t="s">
        <v>198</v>
      </c>
      <c r="F13" s="55"/>
      <c r="G13" s="55"/>
      <c r="H13" s="55">
        <v>3</v>
      </c>
      <c r="I13" s="55">
        <v>7</v>
      </c>
      <c r="J13" s="55">
        <f t="shared" ref="J13:J21" si="1">H13*I13</f>
        <v>21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199</v>
      </c>
      <c r="D14" s="27" t="s">
        <v>197</v>
      </c>
      <c r="E14" s="27" t="s">
        <v>200</v>
      </c>
      <c r="F14" s="55"/>
      <c r="G14" s="55"/>
      <c r="H14" s="55">
        <v>2</v>
      </c>
      <c r="I14" s="55">
        <v>11</v>
      </c>
      <c r="J14" s="55">
        <f t="shared" si="1"/>
        <v>22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202</v>
      </c>
      <c r="D15" s="27" t="s">
        <v>197</v>
      </c>
      <c r="E15" s="27" t="s">
        <v>201</v>
      </c>
      <c r="F15" s="55"/>
      <c r="G15" s="55"/>
      <c r="H15" s="55">
        <v>6</v>
      </c>
      <c r="I15" s="55">
        <v>8</v>
      </c>
      <c r="J15" s="55">
        <f t="shared" si="1"/>
        <v>48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1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1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1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1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1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1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>SUM(J11:J21)</f>
        <v>466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k92ez0S2ZNvSwLmCSUkYUMXlUy6zTbT0fclRImt1DXmstJw05TQFPvOx+jPNh+x0jxXO1Sc+pEMR+qXWNKBiyA==" saltValue="txOUnjZGUg50RxLXVP7St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6 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4" workbookViewId="0">
      <selection activeCell="C18" sqref="C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183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208</v>
      </c>
      <c r="D17" s="70" t="s">
        <v>29</v>
      </c>
      <c r="E17" s="55">
        <v>2</v>
      </c>
      <c r="F17" s="55">
        <v>65</v>
      </c>
      <c r="G17" s="55">
        <f>E17*F17</f>
        <v>130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29</v>
      </c>
      <c r="E18" s="55">
        <v>1</v>
      </c>
      <c r="F18" s="55">
        <v>85</v>
      </c>
      <c r="G18" s="55">
        <f t="shared" ref="G18:G26" si="0">E18*F18</f>
        <v>85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203</v>
      </c>
      <c r="D19" s="70" t="s">
        <v>29</v>
      </c>
      <c r="E19" s="55">
        <v>1</v>
      </c>
      <c r="F19" s="55">
        <v>110</v>
      </c>
      <c r="G19" s="55">
        <f t="shared" si="0"/>
        <v>110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204</v>
      </c>
      <c r="D20" s="70" t="s">
        <v>29</v>
      </c>
      <c r="E20" s="55">
        <v>1</v>
      </c>
      <c r="F20" s="55">
        <v>32</v>
      </c>
      <c r="G20" s="55">
        <f t="shared" si="0"/>
        <v>32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175</v>
      </c>
      <c r="D21" s="70" t="s">
        <v>29</v>
      </c>
      <c r="E21" s="55">
        <v>7</v>
      </c>
      <c r="F21" s="55">
        <v>6</v>
      </c>
      <c r="G21" s="55">
        <f t="shared" si="0"/>
        <v>42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178</v>
      </c>
      <c r="D22" s="70" t="s">
        <v>29</v>
      </c>
      <c r="E22" s="55">
        <v>7</v>
      </c>
      <c r="F22" s="55">
        <v>4</v>
      </c>
      <c r="G22" s="55">
        <f t="shared" si="0"/>
        <v>28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176</v>
      </c>
      <c r="D23" s="70" t="s">
        <v>29</v>
      </c>
      <c r="E23" s="55">
        <v>3</v>
      </c>
      <c r="F23" s="55">
        <v>7</v>
      </c>
      <c r="G23" s="55">
        <f t="shared" si="0"/>
        <v>21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177</v>
      </c>
      <c r="D24" s="70" t="s">
        <v>29</v>
      </c>
      <c r="E24" s="55">
        <v>3</v>
      </c>
      <c r="F24" s="55">
        <v>6</v>
      </c>
      <c r="G24" s="55">
        <f t="shared" si="0"/>
        <v>18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207</v>
      </c>
      <c r="D25" s="70" t="s">
        <v>29</v>
      </c>
      <c r="E25" s="55">
        <v>2</v>
      </c>
      <c r="F25" s="55">
        <v>61</v>
      </c>
      <c r="G25" s="55">
        <f t="shared" si="0"/>
        <v>122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206</v>
      </c>
      <c r="D26" s="70" t="s">
        <v>29</v>
      </c>
      <c r="E26" s="55">
        <v>1</v>
      </c>
      <c r="F26" s="55">
        <v>61</v>
      </c>
      <c r="G26" s="55">
        <f t="shared" si="0"/>
        <v>61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182</v>
      </c>
      <c r="D27" s="70" t="s">
        <v>29</v>
      </c>
      <c r="E27" s="55">
        <v>8</v>
      </c>
      <c r="F27" s="55">
        <v>7</v>
      </c>
      <c r="G27" s="55">
        <f t="shared" ref="G27:G30" si="1">E27*F27</f>
        <v>56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205</v>
      </c>
      <c r="D28" s="70" t="s">
        <v>29</v>
      </c>
      <c r="E28" s="55">
        <v>1</v>
      </c>
      <c r="F28" s="55">
        <v>22</v>
      </c>
      <c r="G28" s="55">
        <f t="shared" si="1"/>
        <v>22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184</v>
      </c>
      <c r="D29" s="70" t="s">
        <v>29</v>
      </c>
      <c r="E29" s="55">
        <v>1</v>
      </c>
      <c r="F29" s="55">
        <v>2</v>
      </c>
      <c r="G29" s="55">
        <f t="shared" ref="G29:G31" si="2">E29*F29</f>
        <v>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180</v>
      </c>
      <c r="D30" s="70" t="s">
        <v>29</v>
      </c>
      <c r="E30" s="55">
        <v>3</v>
      </c>
      <c r="F30" s="55">
        <v>8</v>
      </c>
      <c r="G30" s="55">
        <f t="shared" si="1"/>
        <v>24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2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SUM(G16:G30)</f>
        <v>760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/+KOsSKC6SA5T6Ndx6ysLeD1P1KZIpoZ6kj/vuhuF3iUwAEb3G7Pdn87sBIABNmPrXTUYxc2QYdhcO1KgFtUxA==" saltValue="t5CK5vuQvv8rLKeZXwiQWw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G26 E25:G25 E27:G28 G18 E16:G17 E19:G21 G22:G24 E30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N15" sqref="N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210</v>
      </c>
      <c r="N12" s="90" t="s">
        <v>211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40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40</v>
      </c>
      <c r="H14" s="55"/>
      <c r="I14" s="55"/>
      <c r="J14" s="55"/>
      <c r="K14" s="55"/>
      <c r="L14" s="55"/>
      <c r="M14" s="55">
        <v>40</v>
      </c>
      <c r="N14" s="55">
        <v>20</v>
      </c>
      <c r="P14" s="88">
        <f t="shared" ref="P14:P22" si="0">SUM(D14:N14)</f>
        <v>100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209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20</v>
      </c>
      <c r="P30" s="89">
        <f>SUM(P13:P22)</f>
        <v>235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2018-06-04T02:10:15Z</dcterms:modified>
</cp:coreProperties>
</file>