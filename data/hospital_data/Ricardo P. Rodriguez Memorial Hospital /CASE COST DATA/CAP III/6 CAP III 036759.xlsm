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Drugs&amp;Med'!$B$2:$J$28</definedName>
  </definedNames>
  <calcPr calcId="152511"/>
</workbook>
</file>

<file path=xl/calcChain.xml><?xml version="1.0" encoding="utf-8"?>
<calcChain xmlns="http://schemas.openxmlformats.org/spreadsheetml/2006/main">
  <c r="G33" i="9" l="1"/>
  <c r="G32" i="9"/>
  <c r="J24" i="2"/>
  <c r="J25" i="2"/>
  <c r="J23" i="2"/>
  <c r="J22" i="2"/>
  <c r="G30" i="9" l="1"/>
  <c r="G31" i="9"/>
  <c r="G18" i="9" l="1"/>
  <c r="G19" i="9"/>
  <c r="G20" i="9"/>
  <c r="G21" i="9"/>
  <c r="G22" i="9"/>
  <c r="G23" i="9"/>
  <c r="G24" i="9"/>
  <c r="G25" i="9"/>
  <c r="G26" i="9"/>
  <c r="J20" i="2" l="1"/>
  <c r="G28" i="9" l="1"/>
  <c r="G27" i="9"/>
  <c r="J13" i="2" l="1"/>
  <c r="G29" i="9"/>
  <c r="J14" i="2" l="1"/>
  <c r="J17" i="2"/>
  <c r="J18" i="2"/>
  <c r="G16" i="9" l="1"/>
  <c r="G17" i="9"/>
  <c r="J12" i="2"/>
  <c r="J15" i="2"/>
  <c r="J16" i="2"/>
  <c r="J19" i="2"/>
  <c r="J21" i="2"/>
  <c r="J26" i="2"/>
  <c r="G34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J27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<sst xmlns="http://schemas.openxmlformats.org/spreadsheetml/2006/main" count="550" uniqueCount="238">
  <si>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</si>
  <si>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</si>
  <si>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</si>
  <si>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</si>
  <si>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</si>
  <si>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</si>
  <si>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</si>
  <si>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</si>
  <si>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</si>
  <si>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</si>
  <si>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</si>
  <si>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</si>
  <si>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</si>
  <si>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</si>
  <si>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</si>
  <si>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</si>
  <si>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</si>
  <si>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</si>
  <si>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</si>
  <si>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</si>
  <si>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</si>
  <si>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</si>
  <si>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</si>
  <si>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</si>
  <si>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</si>
  <si>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</si>
  <si>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</si>
  <si>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</si>
  <si>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</si>
  <si>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</si>
  <si>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</si>
  <si>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</si>
  <si>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</si>
  <si>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</si>
  <si>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</si>
  <si>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</si>
  <si>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</si>
  <si>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</si>
  <si>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</si>
  <si>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</si>
  <si>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</si>
  <si>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</si>
  <si>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</si>
  <si>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</si>
  <si>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</si>
  <si>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</si>
  <si>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</si>
  <si>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</si>
  <si>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</si>
  <si>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</si>
  <si>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</si>
  <si>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</si>
  <si>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</si>
  <si>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</si>
  <si>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</si>
  <si>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</si>
  <si>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</si>
  <si>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</si>
  <si>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</si>
  <si>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</si>
  <si>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</si>
  <si>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</si>
  <si>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</si>
  <si>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</si>
  <si>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</si>
  <si>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</si>
  <si>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</si>
  <si>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</si>
  <si>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</si>
  <si>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</si>
  <si>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</si>
  <si>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</si>
  <si>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</si>
  <si>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</si>
  <si>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</si>
  <si>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</si>
  <si>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</si>
  <si>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</si>
  <si>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</si>
  <si>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</si>
  <si>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</si>
  <si>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</si>
  <si>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</si>
  <si>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</si>
  <si>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</si>
  <si>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</si>
  <si>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</si>
  <si>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</si>
  <si>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</si>
  <si>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</si>
  <si>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</si>
  <si>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</si>
  <si>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</si>
  <si>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</si>
  <si>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</si>
  <si>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</si>
  <si>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</si>
  <si>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</si>
  <si>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</si>
  <si>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</si>
  <si>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</si>
  <si>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</si>
  <si>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</si>
  <si>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</si>
  <si>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</si>
  <si>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</si>
  <si>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</si>
  <si>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</si>
  <si>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</si>
  <si>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</si>
  <si>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</si>
  <si>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</si>
  <si>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</si>
  <si>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</si>
  <si>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</si>
  <si>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</si>
  <si>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</si>
  <si>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</si>
  <si>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</si>
  <si>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</si>
  <si>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</si>
  <si>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</si>
  <si>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</si>
  <si>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</si>
  <si>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</si>
  <si>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</si>
  <si>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</si>
  <si>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</si>
  <si>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</si>
  <si>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</si>
  <si>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</si>
  <si>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</si>
  <si>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</si>
  <si>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</si>
  <si>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</si>
  <si>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</si>
  <si>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</si>
  <si>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</si>
  <si>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</si>
  <si>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</si>
  <si>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</si>
  <si>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</si>
  <si>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</si>
  <si>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</si>
  <si>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</si>
  <si>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</si>
  <si>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</si>
  <si>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</si>
  <si>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</si>
  <si>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</si>
  <si>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</si>
  <si>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</si>
  <si>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</si>
  <si>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</si>
  <si>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</si>
  <si>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</si>
  <si>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</si>
  <si>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</si>
  <si>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</si>
  <si>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</si>
  <si>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</si>
  <si>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</si>
  <si>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</si>
  <si>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</si>
  <si>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</si>
  <si>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</si>
  <si>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</si>
  <si>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</si>
  <si>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</si>
  <si>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</si>
  <si>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</si>
  <si>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</si>
  <si>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</si>
  <si>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</si>
  <si>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</si>
  <si>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</si>
  <si>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</si>
  <si>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</si>
  <si>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</si>
  <si>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</si>
  <si>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</si>
  <si>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AMPULE/IV</t>
  </si>
  <si>
    <t>5CC SYRINGE</t>
  </si>
  <si>
    <t>ID BRACELET</t>
  </si>
  <si>
    <t>RANDOM BLOOD SUGAR</t>
  </si>
  <si>
    <t xml:space="preserve">0.9 % NACL </t>
  </si>
  <si>
    <t>1000ml</t>
  </si>
  <si>
    <t>10mg</t>
  </si>
  <si>
    <t>50mg</t>
  </si>
  <si>
    <t>IV SPLINT ADULT</t>
  </si>
  <si>
    <t>IV SET ADULT</t>
  </si>
  <si>
    <t>IV CATHETER G22</t>
  </si>
  <si>
    <t>IV CATHETER G24</t>
  </si>
  <si>
    <t>CHEM 8</t>
  </si>
  <si>
    <t>ELECTROLYTES (Na,K,C1)</t>
  </si>
  <si>
    <t>CHEST PA 14X14</t>
  </si>
  <si>
    <t>ECG</t>
  </si>
  <si>
    <t>OXYGEN</t>
  </si>
  <si>
    <t>D5 LRS</t>
  </si>
  <si>
    <t>OMEPRAZOLE</t>
  </si>
  <si>
    <t>VIAL/IV</t>
  </si>
  <si>
    <t>40mg</t>
  </si>
  <si>
    <t>CEFOXITIN</t>
  </si>
  <si>
    <t>1g</t>
  </si>
  <si>
    <t>PARACETAMOL</t>
  </si>
  <si>
    <t>150mg/ml</t>
  </si>
  <si>
    <t>STERILE WATER FOR INJECTION</t>
  </si>
  <si>
    <t>POLYAMPULE</t>
  </si>
  <si>
    <t>10ml</t>
  </si>
  <si>
    <t>NEBULE/INH</t>
  </si>
  <si>
    <t>2.5mg/500mcg/2.5ml</t>
  </si>
  <si>
    <t>AMINO ACID (NUTRILIN)</t>
  </si>
  <si>
    <t>AZITHROMYCIN DIHYDRATE</t>
  </si>
  <si>
    <t>CAPSULE ORAL</t>
  </si>
  <si>
    <t>500mg</t>
  </si>
  <si>
    <t>MONTELUKAST</t>
  </si>
  <si>
    <t>TABLET ORAL</t>
  </si>
  <si>
    <t>BUTAMIRATE CITRATE</t>
  </si>
  <si>
    <t>VITAMIN B COMPLEX + VITAMIN C</t>
  </si>
  <si>
    <t>100mg/10mg/50mcg</t>
  </si>
  <si>
    <t>CLOPIDOGREL</t>
  </si>
  <si>
    <t>75mg</t>
  </si>
  <si>
    <t>KETOANALOGUES + ESSENTIAL AMINO ACID (KETOLOG)</t>
  </si>
  <si>
    <t>600mg</t>
  </si>
  <si>
    <t>INSULIN 70/30</t>
  </si>
  <si>
    <t>VIAL/SC</t>
  </si>
  <si>
    <t>ACETYLCYSTEINE</t>
  </si>
  <si>
    <t>NASAL CANNULA ADULT</t>
  </si>
  <si>
    <t>OS</t>
  </si>
  <si>
    <t>INSULIN SYRINGE 0.5ml</t>
  </si>
  <si>
    <t>NEBULIZING KIT</t>
  </si>
  <si>
    <t>bottle</t>
  </si>
  <si>
    <t>POVIDONE IODINE 60ml</t>
  </si>
  <si>
    <t>SALBUTAMOL/IPRATROPIUM</t>
  </si>
  <si>
    <t>MEDICAL TECHNOLOGIST</t>
  </si>
  <si>
    <t>RADIOLOGIC TECHNOLOGIST</t>
  </si>
  <si>
    <t>Consultation in the ER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</si>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</sst>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61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61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61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61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33" zoomScaleNormal="100" workbookViewId="0">
      <selection activeCell="G27" sqref="G2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62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63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54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45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184</v>
      </c>
      <c r="D37" s="23"/>
      <c r="E37" s="55">
        <v>6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115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115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20" t="s">
        <v>19</v>
      </c>
      <c r="C43" s="121"/>
      <c r="D43" s="118"/>
      <c r="E43" s="121"/>
      <c r="F43" s="119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195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 t="s">
        <v>196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thickBot="1" x14ac:dyDescent="0.35">
      <c r="A48" s="1"/>
      <c r="B48" s="120" t="s">
        <v>46</v>
      </c>
      <c r="C48" s="121"/>
      <c r="D48" s="118"/>
      <c r="E48" s="121"/>
      <c r="F48" s="119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1"/>
      <c r="B49" s="14" t="s">
        <v>47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7" t="s">
        <v>55</v>
      </c>
      <c r="C50" s="118"/>
      <c r="D50" s="118"/>
      <c r="E50" s="118"/>
      <c r="F50" s="119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thickBot="1" x14ac:dyDescent="0.35">
      <c r="A55" s="1"/>
      <c r="B55" s="117" t="s">
        <v>20</v>
      </c>
      <c r="C55" s="118"/>
      <c r="D55" s="118"/>
      <c r="E55" s="118"/>
      <c r="F55" s="119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1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hidden="1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hidden="1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hidden="1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hidden="1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hidden="1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57</v>
      </c>
      <c r="C64" s="17" t="s">
        <v>53</v>
      </c>
      <c r="D64" s="17" t="s">
        <v>58</v>
      </c>
      <c r="E64" s="18" t="s">
        <v>59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167</v>
      </c>
      <c r="D65" s="55"/>
      <c r="E65" s="55">
        <v>1600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168</v>
      </c>
      <c r="D66" s="55"/>
      <c r="E66" s="55">
        <v>40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169</v>
      </c>
      <c r="D67" s="55">
        <v>10490.4</v>
      </c>
      <c r="E67" s="55">
        <v>7456.6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170</v>
      </c>
      <c r="D68" s="55">
        <v>5.6</v>
      </c>
      <c r="E68" s="55">
        <v>1711.4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 t="s">
        <v>171</v>
      </c>
      <c r="D69" s="55"/>
      <c r="E69" s="55">
        <v>160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 t="s">
        <v>172</v>
      </c>
      <c r="D70" s="55">
        <v>4</v>
      </c>
      <c r="E70" s="55">
        <v>2516</v>
      </c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 t="s">
        <v>173</v>
      </c>
      <c r="D71" s="55">
        <v>4500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 t="s">
        <v>196</v>
      </c>
      <c r="D72" s="55"/>
      <c r="E72" s="55">
        <v>120</v>
      </c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 t="s">
        <v>197</v>
      </c>
      <c r="D73" s="55"/>
      <c r="E73" s="55">
        <v>50</v>
      </c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15000</v>
      </c>
      <c r="E76" s="59">
        <f>SUM(E65:E75)</f>
        <v>13654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algorithmName="SHA-512" hashValue="0ZBtJ0nkXb4oYfvbvR0cS4O70ZFR5Y+Z4Q/MWyoHMzm5Cun6sIEPEHgKcgfB4O2VXQCGo1GjBtBVCu2OMvwdZQ==" saltValue="WC/vJbd85aMmEXZljtlUBg==" spinCount="100000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8"/>
  <sheetViews>
    <sheetView workbookViewId="0">
      <selection activeCell="F11" sqref="F11:G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66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174</v>
      </c>
      <c r="E11" s="27" t="s">
        <v>186</v>
      </c>
      <c r="F11" s="55"/>
      <c r="G11" s="55"/>
      <c r="H11" s="55">
        <v>7</v>
      </c>
      <c r="I11" s="55">
        <v>80</v>
      </c>
      <c r="J11" s="55">
        <f>H11*I11</f>
        <v>560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198</v>
      </c>
      <c r="D12" s="27" t="s">
        <v>174</v>
      </c>
      <c r="E12" s="27" t="s">
        <v>186</v>
      </c>
      <c r="F12" s="55"/>
      <c r="G12" s="55"/>
      <c r="H12" s="55">
        <v>1</v>
      </c>
      <c r="I12" s="55">
        <v>80</v>
      </c>
      <c r="J12" s="55">
        <f t="shared" ref="J12:J26" si="0">H12*I12</f>
        <v>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199</v>
      </c>
      <c r="D13" s="27" t="s">
        <v>200</v>
      </c>
      <c r="E13" s="27" t="s">
        <v>201</v>
      </c>
      <c r="F13" s="55"/>
      <c r="G13" s="55"/>
      <c r="H13" s="55">
        <v>2</v>
      </c>
      <c r="I13" s="55">
        <v>285</v>
      </c>
      <c r="J13" s="55">
        <f t="shared" ref="J13:J23" si="1">H13*I13</f>
        <v>570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202</v>
      </c>
      <c r="D14" s="27" t="s">
        <v>200</v>
      </c>
      <c r="E14" s="27" t="s">
        <v>203</v>
      </c>
      <c r="F14" s="55"/>
      <c r="G14" s="55"/>
      <c r="H14" s="55">
        <v>12</v>
      </c>
      <c r="I14" s="55">
        <v>825</v>
      </c>
      <c r="J14" s="55">
        <f t="shared" si="1"/>
        <v>9900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204</v>
      </c>
      <c r="D15" s="27" t="s">
        <v>181</v>
      </c>
      <c r="E15" s="27" t="s">
        <v>205</v>
      </c>
      <c r="F15" s="55"/>
      <c r="G15" s="55"/>
      <c r="H15" s="55">
        <v>6</v>
      </c>
      <c r="I15" s="55">
        <v>35</v>
      </c>
      <c r="J15" s="55">
        <f t="shared" si="1"/>
        <v>210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206</v>
      </c>
      <c r="D16" s="27" t="s">
        <v>207</v>
      </c>
      <c r="E16" s="27" t="s">
        <v>208</v>
      </c>
      <c r="F16" s="55"/>
      <c r="G16" s="55"/>
      <c r="H16" s="55">
        <v>3</v>
      </c>
      <c r="I16" s="55">
        <v>40</v>
      </c>
      <c r="J16" s="55">
        <f t="shared" si="1"/>
        <v>120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233</v>
      </c>
      <c r="D17" s="27" t="s">
        <v>209</v>
      </c>
      <c r="E17" s="27" t="s">
        <v>210</v>
      </c>
      <c r="F17" s="55"/>
      <c r="G17" s="55"/>
      <c r="H17" s="55">
        <v>25</v>
      </c>
      <c r="I17" s="55">
        <v>35</v>
      </c>
      <c r="J17" s="55">
        <f t="shared" si="1"/>
        <v>875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211</v>
      </c>
      <c r="D18" s="27" t="s">
        <v>174</v>
      </c>
      <c r="E18" s="116">
        <v>0.05</v>
      </c>
      <c r="F18" s="55"/>
      <c r="G18" s="55"/>
      <c r="H18" s="55">
        <v>1</v>
      </c>
      <c r="I18" s="55">
        <v>990</v>
      </c>
      <c r="J18" s="55">
        <f t="shared" si="1"/>
        <v>990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212</v>
      </c>
      <c r="D19" s="27" t="s">
        <v>213</v>
      </c>
      <c r="E19" s="27" t="s">
        <v>214</v>
      </c>
      <c r="F19" s="55"/>
      <c r="G19" s="55"/>
      <c r="H19" s="55">
        <v>11</v>
      </c>
      <c r="I19" s="55">
        <v>110</v>
      </c>
      <c r="J19" s="55">
        <f t="shared" si="1"/>
        <v>1210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215</v>
      </c>
      <c r="D20" s="27" t="s">
        <v>216</v>
      </c>
      <c r="E20" s="27" t="s">
        <v>187</v>
      </c>
      <c r="F20" s="55"/>
      <c r="G20" s="55"/>
      <c r="H20" s="55">
        <v>3</v>
      </c>
      <c r="I20" s="55">
        <v>75</v>
      </c>
      <c r="J20" s="55">
        <f t="shared" si="1"/>
        <v>225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217</v>
      </c>
      <c r="D21" s="27" t="s">
        <v>216</v>
      </c>
      <c r="E21" s="27" t="s">
        <v>188</v>
      </c>
      <c r="F21" s="55"/>
      <c r="G21" s="55"/>
      <c r="H21" s="55">
        <v>9</v>
      </c>
      <c r="I21" s="55">
        <v>17</v>
      </c>
      <c r="J21" s="55">
        <f t="shared" si="1"/>
        <v>153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218</v>
      </c>
      <c r="D22" s="27" t="s">
        <v>216</v>
      </c>
      <c r="E22" s="27" t="s">
        <v>219</v>
      </c>
      <c r="F22" s="55"/>
      <c r="G22" s="55"/>
      <c r="H22" s="55">
        <v>10</v>
      </c>
      <c r="I22" s="55">
        <v>2</v>
      </c>
      <c r="J22" s="55">
        <f t="shared" si="1"/>
        <v>20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220</v>
      </c>
      <c r="D23" s="27" t="s">
        <v>216</v>
      </c>
      <c r="E23" s="27" t="s">
        <v>221</v>
      </c>
      <c r="F23" s="55"/>
      <c r="G23" s="55"/>
      <c r="H23" s="55">
        <v>10</v>
      </c>
      <c r="I23" s="55">
        <v>25</v>
      </c>
      <c r="J23" s="55">
        <f t="shared" si="1"/>
        <v>250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222</v>
      </c>
      <c r="D24" s="27" t="s">
        <v>216</v>
      </c>
      <c r="E24" s="27" t="s">
        <v>223</v>
      </c>
      <c r="F24" s="55"/>
      <c r="G24" s="55"/>
      <c r="H24" s="55">
        <v>46</v>
      </c>
      <c r="I24" s="55">
        <v>36</v>
      </c>
      <c r="J24" s="55">
        <f>H24*I24</f>
        <v>1656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224</v>
      </c>
      <c r="D25" s="27" t="s">
        <v>225</v>
      </c>
      <c r="E25" s="27" t="s">
        <v>208</v>
      </c>
      <c r="F25" s="55"/>
      <c r="G25" s="55"/>
      <c r="H25" s="55">
        <v>1</v>
      </c>
      <c r="I25" s="55">
        <v>720</v>
      </c>
      <c r="J25" s="55">
        <f>H25*I25</f>
        <v>720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226</v>
      </c>
      <c r="D26" s="27" t="s">
        <v>216</v>
      </c>
      <c r="E26" s="27" t="s">
        <v>223</v>
      </c>
      <c r="F26" s="55"/>
      <c r="G26" s="55"/>
      <c r="H26" s="55">
        <v>6</v>
      </c>
      <c r="I26" s="55">
        <v>68</v>
      </c>
      <c r="J26" s="55">
        <f t="shared" si="0"/>
        <v>408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>SUM(J11:J26)</f>
        <v>17947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25">
      <c r="A28" s="33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</row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KxJIqLGK8zwhaMPAeqfj6SVZFTyiK0Z58LChIwlX75Kl8r8WG9p10Xl+c5oGByxKgjaoCd4o077gKR90K4YsHg==" saltValue="ab5M2VsjskPLTIC4dJFbm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7 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2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71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74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183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237</v>
      </c>
      <c r="D17" s="70" t="s">
        <v>29</v>
      </c>
      <c r="E17" s="55">
        <v>2</v>
      </c>
      <c r="F17" s="55">
        <v>65</v>
      </c>
      <c r="G17" s="55">
        <f>E17*F17</f>
        <v>130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29</v>
      </c>
      <c r="E18" s="55">
        <v>1</v>
      </c>
      <c r="F18" s="55">
        <v>85</v>
      </c>
      <c r="G18" s="55">
        <f t="shared" ref="G18:G26" si="0">E18*F18</f>
        <v>85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189</v>
      </c>
      <c r="D19" s="70" t="s">
        <v>29</v>
      </c>
      <c r="E19" s="55">
        <v>1</v>
      </c>
      <c r="F19" s="55">
        <v>110</v>
      </c>
      <c r="G19" s="55">
        <f t="shared" si="0"/>
        <v>110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190</v>
      </c>
      <c r="D20" s="70" t="s">
        <v>29</v>
      </c>
      <c r="E20" s="55">
        <v>2</v>
      </c>
      <c r="F20" s="55">
        <v>32</v>
      </c>
      <c r="G20" s="55">
        <f t="shared" si="0"/>
        <v>64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175</v>
      </c>
      <c r="D21" s="70" t="s">
        <v>29</v>
      </c>
      <c r="E21" s="55">
        <v>7</v>
      </c>
      <c r="F21" s="55">
        <v>6</v>
      </c>
      <c r="G21" s="55">
        <f t="shared" si="0"/>
        <v>42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178</v>
      </c>
      <c r="D22" s="70" t="s">
        <v>29</v>
      </c>
      <c r="E22" s="55">
        <v>5</v>
      </c>
      <c r="F22" s="55">
        <v>4</v>
      </c>
      <c r="G22" s="55">
        <f t="shared" si="0"/>
        <v>20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176</v>
      </c>
      <c r="D23" s="70" t="s">
        <v>29</v>
      </c>
      <c r="E23" s="55">
        <v>6</v>
      </c>
      <c r="F23" s="55">
        <v>7</v>
      </c>
      <c r="G23" s="55">
        <f t="shared" si="0"/>
        <v>42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177</v>
      </c>
      <c r="D24" s="70" t="s">
        <v>29</v>
      </c>
      <c r="E24" s="55">
        <v>14</v>
      </c>
      <c r="F24" s="55">
        <v>6</v>
      </c>
      <c r="G24" s="55">
        <f t="shared" si="0"/>
        <v>84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192</v>
      </c>
      <c r="D25" s="70" t="s">
        <v>29</v>
      </c>
      <c r="E25" s="55">
        <v>7</v>
      </c>
      <c r="F25" s="55">
        <v>61</v>
      </c>
      <c r="G25" s="55">
        <f t="shared" si="0"/>
        <v>427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191</v>
      </c>
      <c r="D26" s="70" t="s">
        <v>29</v>
      </c>
      <c r="E26" s="55">
        <v>2</v>
      </c>
      <c r="F26" s="55">
        <v>61</v>
      </c>
      <c r="G26" s="55">
        <f t="shared" si="0"/>
        <v>122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182</v>
      </c>
      <c r="D27" s="70" t="s">
        <v>29</v>
      </c>
      <c r="E27" s="55">
        <v>10</v>
      </c>
      <c r="F27" s="55">
        <v>7</v>
      </c>
      <c r="G27" s="55">
        <f t="shared" ref="G27:G30" si="1">E27*F27</f>
        <v>70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227</v>
      </c>
      <c r="D28" s="70" t="s">
        <v>29</v>
      </c>
      <c r="E28" s="55">
        <v>1</v>
      </c>
      <c r="F28" s="55">
        <v>43</v>
      </c>
      <c r="G28" s="55">
        <f t="shared" si="1"/>
        <v>43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228</v>
      </c>
      <c r="D29" s="70" t="s">
        <v>29</v>
      </c>
      <c r="E29" s="55">
        <v>40</v>
      </c>
      <c r="F29" s="55">
        <v>3</v>
      </c>
      <c r="G29" s="55">
        <f t="shared" ref="G29:G31" si="2">E29*F29</f>
        <v>120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180</v>
      </c>
      <c r="D30" s="70" t="s">
        <v>29</v>
      </c>
      <c r="E30" s="55">
        <v>10</v>
      </c>
      <c r="F30" s="55">
        <v>8</v>
      </c>
      <c r="G30" s="55">
        <f t="shared" si="1"/>
        <v>80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229</v>
      </c>
      <c r="D31" s="70" t="s">
        <v>29</v>
      </c>
      <c r="E31" s="55">
        <v>5</v>
      </c>
      <c r="F31" s="55">
        <v>17</v>
      </c>
      <c r="G31" s="55">
        <f t="shared" si="2"/>
        <v>85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230</v>
      </c>
      <c r="D32" s="70" t="s">
        <v>29</v>
      </c>
      <c r="E32" s="55">
        <v>1</v>
      </c>
      <c r="F32" s="55">
        <v>70</v>
      </c>
      <c r="G32" s="55">
        <f>(E32*F32)</f>
        <v>70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 t="s">
        <v>232</v>
      </c>
      <c r="D33" s="70" t="s">
        <v>231</v>
      </c>
      <c r="E33" s="55">
        <v>1</v>
      </c>
      <c r="F33" s="55">
        <v>116</v>
      </c>
      <c r="G33" s="55">
        <f>(E33*F33)</f>
        <v>116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1717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8" t="s">
        <v>78</v>
      </c>
      <c r="C35" s="139"/>
      <c r="D35" s="139"/>
      <c r="E35" s="139"/>
      <c r="F35" s="139"/>
      <c r="G35" s="140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8" t="s">
        <v>30</v>
      </c>
      <c r="C46" s="139"/>
      <c r="D46" s="139"/>
      <c r="E46" s="139"/>
      <c r="F46" s="139"/>
      <c r="G46" s="140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Utwil2mLEFIyKI9aBO2RCUfm6Slsob/YSi0Vdzhtxo85STXOlXt4wPq/LqPWgahI6gkcCBNtgDzCVYS2X94t1Q==" saltValue="GzL+cqAwUJzqqQ4hN6StvQ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G26 E25:G25 E27:G28 G18 E16:G17 E19:G21 G22:G24 E30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2" workbookViewId="0">
      <selection activeCell="J22" sqref="J2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33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234</v>
      </c>
      <c r="N12" s="90" t="s">
        <v>235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50</v>
      </c>
      <c r="F13" s="55"/>
      <c r="G13" s="55">
        <v>100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100</v>
      </c>
      <c r="N14" s="55">
        <v>40</v>
      </c>
      <c r="P14" s="88">
        <f t="shared" ref="P14:P22" si="0">SUM(D14:N14)</f>
        <v>190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236</v>
      </c>
      <c r="D15" s="55"/>
      <c r="E15" s="55">
        <v>15</v>
      </c>
      <c r="F15" s="55"/>
      <c r="G15" s="55">
        <v>25</v>
      </c>
      <c r="H15" s="55"/>
      <c r="I15" s="55"/>
      <c r="J15" s="55"/>
      <c r="K15" s="55"/>
      <c r="L15" s="55"/>
      <c r="M15" s="55"/>
      <c r="N15" s="55"/>
      <c r="P15" s="88">
        <f t="shared" si="0"/>
        <v>40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175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100</v>
      </c>
      <c r="N30" s="88">
        <f t="shared" si="1"/>
        <v>40</v>
      </c>
      <c r="P30" s="89">
        <f>SUM(P13:P22)</f>
        <v>380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2018-06-04T02:01:49Z</dcterms:modified>
</cp:coreProperties>
</file>