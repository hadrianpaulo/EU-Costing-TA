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30" i="9" l="1"/>
  <c r="J27" i="2"/>
  <c r="J28" i="2"/>
  <c r="J22" i="2"/>
  <c r="J20" i="2"/>
  <c r="G28" i="9" l="1"/>
  <c r="G27" i="9"/>
  <c r="G26" i="9"/>
  <c r="G31" i="9"/>
  <c r="G18" i="9"/>
  <c r="G25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4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J23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<sst xmlns="http://schemas.openxmlformats.org/spreadsheetml/2006/main" count="525" uniqueCount="221">
  <si>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</si>
  <si>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</si>
  <si>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</si>
  <si>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</si>
  <si>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</si>
  <si>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</si>
  <si>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</si>
  <si>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</si>
  <si>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</si>
  <si>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</si>
  <si>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</si>
  <si>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</si>
  <si>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</si>
  <si>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</si>
  <si>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</si>
  <si>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</si>
  <si>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</si>
  <si>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</si>
  <si>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</si>
  <si>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</si>
  <si>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</si>
  <si>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</si>
  <si>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</si>
  <si>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</si>
  <si>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</si>
  <si>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</si>
  <si>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</si>
  <si>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</si>
  <si>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</si>
  <si>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</si>
  <si>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</si>
  <si>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</si>
  <si>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</si>
  <si>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</si>
  <si>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</si>
  <si>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</si>
  <si>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</si>
  <si>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</si>
  <si>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</si>
  <si>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</si>
  <si>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</si>
  <si>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</si>
  <si>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</si>
  <si>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</si>
  <si>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</si>
  <si>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</si>
  <si>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</si>
  <si>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</si>
  <si>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</si>
  <si>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</si>
  <si>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</si>
  <si>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</si>
  <si>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</si>
  <si>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</si>
  <si>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</si>
  <si>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</si>
  <si>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</si>
  <si>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</si>
  <si>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</si>
  <si>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</si>
  <si>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</si>
  <si>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</si>
  <si>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</si>
  <si>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</si>
  <si>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</si>
  <si>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</si>
  <si>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</si>
  <si>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</si>
  <si>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</si>
  <si>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</si>
  <si>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</si>
  <si>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</si>
  <si>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</si>
  <si>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</si>
  <si>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</si>
  <si>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</si>
  <si>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</si>
  <si>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</si>
  <si>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</si>
  <si>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</si>
  <si>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</si>
  <si>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</si>
  <si>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</si>
  <si>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</si>
  <si>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</si>
  <si>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</si>
  <si>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</si>
  <si>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</si>
  <si>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</si>
  <si>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</si>
  <si>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</si>
  <si>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</si>
  <si>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</si>
  <si>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</si>
  <si>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</si>
  <si>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</si>
  <si>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</si>
  <si>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</si>
  <si>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</si>
  <si>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</si>
  <si>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</si>
  <si>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</si>
  <si>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</si>
  <si>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</si>
  <si>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</si>
  <si>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</si>
  <si>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</si>
  <si>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</si>
  <si>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</si>
  <si>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</si>
  <si>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</si>
  <si>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</si>
  <si>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</si>
  <si>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</si>
  <si>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</si>
  <si>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</si>
  <si>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</si>
  <si>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</si>
  <si>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</si>
  <si>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</si>
  <si>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</si>
  <si>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</si>
  <si>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</si>
  <si>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</si>
  <si>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</si>
  <si>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</si>
  <si>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</si>
  <si>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</si>
  <si>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</si>
  <si>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</si>
  <si>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</si>
  <si>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</si>
  <si>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</si>
  <si>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</si>
  <si>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</si>
  <si>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</si>
  <si>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</si>
  <si>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</si>
  <si>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</si>
  <si>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</si>
  <si>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</si>
  <si>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</si>
  <si>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</si>
  <si>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</si>
  <si>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</si>
  <si>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</si>
  <si>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</si>
  <si>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</si>
  <si>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</si>
  <si>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</si>
  <si>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</si>
  <si>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</si>
  <si>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</si>
  <si>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</si>
  <si>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</si>
  <si>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</si>
  <si>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</si>
  <si>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</si>
  <si>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</si>
  <si>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</si>
  <si>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</si>
  <si>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</si>
  <si>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</si>
  <si>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</si>
  <si>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</si>
  <si>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</si>
  <si>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</si>
  <si>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</si>
  <si>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</si>
  <si>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</si>
  <si>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</si>
  <si>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</si>
  <si>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</si>
  <si>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</si>
  <si>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</si>
  <si>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BOTTLE/IV</t>
  </si>
  <si>
    <t>POLYAMPULE/IV</t>
  </si>
  <si>
    <t>VIAL/IV</t>
  </si>
  <si>
    <t>SYRUP/ORAL</t>
  </si>
  <si>
    <t>10 ml</t>
  </si>
  <si>
    <t>500 ml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</si>
  <si>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</si>
  <si>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</si>
  <si>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</si>
  <si>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</si>
  <si>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</si>
  <si>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</si>
  <si>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</si>
  <si>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PARACETAMOL</t>
  </si>
  <si>
    <t>AMPULE/IV</t>
  </si>
  <si>
    <t>IV SPLINT PEDIA</t>
  </si>
  <si>
    <t>ELECTROLYTES (Na,K,Cl)</t>
  </si>
  <si>
    <t>CEFUROXIME (ZIOMET)</t>
  </si>
  <si>
    <t xml:space="preserve">CEFUROXIME </t>
  </si>
  <si>
    <t>250 mg/ml</t>
  </si>
  <si>
    <t>5CC SYRINGE</t>
  </si>
  <si>
    <t>IV SET PEDIA</t>
  </si>
  <si>
    <t>CEFTRIAXONE</t>
  </si>
  <si>
    <t>1 gm</t>
  </si>
  <si>
    <t>SALBUTAMOL</t>
  </si>
  <si>
    <t>NEBULE/INHALATION</t>
  </si>
  <si>
    <t>1 mg/ml</t>
  </si>
  <si>
    <t>IV CATHETER G 24</t>
  </si>
  <si>
    <t>NEBULIZING KIT</t>
  </si>
  <si>
    <t>CHEST AP/LATERAL 8X10</t>
  </si>
  <si>
    <t>D5 0.3NACL</t>
  </si>
  <si>
    <t>150 mg/ml</t>
  </si>
  <si>
    <t>CARBOCISTEINE</t>
  </si>
  <si>
    <t>CLARITHROMYCIN</t>
  </si>
  <si>
    <t>SUSPENSION/ORAL</t>
  </si>
  <si>
    <t>125 mg/ml</t>
  </si>
  <si>
    <t>2mg/ml</t>
  </si>
  <si>
    <t>AMBROXOL</t>
  </si>
  <si>
    <t>15 mg/ml</t>
  </si>
  <si>
    <t>ID BRACELET</t>
  </si>
  <si>
    <t>IV CATHETER G 26</t>
  </si>
  <si>
    <t>WEE BAG</t>
  </si>
  <si>
    <t>MEDICAL TECHNOLOGIST</t>
  </si>
  <si>
    <t>RADIOLOGIC TECHNOLOGIST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</si>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</sst>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22" zoomScale="150" zoomScaleNormal="150" workbookViewId="0">
      <selection activeCell="D42" sqref="D4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204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167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168</v>
      </c>
      <c r="D62" s="55">
        <v>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169</v>
      </c>
      <c r="D63" s="55">
        <v>4010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170</v>
      </c>
      <c r="D64" s="55">
        <v>1120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171</v>
      </c>
      <c r="D65" s="55">
        <v>210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172</v>
      </c>
      <c r="D66" s="55">
        <v>1100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173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12990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doRm6lTUAIjg0o2IIDXhI8Vpx9FQNioPaS5x+wv9xfczjA8p4V95QzXryptb87yw+KleY5/2Bj9UPZWFaOreKg==" saltValue="JrWjtcW8bqNbVoKrhM3Z/Q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C8" zoomScaleNormal="100" workbookViewId="0">
      <selection activeCell="N21" sqref="N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176</v>
      </c>
      <c r="E11" s="27" t="s">
        <v>179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175</v>
      </c>
      <c r="E12" s="27" t="s">
        <v>180</v>
      </c>
      <c r="F12" s="55"/>
      <c r="G12" s="55"/>
      <c r="H12" s="55">
        <v>7</v>
      </c>
      <c r="I12" s="55">
        <v>80</v>
      </c>
      <c r="J12" s="55">
        <f t="shared" ref="J12:J28" si="0">H12*I12</f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177</v>
      </c>
      <c r="E13" s="27" t="s">
        <v>181</v>
      </c>
      <c r="F13" s="55"/>
      <c r="G13" s="55"/>
      <c r="H13" s="55">
        <v>3</v>
      </c>
      <c r="I13" s="55">
        <v>495</v>
      </c>
      <c r="J13" s="55">
        <f t="shared" ref="J13:J22" si="1">H13*I13</f>
        <v>1485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177</v>
      </c>
      <c r="E14" s="27" t="s">
        <v>181</v>
      </c>
      <c r="F14" s="55"/>
      <c r="G14" s="55"/>
      <c r="H14" s="55">
        <v>7</v>
      </c>
      <c r="I14" s="55">
        <v>55</v>
      </c>
      <c r="J14" s="55">
        <f t="shared" si="1"/>
        <v>385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189</v>
      </c>
      <c r="E15" s="27" t="s">
        <v>206</v>
      </c>
      <c r="F15" s="55"/>
      <c r="G15" s="55"/>
      <c r="H15" s="55">
        <v>9</v>
      </c>
      <c r="I15" s="55">
        <v>35</v>
      </c>
      <c r="J15" s="55">
        <f t="shared" si="1"/>
        <v>315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177</v>
      </c>
      <c r="E16" s="27" t="s">
        <v>198</v>
      </c>
      <c r="F16" s="55"/>
      <c r="G16" s="55"/>
      <c r="H16" s="55">
        <v>2</v>
      </c>
      <c r="I16" s="55">
        <v>65</v>
      </c>
      <c r="J16" s="55">
        <f t="shared" si="1"/>
        <v>130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200</v>
      </c>
      <c r="E17" s="27" t="s">
        <v>201</v>
      </c>
      <c r="F17" s="55"/>
      <c r="G17" s="55"/>
      <c r="H17" s="55">
        <v>31</v>
      </c>
      <c r="I17" s="55">
        <v>15</v>
      </c>
      <c r="J17" s="55">
        <f t="shared" si="1"/>
        <v>465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207</v>
      </c>
      <c r="D18" s="27" t="s">
        <v>178</v>
      </c>
      <c r="E18" s="27" t="s">
        <v>194</v>
      </c>
      <c r="F18" s="55"/>
      <c r="G18" s="55"/>
      <c r="H18" s="55">
        <v>1</v>
      </c>
      <c r="I18" s="55">
        <v>40</v>
      </c>
      <c r="J18" s="55">
        <f t="shared" si="1"/>
        <v>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208</v>
      </c>
      <c r="D19" s="27" t="s">
        <v>209</v>
      </c>
      <c r="E19" s="27" t="s">
        <v>210</v>
      </c>
      <c r="F19" s="55"/>
      <c r="G19" s="55"/>
      <c r="H19" s="55">
        <v>2</v>
      </c>
      <c r="I19" s="55">
        <v>260</v>
      </c>
      <c r="J19" s="55">
        <f t="shared" si="1"/>
        <v>520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199</v>
      </c>
      <c r="D20" s="27" t="s">
        <v>178</v>
      </c>
      <c r="E20" s="27" t="s">
        <v>211</v>
      </c>
      <c r="F20" s="55"/>
      <c r="G20" s="55"/>
      <c r="H20" s="55">
        <v>1</v>
      </c>
      <c r="I20" s="55">
        <v>35</v>
      </c>
      <c r="J20" s="55">
        <f t="shared" si="1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212</v>
      </c>
      <c r="D21" s="27" t="s">
        <v>178</v>
      </c>
      <c r="E21" s="27" t="s">
        <v>213</v>
      </c>
      <c r="F21" s="55"/>
      <c r="G21" s="55"/>
      <c r="H21" s="55">
        <v>1</v>
      </c>
      <c r="I21" s="55">
        <v>35</v>
      </c>
      <c r="J21" s="55">
        <f t="shared" si="1"/>
        <v>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>SUM(J11:J21)</f>
        <v>4010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214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215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29</v>
      </c>
      <c r="E18" s="55">
        <v>12</v>
      </c>
      <c r="F18" s="55">
        <v>6</v>
      </c>
      <c r="G18" s="55">
        <f t="shared" ref="G18:G28" si="0">E18*F18</f>
        <v>72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29</v>
      </c>
      <c r="E19" s="55">
        <v>15</v>
      </c>
      <c r="F19" s="55">
        <v>7</v>
      </c>
      <c r="G19" s="55">
        <f t="shared" si="0"/>
        <v>105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29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29</v>
      </c>
      <c r="E21" s="55">
        <v>10</v>
      </c>
      <c r="F21" s="55">
        <v>6</v>
      </c>
      <c r="G21" s="55">
        <f t="shared" si="0"/>
        <v>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220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10</v>
      </c>
      <c r="F23" s="55">
        <v>4</v>
      </c>
      <c r="G23" s="55">
        <f t="shared" si="0"/>
        <v>40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186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202</v>
      </c>
      <c r="D27" s="70" t="s">
        <v>29</v>
      </c>
      <c r="E27" s="55">
        <v>4</v>
      </c>
      <c r="F27" s="55">
        <v>61</v>
      </c>
      <c r="G27" s="55">
        <f t="shared" si="0"/>
        <v>244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196</v>
      </c>
      <c r="D28" s="70" t="s">
        <v>29</v>
      </c>
      <c r="E28" s="55">
        <v>2</v>
      </c>
      <c r="F28" s="55">
        <v>35</v>
      </c>
      <c r="G28" s="55">
        <f t="shared" si="0"/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216</v>
      </c>
      <c r="D29" s="70" t="s">
        <v>29</v>
      </c>
      <c r="E29" s="55">
        <v>3</v>
      </c>
      <c r="F29" s="55">
        <v>7</v>
      </c>
      <c r="G29" s="55">
        <f t="shared" ref="G29:G30" si="1">E29*F29</f>
        <v>21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203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1120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20" sqref="J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217</v>
      </c>
      <c r="N12" s="90" t="s">
        <v>218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75</v>
      </c>
      <c r="F13" s="55"/>
      <c r="G13" s="55">
        <v>150</v>
      </c>
      <c r="H13" s="55"/>
      <c r="I13" s="55"/>
      <c r="J13" s="55"/>
      <c r="K13" s="55"/>
      <c r="L13" s="55"/>
      <c r="M13" s="55"/>
      <c r="N13" s="55"/>
      <c r="P13" s="88">
        <f>SUM(D13:N13)</f>
        <v>225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230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380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2018-06-04T02:02:12Z</dcterms:modified>
</cp:coreProperties>
</file>