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28" i="9" l="1"/>
  <c r="G27" i="9"/>
  <c r="G26" i="9"/>
  <c r="G25" i="9"/>
  <c r="G30" i="9" l="1"/>
  <c r="J27" i="2"/>
  <c r="J28" i="2"/>
  <c r="J22" i="2"/>
  <c r="J20" i="2"/>
  <c r="G31" i="9" l="1"/>
  <c r="G18" i="9"/>
  <c r="G24" i="9"/>
  <c r="G23" i="9"/>
  <c r="G22" i="9"/>
  <c r="G21" i="9"/>
  <c r="G20" i="9"/>
  <c r="G19" i="9"/>
  <c r="J13" i="2" l="1"/>
  <c r="G29" i="9"/>
  <c r="J14" i="2" l="1"/>
  <c r="J17" i="2"/>
  <c r="J18" i="2"/>
  <c r="G16" i="9" l="1"/>
  <c r="G17" i="9"/>
  <c r="J12" i="2"/>
  <c r="J15" i="2"/>
  <c r="J16" i="2"/>
  <c r="J19" i="2"/>
  <c r="J21" i="2"/>
  <c r="J24" i="2"/>
  <c r="J25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J23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<sst xmlns="http://schemas.openxmlformats.org/spreadsheetml/2006/main" count="521" uniqueCount="217">
  <si>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</si>
  <si>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</si>
  <si>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</si>
  <si>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</si>
  <si>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</si>
  <si>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</si>
  <si>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</si>
  <si>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</si>
  <si>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</si>
  <si>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</si>
  <si>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</si>
  <si>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</si>
  <si>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</si>
  <si>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</si>
  <si>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</si>
  <si>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</si>
  <si>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</si>
  <si>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</si>
  <si>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</si>
  <si>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</si>
  <si>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</si>
  <si>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</si>
  <si>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</si>
  <si>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</si>
  <si>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</si>
  <si>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</si>
  <si>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</si>
  <si>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</si>
  <si>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</si>
  <si>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</si>
  <si>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</si>
  <si>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</si>
  <si>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</si>
  <si>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</si>
  <si>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</si>
  <si>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</si>
  <si>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</si>
  <si>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</si>
  <si>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</si>
  <si>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</si>
  <si>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</si>
  <si>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</si>
  <si>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</si>
  <si>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</si>
  <si>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</si>
  <si>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</si>
  <si>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</si>
  <si>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</si>
  <si>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</si>
  <si>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</si>
  <si>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</si>
  <si>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</si>
  <si>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</si>
  <si>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</si>
  <si>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</si>
  <si>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</si>
  <si>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</si>
  <si>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</si>
  <si>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</si>
  <si>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</si>
  <si>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</si>
  <si>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</si>
  <si>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</si>
  <si>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</si>
  <si>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</si>
  <si>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</si>
  <si>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</si>
  <si>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</si>
  <si>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</si>
  <si>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</si>
  <si>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</si>
  <si>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</si>
  <si>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</si>
  <si>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</si>
  <si>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</si>
  <si>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</si>
  <si>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</si>
  <si>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</si>
  <si>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</si>
  <si>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</si>
  <si>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</si>
  <si>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</si>
  <si>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</si>
  <si>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</si>
  <si>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</si>
  <si>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</si>
  <si>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</si>
  <si>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</si>
  <si>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</si>
  <si>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</si>
  <si>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</si>
  <si>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</si>
  <si>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</si>
  <si>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</si>
  <si>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</si>
  <si>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</si>
  <si>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</si>
  <si>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</si>
  <si>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</si>
  <si>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</si>
  <si>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</si>
  <si>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</si>
  <si>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</si>
  <si>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</si>
  <si>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</si>
  <si>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</si>
  <si>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</si>
  <si>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</si>
  <si>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</si>
  <si>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</si>
  <si>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</si>
  <si>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</si>
  <si>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</si>
  <si>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</si>
  <si>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</si>
  <si>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</si>
  <si>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</si>
  <si>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</si>
  <si>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</si>
  <si>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</si>
  <si>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</si>
  <si>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</si>
  <si>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</si>
  <si>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</si>
  <si>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</si>
  <si>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</si>
  <si>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</si>
  <si>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</si>
  <si>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</si>
  <si>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</si>
  <si>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</si>
  <si>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</si>
  <si>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</si>
  <si>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</si>
  <si>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</si>
  <si>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</si>
  <si>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</si>
  <si>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</si>
  <si>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</si>
  <si>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</si>
  <si>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</si>
  <si>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</si>
  <si>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</si>
  <si>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</si>
  <si>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</si>
  <si>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</si>
  <si>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</si>
  <si>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</si>
  <si>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</si>
  <si>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</si>
  <si>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</si>
  <si>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</si>
  <si>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</si>
  <si>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</si>
  <si>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</si>
  <si>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</si>
  <si>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</si>
  <si>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</si>
  <si>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</si>
  <si>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</si>
  <si>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</si>
  <si>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</si>
  <si>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</si>
  <si>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</si>
  <si>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</si>
  <si>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</si>
  <si>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</si>
  <si>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</si>
  <si>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</si>
  <si>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</si>
  <si>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</si>
  <si>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PROFESSIONAL FEE</t>
  </si>
  <si>
    <t>BOTTLE/IV</t>
  </si>
  <si>
    <t>VIAL/IV</t>
  </si>
  <si>
    <t>SYRUP/ORAL</t>
  </si>
  <si>
    <t>500 ml</t>
  </si>
  <si>
    <t>50 mg/ml</t>
  </si>
  <si>
    <t>DISPOSABLE MASK</t>
  </si>
  <si>
    <t>1CC SYRINGE</t>
  </si>
  <si>
    <t>3CC SYRINGE</t>
  </si>
  <si>
    <t>GLOVES UNSTERILE MEDIUM</t>
  </si>
  <si>
    <t>DIGITAL THERMOMETER</t>
  </si>
  <si>
    <t>IV SPLINT PEDIA</t>
  </si>
  <si>
    <t>5CC SYRINGE</t>
  </si>
  <si>
    <t>SALBUTAMOL</t>
  </si>
  <si>
    <t>NEBULE/INHALATION</t>
  </si>
  <si>
    <t>1 mg/ml</t>
  </si>
  <si>
    <t>IV CATHETER G 24</t>
  </si>
  <si>
    <t>NEBULIZING KIT</t>
  </si>
  <si>
    <t>CHEST AP/LATERAL 8X10</t>
  </si>
  <si>
    <t>CLARITHROMYCIN</t>
  </si>
  <si>
    <t>SUSPENSION/ORAL</t>
  </si>
  <si>
    <t>125 mg/ml</t>
  </si>
  <si>
    <t>ID BRACELET</t>
  </si>
  <si>
    <t>IV CATHETER G 26</t>
  </si>
  <si>
    <t>WEE BAG</t>
  </si>
  <si>
    <t>D5 IMB</t>
  </si>
  <si>
    <t>2.50 mg/500 mcg/2.5 ml</t>
  </si>
  <si>
    <t>URINALYSIS</t>
  </si>
  <si>
    <t>LABORATORY EXAM</t>
  </si>
  <si>
    <t>D5 0.3 NACL</t>
  </si>
  <si>
    <t>GENTAMICIN</t>
  </si>
  <si>
    <t>AMPULE/IV</t>
  </si>
  <si>
    <t>40 mg/ml</t>
  </si>
  <si>
    <t>CEFOXITIN</t>
  </si>
  <si>
    <t>1 gm</t>
  </si>
  <si>
    <t>PARACETAMOL</t>
  </si>
  <si>
    <t>150 mg/ml</t>
  </si>
  <si>
    <t>CEFACLOR</t>
  </si>
  <si>
    <t>2mg/5ml</t>
  </si>
  <si>
    <t>SOLUSET</t>
  </si>
  <si>
    <t>HEPLOCK</t>
  </si>
  <si>
    <t>Consultation in the ER</t>
  </si>
  <si>
    <t>MED. TECH</t>
  </si>
  <si>
    <t>RAD. TECH</t>
  </si>
  <si>
    <t>ADHESIVE PLASTER</t>
  </si>
  <si>
    <t xml:space="preserve">SALBUTAMOL/IPRATROPIUM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</si>
</sst>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23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189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57</v>
      </c>
      <c r="C60" s="17" t="s">
        <v>53</v>
      </c>
      <c r="D60" s="17" t="s">
        <v>58</v>
      </c>
      <c r="E60" s="18" t="s">
        <v>59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166</v>
      </c>
      <c r="D61" s="55">
        <v>1200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167</v>
      </c>
      <c r="D62" s="55">
        <v>30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168</v>
      </c>
      <c r="D63" s="55">
        <v>5990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169</v>
      </c>
      <c r="D64" s="55">
        <v>1055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170</v>
      </c>
      <c r="D65" s="55">
        <v>210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171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199</v>
      </c>
      <c r="D67" s="55">
        <v>50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13035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doRm6lTUAIjg0o2IIDXhI8Vpx9FQNioPaS5x+wv9xfczjA8p4V95QzXryptb87yw+KleY5/2Bj9UPZWFaOreKg==" saltValue="JrWjtcW8bqNbVoKrhM3Z/Q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C9" zoomScaleNormal="100"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196</v>
      </c>
      <c r="D11" s="27" t="s">
        <v>172</v>
      </c>
      <c r="E11" s="27" t="s">
        <v>175</v>
      </c>
      <c r="F11" s="55"/>
      <c r="G11" s="55"/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200</v>
      </c>
      <c r="D12" s="27" t="s">
        <v>172</v>
      </c>
      <c r="E12" s="27" t="s">
        <v>175</v>
      </c>
      <c r="F12" s="55"/>
      <c r="G12" s="55"/>
      <c r="H12" s="55">
        <v>1</v>
      </c>
      <c r="I12" s="55">
        <v>80</v>
      </c>
      <c r="J12" s="55">
        <f t="shared" ref="J12:J28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201</v>
      </c>
      <c r="D13" s="27" t="s">
        <v>202</v>
      </c>
      <c r="E13" s="27" t="s">
        <v>203</v>
      </c>
      <c r="F13" s="55"/>
      <c r="G13" s="55"/>
      <c r="H13" s="55">
        <v>2</v>
      </c>
      <c r="I13" s="55">
        <v>25</v>
      </c>
      <c r="J13" s="55">
        <f t="shared" ref="J13:J22" si="1">H13*I13</f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204</v>
      </c>
      <c r="D14" s="27" t="s">
        <v>173</v>
      </c>
      <c r="E14" s="27" t="s">
        <v>205</v>
      </c>
      <c r="F14" s="55"/>
      <c r="G14" s="55"/>
      <c r="H14" s="55">
        <v>5</v>
      </c>
      <c r="I14" s="55">
        <v>825</v>
      </c>
      <c r="J14" s="55">
        <f t="shared" si="1"/>
        <v>4125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206</v>
      </c>
      <c r="D15" s="27" t="s">
        <v>202</v>
      </c>
      <c r="E15" s="27" t="s">
        <v>207</v>
      </c>
      <c r="F15" s="55"/>
      <c r="G15" s="55"/>
      <c r="H15" s="55">
        <v>2</v>
      </c>
      <c r="I15" s="55">
        <v>35</v>
      </c>
      <c r="J15" s="55">
        <f t="shared" si="1"/>
        <v>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216</v>
      </c>
      <c r="D16" s="27" t="s">
        <v>185</v>
      </c>
      <c r="E16" s="27" t="s">
        <v>197</v>
      </c>
      <c r="F16" s="55"/>
      <c r="G16" s="55"/>
      <c r="H16" s="55">
        <v>6</v>
      </c>
      <c r="I16" s="55">
        <v>35</v>
      </c>
      <c r="J16" s="55">
        <f t="shared" si="1"/>
        <v>210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185</v>
      </c>
      <c r="E17" s="27" t="s">
        <v>186</v>
      </c>
      <c r="F17" s="55"/>
      <c r="G17" s="55"/>
      <c r="H17" s="55">
        <v>18</v>
      </c>
      <c r="I17" s="55">
        <v>15</v>
      </c>
      <c r="J17" s="55">
        <f t="shared" si="1"/>
        <v>270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208</v>
      </c>
      <c r="D18" s="27" t="s">
        <v>191</v>
      </c>
      <c r="E18" s="27" t="s">
        <v>176</v>
      </c>
      <c r="F18" s="55"/>
      <c r="G18" s="55"/>
      <c r="H18" s="55">
        <v>1</v>
      </c>
      <c r="I18" s="55">
        <v>490</v>
      </c>
      <c r="J18" s="55">
        <f t="shared" si="1"/>
        <v>490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190</v>
      </c>
      <c r="D19" s="27" t="s">
        <v>191</v>
      </c>
      <c r="E19" s="27" t="s">
        <v>192</v>
      </c>
      <c r="F19" s="55"/>
      <c r="G19" s="55"/>
      <c r="H19" s="55">
        <v>1</v>
      </c>
      <c r="I19" s="55">
        <v>260</v>
      </c>
      <c r="J19" s="55">
        <f t="shared" si="1"/>
        <v>260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184</v>
      </c>
      <c r="D20" s="27" t="s">
        <v>174</v>
      </c>
      <c r="E20" s="27" t="s">
        <v>209</v>
      </c>
      <c r="F20" s="55"/>
      <c r="G20" s="55"/>
      <c r="H20" s="55">
        <v>1</v>
      </c>
      <c r="I20" s="55">
        <v>35</v>
      </c>
      <c r="J20" s="55">
        <f t="shared" si="1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>SUM(J1:J20)</f>
        <v>5990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xbi3HzvubcybHseR+mJq+QnlDACInqLajukZ296UyPWoryXrv2hyWxlBAbtpxXJXOH9jYPKsCUuC9hcdLe2Srw==" saltValue="uuXDGodXAEx/nGGfdOWyW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8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C12" zoomScaleNormal="10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193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194</v>
      </c>
      <c r="D17" s="70" t="s">
        <v>29</v>
      </c>
      <c r="E17" s="55">
        <v>5</v>
      </c>
      <c r="F17" s="55">
        <v>61</v>
      </c>
      <c r="G17" s="55">
        <f>E17*F17</f>
        <v>305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29</v>
      </c>
      <c r="E18" s="55">
        <v>2</v>
      </c>
      <c r="F18" s="55">
        <v>6</v>
      </c>
      <c r="G18" s="55">
        <f t="shared" ref="G18:G24" si="0">E18*F18</f>
        <v>12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29</v>
      </c>
      <c r="E19" s="55">
        <v>2</v>
      </c>
      <c r="F19" s="55">
        <v>7</v>
      </c>
      <c r="G19" s="55">
        <f t="shared" si="0"/>
        <v>14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29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179</v>
      </c>
      <c r="D21" s="70" t="s">
        <v>29</v>
      </c>
      <c r="E21" s="55">
        <v>2</v>
      </c>
      <c r="F21" s="55">
        <v>6</v>
      </c>
      <c r="G21" s="55">
        <f t="shared" si="0"/>
        <v>12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215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180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181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182</v>
      </c>
      <c r="D25" s="70" t="s">
        <v>29</v>
      </c>
      <c r="E25" s="55">
        <v>1</v>
      </c>
      <c r="F25" s="55">
        <v>105</v>
      </c>
      <c r="G25" s="55">
        <f t="shared" ref="G25" si="1">E25*F25</f>
        <v>105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210</v>
      </c>
      <c r="D26" s="70" t="s">
        <v>29</v>
      </c>
      <c r="E26" s="55">
        <v>1</v>
      </c>
      <c r="F26" s="55">
        <v>200</v>
      </c>
      <c r="G26" s="55">
        <f>E26*F26</f>
        <v>200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195</v>
      </c>
      <c r="D27" s="70" t="s">
        <v>29</v>
      </c>
      <c r="E27" s="55">
        <v>2</v>
      </c>
      <c r="F27" s="55">
        <v>7</v>
      </c>
      <c r="G27" s="55">
        <f t="shared" ref="G27:G28" si="2">E27*F27</f>
        <v>14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188</v>
      </c>
      <c r="D28" s="70" t="s">
        <v>29</v>
      </c>
      <c r="E28" s="55">
        <v>1</v>
      </c>
      <c r="F28" s="55">
        <v>70</v>
      </c>
      <c r="G28" s="55">
        <f t="shared" si="2"/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187</v>
      </c>
      <c r="D29" s="70" t="s">
        <v>29</v>
      </c>
      <c r="E29" s="55">
        <v>2</v>
      </c>
      <c r="F29" s="55">
        <v>61</v>
      </c>
      <c r="G29" s="55">
        <f t="shared" ref="G29:G30" si="3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211</v>
      </c>
      <c r="D30" s="70" t="s">
        <v>29</v>
      </c>
      <c r="E30" s="55">
        <v>1</v>
      </c>
      <c r="F30" s="55">
        <v>22</v>
      </c>
      <c r="G30" s="55">
        <f t="shared" si="3"/>
        <v>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1055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213</v>
      </c>
      <c r="N12" s="90" t="s">
        <v>214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212</v>
      </c>
      <c r="D15" s="55"/>
      <c r="E15" s="55">
        <v>15</v>
      </c>
      <c r="F15" s="55"/>
      <c r="G15" s="55">
        <v>20</v>
      </c>
      <c r="H15" s="55"/>
      <c r="I15" s="55"/>
      <c r="J15" s="55"/>
      <c r="K15" s="55"/>
      <c r="L15" s="55"/>
      <c r="M15" s="55"/>
      <c r="N15" s="55"/>
      <c r="P15" s="88">
        <f t="shared" si="0"/>
        <v>35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2018-06-04T02:00:25Z</dcterms:modified>
</cp:coreProperties>
</file>