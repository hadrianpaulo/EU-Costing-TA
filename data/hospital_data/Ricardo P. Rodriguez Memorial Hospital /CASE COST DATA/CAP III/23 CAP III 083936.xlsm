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CASE COST DATA CAP III REVISED\"/>
    </mc:Choice>
  </mc:AlternateContent>
  <xr:revisionPtr revIDLastSave="0" documentId="12_ncr:500000_{B46498C7-8D89-462C-86DA-27E9D5828284}" xr6:coauthVersionLast="31" xr6:coauthVersionMax="31" xr10:uidLastSave="{00000000-0000-0000-0000-000000000000}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 xr2:uid="{00000000-000D-0000-FFFF-FFFF00000000}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30" i="9" l="1"/>
  <c r="J20" i="2"/>
  <c r="G28" i="9" l="1"/>
  <c r="G27" i="9"/>
  <c r="G26" i="9"/>
  <c r="G18" i="9"/>
  <c r="G25" i="9"/>
  <c r="G24" i="9"/>
  <c r="G23" i="9"/>
  <c r="G22" i="9"/>
  <c r="G21" i="9"/>
  <c r="G20" i="9"/>
  <c r="G19" i="9"/>
  <c r="J13" i="2" l="1"/>
  <c r="G29" i="9"/>
  <c r="G31" i="9" s="1"/>
  <c r="G32" i="9"/>
  <c r="J14" i="2" l="1"/>
  <c r="J17" i="2"/>
  <c r="J18" i="2"/>
  <c r="G16" i="9" l="1"/>
  <c r="G17" i="9"/>
  <c r="J12" i="2"/>
  <c r="J15" i="2"/>
  <c r="J16" i="2"/>
  <c r="J19" i="2"/>
  <c r="J21" i="2"/>
  <c r="J25" i="2"/>
  <c r="J2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J24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<sst xmlns="http://schemas.openxmlformats.org/spreadsheetml/2006/main" count="514" uniqueCount="211">
  <si>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</si>
  <si>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</si>
  <si>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</si>
  <si>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</si>
  <si>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</si>
  <si>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</si>
  <si>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</si>
  <si>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</si>
  <si>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</si>
  <si>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</si>
  <si>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</si>
  <si>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</si>
  <si>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</si>
  <si>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</si>
  <si>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</si>
  <si>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</si>
  <si>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</si>
  <si>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</si>
  <si>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</si>
  <si>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</si>
  <si>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</si>
  <si>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</si>
  <si>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</si>
  <si>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</si>
  <si>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</si>
  <si>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</si>
  <si>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</si>
  <si>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</si>
  <si>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</si>
  <si>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</si>
  <si>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</si>
  <si>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</si>
  <si>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</si>
  <si>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</si>
  <si>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</si>
  <si>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</si>
  <si>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</si>
  <si>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</si>
  <si>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</si>
  <si>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</si>
  <si>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</si>
  <si>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</si>
  <si>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</si>
  <si>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</si>
  <si>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</si>
  <si>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</si>
  <si>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</si>
  <si>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</si>
  <si>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</si>
  <si>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</si>
  <si>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</si>
  <si>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</si>
  <si>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</si>
  <si>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</si>
  <si>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</si>
  <si>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</si>
  <si>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</si>
  <si>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</si>
  <si>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</si>
  <si>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</si>
  <si>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</si>
  <si>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</si>
  <si>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</si>
  <si>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</si>
  <si>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</si>
  <si>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</si>
  <si>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</si>
  <si>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</si>
  <si>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</si>
  <si>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</si>
  <si>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</si>
  <si>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</si>
  <si>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</si>
  <si>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</si>
  <si>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</si>
  <si>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</si>
  <si>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</si>
  <si>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</si>
  <si>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</si>
  <si>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</si>
  <si>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</si>
  <si>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</si>
  <si>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</si>
  <si>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</si>
  <si>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</si>
  <si>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</si>
  <si>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</si>
  <si>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</si>
  <si>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</si>
  <si>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</si>
  <si>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</si>
  <si>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</si>
  <si>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</si>
  <si>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</si>
  <si>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</si>
  <si>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</si>
  <si>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</si>
  <si>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</si>
  <si>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</si>
  <si>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</si>
  <si>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</si>
  <si>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</si>
  <si>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</si>
  <si>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</si>
  <si>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</si>
  <si>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</si>
  <si>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</si>
  <si>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</si>
  <si>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</si>
  <si>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</si>
  <si>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</si>
  <si>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</si>
  <si>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</si>
  <si>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</si>
  <si>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</si>
  <si>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</si>
  <si>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</si>
  <si>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</si>
  <si>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</si>
  <si>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</si>
  <si>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</si>
  <si>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</si>
  <si>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</si>
  <si>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</si>
  <si>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</si>
  <si>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</si>
  <si>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</si>
  <si>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</si>
  <si>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</si>
  <si>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</si>
  <si>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</si>
  <si>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</si>
  <si>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</si>
  <si>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</si>
  <si>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</si>
  <si>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</si>
  <si>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</si>
  <si>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</si>
  <si>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</si>
  <si>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</si>
  <si>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</si>
  <si>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</si>
  <si>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</si>
  <si>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</si>
  <si>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</si>
  <si>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</si>
  <si>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</si>
  <si>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</si>
  <si>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</si>
  <si>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</si>
  <si>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</si>
  <si>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</si>
  <si>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</si>
  <si>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</si>
  <si>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</si>
  <si>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</si>
  <si>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</si>
  <si>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</si>
  <si>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</si>
  <si>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</si>
  <si>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</si>
  <si>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</si>
  <si>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</si>
  <si>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</si>
  <si>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</si>
  <si>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</si>
  <si>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PLATELET COUNT</t>
  </si>
  <si>
    <t>ROOM AND BOARD</t>
  </si>
  <si>
    <t>GARBAGE FEE</t>
  </si>
  <si>
    <t>DRUGS AND MEDICINES</t>
  </si>
  <si>
    <t>MEDICAL SUPPLIES</t>
  </si>
  <si>
    <t>X-RAY</t>
  </si>
  <si>
    <t>LABORATORY EXAM</t>
  </si>
  <si>
    <t>PROFESSIONAL FEE</t>
  </si>
  <si>
    <t>STERILE WATER FOR INJECTION</t>
  </si>
  <si>
    <t>BOTTLE/IV</t>
  </si>
  <si>
    <t>POLYAMPULE/IV</t>
  </si>
  <si>
    <t>VIAL/IV</t>
  </si>
  <si>
    <t>10 ml</t>
  </si>
  <si>
    <t>DISPOSABLE MASK</t>
  </si>
  <si>
    <t>1CC SYRINGE</t>
  </si>
  <si>
    <t>3CC SYRINGE</t>
  </si>
  <si>
    <t>ADHESIVE PLASTER</t>
  </si>
  <si>
    <t>GLOVES UNSTERILE MEDIUM</t>
  </si>
  <si>
    <t>DIGITAL THERMOMETER</t>
  </si>
  <si>
    <t>10CC SYRINGE</t>
  </si>
  <si>
    <t>HEPLOCK</t>
  </si>
  <si>
    <t xml:space="preserve">CEFUROXIME </t>
  </si>
  <si>
    <t>5CC SYRINGE</t>
  </si>
  <si>
    <t>\</t>
  </si>
  <si>
    <t>ID BRACELET</t>
  </si>
  <si>
    <t>CHEM 8</t>
  </si>
  <si>
    <t>CHEST PA 14X14</t>
  </si>
  <si>
    <t>ECG</t>
  </si>
  <si>
    <t>0.9 NACL</t>
  </si>
  <si>
    <t>1000 ml</t>
  </si>
  <si>
    <t>OXACILLIN</t>
  </si>
  <si>
    <t>500 mg</t>
  </si>
  <si>
    <t>TABLET/ORAL</t>
  </si>
  <si>
    <t>CELECOXIB</t>
  </si>
  <si>
    <t>200 mg</t>
  </si>
  <si>
    <t>ATORVASTATIN</t>
  </si>
  <si>
    <t>40 mg</t>
  </si>
  <si>
    <t>METFORMIN</t>
  </si>
  <si>
    <t>IV SPLINT ADULT</t>
  </si>
  <si>
    <t>IV SET ADULT</t>
  </si>
  <si>
    <t>IV CATHETER G 22</t>
  </si>
  <si>
    <t>INSULIN SYRINGE 0.5 ml</t>
  </si>
  <si>
    <t>Consultation in the ER</t>
  </si>
  <si>
    <t>MED. TECH</t>
  </si>
  <si>
    <t>RAD. TECH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</si>
</sst>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56</xdr:row>
          <xdr:rowOff>142875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56</xdr:row>
          <xdr:rowOff>142875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Y1008"/>
  <sheetViews>
    <sheetView topLeftCell="A19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62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63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54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45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189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192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 t="s">
        <v>193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hidden="1" customHeight="1" thickBot="1" x14ac:dyDescent="0.35">
      <c r="A43" s="1"/>
      <c r="B43" s="118" t="s">
        <v>46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hidden="1" customHeight="1" x14ac:dyDescent="0.3">
      <c r="A44" s="1"/>
      <c r="B44" s="14" t="s">
        <v>47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hidden="1" customHeight="1" thickBot="1" x14ac:dyDescent="0.35">
      <c r="A45" s="1"/>
      <c r="B45" s="115" t="s">
        <v>55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hidden="1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hidden="1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hidden="1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hidden="1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hidden="1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hidden="1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hidden="1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hidden="1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hidden="1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hidden="1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hidden="1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57</v>
      </c>
      <c r="C59" s="17" t="s">
        <v>53</v>
      </c>
      <c r="D59" s="17" t="s">
        <v>58</v>
      </c>
      <c r="E59" s="18" t="s">
        <v>59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800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>
        <v>20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2910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170</v>
      </c>
      <c r="D63" s="55">
        <v>558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171</v>
      </c>
      <c r="D64" s="55">
        <v>160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172</v>
      </c>
      <c r="D65" s="55">
        <v>1320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173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193</v>
      </c>
      <c r="D67" s="55">
        <v>120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10388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 xr:uid="{00000000-0002-0000-0000-000000000000}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 xr:uid="{00000000-0002-0000-0000-000001000000}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 xr:uid="{00000000-0002-0000-0000-000002000000}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 xr:uid="{00000000-0002-0000-0000-000003000000}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70C0"/>
    <outlinePr summaryBelow="0" summaryRight="0"/>
  </sheetPr>
  <dimension ref="A1:T977"/>
  <sheetViews>
    <sheetView topLeftCell="A9" workbookViewId="0">
      <selection activeCell="C18" sqref="C18:I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66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176</v>
      </c>
      <c r="E11" s="27" t="s">
        <v>178</v>
      </c>
      <c r="F11" s="55"/>
      <c r="G11" s="55"/>
      <c r="H11" s="55">
        <v>2</v>
      </c>
      <c r="I11" s="55">
        <v>40</v>
      </c>
      <c r="J11" s="55">
        <f>H11*I11</f>
        <v>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194</v>
      </c>
      <c r="D12" s="27" t="s">
        <v>175</v>
      </c>
      <c r="E12" s="27" t="s">
        <v>195</v>
      </c>
      <c r="F12" s="55"/>
      <c r="G12" s="55"/>
      <c r="H12" s="55">
        <v>5</v>
      </c>
      <c r="I12" s="55">
        <v>80</v>
      </c>
      <c r="J12" s="55">
        <f t="shared" ref="J12:J26" si="0">H12*I12</f>
        <v>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196</v>
      </c>
      <c r="D13" s="27" t="s">
        <v>177</v>
      </c>
      <c r="E13" s="27" t="s">
        <v>197</v>
      </c>
      <c r="F13" s="55"/>
      <c r="G13" s="55"/>
      <c r="H13" s="55">
        <v>10</v>
      </c>
      <c r="I13" s="55">
        <v>155</v>
      </c>
      <c r="J13" s="55">
        <f t="shared" ref="J13:J21" si="1">H13*I13</f>
        <v>1550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198</v>
      </c>
      <c r="E14" s="27" t="s">
        <v>197</v>
      </c>
      <c r="F14" s="55"/>
      <c r="G14" s="55"/>
      <c r="H14" s="55">
        <v>16</v>
      </c>
      <c r="I14" s="55">
        <v>45</v>
      </c>
      <c r="J14" s="55">
        <f t="shared" si="1"/>
        <v>720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198</v>
      </c>
      <c r="E15" s="27" t="s">
        <v>200</v>
      </c>
      <c r="F15" s="55"/>
      <c r="G15" s="55"/>
      <c r="H15" s="55">
        <v>6</v>
      </c>
      <c r="I15" s="55">
        <v>11</v>
      </c>
      <c r="J15" s="55">
        <f t="shared" si="1"/>
        <v>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201</v>
      </c>
      <c r="D16" s="27" t="s">
        <v>198</v>
      </c>
      <c r="E16" s="27" t="s">
        <v>202</v>
      </c>
      <c r="F16" s="55"/>
      <c r="G16" s="55"/>
      <c r="H16" s="55">
        <v>7</v>
      </c>
      <c r="I16" s="55">
        <v>7</v>
      </c>
      <c r="J16" s="55">
        <f t="shared" si="1"/>
        <v>49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203</v>
      </c>
      <c r="D17" s="27" t="s">
        <v>198</v>
      </c>
      <c r="E17" s="27" t="s">
        <v>197</v>
      </c>
      <c r="F17" s="55"/>
      <c r="G17" s="55"/>
      <c r="H17" s="55">
        <v>15</v>
      </c>
      <c r="I17" s="55">
        <v>3</v>
      </c>
      <c r="J17" s="55">
        <f t="shared" si="1"/>
        <v>45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1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1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1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>SUM(J11:J21)</f>
        <v>2910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k92ez0S2ZNvSwLmCSUkYUMXlUy6zTbT0fclRImt1DXmstJw05TQFPvOx+jPNh+x0jxXO1Sc+pEMR+qXWNKBiyA==" saltValue="txOUnjZGUg50RxLXVP7Stw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4:J26 F11:J12" xr:uid="{00000000-0002-0000-0100-000000000000}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0070C0"/>
    <outlinePr summaryBelow="0" summaryRight="0"/>
  </sheetPr>
  <dimension ref="A1:P978"/>
  <sheetViews>
    <sheetView topLeftCell="A14" workbookViewId="0">
      <selection activeCell="C30" sqref="C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71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74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190</v>
      </c>
      <c r="D16" s="70" t="s">
        <v>29</v>
      </c>
      <c r="E16" s="55">
        <v>1</v>
      </c>
      <c r="F16" s="55">
        <v>7</v>
      </c>
      <c r="G16" s="55">
        <f>E16*F16</f>
        <v>7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206</v>
      </c>
      <c r="D17" s="70" t="s">
        <v>29</v>
      </c>
      <c r="E17" s="55">
        <v>1</v>
      </c>
      <c r="F17" s="55">
        <v>61</v>
      </c>
      <c r="G17" s="55">
        <f>E17*F17</f>
        <v>61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29</v>
      </c>
      <c r="E18" s="55">
        <v>2</v>
      </c>
      <c r="F18" s="55">
        <v>6</v>
      </c>
      <c r="G18" s="55">
        <f t="shared" ref="G18:G28" si="0">E18*F18</f>
        <v>12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188</v>
      </c>
      <c r="D19" s="70" t="s">
        <v>29</v>
      </c>
      <c r="E19" s="55">
        <v>4</v>
      </c>
      <c r="F19" s="55">
        <v>7</v>
      </c>
      <c r="G19" s="55">
        <f t="shared" si="0"/>
        <v>28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180</v>
      </c>
      <c r="D20" s="70" t="s">
        <v>29</v>
      </c>
      <c r="E20" s="55">
        <v>1</v>
      </c>
      <c r="F20" s="55">
        <v>7</v>
      </c>
      <c r="G20" s="55">
        <f t="shared" si="0"/>
        <v>7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181</v>
      </c>
      <c r="D21" s="70" t="s">
        <v>29</v>
      </c>
      <c r="E21" s="55">
        <v>5</v>
      </c>
      <c r="F21" s="55">
        <v>6</v>
      </c>
      <c r="G21" s="55">
        <f t="shared" si="0"/>
        <v>30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182</v>
      </c>
      <c r="D22" s="70" t="s">
        <v>29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183</v>
      </c>
      <c r="D23" s="70" t="s">
        <v>29</v>
      </c>
      <c r="E23" s="55">
        <v>2</v>
      </c>
      <c r="F23" s="55">
        <v>4</v>
      </c>
      <c r="G23" s="55">
        <f t="shared" si="0"/>
        <v>8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184</v>
      </c>
      <c r="D24" s="70" t="s">
        <v>29</v>
      </c>
      <c r="E24" s="55">
        <v>1</v>
      </c>
      <c r="F24" s="55">
        <v>85</v>
      </c>
      <c r="G24" s="55">
        <f t="shared" si="0"/>
        <v>85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185</v>
      </c>
      <c r="D25" s="70" t="s">
        <v>29</v>
      </c>
      <c r="E25" s="55">
        <v>5</v>
      </c>
      <c r="F25" s="55">
        <v>8</v>
      </c>
      <c r="G25" s="55">
        <f t="shared" si="0"/>
        <v>40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204</v>
      </c>
      <c r="D26" s="70" t="s">
        <v>29</v>
      </c>
      <c r="E26" s="55">
        <v>1</v>
      </c>
      <c r="F26" s="55">
        <v>110</v>
      </c>
      <c r="G26" s="55">
        <f t="shared" si="0"/>
        <v>110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186</v>
      </c>
      <c r="D27" s="70" t="s">
        <v>29</v>
      </c>
      <c r="E27" s="55">
        <v>1</v>
      </c>
      <c r="F27" s="55">
        <v>22</v>
      </c>
      <c r="G27" s="55">
        <f t="shared" si="0"/>
        <v>22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205</v>
      </c>
      <c r="D28" s="70" t="s">
        <v>29</v>
      </c>
      <c r="E28" s="55">
        <v>1</v>
      </c>
      <c r="F28" s="55">
        <v>32</v>
      </c>
      <c r="G28" s="55">
        <f t="shared" si="0"/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207</v>
      </c>
      <c r="D29" s="70" t="s">
        <v>29</v>
      </c>
      <c r="E29" s="55">
        <v>3</v>
      </c>
      <c r="F29" s="55">
        <v>17</v>
      </c>
      <c r="G29" s="55">
        <f t="shared" ref="G29:G32" si="1">E29*F29</f>
        <v>51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1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>SUM(G16:G30)</f>
        <v>558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78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sHRq+xfLgUevZiPkoS5+DjYXU6pxOlQ6NDM3wwbRgA9rhXPpVq63W14wulneZ7Ua4EYbvdBlaQDDFfuZ6lvBXA==" saltValue="KXZtJWmy77YEteCCHUSFxQ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8 E30:G54" xr:uid="{00000000-0002-0000-0200-000000000000}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rgb="FF0070C0"/>
    <outlinePr summaryBelow="0" summaryRight="0"/>
  </sheetPr>
  <dimension ref="B1:Z1000"/>
  <sheetViews>
    <sheetView tabSelected="1" topLeftCell="C1" workbookViewId="0">
      <selection activeCell="N13" sqref="N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86</v>
      </c>
      <c r="J12" s="86" t="s">
        <v>84</v>
      </c>
      <c r="K12" s="85" t="s">
        <v>41</v>
      </c>
      <c r="L12" s="85" t="s">
        <v>85</v>
      </c>
      <c r="M12" s="90" t="s">
        <v>209</v>
      </c>
      <c r="N12" s="90" t="s">
        <v>210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>
        <v>15</v>
      </c>
      <c r="P14" s="88">
        <f t="shared" ref="P14:P22" si="0">SUM(D14:N14)</f>
        <v>75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208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100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15</v>
      </c>
      <c r="P30" s="89">
        <f>SUM(P13:P22)</f>
        <v>190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Ronna</cp:lastModifiedBy>
  <dcterms:created xsi:type="dcterms:W3CDTF">2018-05-11T08:46:15Z</dcterms:created>
  <dcterms:modified xsi:type="dcterms:W3CDTF">2018-06-03T10:38:24Z</dcterms:modified>
</cp:coreProperties>
</file>