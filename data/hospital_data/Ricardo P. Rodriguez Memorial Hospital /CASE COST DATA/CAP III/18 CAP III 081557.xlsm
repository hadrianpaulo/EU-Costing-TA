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G28" i="9" l="1"/>
  <c r="G27" i="9"/>
  <c r="G26" i="9"/>
  <c r="G25" i="9"/>
  <c r="G30" i="9" l="1"/>
  <c r="J27" i="2"/>
  <c r="J28" i="2"/>
  <c r="J22" i="2"/>
  <c r="J20" i="2"/>
  <c r="G31" i="9" l="1"/>
  <c r="G18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17" i="9"/>
  <c r="J12" i="2"/>
  <c r="J15" i="2"/>
  <c r="J16" i="2"/>
  <c r="J19" i="2"/>
  <c r="J21" i="2"/>
  <c r="J24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J23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<sst xmlns="http://schemas.openxmlformats.org/spreadsheetml/2006/main" count="512" uniqueCount="213">
  <si>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</si>
  <si>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</si>
  <si>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</si>
  <si>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</si>
  <si>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</si>
  <si>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</si>
  <si>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</si>
  <si>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</si>
  <si>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</si>
  <si>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</si>
  <si>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</si>
  <si>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</si>
  <si>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</si>
  <si>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</si>
  <si>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</si>
  <si>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</si>
  <si>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</si>
  <si>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</si>
  <si>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</si>
  <si>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</si>
  <si>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</si>
  <si>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</si>
  <si>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</si>
  <si>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</si>
  <si>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</si>
  <si>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</si>
  <si>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</si>
  <si>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</si>
  <si>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</si>
  <si>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</si>
  <si>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</si>
  <si>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</si>
  <si>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</si>
  <si>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</si>
  <si>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</si>
  <si>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</si>
  <si>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</si>
  <si>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</si>
  <si>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</si>
  <si>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</si>
  <si>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</si>
  <si>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</si>
  <si>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</si>
  <si>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</si>
  <si>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</si>
  <si>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</si>
  <si>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</si>
  <si>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</si>
  <si>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</si>
  <si>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</si>
  <si>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</si>
  <si>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</si>
  <si>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</si>
  <si>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</si>
  <si>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</si>
  <si>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</si>
  <si>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</si>
  <si>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</si>
  <si>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</si>
  <si>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</si>
  <si>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</si>
  <si>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</si>
  <si>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</si>
  <si>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</si>
  <si>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</si>
  <si>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</si>
  <si>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</si>
  <si>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</si>
  <si>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</si>
  <si>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</si>
  <si>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</si>
  <si>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</si>
  <si>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</si>
  <si>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</si>
  <si>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</si>
  <si>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</si>
  <si>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</si>
  <si>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</si>
  <si>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</si>
  <si>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</si>
  <si>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</si>
  <si>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</si>
  <si>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</si>
  <si>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</si>
  <si>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</si>
  <si>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</si>
  <si>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</si>
  <si>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</si>
  <si>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</si>
  <si>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</si>
  <si>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</si>
  <si>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</si>
  <si>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</si>
  <si>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</si>
  <si>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</si>
  <si>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</si>
  <si>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</si>
  <si>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</si>
  <si>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</si>
  <si>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</si>
  <si>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</si>
  <si>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</si>
  <si>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</si>
  <si>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</si>
  <si>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</si>
  <si>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</si>
  <si>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</si>
  <si>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</si>
  <si>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</si>
  <si>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</si>
  <si>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</si>
  <si>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</si>
  <si>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</si>
  <si>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</si>
  <si>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</si>
  <si>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</si>
  <si>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</si>
  <si>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</si>
  <si>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</si>
  <si>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</si>
  <si>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</si>
  <si>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</si>
  <si>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</si>
  <si>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</si>
  <si>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</si>
  <si>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</si>
  <si>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</si>
  <si>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</si>
  <si>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</si>
  <si>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</si>
  <si>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</si>
  <si>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</si>
  <si>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</si>
  <si>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</si>
  <si>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</si>
  <si>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</si>
  <si>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</si>
  <si>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</si>
  <si>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</si>
  <si>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</si>
  <si>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</si>
  <si>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</si>
  <si>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</si>
  <si>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</si>
  <si>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</si>
  <si>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</si>
  <si>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</si>
  <si>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</si>
  <si>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</si>
  <si>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</si>
  <si>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</si>
  <si>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</si>
  <si>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</si>
  <si>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</si>
  <si>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</si>
  <si>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</si>
  <si>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</si>
  <si>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</si>
  <si>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</si>
  <si>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</si>
  <si>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</si>
  <si>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</si>
  <si>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</si>
  <si>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</si>
  <si>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</si>
  <si>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</si>
  <si>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</si>
  <si>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</si>
  <si>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</si>
  <si>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</si>
  <si>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</si>
  <si>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</si>
  <si>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PROFESSIONAL FEE</t>
  </si>
  <si>
    <t>STERILE WATER FOR INJECTION</t>
  </si>
  <si>
    <t>BOTTLE/IV</t>
  </si>
  <si>
    <t>POLYAMPULE/IV</t>
  </si>
  <si>
    <t>VIAL/IV</t>
  </si>
  <si>
    <t>SYRUP/ORAL</t>
  </si>
  <si>
    <t>10 ml</t>
  </si>
  <si>
    <t>500 ml</t>
  </si>
  <si>
    <t>750 mg</t>
  </si>
  <si>
    <t>50 mg/ml</t>
  </si>
  <si>
    <t>BOTTLE/ORAL</t>
  </si>
  <si>
    <t>DISPOSABLE MASK</t>
  </si>
  <si>
    <t>1CC SYRINGE</t>
  </si>
  <si>
    <t>3CC SYRINGE</t>
  </si>
  <si>
    <t>GLOVES UNSTERILE MEDIUM</t>
  </si>
  <si>
    <t>DIGITAL THERMOMETER</t>
  </si>
  <si>
    <t>IV SPLINT PEDIA</t>
  </si>
  <si>
    <t xml:space="preserve">CEFUROXIME </t>
  </si>
  <si>
    <t>5CC SYRINGE</t>
  </si>
  <si>
    <t>IV SET PEDIA</t>
  </si>
  <si>
    <t>SALBUTAMOL</t>
  </si>
  <si>
    <t>NEBULE/INHALATION</t>
  </si>
  <si>
    <t>1 mg/ml</t>
  </si>
  <si>
    <t>NEBULIZING KIT</t>
  </si>
  <si>
    <t>CHEST AP/LATERAL 8X10</t>
  </si>
  <si>
    <t>CARBOCISTEINE</t>
  </si>
  <si>
    <t>CLARITHROMYCIN</t>
  </si>
  <si>
    <t>SUSPENSION/ORAL</t>
  </si>
  <si>
    <t>125 mg/ml</t>
  </si>
  <si>
    <t>2mg/ml</t>
  </si>
  <si>
    <t>ID BRACELET</t>
  </si>
  <si>
    <t>IV CATHETER G 26</t>
  </si>
  <si>
    <t>WEE BAG</t>
  </si>
  <si>
    <t>D5 IMB</t>
  </si>
  <si>
    <t>2.50 mg/500 mcg/2.5 ml</t>
  </si>
  <si>
    <t>FERROUS SULFATE</t>
  </si>
  <si>
    <t>220 mg/5 ml</t>
  </si>
  <si>
    <t>Consultation in the ER</t>
  </si>
  <si>
    <t>RAD. TECH</t>
  </si>
  <si>
    <t>ADHESIVE PLASTER</t>
  </si>
  <si>
    <t xml:space="preserve">SALBUTAMOL/IPRATROPIUM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</si>
</sst>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57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57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29" zoomScaleNormal="100" workbookViewId="0">
      <selection activeCell="J34" sqref="J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196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57</v>
      </c>
      <c r="C60" s="17" t="s">
        <v>53</v>
      </c>
      <c r="D60" s="17" t="s">
        <v>58</v>
      </c>
      <c r="E60" s="18" t="s">
        <v>59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167</v>
      </c>
      <c r="D61" s="55">
        <v>800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168</v>
      </c>
      <c r="D62" s="55">
        <v>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169</v>
      </c>
      <c r="D63" s="55">
        <v>1301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170</v>
      </c>
      <c r="D64" s="55">
        <v>584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171</v>
      </c>
      <c r="D65" s="55">
        <v>210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7415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doRm6lTUAIjg0o2IIDXhI8Vpx9FQNioPaS5x+wv9xfczjA8p4V95QzXryptb87yw+KleY5/2Bj9UPZWFaOreKg==" saltValue="JrWjtcW8bqNbVoKrhM3Z/Q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abSelected="1" topLeftCell="C2" zoomScaleNormal="100" workbookViewId="0">
      <selection activeCell="M17" sqref="M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178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174</v>
      </c>
      <c r="E12" s="27" t="s">
        <v>179</v>
      </c>
      <c r="F12" s="55"/>
      <c r="G12" s="55"/>
      <c r="H12" s="55">
        <v>2</v>
      </c>
      <c r="I12" s="55">
        <v>80</v>
      </c>
      <c r="J12" s="55">
        <f t="shared" ref="J12:J28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176</v>
      </c>
      <c r="E13" s="27" t="s">
        <v>180</v>
      </c>
      <c r="F13" s="55"/>
      <c r="G13" s="55"/>
      <c r="H13" s="55">
        <v>4</v>
      </c>
      <c r="I13" s="55">
        <v>55</v>
      </c>
      <c r="J13" s="55">
        <f t="shared" ref="J13:J22" si="1">H13*I13</f>
        <v>220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212</v>
      </c>
      <c r="D14" s="27" t="s">
        <v>193</v>
      </c>
      <c r="E14" s="27" t="s">
        <v>206</v>
      </c>
      <c r="F14" s="55"/>
      <c r="G14" s="55"/>
      <c r="H14" s="55">
        <v>6</v>
      </c>
      <c r="I14" s="55">
        <v>35</v>
      </c>
      <c r="J14" s="55">
        <f t="shared" si="1"/>
        <v>210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193</v>
      </c>
      <c r="E15" s="27" t="s">
        <v>194</v>
      </c>
      <c r="F15" s="55"/>
      <c r="G15" s="55"/>
      <c r="H15" s="55">
        <v>4</v>
      </c>
      <c r="I15" s="55">
        <v>15</v>
      </c>
      <c r="J15" s="55">
        <f t="shared" si="1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199</v>
      </c>
      <c r="E16" s="27" t="s">
        <v>181</v>
      </c>
      <c r="F16" s="55"/>
      <c r="G16" s="55"/>
      <c r="H16" s="55">
        <v>1</v>
      </c>
      <c r="I16" s="55">
        <v>35</v>
      </c>
      <c r="J16" s="55">
        <f t="shared" si="1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199</v>
      </c>
      <c r="E17" s="27" t="s">
        <v>200</v>
      </c>
      <c r="F17" s="55"/>
      <c r="G17" s="55"/>
      <c r="H17" s="55">
        <v>2</v>
      </c>
      <c r="I17" s="55">
        <v>260</v>
      </c>
      <c r="J17" s="55">
        <f t="shared" si="1"/>
        <v>520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177</v>
      </c>
      <c r="E18" s="27" t="s">
        <v>201</v>
      </c>
      <c r="F18" s="55"/>
      <c r="G18" s="55"/>
      <c r="H18" s="55">
        <v>1</v>
      </c>
      <c r="I18" s="55">
        <v>35</v>
      </c>
      <c r="J18" s="55">
        <f t="shared" si="1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207</v>
      </c>
      <c r="D19" s="27" t="s">
        <v>182</v>
      </c>
      <c r="E19" s="27" t="s">
        <v>208</v>
      </c>
      <c r="F19" s="55"/>
      <c r="G19" s="55"/>
      <c r="H19" s="55">
        <v>1</v>
      </c>
      <c r="I19" s="55">
        <v>21</v>
      </c>
      <c r="J19" s="55">
        <f t="shared" si="1"/>
        <v>21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>SUM(J11:J21)</f>
        <v>1301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C12" zoomScaleNormal="10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203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2</v>
      </c>
      <c r="F18" s="55">
        <v>6</v>
      </c>
      <c r="G18" s="55">
        <f t="shared" ref="G18:G24" si="0">E18*F18</f>
        <v>12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29</v>
      </c>
      <c r="E19" s="55">
        <v>2</v>
      </c>
      <c r="F19" s="55">
        <v>7</v>
      </c>
      <c r="G19" s="55">
        <f t="shared" si="0"/>
        <v>14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29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29</v>
      </c>
      <c r="E21" s="55">
        <v>2</v>
      </c>
      <c r="F21" s="55">
        <v>6</v>
      </c>
      <c r="G21" s="55">
        <f t="shared" si="0"/>
        <v>12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211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187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188</v>
      </c>
      <c r="D25" s="70" t="s">
        <v>29</v>
      </c>
      <c r="E25" s="55">
        <v>1</v>
      </c>
      <c r="F25" s="55">
        <v>105</v>
      </c>
      <c r="G25" s="55">
        <f t="shared" ref="G25" si="1">E25*F25</f>
        <v>105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29</v>
      </c>
      <c r="E26" s="55">
        <v>1</v>
      </c>
      <c r="F26" s="55">
        <v>35</v>
      </c>
      <c r="G26" s="55">
        <f>E26*F26</f>
        <v>35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204</v>
      </c>
      <c r="D27" s="70" t="s">
        <v>29</v>
      </c>
      <c r="E27" s="55">
        <v>5</v>
      </c>
      <c r="F27" s="55">
        <v>7</v>
      </c>
      <c r="G27" s="55">
        <f t="shared" ref="G27:G28" si="2">E27*F27</f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195</v>
      </c>
      <c r="D28" s="70" t="s">
        <v>29</v>
      </c>
      <c r="E28" s="55">
        <v>1</v>
      </c>
      <c r="F28" s="55">
        <v>70</v>
      </c>
      <c r="G28" s="55">
        <f t="shared" si="2"/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ref="G29:G30" si="3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3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584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210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15</v>
      </c>
      <c r="N14" s="55"/>
      <c r="P14" s="88">
        <f t="shared" ref="P14:P22" si="0">SUM(D14:N14)</f>
        <v>45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209</v>
      </c>
      <c r="D15" s="55"/>
      <c r="E15" s="55">
        <v>20</v>
      </c>
      <c r="F15" s="55"/>
      <c r="G15" s="55">
        <v>40</v>
      </c>
      <c r="H15" s="55"/>
      <c r="I15" s="55"/>
      <c r="J15" s="55"/>
      <c r="K15" s="55"/>
      <c r="L15" s="55"/>
      <c r="M15" s="55"/>
      <c r="N15" s="55"/>
      <c r="P15" s="88">
        <f t="shared" si="0"/>
        <v>60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110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0</v>
      </c>
      <c r="P30" s="89">
        <f>SUM(P13:P22)</f>
        <v>175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2018-06-04T02:07:39Z</dcterms:modified>
</cp:coreProperties>
</file>