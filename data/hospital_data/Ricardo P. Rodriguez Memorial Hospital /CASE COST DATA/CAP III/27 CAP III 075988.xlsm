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CASE COST DATA CAP III REVISED\"/>
    </mc:Choice>
  </mc:AlternateContent>
  <xr:revisionPtr revIDLastSave="0" documentId="12_ncr:500000_{0F79831C-0BFD-4507-8F49-C569754508E1}" xr6:coauthVersionLast="31" xr6:coauthVersionMax="31" xr10:uidLastSave="{00000000-0000-0000-0000-000000000000}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 xr2:uid="{00000000-000D-0000-FFFF-FFFF00000000}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Drugs&amp;Med'!$B$2:$J$29</definedName>
  </definedNames>
  <calcPr calcId="162913"/>
</workbook>
</file>

<file path=xl/calcChain.xml><?xml version="1.0" encoding="utf-8"?>
<calcChain xmlns="http://schemas.openxmlformats.org/spreadsheetml/2006/main">
  <c r="J26" i="2" l="1"/>
  <c r="J28" i="2"/>
  <c r="J24" i="2"/>
  <c r="J23" i="2"/>
  <c r="J22" i="2"/>
  <c r="J19" i="2"/>
  <c r="G27" i="9"/>
  <c r="G31" i="9" l="1"/>
  <c r="G33" i="9"/>
  <c r="J15" i="2"/>
  <c r="J17" i="2"/>
  <c r="J16" i="2"/>
  <c r="J14" i="2"/>
  <c r="J13" i="2" l="1"/>
  <c r="J12" i="2"/>
  <c r="J11" i="2"/>
  <c r="G30" i="9"/>
  <c r="J20" i="2"/>
  <c r="G28" i="9" l="1"/>
  <c r="G26" i="9"/>
  <c r="G18" i="9"/>
  <c r="G25" i="9"/>
  <c r="G24" i="9"/>
  <c r="G23" i="9"/>
  <c r="G22" i="9"/>
  <c r="G21" i="9"/>
  <c r="G20" i="9"/>
  <c r="G19" i="9"/>
  <c r="G29" i="9" l="1"/>
  <c r="G32" i="9"/>
  <c r="J18" i="2" l="1"/>
  <c r="G16" i="9" l="1"/>
  <c r="G17" i="9"/>
  <c r="J21" i="2"/>
  <c r="J25" i="2"/>
  <c r="G34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<sst xmlns="http://schemas.openxmlformats.org/spreadsheetml/2006/main" count="540" uniqueCount="229">
  <si>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</si>
  <si>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</si>
  <si>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</si>
  <si>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</si>
  <si>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</si>
  <si>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</si>
  <si>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</si>
  <si>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</si>
  <si>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</si>
  <si>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</si>
  <si>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</si>
  <si>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</si>
  <si>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</si>
  <si>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</si>
  <si>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</si>
  <si>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</si>
  <si>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</si>
  <si>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</si>
  <si>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</si>
  <si>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</si>
  <si>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</si>
  <si>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</si>
  <si>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</si>
  <si>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</si>
  <si>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</si>
  <si>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</si>
  <si>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</si>
  <si>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</si>
  <si>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</si>
  <si>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</si>
  <si>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</si>
  <si>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</si>
  <si>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</si>
  <si>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</si>
  <si>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</si>
  <si>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</si>
  <si>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</si>
  <si>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</si>
  <si>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</si>
  <si>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</si>
  <si>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</si>
  <si>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</si>
  <si>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</si>
  <si>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</si>
  <si>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</si>
  <si>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</si>
  <si>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</si>
  <si>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</si>
  <si>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</si>
  <si>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</si>
  <si>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</si>
  <si>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</si>
  <si>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</si>
  <si>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</si>
  <si>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</si>
  <si>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</si>
  <si>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</si>
  <si>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</si>
  <si>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</si>
  <si>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</si>
  <si>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</si>
  <si>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</si>
  <si>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</si>
  <si>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</si>
  <si>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</si>
  <si>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</si>
  <si>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</si>
  <si>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</si>
  <si>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</si>
  <si>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</si>
  <si>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</si>
  <si>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</si>
  <si>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</si>
  <si>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</si>
  <si>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</si>
  <si>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</si>
  <si>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</si>
  <si>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</si>
  <si>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</si>
  <si>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</si>
  <si>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</si>
  <si>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</si>
  <si>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</si>
  <si>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</si>
  <si>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</si>
  <si>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</si>
  <si>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</si>
  <si>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</si>
  <si>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</si>
  <si>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</si>
  <si>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</si>
  <si>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</si>
  <si>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</si>
  <si>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</si>
  <si>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</si>
  <si>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</si>
  <si>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</si>
  <si>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</si>
  <si>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</si>
  <si>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</si>
  <si>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</si>
  <si>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</si>
  <si>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</si>
  <si>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</si>
  <si>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</si>
  <si>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</si>
  <si>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</si>
  <si>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</si>
  <si>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</si>
  <si>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</si>
  <si>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</si>
  <si>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</si>
  <si>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</si>
  <si>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</si>
  <si>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</si>
  <si>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</si>
  <si>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</si>
  <si>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</si>
  <si>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</si>
  <si>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</si>
  <si>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</si>
  <si>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</si>
  <si>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</si>
  <si>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</si>
  <si>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</si>
  <si>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</si>
  <si>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</si>
  <si>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</si>
  <si>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</si>
  <si>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</si>
  <si>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</si>
  <si>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</si>
  <si>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</si>
  <si>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</si>
  <si>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</si>
  <si>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</si>
  <si>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</si>
  <si>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</si>
  <si>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</si>
  <si>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</si>
  <si>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</si>
  <si>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</si>
  <si>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</si>
  <si>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</si>
  <si>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</si>
  <si>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</si>
  <si>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</si>
  <si>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</si>
  <si>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</si>
  <si>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</si>
  <si>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</si>
  <si>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</si>
  <si>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</si>
  <si>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</si>
  <si>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</si>
  <si>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</si>
  <si>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</si>
  <si>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</si>
  <si>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</si>
  <si>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</si>
  <si>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</si>
  <si>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</si>
  <si>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</si>
  <si>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</si>
  <si>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</si>
  <si>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</si>
  <si>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</si>
  <si>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</si>
  <si>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</si>
  <si>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</si>
  <si>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</si>
  <si>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</si>
  <si>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</si>
  <si>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BOTTLE/IV</t>
  </si>
  <si>
    <t>VIAL/IV</t>
  </si>
  <si>
    <t>DISPOSABLE MASK</t>
  </si>
  <si>
    <t>1CC SYRINGE</t>
  </si>
  <si>
    <t>3CC SYRINGE</t>
  </si>
  <si>
    <t>GLOVES UNSTERILE MEDIUM</t>
  </si>
  <si>
    <t>DIGITAL THERMOMETER</t>
  </si>
  <si>
    <t>10CC SYRINGE</t>
  </si>
  <si>
    <t>5CC SYRINGE</t>
  </si>
  <si>
    <t>SALBUTAMOL</t>
  </si>
  <si>
    <t>NEBULE/INH</t>
  </si>
  <si>
    <t>2.50 mg/500 mcg/2.5 ml</t>
  </si>
  <si>
    <t>ID BRACELET</t>
  </si>
  <si>
    <t>NEBULIZING KIT</t>
  </si>
  <si>
    <t>STERILE WATER FOR INJECTION</t>
  </si>
  <si>
    <t>POLYAMPULE/IV</t>
  </si>
  <si>
    <t>10 ml</t>
  </si>
  <si>
    <t>IV SET ADULT</t>
  </si>
  <si>
    <t>NASAL CANNULA ADULT</t>
  </si>
  <si>
    <t>OXYGEN FEE</t>
  </si>
  <si>
    <t>TANK/INH</t>
  </si>
  <si>
    <t>MED. TECH</t>
  </si>
  <si>
    <t>RAD. TECH</t>
  </si>
  <si>
    <t>CBC PLATELET COUNT</t>
  </si>
  <si>
    <t>URINALYSIS</t>
  </si>
  <si>
    <t>CHEST AP/LATERAL 8X10</t>
  </si>
  <si>
    <t xml:space="preserve">Consultation in the ER </t>
  </si>
  <si>
    <t>IV CATHETER G 26</t>
  </si>
  <si>
    <t>ADHESIVE PLASTER</t>
  </si>
  <si>
    <t>IV SET PEDIA</t>
  </si>
  <si>
    <t>WEE BAG</t>
  </si>
  <si>
    <t>D5 IMB</t>
  </si>
  <si>
    <t>500ml</t>
  </si>
  <si>
    <t>CEFUROXIME</t>
  </si>
  <si>
    <t>750mg</t>
  </si>
  <si>
    <t>SALBUTAMOL/IPRATROPIUM</t>
  </si>
  <si>
    <t>CEFUROXIME (ZIOMET)</t>
  </si>
  <si>
    <t>BUDESONIDE</t>
  </si>
  <si>
    <t>250mcg/ml</t>
  </si>
  <si>
    <t>250mg</t>
  </si>
  <si>
    <t>HYRDROCORTISONE</t>
  </si>
  <si>
    <t>100mg</t>
  </si>
  <si>
    <t>PARACETAMOL</t>
  </si>
  <si>
    <t>AMPULE/IV</t>
  </si>
  <si>
    <t>150mg/ml</t>
  </si>
  <si>
    <t>DB 0.3 NACL</t>
  </si>
  <si>
    <t>SYRUP/ORAL</t>
  </si>
  <si>
    <t>2mg/5ml</t>
  </si>
  <si>
    <t>SUSPENSION/ORAL</t>
  </si>
  <si>
    <t>50mg/ml</t>
  </si>
  <si>
    <t>CLARITHROMYCIN</t>
  </si>
  <si>
    <t>125mg/ml</t>
  </si>
  <si>
    <t>CEFACLOR</t>
  </si>
  <si>
    <t>CETIRIZINE</t>
  </si>
  <si>
    <t>2.50mg/ml</t>
  </si>
  <si>
    <t>CARBOCISTEINE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</si>
</sst>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Y1008"/>
  <sheetViews>
    <sheetView topLeftCell="A39" zoomScaleNormal="100" workbookViewId="0">
      <selection activeCell="E68" sqref="E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196</v>
      </c>
      <c r="D34" s="23"/>
      <c r="E34" s="57">
        <v>3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198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hidden="1" customHeight="1" thickBot="1" x14ac:dyDescent="0.35">
      <c r="A43" s="1"/>
      <c r="B43" s="118" t="s">
        <v>46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hidden="1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hidden="1" customHeight="1" thickBot="1" x14ac:dyDescent="0.35">
      <c r="A45" s="1"/>
      <c r="B45" s="115" t="s">
        <v>55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hidden="1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hidden="1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1200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>
        <v>30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6360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169</v>
      </c>
      <c r="D63" s="55">
        <v>621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>
        <v>210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171</v>
      </c>
      <c r="D65" s="55">
        <v>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172</v>
      </c>
      <c r="D66" s="55">
        <v>4500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192</v>
      </c>
      <c r="D67" s="55">
        <v>50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13771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 xr:uid="{00000000-0002-0000-0000-000000000000}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 xr:uid="{00000000-0002-0000-0000-000001000000}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 xr:uid="{00000000-0002-0000-0000-000002000000}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 xr:uid="{00000000-0002-0000-0000-000003000000}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  <outlinePr summaryBelow="0" summaryRight="0"/>
  </sheetPr>
  <dimension ref="A1:T979"/>
  <sheetViews>
    <sheetView tabSelected="1" topLeftCell="A8" workbookViewId="0">
      <selection activeCell="C12" sqref="C12:E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204</v>
      </c>
      <c r="D11" s="27" t="s">
        <v>173</v>
      </c>
      <c r="E11" s="27" t="s">
        <v>205</v>
      </c>
      <c r="F11" s="55"/>
      <c r="G11" s="55"/>
      <c r="H11" s="55">
        <v>5</v>
      </c>
      <c r="I11" s="55">
        <v>80</v>
      </c>
      <c r="J11" s="55">
        <f t="shared" ref="J11:J17" si="0">H11*I11</f>
        <v>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206</v>
      </c>
      <c r="D12" s="27" t="s">
        <v>174</v>
      </c>
      <c r="E12" s="27" t="s">
        <v>207</v>
      </c>
      <c r="F12" s="55"/>
      <c r="G12" s="55"/>
      <c r="H12" s="55">
        <v>6</v>
      </c>
      <c r="I12" s="55">
        <v>55</v>
      </c>
      <c r="J12" s="55">
        <f t="shared" si="0"/>
        <v>330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209</v>
      </c>
      <c r="D13" s="27" t="s">
        <v>174</v>
      </c>
      <c r="E13" s="27" t="s">
        <v>207</v>
      </c>
      <c r="F13" s="55"/>
      <c r="G13" s="55"/>
      <c r="H13" s="55">
        <v>5</v>
      </c>
      <c r="I13" s="55">
        <v>495</v>
      </c>
      <c r="J13" s="55">
        <f t="shared" si="0"/>
        <v>2475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208</v>
      </c>
      <c r="D14" s="27" t="s">
        <v>183</v>
      </c>
      <c r="E14" s="27" t="s">
        <v>184</v>
      </c>
      <c r="F14" s="55"/>
      <c r="G14" s="55"/>
      <c r="H14" s="55">
        <v>25</v>
      </c>
      <c r="I14" s="55">
        <v>35</v>
      </c>
      <c r="J14" s="55">
        <f t="shared" si="0"/>
        <v>875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187</v>
      </c>
      <c r="D15" s="27" t="s">
        <v>188</v>
      </c>
      <c r="E15" s="27" t="s">
        <v>189</v>
      </c>
      <c r="F15" s="55"/>
      <c r="G15" s="55"/>
      <c r="H15" s="55">
        <v>3</v>
      </c>
      <c r="I15" s="55">
        <v>40</v>
      </c>
      <c r="J15" s="55">
        <f>H15*I15</f>
        <v>120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210</v>
      </c>
      <c r="D16" s="27" t="s">
        <v>183</v>
      </c>
      <c r="E16" s="27" t="s">
        <v>211</v>
      </c>
      <c r="F16" s="55"/>
      <c r="G16" s="55"/>
      <c r="H16" s="55">
        <v>2</v>
      </c>
      <c r="I16" s="55">
        <v>85</v>
      </c>
      <c r="J16" s="55">
        <f t="shared" si="0"/>
        <v>170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213</v>
      </c>
      <c r="D17" s="27" t="s">
        <v>174</v>
      </c>
      <c r="E17" s="27" t="s">
        <v>212</v>
      </c>
      <c r="F17" s="55"/>
      <c r="G17" s="55"/>
      <c r="H17" s="55">
        <v>1</v>
      </c>
      <c r="I17" s="55">
        <v>85</v>
      </c>
      <c r="J17" s="55">
        <f t="shared" si="0"/>
        <v>85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213</v>
      </c>
      <c r="D18" s="27" t="s">
        <v>174</v>
      </c>
      <c r="E18" s="27" t="s">
        <v>214</v>
      </c>
      <c r="F18" s="55"/>
      <c r="G18" s="55"/>
      <c r="H18" s="55">
        <v>10</v>
      </c>
      <c r="I18" s="55">
        <v>50</v>
      </c>
      <c r="J18" s="55">
        <f t="shared" ref="J18:J20" si="1">H18*I18</f>
        <v>500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215</v>
      </c>
      <c r="D19" s="27" t="s">
        <v>216</v>
      </c>
      <c r="E19" s="27" t="s">
        <v>217</v>
      </c>
      <c r="F19" s="55"/>
      <c r="G19" s="55"/>
      <c r="H19" s="55">
        <v>6</v>
      </c>
      <c r="I19" s="55">
        <v>35</v>
      </c>
      <c r="J19" s="55">
        <f t="shared" ref="J19" si="2">H19*I19</f>
        <v>210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218</v>
      </c>
      <c r="D20" s="27" t="s">
        <v>173</v>
      </c>
      <c r="E20" s="27" t="s">
        <v>205</v>
      </c>
      <c r="F20" s="55"/>
      <c r="G20" s="55"/>
      <c r="H20" s="55">
        <v>1</v>
      </c>
      <c r="I20" s="55">
        <v>80</v>
      </c>
      <c r="J20" s="55">
        <f t="shared" si="1"/>
        <v>80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182</v>
      </c>
      <c r="D21" s="27" t="s">
        <v>219</v>
      </c>
      <c r="E21" s="27" t="s">
        <v>220</v>
      </c>
      <c r="F21" s="55"/>
      <c r="G21" s="55"/>
      <c r="H21" s="55">
        <v>1</v>
      </c>
      <c r="I21" s="55">
        <v>35</v>
      </c>
      <c r="J21" s="55">
        <f>H21*I21</f>
        <v>35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228</v>
      </c>
      <c r="D22" s="27" t="s">
        <v>221</v>
      </c>
      <c r="E22" s="27" t="s">
        <v>222</v>
      </c>
      <c r="F22" s="55"/>
      <c r="G22" s="55"/>
      <c r="H22" s="55">
        <v>2</v>
      </c>
      <c r="I22" s="55">
        <v>35</v>
      </c>
      <c r="J22" s="55">
        <f>H22*I22</f>
        <v>70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223</v>
      </c>
      <c r="D23" s="27" t="s">
        <v>221</v>
      </c>
      <c r="E23" s="27" t="s">
        <v>224</v>
      </c>
      <c r="F23" s="55"/>
      <c r="G23" s="55"/>
      <c r="H23" s="55">
        <v>1</v>
      </c>
      <c r="I23" s="55">
        <v>260</v>
      </c>
      <c r="J23" s="55">
        <f>H23*I23</f>
        <v>260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225</v>
      </c>
      <c r="D24" s="27" t="s">
        <v>221</v>
      </c>
      <c r="E24" s="27" t="s">
        <v>222</v>
      </c>
      <c r="F24" s="55"/>
      <c r="G24" s="55"/>
      <c r="H24" s="55">
        <v>1</v>
      </c>
      <c r="I24" s="55">
        <v>490</v>
      </c>
      <c r="J24" s="55">
        <f>H24*I24</f>
        <v>490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226</v>
      </c>
      <c r="D25" s="27" t="s">
        <v>173</v>
      </c>
      <c r="E25" s="27" t="s">
        <v>227</v>
      </c>
      <c r="F25" s="55"/>
      <c r="G25" s="55"/>
      <c r="H25" s="55">
        <v>1</v>
      </c>
      <c r="I25" s="55">
        <v>260</v>
      </c>
      <c r="J25" s="55">
        <f t="shared" ref="J25:J26" si="3">H25*I25</f>
        <v>260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192</v>
      </c>
      <c r="D26" s="27" t="s">
        <v>193</v>
      </c>
      <c r="E26" s="27"/>
      <c r="F26" s="55"/>
      <c r="G26" s="55"/>
      <c r="H26" s="55">
        <v>1</v>
      </c>
      <c r="I26" s="55">
        <v>50</v>
      </c>
      <c r="J26" s="55">
        <f t="shared" si="3"/>
        <v>50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>
        <f>SUM(J11:J27)</f>
        <v>6410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25">
      <c r="A29" s="33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</row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algorithmName="SHA-512" hashValue="VnRl2BhQN0opA8A2zQ9JTHyrBLCg8vHX+/J9jInOeplMWaDu7d5wyZhwsjDkSG+/1Ki3o9CmWZBidXJuySQHEA==" saltValue="Rh+4Q86pcuKvfs4+7+j2U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2 F14:J18 F20:J28" xr:uid="{00000000-0002-0000-0100-000000000000}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rgb="FF0070C0"/>
    <outlinePr summaryBelow="0" summaryRight="0"/>
  </sheetPr>
  <dimension ref="A1:P980"/>
  <sheetViews>
    <sheetView topLeftCell="A19" workbookViewId="0">
      <selection activeCell="G34" sqref="G3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185</v>
      </c>
      <c r="D16" s="70" t="s">
        <v>29</v>
      </c>
      <c r="E16" s="55">
        <v>1</v>
      </c>
      <c r="F16" s="55">
        <v>7</v>
      </c>
      <c r="G16" s="55">
        <f>E16*F16</f>
        <v>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200</v>
      </c>
      <c r="D17" s="70" t="s">
        <v>29</v>
      </c>
      <c r="E17" s="55">
        <v>1</v>
      </c>
      <c r="F17" s="55">
        <v>61</v>
      </c>
      <c r="G17" s="55">
        <f>E17*F17</f>
        <v>61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175</v>
      </c>
      <c r="D18" s="70" t="s">
        <v>29</v>
      </c>
      <c r="E18" s="55">
        <v>6</v>
      </c>
      <c r="F18" s="55">
        <v>6</v>
      </c>
      <c r="G18" s="55">
        <f t="shared" ref="G18:G28" si="0">E18*F18</f>
        <v>36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181</v>
      </c>
      <c r="D19" s="70" t="s">
        <v>29</v>
      </c>
      <c r="E19" s="55">
        <v>5</v>
      </c>
      <c r="F19" s="55">
        <v>7</v>
      </c>
      <c r="G19" s="55">
        <f t="shared" si="0"/>
        <v>35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176</v>
      </c>
      <c r="D20" s="70" t="s">
        <v>29</v>
      </c>
      <c r="E20" s="55">
        <v>3</v>
      </c>
      <c r="F20" s="55">
        <v>7</v>
      </c>
      <c r="G20" s="55">
        <f t="shared" si="0"/>
        <v>21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177</v>
      </c>
      <c r="D21" s="70" t="s">
        <v>29</v>
      </c>
      <c r="E21" s="55">
        <v>5</v>
      </c>
      <c r="F21" s="55">
        <v>6</v>
      </c>
      <c r="G21" s="55">
        <f t="shared" si="0"/>
        <v>30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201</v>
      </c>
      <c r="D22" s="70" t="s">
        <v>29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178</v>
      </c>
      <c r="D23" s="70" t="s">
        <v>29</v>
      </c>
      <c r="E23" s="55">
        <v>6</v>
      </c>
      <c r="F23" s="55">
        <v>4</v>
      </c>
      <c r="G23" s="55">
        <f t="shared" si="0"/>
        <v>24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179</v>
      </c>
      <c r="D24" s="70" t="s">
        <v>29</v>
      </c>
      <c r="E24" s="55">
        <v>1</v>
      </c>
      <c r="F24" s="55">
        <v>85</v>
      </c>
      <c r="G24" s="55">
        <f t="shared" si="0"/>
        <v>85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180</v>
      </c>
      <c r="D25" s="70" t="s">
        <v>29</v>
      </c>
      <c r="E25" s="55">
        <v>7</v>
      </c>
      <c r="F25" s="55">
        <v>8</v>
      </c>
      <c r="G25" s="55">
        <f t="shared" si="0"/>
        <v>56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202</v>
      </c>
      <c r="D26" s="70" t="s">
        <v>29</v>
      </c>
      <c r="E26" s="55">
        <v>1</v>
      </c>
      <c r="F26" s="55">
        <v>35</v>
      </c>
      <c r="G26" s="55">
        <f t="shared" si="0"/>
        <v>35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203</v>
      </c>
      <c r="D27" s="70" t="s">
        <v>29</v>
      </c>
      <c r="E27" s="55">
        <v>3</v>
      </c>
      <c r="F27" s="55">
        <v>7</v>
      </c>
      <c r="G27" s="55">
        <f t="shared" si="0"/>
        <v>21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190</v>
      </c>
      <c r="D28" s="70" t="s">
        <v>29</v>
      </c>
      <c r="E28" s="55">
        <v>1</v>
      </c>
      <c r="F28" s="55">
        <v>32</v>
      </c>
      <c r="G28" s="55">
        <f t="shared" si="0"/>
        <v>32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191</v>
      </c>
      <c r="D29" s="70" t="s">
        <v>29</v>
      </c>
      <c r="E29" s="55">
        <v>1</v>
      </c>
      <c r="F29" s="55">
        <v>43</v>
      </c>
      <c r="G29" s="55">
        <f t="shared" ref="G29:G33" si="1">E29*F29</f>
        <v>43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186</v>
      </c>
      <c r="D30" s="70" t="s">
        <v>29</v>
      </c>
      <c r="E30" s="55">
        <v>1</v>
      </c>
      <c r="F30" s="55">
        <v>70</v>
      </c>
      <c r="G30" s="55">
        <f t="shared" si="1"/>
        <v>70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>E31*F31</f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1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 t="shared" si="1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621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78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30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S2FkxzS+EGP5CqhLwvUcehZL6umgh5BRDgZ7GXJ114EjW91TkpP25n/HCBAjURflLzqgfStKqatPidEoi/w5IQ==" saltValue="pM01LVJl0sSUlRT7RcRM4w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8 E30:G56" xr:uid="{00000000-0002-0000-0200-000000000000}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rgb="FF0070C0"/>
    <outlinePr summaryBelow="0" summaryRight="0"/>
  </sheetPr>
  <dimension ref="B1:Z1000"/>
  <sheetViews>
    <sheetView topLeftCell="C1" workbookViewId="0">
      <selection activeCell="N14" sqref="N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194</v>
      </c>
      <c r="N12" s="90" t="s">
        <v>195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30</v>
      </c>
      <c r="F13" s="55"/>
      <c r="G13" s="55">
        <v>70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50</v>
      </c>
      <c r="H14" s="55"/>
      <c r="I14" s="55"/>
      <c r="J14" s="55"/>
      <c r="K14" s="55"/>
      <c r="L14" s="55"/>
      <c r="M14" s="55">
        <v>40</v>
      </c>
      <c r="N14" s="55">
        <v>15</v>
      </c>
      <c r="P14" s="88">
        <f t="shared" ref="P14:P22" si="0">SUM(D14:N14)</f>
        <v>105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199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45</v>
      </c>
      <c r="F30" s="88">
        <f t="shared" si="1"/>
        <v>0</v>
      </c>
      <c r="G30" s="88">
        <f t="shared" si="1"/>
        <v>150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15</v>
      </c>
      <c r="P30" s="89">
        <f>SUM(P13:P22)</f>
        <v>250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Ronna</cp:lastModifiedBy>
  <dcterms:created xsi:type="dcterms:W3CDTF">2018-05-11T08:46:15Z</dcterms:created>
  <dcterms:modified xsi:type="dcterms:W3CDTF">2018-06-03T08:43:09Z</dcterms:modified>
</cp:coreProperties>
</file>