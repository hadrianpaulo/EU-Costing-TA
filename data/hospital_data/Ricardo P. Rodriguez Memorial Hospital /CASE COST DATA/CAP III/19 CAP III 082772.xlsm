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83E51685-A620-47B4-B07B-B8A9B519ADC8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J13" i="2" l="1"/>
  <c r="G28" i="9"/>
  <c r="G29" i="9"/>
  <c r="G30" i="9"/>
  <c r="G31" i="9"/>
  <c r="G32" i="9"/>
  <c r="J14" i="2" l="1"/>
  <c r="J20" i="2"/>
  <c r="J17" i="2"/>
  <c r="J18" i="2"/>
  <c r="G27" i="9" l="1"/>
  <c r="G26" i="9"/>
  <c r="G19" i="9"/>
  <c r="G20" i="9"/>
  <c r="G21" i="9"/>
  <c r="G22" i="9"/>
  <c r="G23" i="9"/>
  <c r="G24" i="9"/>
  <c r="G25" i="9"/>
  <c r="G18" i="9"/>
  <c r="G16" i="9"/>
  <c r="G17" i="9"/>
  <c r="J12" i="2"/>
  <c r="J15" i="2"/>
  <c r="J16" i="2"/>
  <c r="J19" i="2"/>
  <c r="J21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<sst xmlns="http://schemas.openxmlformats.org/spreadsheetml/2006/main" count="526" uniqueCount="222">
  <si>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</si>
  <si>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</si>
  <si>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</si>
  <si>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</si>
  <si>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</si>
  <si>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</si>
  <si>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</si>
  <si>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</si>
  <si>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</si>
  <si>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</si>
  <si>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</si>
  <si>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</si>
  <si>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</si>
  <si>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</si>
  <si>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</si>
  <si>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</si>
  <si>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</si>
  <si>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</si>
  <si>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</si>
  <si>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</si>
  <si>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</si>
  <si>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</si>
  <si>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</si>
  <si>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</si>
  <si>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</si>
  <si>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</si>
  <si>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</si>
  <si>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</si>
  <si>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</si>
  <si>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</si>
  <si>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</si>
  <si>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</si>
  <si>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</si>
  <si>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</si>
  <si>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</si>
  <si>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</si>
  <si>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</si>
  <si>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</si>
  <si>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</si>
  <si>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</si>
  <si>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</si>
  <si>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</si>
  <si>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</si>
  <si>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</si>
  <si>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</si>
  <si>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</si>
  <si>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</si>
  <si>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</si>
  <si>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</si>
  <si>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</si>
  <si>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</si>
  <si>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</si>
  <si>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</si>
  <si>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</si>
  <si>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</si>
  <si>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</si>
  <si>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</si>
  <si>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</si>
  <si>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</si>
  <si>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</si>
  <si>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</si>
  <si>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</si>
  <si>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</si>
  <si>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</si>
  <si>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</si>
  <si>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</si>
  <si>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</si>
  <si>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</si>
  <si>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</si>
  <si>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</si>
  <si>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</si>
  <si>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</si>
  <si>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</si>
  <si>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</si>
  <si>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</si>
  <si>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</si>
  <si>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</si>
  <si>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</si>
  <si>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</si>
  <si>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</si>
  <si>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</si>
  <si>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</si>
  <si>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</si>
  <si>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</si>
  <si>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</si>
  <si>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</si>
  <si>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</si>
  <si>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</si>
  <si>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</si>
  <si>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</si>
  <si>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</si>
  <si>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</si>
  <si>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</si>
  <si>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</si>
  <si>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</si>
  <si>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</si>
  <si>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</si>
  <si>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</si>
  <si>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</si>
  <si>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</si>
  <si>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</si>
  <si>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</si>
  <si>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</si>
  <si>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</si>
  <si>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</si>
  <si>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</si>
  <si>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</si>
  <si>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</si>
  <si>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</si>
  <si>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</si>
  <si>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</si>
  <si>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</si>
  <si>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</si>
  <si>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</si>
  <si>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</si>
  <si>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</si>
  <si>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</si>
  <si>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</si>
  <si>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</si>
  <si>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</si>
  <si>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</si>
  <si>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</si>
  <si>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</si>
  <si>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</si>
  <si>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</si>
  <si>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</si>
  <si>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</si>
  <si>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</si>
  <si>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</si>
  <si>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</si>
  <si>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</si>
  <si>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</si>
  <si>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</si>
  <si>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</si>
  <si>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</si>
  <si>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</si>
  <si>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</si>
  <si>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</si>
  <si>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</si>
  <si>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</si>
  <si>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</si>
  <si>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</si>
  <si>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</si>
  <si>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</si>
  <si>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</si>
  <si>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</si>
  <si>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</si>
  <si>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</si>
  <si>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</si>
  <si>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</si>
  <si>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</si>
  <si>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</si>
  <si>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</si>
  <si>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</si>
  <si>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</si>
  <si>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</si>
  <si>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</si>
  <si>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</si>
  <si>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</si>
  <si>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</si>
  <si>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</si>
  <si>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</si>
  <si>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</si>
  <si>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</si>
  <si>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</si>
  <si>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</si>
  <si>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</si>
  <si>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CHEST AP/LATERAL 8X10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</si>
  <si>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</si>
  <si>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</si>
  <si>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</si>
  <si>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</si>
  <si>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</si>
  <si>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</si>
  <si>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</si>
  <si>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</si>
  <si>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D50.3 NACL</t>
  </si>
  <si>
    <t>BOTTLE/IV</t>
  </si>
  <si>
    <t>POLYAMPULE/IV</t>
  </si>
  <si>
    <t>VIAL/IV</t>
  </si>
  <si>
    <t>SALBUTAMOL</t>
  </si>
  <si>
    <t>NEBULES/INHALATION</t>
  </si>
  <si>
    <t>CARBOCISTEINE</t>
  </si>
  <si>
    <t>SUSPENSION/ORAL</t>
  </si>
  <si>
    <t>SYRUP/ORAL</t>
  </si>
  <si>
    <t>10 ml</t>
  </si>
  <si>
    <t>500 ml</t>
  </si>
  <si>
    <t>750 mg</t>
  </si>
  <si>
    <t>2 mg/5 ml</t>
  </si>
  <si>
    <t>1 mg/ml</t>
  </si>
  <si>
    <t>50 mg/ml</t>
  </si>
  <si>
    <t>BOTTLE/ORAL</t>
  </si>
  <si>
    <t>IV CATHETER G 26</t>
  </si>
  <si>
    <t>ID BRACELET</t>
  </si>
  <si>
    <t>DISPOSABLE MASK</t>
  </si>
  <si>
    <t>NEBULIZING KIT</t>
  </si>
  <si>
    <t>5CC SYRINGE'</t>
  </si>
  <si>
    <t>1CC SYRINGE</t>
  </si>
  <si>
    <t>3CC SYRINGE</t>
  </si>
  <si>
    <t>GLOVES UNSTERILE MEDIUM</t>
  </si>
  <si>
    <t>DIGITAL THERMOMETER</t>
  </si>
  <si>
    <t>10CC SYRINGE</t>
  </si>
  <si>
    <t>SOLUSET</t>
  </si>
  <si>
    <t>WEE BAG PEDIA</t>
  </si>
  <si>
    <t>GENTAMICIN</t>
  </si>
  <si>
    <t>40 mg/ml</t>
  </si>
  <si>
    <t>PARACETAMOL</t>
  </si>
  <si>
    <t>AMPULE/IV</t>
  </si>
  <si>
    <t>150 mg/ml</t>
  </si>
  <si>
    <t>IV CATHETER G 24</t>
  </si>
  <si>
    <t>IV SPLINT PEDIA</t>
  </si>
  <si>
    <t>HEPLOCK</t>
  </si>
  <si>
    <t xml:space="preserve">D5 IMB </t>
  </si>
  <si>
    <t>CEFOXITIN</t>
  </si>
  <si>
    <t>825 mg</t>
  </si>
  <si>
    <t>CEFIXIME</t>
  </si>
  <si>
    <t>CLARITHROMYCIN</t>
  </si>
  <si>
    <t>125 mg/ml</t>
  </si>
  <si>
    <t>Consultation in the ER</t>
  </si>
  <si>
    <t>MED. TECH</t>
  </si>
  <si>
    <t>RAD. TECH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</si>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</sst>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24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170</v>
      </c>
      <c r="D62" s="55">
        <v>6550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>
        <v>1168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210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174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13908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workbookViewId="0">
      <selection activeCell="K18" sqref="K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178</v>
      </c>
      <c r="E11" s="27" t="s">
        <v>185</v>
      </c>
      <c r="F11" s="55"/>
      <c r="G11" s="55"/>
      <c r="H11" s="55">
        <v>3</v>
      </c>
      <c r="I11" s="55">
        <v>40</v>
      </c>
      <c r="J11" s="55">
        <f>H11*I11</f>
        <v>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186</v>
      </c>
      <c r="F12" s="55"/>
      <c r="G12" s="55"/>
      <c r="H12" s="55">
        <v>1</v>
      </c>
      <c r="I12" s="55">
        <v>80</v>
      </c>
      <c r="J12" s="55">
        <f t="shared" ref="J12:J26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212</v>
      </c>
      <c r="D13" s="27" t="s">
        <v>177</v>
      </c>
      <c r="E13" s="27" t="s">
        <v>186</v>
      </c>
      <c r="F13" s="55"/>
      <c r="G13" s="55"/>
      <c r="H13" s="55">
        <v>4</v>
      </c>
      <c r="I13" s="55">
        <v>80</v>
      </c>
      <c r="J13" s="55">
        <f t="shared" ref="J13:J21" si="1">H13*I13</f>
        <v>320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206</v>
      </c>
      <c r="D14" s="27" t="s">
        <v>207</v>
      </c>
      <c r="E14" s="27" t="s">
        <v>208</v>
      </c>
      <c r="F14" s="55"/>
      <c r="G14" s="55"/>
      <c r="H14" s="55">
        <v>1</v>
      </c>
      <c r="I14" s="55">
        <v>35</v>
      </c>
      <c r="J14" s="55">
        <f t="shared" si="1"/>
        <v>35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213</v>
      </c>
      <c r="D15" s="27" t="s">
        <v>179</v>
      </c>
      <c r="E15" s="27" t="s">
        <v>214</v>
      </c>
      <c r="F15" s="55"/>
      <c r="G15" s="55"/>
      <c r="H15" s="55">
        <v>6</v>
      </c>
      <c r="I15" s="55">
        <v>825</v>
      </c>
      <c r="J15" s="55">
        <f t="shared" si="1"/>
        <v>4950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215</v>
      </c>
      <c r="D16" s="27" t="s">
        <v>191</v>
      </c>
      <c r="E16" s="27" t="s">
        <v>187</v>
      </c>
      <c r="F16" s="55"/>
      <c r="G16" s="55"/>
      <c r="H16" s="55">
        <v>1</v>
      </c>
      <c r="I16" s="55">
        <v>280</v>
      </c>
      <c r="J16" s="55">
        <f t="shared" si="1"/>
        <v>280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204</v>
      </c>
      <c r="D17" s="27" t="s">
        <v>207</v>
      </c>
      <c r="E17" s="27" t="s">
        <v>205</v>
      </c>
      <c r="F17" s="55"/>
      <c r="G17" s="55"/>
      <c r="H17" s="55">
        <v>6</v>
      </c>
      <c r="I17" s="55">
        <v>25</v>
      </c>
      <c r="J17" s="55">
        <f t="shared" si="1"/>
        <v>150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180</v>
      </c>
      <c r="D18" s="27" t="s">
        <v>184</v>
      </c>
      <c r="E18" s="27" t="s">
        <v>188</v>
      </c>
      <c r="F18" s="55"/>
      <c r="G18" s="55"/>
      <c r="H18" s="55">
        <v>1</v>
      </c>
      <c r="I18" s="55">
        <v>35</v>
      </c>
      <c r="J18" s="55">
        <f t="shared" si="1"/>
        <v>35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180</v>
      </c>
      <c r="D19" s="27" t="s">
        <v>181</v>
      </c>
      <c r="E19" s="27" t="s">
        <v>189</v>
      </c>
      <c r="F19" s="55"/>
      <c r="G19" s="55"/>
      <c r="H19" s="55">
        <v>19</v>
      </c>
      <c r="I19" s="55">
        <v>15</v>
      </c>
      <c r="J19" s="55">
        <f t="shared" si="1"/>
        <v>285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216</v>
      </c>
      <c r="D20" s="27" t="s">
        <v>183</v>
      </c>
      <c r="E20" s="27" t="s">
        <v>217</v>
      </c>
      <c r="F20" s="55"/>
      <c r="G20" s="55"/>
      <c r="H20" s="55">
        <v>1</v>
      </c>
      <c r="I20" s="55">
        <v>260</v>
      </c>
      <c r="J20" s="55">
        <f t="shared" si="1"/>
        <v>260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182</v>
      </c>
      <c r="D21" s="27" t="s">
        <v>183</v>
      </c>
      <c r="E21" s="27" t="s">
        <v>190</v>
      </c>
      <c r="F21" s="55"/>
      <c r="G21" s="55"/>
      <c r="H21" s="55">
        <v>1</v>
      </c>
      <c r="I21" s="55">
        <v>35</v>
      </c>
      <c r="J21" s="55">
        <f t="shared" si="1"/>
        <v>35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Zo6IfStXxelxxkjmmgaHG0JflxhsmtN0GVpFuRh19dGUj845SRNJtrpwtWg4HdW5knszToPbE4mfRnSOG5/pg==" saltValue="pVTMU48MNxJ994ywBY0Pf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78"/>
  <sheetViews>
    <sheetView tabSelected="1" topLeftCell="A10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203</v>
      </c>
      <c r="D16" s="70" t="s">
        <v>29</v>
      </c>
      <c r="E16" s="55">
        <v>2</v>
      </c>
      <c r="F16" s="55">
        <v>7</v>
      </c>
      <c r="G16" s="55">
        <f>E16*F16</f>
        <v>14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29</v>
      </c>
      <c r="E17" s="55">
        <v>2</v>
      </c>
      <c r="F17" s="55">
        <v>61</v>
      </c>
      <c r="G17" s="55">
        <f>E17*F17</f>
        <v>122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29</v>
      </c>
      <c r="E18" s="55">
        <v>1</v>
      </c>
      <c r="F18" s="55">
        <v>7</v>
      </c>
      <c r="G18" s="55">
        <f>E18*F18</f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29</v>
      </c>
      <c r="E19" s="55">
        <v>11</v>
      </c>
      <c r="F19" s="55">
        <v>6</v>
      </c>
      <c r="G19" s="55">
        <f t="shared" ref="G19:G21" si="0">E19*F19</f>
        <v>66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195</v>
      </c>
      <c r="D20" s="70" t="s">
        <v>29</v>
      </c>
      <c r="E20" s="55">
        <v>1</v>
      </c>
      <c r="F20" s="55">
        <v>70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202</v>
      </c>
      <c r="D21" s="70" t="s">
        <v>29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196</v>
      </c>
      <c r="D22" s="70" t="s">
        <v>29</v>
      </c>
      <c r="E22" s="55">
        <v>9</v>
      </c>
      <c r="F22" s="55">
        <v>7</v>
      </c>
      <c r="G22" s="55">
        <f t="shared" ref="G22:G32" si="1">E22*F22</f>
        <v>63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197</v>
      </c>
      <c r="D23" s="70" t="s">
        <v>29</v>
      </c>
      <c r="E23" s="55">
        <v>7</v>
      </c>
      <c r="F23" s="55">
        <v>7</v>
      </c>
      <c r="G23" s="55">
        <f t="shared" si="1"/>
        <v>49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198</v>
      </c>
      <c r="D24" s="70" t="s">
        <v>29</v>
      </c>
      <c r="E24" s="55">
        <v>13</v>
      </c>
      <c r="F24" s="55">
        <v>6</v>
      </c>
      <c r="G24" s="55">
        <f t="shared" si="1"/>
        <v>78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221</v>
      </c>
      <c r="D25" s="70" t="s">
        <v>29</v>
      </c>
      <c r="E25" s="55">
        <v>1</v>
      </c>
      <c r="F25" s="55">
        <v>65</v>
      </c>
      <c r="G25" s="55">
        <f t="shared" si="1"/>
        <v>65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199</v>
      </c>
      <c r="D26" s="70" t="s">
        <v>29</v>
      </c>
      <c r="E26" s="55">
        <v>7</v>
      </c>
      <c r="F26" s="55">
        <v>4</v>
      </c>
      <c r="G26" s="55">
        <f t="shared" si="1"/>
        <v>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200</v>
      </c>
      <c r="D27" s="70" t="s">
        <v>29</v>
      </c>
      <c r="E27" s="55">
        <v>1</v>
      </c>
      <c r="F27" s="55">
        <v>85</v>
      </c>
      <c r="G27" s="55">
        <f t="shared" si="1"/>
        <v>85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201</v>
      </c>
      <c r="D28" s="70" t="s">
        <v>29</v>
      </c>
      <c r="E28" s="55">
        <v>9</v>
      </c>
      <c r="F28" s="55">
        <v>8</v>
      </c>
      <c r="G28" s="55">
        <f t="shared" si="1"/>
        <v>72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209</v>
      </c>
      <c r="D29" s="70" t="s">
        <v>29</v>
      </c>
      <c r="E29" s="55">
        <v>2</v>
      </c>
      <c r="F29" s="55">
        <v>61</v>
      </c>
      <c r="G29" s="55">
        <f t="shared" si="1"/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210</v>
      </c>
      <c r="D30" s="70" t="s">
        <v>29</v>
      </c>
      <c r="E30" s="55">
        <v>1</v>
      </c>
      <c r="F30" s="55">
        <v>105</v>
      </c>
      <c r="G30" s="55">
        <f t="shared" si="1"/>
        <v>105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211</v>
      </c>
      <c r="D31" s="70" t="s">
        <v>29</v>
      </c>
      <c r="E31" s="55">
        <v>1</v>
      </c>
      <c r="F31" s="55">
        <v>22</v>
      </c>
      <c r="G31" s="55">
        <f t="shared" si="1"/>
        <v>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opLeftCell="C1" workbookViewId="0">
      <selection activeCell="N13" sqref="N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219</v>
      </c>
      <c r="N12" s="90" t="s">
        <v>220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25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218</v>
      </c>
      <c r="D15" s="55"/>
      <c r="E15" s="55">
        <v>20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50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2018-06-03T07:09:22Z</dcterms:modified>
</cp:coreProperties>
</file>