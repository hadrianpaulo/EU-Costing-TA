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13" i="2" l="1"/>
  <c r="J19" i="2"/>
  <c r="J16" i="2"/>
  <c r="J17" i="2"/>
  <c r="G28" i="9" l="1"/>
  <c r="G27" i="9"/>
  <c r="G26" i="9"/>
  <c r="G19" i="9"/>
  <c r="G20" i="9"/>
  <c r="G21" i="9"/>
  <c r="G22" i="9"/>
  <c r="G23" i="9"/>
  <c r="G24" i="9"/>
  <c r="G25" i="9"/>
  <c r="G18" i="9"/>
  <c r="G16" i="9"/>
  <c r="G17" i="9"/>
  <c r="J12" i="2"/>
  <c r="J14" i="2"/>
  <c r="J15" i="2"/>
  <c r="J18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<sst xmlns="http://schemas.openxmlformats.org/spreadsheetml/2006/main" count="525" uniqueCount="221">
  <si>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</si>
  <si>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</si>
  <si>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</si>
  <si>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</si>
  <si>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</si>
  <si>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</si>
  <si>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</si>
  <si>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</si>
  <si>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</si>
  <si>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</si>
  <si>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</si>
  <si>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</si>
  <si>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</si>
  <si>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</si>
  <si>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</si>
  <si>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</si>
  <si>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</si>
  <si>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</si>
  <si>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</si>
  <si>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</si>
  <si>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</si>
  <si>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</si>
  <si>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</si>
  <si>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</si>
  <si>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</si>
  <si>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</si>
  <si>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</si>
  <si>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</si>
  <si>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</si>
  <si>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</si>
  <si>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</si>
  <si>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</si>
  <si>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</si>
  <si>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</si>
  <si>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</si>
  <si>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</si>
  <si>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</si>
  <si>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</si>
  <si>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</si>
  <si>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</si>
  <si>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</si>
  <si>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</si>
  <si>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</si>
  <si>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</si>
  <si>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</si>
  <si>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</si>
  <si>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</si>
  <si>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</si>
  <si>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</si>
  <si>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</si>
  <si>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</si>
  <si>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</si>
  <si>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</si>
  <si>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</si>
  <si>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</si>
  <si>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</si>
  <si>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</si>
  <si>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</si>
  <si>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</si>
  <si>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</si>
  <si>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</si>
  <si>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</si>
  <si>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</si>
  <si>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</si>
  <si>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</si>
  <si>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</si>
  <si>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</si>
  <si>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</si>
  <si>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</si>
  <si>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</si>
  <si>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</si>
  <si>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</si>
  <si>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</si>
  <si>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</si>
  <si>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</si>
  <si>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</si>
  <si>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</si>
  <si>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</si>
  <si>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</si>
  <si>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</si>
  <si>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</si>
  <si>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</si>
  <si>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</si>
  <si>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</si>
  <si>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</si>
  <si>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</si>
  <si>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</si>
  <si>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</si>
  <si>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</si>
  <si>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</si>
  <si>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</si>
  <si>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</si>
  <si>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</si>
  <si>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</si>
  <si>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</si>
  <si>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</si>
  <si>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</si>
  <si>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</si>
  <si>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</si>
  <si>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</si>
  <si>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</si>
  <si>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</si>
  <si>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</si>
  <si>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</si>
  <si>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</si>
  <si>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</si>
  <si>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</si>
  <si>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</si>
  <si>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</si>
  <si>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</si>
  <si>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</si>
  <si>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</si>
  <si>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</si>
  <si>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</si>
  <si>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</si>
  <si>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</si>
  <si>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</si>
  <si>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</si>
  <si>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</si>
  <si>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</si>
  <si>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</si>
  <si>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</si>
  <si>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</si>
  <si>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</si>
  <si>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</si>
  <si>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</si>
  <si>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</si>
  <si>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</si>
  <si>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</si>
  <si>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</si>
  <si>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</si>
  <si>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</si>
  <si>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</si>
  <si>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</si>
  <si>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</si>
  <si>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</si>
  <si>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</si>
  <si>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</si>
  <si>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</si>
  <si>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</si>
  <si>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</si>
  <si>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</si>
  <si>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</si>
  <si>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</si>
  <si>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</si>
  <si>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</si>
  <si>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</si>
  <si>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</si>
  <si>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</si>
  <si>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</si>
  <si>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</si>
  <si>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</si>
  <si>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</si>
  <si>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</si>
  <si>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</si>
  <si>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</si>
  <si>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</si>
  <si>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</si>
  <si>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</si>
  <si>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</si>
  <si>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</si>
  <si>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</si>
  <si>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</si>
  <si>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</si>
  <si>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</si>
  <si>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</si>
  <si>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</si>
  <si>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CHEST AP/LATERAL 8X10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</si>
  <si>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</si>
  <si>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</si>
  <si>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</si>
  <si>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</si>
  <si>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</si>
  <si>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</si>
  <si>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</si>
  <si>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</si>
  <si>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D50.3 NACL</t>
  </si>
  <si>
    <t>BOTTLE/IV</t>
  </si>
  <si>
    <t>POLYAMPULE/IV</t>
  </si>
  <si>
    <t>CEFUROXIME (ZIOMET)</t>
  </si>
  <si>
    <t>VIAL/IV</t>
  </si>
  <si>
    <t xml:space="preserve">CEFUROXIME </t>
  </si>
  <si>
    <t>SALBUTAMOL</t>
  </si>
  <si>
    <t>NEBULES/INHALATION</t>
  </si>
  <si>
    <t>CARBOCISTEINE</t>
  </si>
  <si>
    <t>SUSPENSION/ORAL</t>
  </si>
  <si>
    <t>SYRUP/ORAL</t>
  </si>
  <si>
    <t>10 ml</t>
  </si>
  <si>
    <t>500 ml</t>
  </si>
  <si>
    <t>750 mg</t>
  </si>
  <si>
    <t>2 mg/5 ml</t>
  </si>
  <si>
    <t>1 mg/ml</t>
  </si>
  <si>
    <t>50 mg/ml</t>
  </si>
  <si>
    <t>CEFACLOR</t>
  </si>
  <si>
    <t>CETIRIZINE</t>
  </si>
  <si>
    <t>BOTTLE/ORAL</t>
  </si>
  <si>
    <t>2.5 mg/ml</t>
  </si>
  <si>
    <t>IV CATHETER G 26</t>
  </si>
  <si>
    <t>ID BRACELET</t>
  </si>
  <si>
    <t>DISPOSABLE MASK</t>
  </si>
  <si>
    <t>NEBULIZING KIT</t>
  </si>
  <si>
    <t>5CC SYRINGE'</t>
  </si>
  <si>
    <t>1CC SYRINGE</t>
  </si>
  <si>
    <t>3CC SYRINGE</t>
  </si>
  <si>
    <t>GLOVES UNSTERILE MEDIUM</t>
  </si>
  <si>
    <t>DIGITAL THERMOMETER</t>
  </si>
  <si>
    <t>10CC SYRINGE</t>
  </si>
  <si>
    <t>URINALYSIS</t>
  </si>
  <si>
    <t>CHEST PA 8X10</t>
  </si>
  <si>
    <t>SOLUSET</t>
  </si>
  <si>
    <t>WEE BAG PEDIA</t>
  </si>
  <si>
    <t>GENTAMICIN</t>
  </si>
  <si>
    <t>40 mg/ml</t>
  </si>
  <si>
    <t>PARACETAMOL</t>
  </si>
  <si>
    <t>AMPULE/IV</t>
  </si>
  <si>
    <t>150 mg/ml</t>
  </si>
  <si>
    <t>DIPHENHYDRAMINE HCL</t>
  </si>
  <si>
    <t>MED. TECH</t>
  </si>
  <si>
    <t>RAD. TECH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</si>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</sst>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6" zoomScaleNormal="100" workbookViewId="0">
      <selection activeCell="J42" sqref="J4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207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 t="s">
        <v>208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9" t="s">
        <v>46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6" t="s">
        <v>55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170</v>
      </c>
      <c r="D62" s="55">
        <v>5960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>
        <v>1235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310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174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13835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9" workbookViewId="0">
      <selection activeCell="J13" sqref="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178</v>
      </c>
      <c r="E11" s="27" t="s">
        <v>187</v>
      </c>
      <c r="F11" s="55"/>
      <c r="G11" s="55"/>
      <c r="H11" s="55">
        <v>2</v>
      </c>
      <c r="I11" s="55">
        <v>40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188</v>
      </c>
      <c r="F12" s="55"/>
      <c r="G12" s="55"/>
      <c r="H12" s="55">
        <v>7</v>
      </c>
      <c r="I12" s="55">
        <v>80</v>
      </c>
      <c r="J12" s="55">
        <f t="shared" ref="J12:J26" si="0">H12*I12</f>
        <v>560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213</v>
      </c>
      <c r="D13" s="27" t="s">
        <v>214</v>
      </c>
      <c r="E13" s="27" t="s">
        <v>215</v>
      </c>
      <c r="F13" s="55"/>
      <c r="G13" s="55"/>
      <c r="H13" s="55">
        <v>3</v>
      </c>
      <c r="I13" s="55">
        <v>35</v>
      </c>
      <c r="J13" s="55">
        <f>H13*I13</f>
        <v>105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180</v>
      </c>
      <c r="E14" s="27" t="s">
        <v>189</v>
      </c>
      <c r="F14" s="55"/>
      <c r="G14" s="55"/>
      <c r="H14" s="55">
        <v>6</v>
      </c>
      <c r="I14" s="55">
        <v>495</v>
      </c>
      <c r="J14" s="55">
        <f t="shared" si="0"/>
        <v>2970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180</v>
      </c>
      <c r="E15" s="27" t="s">
        <v>189</v>
      </c>
      <c r="F15" s="55"/>
      <c r="G15" s="55"/>
      <c r="H15" s="55">
        <v>7</v>
      </c>
      <c r="I15" s="55">
        <v>55</v>
      </c>
      <c r="J15" s="55">
        <f t="shared" si="0"/>
        <v>385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211</v>
      </c>
      <c r="D16" s="27" t="s">
        <v>214</v>
      </c>
      <c r="E16" s="27" t="s">
        <v>212</v>
      </c>
      <c r="F16" s="55"/>
      <c r="G16" s="55"/>
      <c r="H16" s="55">
        <v>6</v>
      </c>
      <c r="I16" s="55">
        <v>25</v>
      </c>
      <c r="J16" s="55">
        <f t="shared" si="0"/>
        <v>150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186</v>
      </c>
      <c r="E17" s="27" t="s">
        <v>190</v>
      </c>
      <c r="F17" s="55"/>
      <c r="G17" s="55"/>
      <c r="H17" s="55">
        <v>1</v>
      </c>
      <c r="I17" s="55">
        <v>35</v>
      </c>
      <c r="J17" s="55">
        <f t="shared" si="0"/>
        <v>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182</v>
      </c>
      <c r="D18" s="27" t="s">
        <v>183</v>
      </c>
      <c r="E18" s="27" t="s">
        <v>191</v>
      </c>
      <c r="F18" s="55"/>
      <c r="G18" s="55"/>
      <c r="H18" s="55">
        <v>30</v>
      </c>
      <c r="I18" s="55">
        <v>15</v>
      </c>
      <c r="J18" s="55">
        <f t="shared" si="0"/>
        <v>450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216</v>
      </c>
      <c r="D19" s="27" t="s">
        <v>214</v>
      </c>
      <c r="E19" s="27" t="s">
        <v>192</v>
      </c>
      <c r="F19" s="55"/>
      <c r="G19" s="55"/>
      <c r="H19" s="55">
        <v>1</v>
      </c>
      <c r="I19" s="55">
        <v>145</v>
      </c>
      <c r="J19" s="55">
        <f t="shared" si="0"/>
        <v>145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184</v>
      </c>
      <c r="D20" s="27" t="s">
        <v>185</v>
      </c>
      <c r="E20" s="27" t="s">
        <v>192</v>
      </c>
      <c r="F20" s="55"/>
      <c r="G20" s="55"/>
      <c r="H20" s="55">
        <v>2</v>
      </c>
      <c r="I20" s="55">
        <v>35</v>
      </c>
      <c r="J20" s="55">
        <f t="shared" si="0"/>
        <v>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185</v>
      </c>
      <c r="E21" s="27" t="s">
        <v>192</v>
      </c>
      <c r="F21" s="55"/>
      <c r="G21" s="55"/>
      <c r="H21" s="55">
        <v>1</v>
      </c>
      <c r="I21" s="55">
        <v>490</v>
      </c>
      <c r="J21" s="55">
        <f t="shared" si="0"/>
        <v>490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/>
      <c r="G22" s="55"/>
      <c r="H22" s="55">
        <v>2</v>
      </c>
      <c r="I22" s="55">
        <v>260</v>
      </c>
      <c r="J22" s="55">
        <f t="shared" si="0"/>
        <v>520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210</v>
      </c>
      <c r="D16" s="70" t="s">
        <v>29</v>
      </c>
      <c r="E16" s="55">
        <v>3</v>
      </c>
      <c r="F16" s="55">
        <v>7</v>
      </c>
      <c r="G16" s="55">
        <f>E16*F16</f>
        <v>21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29</v>
      </c>
      <c r="E17" s="55">
        <v>5</v>
      </c>
      <c r="F17" s="55">
        <v>61</v>
      </c>
      <c r="G17" s="55">
        <f>E17*F17</f>
        <v>305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29</v>
      </c>
      <c r="E18" s="55">
        <v>1</v>
      </c>
      <c r="F18" s="55">
        <v>7</v>
      </c>
      <c r="G18" s="55">
        <f>E18*F18</f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29</v>
      </c>
      <c r="E19" s="55">
        <v>11</v>
      </c>
      <c r="F19" s="55">
        <v>6</v>
      </c>
      <c r="G19" s="55">
        <f t="shared" ref="G19:G21" si="0">E19*F19</f>
        <v>66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200</v>
      </c>
      <c r="D20" s="70" t="s">
        <v>29</v>
      </c>
      <c r="E20" s="55">
        <v>1</v>
      </c>
      <c r="F20" s="55">
        <v>70</v>
      </c>
      <c r="G20" s="55">
        <f t="shared" si="0"/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209</v>
      </c>
      <c r="D21" s="70" t="s">
        <v>29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201</v>
      </c>
      <c r="D22" s="70" t="s">
        <v>29</v>
      </c>
      <c r="E22" s="55">
        <v>14</v>
      </c>
      <c r="F22" s="55">
        <v>7</v>
      </c>
      <c r="G22" s="55">
        <f t="shared" ref="G22:G28" si="1">E22*F22</f>
        <v>98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202</v>
      </c>
      <c r="D23" s="70" t="s">
        <v>29</v>
      </c>
      <c r="E23" s="55">
        <v>9</v>
      </c>
      <c r="F23" s="55">
        <v>7</v>
      </c>
      <c r="G23" s="55">
        <f t="shared" si="1"/>
        <v>63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203</v>
      </c>
      <c r="D24" s="70" t="s">
        <v>29</v>
      </c>
      <c r="E24" s="55">
        <v>15</v>
      </c>
      <c r="F24" s="55">
        <v>6</v>
      </c>
      <c r="G24" s="55">
        <f t="shared" si="1"/>
        <v>90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220</v>
      </c>
      <c r="D25" s="70" t="s">
        <v>29</v>
      </c>
      <c r="E25" s="55">
        <v>2</v>
      </c>
      <c r="F25" s="55">
        <v>65</v>
      </c>
      <c r="G25" s="55">
        <f t="shared" si="1"/>
        <v>130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204</v>
      </c>
      <c r="D26" s="70" t="s">
        <v>29</v>
      </c>
      <c r="E26" s="55">
        <v>7</v>
      </c>
      <c r="F26" s="55">
        <v>4</v>
      </c>
      <c r="G26" s="55">
        <f t="shared" si="1"/>
        <v>28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205</v>
      </c>
      <c r="D27" s="70" t="s">
        <v>29</v>
      </c>
      <c r="E27" s="55">
        <v>1</v>
      </c>
      <c r="F27" s="55">
        <v>85</v>
      </c>
      <c r="G27" s="55">
        <f t="shared" si="1"/>
        <v>85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206</v>
      </c>
      <c r="D28" s="70" t="s">
        <v>29</v>
      </c>
      <c r="E28" s="55">
        <v>9</v>
      </c>
      <c r="F28" s="55">
        <v>8</v>
      </c>
      <c r="G28" s="55">
        <f t="shared" si="1"/>
        <v>72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115"/>
      <c r="D29" s="115"/>
      <c r="E29" s="115"/>
      <c r="F29" s="115"/>
      <c r="G29" s="11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78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7" t="s">
        <v>30</v>
      </c>
      <c r="C43" s="138"/>
      <c r="D43" s="138"/>
      <c r="E43" s="138"/>
      <c r="F43" s="138"/>
      <c r="G43" s="139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0H5LXG/pxJxHoWepxu2bXkY0L8onZacxQzEkBMNSKlEKJonwgGGsIQmVQVz82Lq7qp2z2UqRL75CdZrUFwy0sQ==" saltValue="tABKfKbeZMxh8KBVvV0wO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217</v>
      </c>
      <c r="N12" s="90" t="s">
        <v>218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40</v>
      </c>
      <c r="N14" s="55">
        <v>20</v>
      </c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219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125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20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2018-06-04T02:00:11Z</dcterms:modified>
</cp:coreProperties>
</file>