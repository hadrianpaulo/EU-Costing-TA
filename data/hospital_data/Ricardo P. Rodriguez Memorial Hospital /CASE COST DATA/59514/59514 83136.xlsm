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Supplies_Medical'!$C$15:$C$66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Drugs&amp;Med'!$B$2:$J$28</definedName>
  </definedNames>
  <calcPr calcId="162913"/>
</workbook>
</file>

<file path=xl/calcChain.xml><?xml version="1.0" encoding="utf-8"?>
<calcChain xmlns="http://schemas.openxmlformats.org/spreadsheetml/2006/main">
  <c r="G54" i="9" l="1"/>
  <c r="G53" i="9"/>
  <c r="G52" i="9" l="1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28" i="9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<sst xmlns="http://schemas.openxmlformats.org/spreadsheetml/2006/main" count="572" uniqueCount="246">
  <si>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</si>
  <si>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</si>
  <si>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</si>
  <si>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</si>
  <si>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</si>
  <si>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</si>
  <si>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</si>
  <si>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</si>
  <si>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</si>
  <si>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</si>
  <si>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</si>
  <si>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</si>
  <si>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</si>
  <si>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</si>
  <si>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</si>
  <si>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</si>
  <si>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</si>
  <si>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</si>
  <si>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</si>
  <si>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</si>
  <si>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</si>
  <si>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</si>
  <si>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</si>
  <si>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</si>
  <si>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</si>
  <si>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</si>
  <si>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</si>
  <si>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</si>
  <si>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</si>
  <si>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</si>
  <si>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</si>
  <si>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</si>
  <si>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</si>
  <si>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</si>
  <si>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</si>
  <si>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</si>
  <si>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</si>
  <si>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</si>
  <si>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</si>
  <si>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</si>
  <si>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</si>
  <si>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</si>
  <si>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</si>
  <si>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</si>
  <si>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</si>
  <si>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</si>
  <si>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</si>
  <si>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</si>
  <si>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</si>
  <si>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</si>
  <si>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</si>
  <si>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</si>
  <si>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</si>
  <si>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</si>
  <si>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</si>
  <si>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</si>
  <si>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</si>
  <si>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</si>
  <si>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</si>
  <si>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</si>
  <si>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</si>
  <si>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</si>
  <si>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</si>
  <si>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</si>
  <si>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</si>
  <si>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</si>
  <si>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</si>
  <si>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</si>
  <si>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</si>
  <si>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</si>
  <si>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</si>
  <si>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</si>
  <si>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</si>
  <si>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</si>
  <si>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</si>
  <si>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</si>
  <si>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</si>
  <si>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</si>
  <si>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</si>
  <si>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</si>
  <si>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</si>
  <si>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</si>
  <si>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</si>
  <si>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</si>
  <si>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</si>
  <si>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</si>
  <si>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</si>
  <si>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</si>
  <si>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</si>
  <si>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</si>
  <si>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</si>
  <si>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</si>
  <si>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</si>
  <si>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</si>
  <si>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</si>
  <si>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</si>
  <si>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</si>
  <si>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</si>
  <si>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</si>
  <si>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</si>
  <si>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</si>
  <si>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</si>
  <si>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</si>
  <si>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</si>
  <si>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</si>
  <si>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</si>
  <si>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</si>
  <si>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</si>
  <si>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</si>
  <si>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</si>
  <si>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</si>
  <si>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</si>
  <si>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</si>
  <si>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</si>
  <si>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</si>
  <si>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</si>
  <si>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</si>
  <si>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</si>
  <si>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</si>
  <si>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</si>
  <si>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</si>
  <si>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</si>
  <si>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</si>
  <si>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</si>
  <si>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</si>
  <si>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</si>
  <si>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</si>
  <si>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</si>
  <si>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</si>
  <si>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</si>
  <si>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</si>
  <si>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</si>
  <si>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</si>
  <si>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</si>
  <si>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</si>
  <si>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</si>
  <si>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</si>
  <si>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</si>
  <si>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</si>
  <si>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</si>
  <si>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</si>
  <si>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</si>
  <si>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</si>
  <si>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</si>
  <si>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</si>
  <si>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</si>
  <si>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</si>
  <si>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</si>
  <si>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</si>
  <si>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</si>
  <si>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</si>
  <si>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</si>
  <si>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</si>
  <si>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</si>
  <si>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</si>
  <si>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</si>
  <si>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</si>
  <si>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</si>
  <si>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</si>
  <si>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</si>
  <si>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</si>
  <si>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</si>
  <si>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</si>
  <si>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</si>
  <si>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</si>
  <si>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</si>
  <si>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</si>
  <si>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</si>
  <si>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</si>
  <si>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</si>
  <si>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</si>
  <si>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</si>
  <si>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</si>
  <si>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</si>
  <si>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</si>
  <si>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</si>
  <si>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</si>
  <si>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</si>
  <si>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</si>
  <si>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</si>
  <si>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</si>
  <si>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</si>
  <si>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</si>
  <si>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</si>
  <si>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</si>
  <si>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</si>
  <si>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</si>
  <si>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</si>
  <si>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</si>
  <si>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</si>
  <si>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>RANITIDINE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</si>
  <si>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</si>
  <si>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</si>
  <si>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</si>
  <si>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</si>
  <si>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</si>
  <si>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</si>
  <si>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</si>
  <si>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OXYGEN</t>
  </si>
  <si>
    <t>TANK</t>
  </si>
  <si>
    <t>DISPOSABLE RAZOR BLADE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</si>
  <si>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</si>
  <si>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</si>
  <si>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</si>
  <si>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</si>
  <si>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</si>
  <si>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</si>
  <si>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</si>
  <si>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</si>
  <si>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</si>
  <si>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</si>
  <si>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</si>
  <si>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</si>
  <si>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</si>
  <si>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</si>
  <si>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</si>
  <si>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</si>
  <si>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</si>
  <si>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</si>
  <si>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</si>
  <si>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</si>
  <si>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CHROMIC 2.0 DOUBLE ARM CUTTING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</si>
  <si>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</si>
  <si>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</si>
  <si>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</si>
  <si>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</si>
  <si>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</si>
  <si>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</si>
  <si>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</si>
  <si>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</si>
  <si>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</si>
  <si>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</si>
  <si>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</si>
  <si>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</si>
  <si>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</si>
  <si>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</si>
  <si>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</si>
  <si>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</si>
  <si>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</si>
  <si>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CBC,PLATELET COUNT</t>
  </si>
  <si>
    <t>EPHEDRINE SULFATE</t>
  </si>
  <si>
    <t>50MG/ML</t>
  </si>
  <si>
    <t>BALANCED MULTIPLE MAINTAINANCE SOLUTION</t>
  </si>
  <si>
    <t>NASAL CANNULA</t>
  </si>
  <si>
    <t>10 CC SYRINGE</t>
  </si>
  <si>
    <t>IV CATHETER G22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</si>
</sst>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56</xdr:row>
          <xdr:rowOff>28575</xdr:rowOff>
        </xdr:from>
        <xdr:to>
          <xdr:col>1</xdr:col>
          <xdr:colOff>771525</xdr:colOff>
          <xdr:row>56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56</xdr:row>
          <xdr:rowOff>28575</xdr:rowOff>
        </xdr:from>
        <xdr:to>
          <xdr:col>1</xdr:col>
          <xdr:colOff>1543050</xdr:colOff>
          <xdr:row>56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zoomScaleNormal="100" workbookViewId="0">
      <selection activeCell="F73" sqref="F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239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43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52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228</v>
      </c>
      <c r="D61" s="55">
        <v>2255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229</v>
      </c>
      <c r="D62" s="55">
        <v>3524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230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231</v>
      </c>
      <c r="D64" s="55">
        <v>1030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232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233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234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235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236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237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238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18319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8"/>
  <sheetViews>
    <sheetView workbookViewId="0">
      <selection activeCell="G30" sqref="G3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4</v>
      </c>
      <c r="I11" s="55">
        <v>80</v>
      </c>
      <c r="J11" s="55">
        <f>H11*I11</f>
        <v>320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12</v>
      </c>
      <c r="I12" s="55">
        <v>23</v>
      </c>
      <c r="J12" s="55">
        <f t="shared" ref="J12:J26" si="0">H12*I12</f>
        <v>276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240</v>
      </c>
      <c r="D13" s="27" t="s">
        <v>177</v>
      </c>
      <c r="E13" s="27" t="s">
        <v>241</v>
      </c>
      <c r="F13" s="55">
        <v>0</v>
      </c>
      <c r="G13" s="55">
        <v>0</v>
      </c>
      <c r="H13" s="55">
        <v>1</v>
      </c>
      <c r="I13" s="55">
        <v>75</v>
      </c>
      <c r="J13" s="55">
        <f t="shared" si="0"/>
        <v>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177</v>
      </c>
      <c r="E14" s="27" t="s">
        <v>178</v>
      </c>
      <c r="F14" s="55">
        <v>0</v>
      </c>
      <c r="G14" s="55">
        <v>0</v>
      </c>
      <c r="H14" s="55">
        <v>1</v>
      </c>
      <c r="I14" s="55">
        <v>25</v>
      </c>
      <c r="J14" s="55">
        <f t="shared" si="0"/>
        <v>25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175</v>
      </c>
      <c r="E15" s="27" t="s">
        <v>180</v>
      </c>
      <c r="F15" s="55">
        <v>0</v>
      </c>
      <c r="G15" s="55">
        <v>0</v>
      </c>
      <c r="H15" s="55">
        <v>1</v>
      </c>
      <c r="I15" s="55">
        <v>650</v>
      </c>
      <c r="J15" s="55">
        <f t="shared" si="0"/>
        <v>650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182</v>
      </c>
      <c r="D16" s="27" t="s">
        <v>177</v>
      </c>
      <c r="E16" s="27" t="s">
        <v>183</v>
      </c>
      <c r="F16" s="55">
        <v>0</v>
      </c>
      <c r="G16" s="55">
        <v>0</v>
      </c>
      <c r="H16" s="55">
        <v>3</v>
      </c>
      <c r="I16" s="55">
        <v>40</v>
      </c>
      <c r="J16" s="55">
        <f t="shared" si="0"/>
        <v>120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184</v>
      </c>
      <c r="D17" s="27" t="s">
        <v>177</v>
      </c>
      <c r="E17" s="27" t="s">
        <v>185</v>
      </c>
      <c r="F17" s="55">
        <v>0</v>
      </c>
      <c r="G17" s="55">
        <v>0</v>
      </c>
      <c r="H17" s="55">
        <v>1</v>
      </c>
      <c r="I17" s="55">
        <v>50</v>
      </c>
      <c r="J17" s="55">
        <f t="shared" si="0"/>
        <v>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177</v>
      </c>
      <c r="E18" s="27" t="s">
        <v>187</v>
      </c>
      <c r="F18" s="55">
        <v>0</v>
      </c>
      <c r="G18" s="55">
        <v>0</v>
      </c>
      <c r="H18" s="55">
        <v>2</v>
      </c>
      <c r="I18" s="55">
        <v>30</v>
      </c>
      <c r="J18" s="55">
        <f t="shared" si="0"/>
        <v>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188</v>
      </c>
      <c r="D19" s="27" t="s">
        <v>177</v>
      </c>
      <c r="E19" s="27" t="s">
        <v>181</v>
      </c>
      <c r="F19" s="55">
        <v>0</v>
      </c>
      <c r="G19" s="55">
        <v>0</v>
      </c>
      <c r="H19" s="55">
        <v>1</v>
      </c>
      <c r="I19" s="55">
        <v>125</v>
      </c>
      <c r="J19" s="55">
        <f t="shared" si="0"/>
        <v>125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189</v>
      </c>
      <c r="D20" s="27" t="s">
        <v>177</v>
      </c>
      <c r="E20" s="27" t="s">
        <v>180</v>
      </c>
      <c r="F20" s="55">
        <v>0</v>
      </c>
      <c r="G20" s="55">
        <v>0</v>
      </c>
      <c r="H20" s="55">
        <v>1</v>
      </c>
      <c r="I20" s="55">
        <v>135</v>
      </c>
      <c r="J20" s="55">
        <f t="shared" si="0"/>
        <v>135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190</v>
      </c>
      <c r="D21" s="27" t="s">
        <v>177</v>
      </c>
      <c r="E21" s="27" t="s">
        <v>183</v>
      </c>
      <c r="F21" s="55">
        <v>0</v>
      </c>
      <c r="G21" s="55">
        <v>0</v>
      </c>
      <c r="H21" s="55">
        <v>3</v>
      </c>
      <c r="I21" s="55">
        <v>35</v>
      </c>
      <c r="J21" s="55">
        <f t="shared" si="0"/>
        <v>105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191</v>
      </c>
      <c r="D22" s="27" t="s">
        <v>192</v>
      </c>
      <c r="E22" s="27" t="s">
        <v>193</v>
      </c>
      <c r="F22" s="55">
        <v>0</v>
      </c>
      <c r="G22" s="55">
        <v>0</v>
      </c>
      <c r="H22" s="55">
        <v>21</v>
      </c>
      <c r="I22" s="55">
        <v>8</v>
      </c>
      <c r="J22" s="55">
        <f t="shared" si="0"/>
        <v>168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194</v>
      </c>
      <c r="D23" s="27" t="s">
        <v>192</v>
      </c>
      <c r="E23" s="27" t="s">
        <v>193</v>
      </c>
      <c r="F23" s="55">
        <v>0</v>
      </c>
      <c r="G23" s="55">
        <v>0</v>
      </c>
      <c r="H23" s="55">
        <v>9</v>
      </c>
      <c r="I23" s="55">
        <v>4</v>
      </c>
      <c r="J23" s="55">
        <f t="shared" si="0"/>
        <v>36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195</v>
      </c>
      <c r="D24" s="27" t="s">
        <v>196</v>
      </c>
      <c r="E24" s="27" t="s">
        <v>197</v>
      </c>
      <c r="F24" s="55">
        <v>0</v>
      </c>
      <c r="G24" s="55">
        <v>0</v>
      </c>
      <c r="H24" s="55">
        <v>2</v>
      </c>
      <c r="I24" s="55">
        <v>55</v>
      </c>
      <c r="J24" s="55">
        <f t="shared" si="0"/>
        <v>110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198</v>
      </c>
      <c r="D25" s="27" t="s">
        <v>199</v>
      </c>
      <c r="E25" s="27"/>
      <c r="F25" s="55">
        <v>0</v>
      </c>
      <c r="G25" s="55">
        <v>0</v>
      </c>
      <c r="H25" s="55">
        <v>1</v>
      </c>
      <c r="I25" s="55">
        <v>60</v>
      </c>
      <c r="J25" s="55">
        <f t="shared" si="0"/>
        <v>60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242</v>
      </c>
      <c r="D26" s="27" t="s">
        <v>173</v>
      </c>
      <c r="E26" s="27" t="s">
        <v>170</v>
      </c>
      <c r="F26" s="55">
        <v>0</v>
      </c>
      <c r="G26" s="55">
        <v>0</v>
      </c>
      <c r="H26" s="55">
        <v>1</v>
      </c>
      <c r="I26" s="55">
        <v>105</v>
      </c>
      <c r="J26" s="55">
        <f t="shared" si="0"/>
        <v>105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25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1pwhGRu7otKAj5Ny0wbOKbG5TdaSvxpIiY1y4Grbh2NCgBtfL2yBQSQR31sO7yfqZo5c5rcW1rbZMmxcjGE/eQ==" saltValue="2BdbmGZv330G8534Jf3NQ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0"/>
  <sheetViews>
    <sheetView tabSelected="1" workbookViewId="0">
      <pane ySplit="1" topLeftCell="A2" activePane="bottomLeft" state="frozen"/>
      <selection pane="bottomLeft" activeCell="G59" sqref="G5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28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205</v>
      </c>
      <c r="D16" s="70"/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224</v>
      </c>
      <c r="D17" s="70"/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/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200</v>
      </c>
      <c r="D28" s="70" t="s">
        <v>201</v>
      </c>
      <c r="E28" s="55">
        <v>1</v>
      </c>
      <c r="F28" s="55">
        <v>35</v>
      </c>
      <c r="G28" s="55">
        <f>E28*F28</f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202</v>
      </c>
      <c r="D29" s="70" t="s">
        <v>201</v>
      </c>
      <c r="E29" s="55">
        <v>1</v>
      </c>
      <c r="F29" s="55">
        <v>32</v>
      </c>
      <c r="G29" s="55">
        <f t="shared" ref="G29:G55" si="1">E29*F29</f>
        <v>32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204</v>
      </c>
      <c r="D30" s="70" t="s">
        <v>201</v>
      </c>
      <c r="E30" s="55">
        <v>1</v>
      </c>
      <c r="F30" s="55">
        <v>85</v>
      </c>
      <c r="G30" s="55">
        <f t="shared" si="1"/>
        <v>85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203</v>
      </c>
      <c r="D31" s="70" t="s">
        <v>201</v>
      </c>
      <c r="E31" s="55">
        <v>1</v>
      </c>
      <c r="F31" s="55">
        <v>61</v>
      </c>
      <c r="G31" s="55">
        <f t="shared" si="1"/>
        <v>61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205</v>
      </c>
      <c r="D32" s="70" t="s">
        <v>201</v>
      </c>
      <c r="E32" s="55">
        <v>2</v>
      </c>
      <c r="F32" s="55">
        <v>65</v>
      </c>
      <c r="G32" s="55">
        <f t="shared" si="1"/>
        <v>130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206</v>
      </c>
      <c r="D33" s="70" t="s">
        <v>201</v>
      </c>
      <c r="E33" s="55">
        <v>9</v>
      </c>
      <c r="F33" s="55">
        <v>6</v>
      </c>
      <c r="G33" s="55">
        <f t="shared" si="1"/>
        <v>54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207</v>
      </c>
      <c r="D34" s="70" t="s">
        <v>201</v>
      </c>
      <c r="E34" s="55">
        <v>40</v>
      </c>
      <c r="F34" s="55">
        <v>3</v>
      </c>
      <c r="G34" s="55">
        <f t="shared" si="1"/>
        <v>120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208</v>
      </c>
      <c r="D35" s="70" t="s">
        <v>201</v>
      </c>
      <c r="E35" s="55">
        <v>4</v>
      </c>
      <c r="F35" s="55">
        <v>65</v>
      </c>
      <c r="G35" s="55">
        <f t="shared" si="1"/>
        <v>260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209</v>
      </c>
      <c r="D36" s="70" t="s">
        <v>201</v>
      </c>
      <c r="E36" s="55">
        <v>29</v>
      </c>
      <c r="F36" s="55">
        <v>4</v>
      </c>
      <c r="G36" s="55">
        <f t="shared" si="1"/>
        <v>116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210</v>
      </c>
      <c r="D37" s="70" t="s">
        <v>201</v>
      </c>
      <c r="E37" s="55">
        <v>1</v>
      </c>
      <c r="F37" s="55">
        <v>40</v>
      </c>
      <c r="G37" s="55">
        <f t="shared" si="1"/>
        <v>40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211</v>
      </c>
      <c r="D38" s="70" t="s">
        <v>201</v>
      </c>
      <c r="E38" s="55">
        <v>5</v>
      </c>
      <c r="F38" s="55">
        <v>45</v>
      </c>
      <c r="G38" s="55">
        <f t="shared" si="1"/>
        <v>225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212</v>
      </c>
      <c r="D39" s="70" t="s">
        <v>201</v>
      </c>
      <c r="E39" s="55">
        <v>1</v>
      </c>
      <c r="F39" s="55">
        <v>25</v>
      </c>
      <c r="G39" s="55">
        <f t="shared" si="1"/>
        <v>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213</v>
      </c>
      <c r="D40" s="70" t="s">
        <v>201</v>
      </c>
      <c r="E40" s="55">
        <v>1</v>
      </c>
      <c r="F40" s="55">
        <v>110</v>
      </c>
      <c r="G40" s="55">
        <f t="shared" si="1"/>
        <v>110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214</v>
      </c>
      <c r="D41" s="70" t="s">
        <v>201</v>
      </c>
      <c r="E41" s="55">
        <v>5</v>
      </c>
      <c r="F41" s="55">
        <v>25</v>
      </c>
      <c r="G41" s="55">
        <f t="shared" si="1"/>
        <v>125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215</v>
      </c>
      <c r="D42" s="70" t="s">
        <v>201</v>
      </c>
      <c r="E42" s="55">
        <v>6</v>
      </c>
      <c r="F42" s="55">
        <v>7</v>
      </c>
      <c r="G42" s="55">
        <f t="shared" si="1"/>
        <v>42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216</v>
      </c>
      <c r="D43" s="70" t="s">
        <v>201</v>
      </c>
      <c r="E43" s="55">
        <v>6</v>
      </c>
      <c r="F43" s="55">
        <v>6</v>
      </c>
      <c r="G43" s="55">
        <f t="shared" si="1"/>
        <v>36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217</v>
      </c>
      <c r="D44" s="70" t="s">
        <v>201</v>
      </c>
      <c r="E44" s="55">
        <v>2</v>
      </c>
      <c r="F44" s="55">
        <v>7</v>
      </c>
      <c r="G44" s="55">
        <f t="shared" si="1"/>
        <v>14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218</v>
      </c>
      <c r="D45" s="70" t="s">
        <v>201</v>
      </c>
      <c r="E45" s="55">
        <v>1</v>
      </c>
      <c r="F45" s="55">
        <v>35</v>
      </c>
      <c r="G45" s="55">
        <f t="shared" si="1"/>
        <v>35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219</v>
      </c>
      <c r="D46" s="70" t="s">
        <v>201</v>
      </c>
      <c r="E46" s="55">
        <v>1</v>
      </c>
      <c r="F46" s="55">
        <v>210</v>
      </c>
      <c r="G46" s="55">
        <f t="shared" si="1"/>
        <v>210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245</v>
      </c>
      <c r="D47" s="70" t="s">
        <v>201</v>
      </c>
      <c r="E47" s="55">
        <v>1</v>
      </c>
      <c r="F47" s="55">
        <v>61</v>
      </c>
      <c r="G47" s="55">
        <f t="shared" si="1"/>
        <v>61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220</v>
      </c>
      <c r="D48" s="70" t="s">
        <v>201</v>
      </c>
      <c r="E48" s="55">
        <v>2</v>
      </c>
      <c r="F48" s="55">
        <v>205</v>
      </c>
      <c r="G48" s="55">
        <f t="shared" si="1"/>
        <v>410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221</v>
      </c>
      <c r="D49" s="70" t="s">
        <v>201</v>
      </c>
      <c r="E49" s="55">
        <v>1</v>
      </c>
      <c r="F49" s="55">
        <v>280</v>
      </c>
      <c r="G49" s="55">
        <f t="shared" si="1"/>
        <v>280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222</v>
      </c>
      <c r="D50" s="70" t="s">
        <v>201</v>
      </c>
      <c r="E50" s="55">
        <v>1</v>
      </c>
      <c r="F50" s="55">
        <v>410</v>
      </c>
      <c r="G50" s="55">
        <f t="shared" si="1"/>
        <v>410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223</v>
      </c>
      <c r="D51" s="70" t="s">
        <v>201</v>
      </c>
      <c r="E51" s="55">
        <v>1</v>
      </c>
      <c r="F51" s="55">
        <v>280</v>
      </c>
      <c r="G51" s="55">
        <f t="shared" si="1"/>
        <v>280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225</v>
      </c>
      <c r="D52" s="70" t="s">
        <v>201</v>
      </c>
      <c r="E52" s="55">
        <v>2</v>
      </c>
      <c r="F52" s="55">
        <v>6</v>
      </c>
      <c r="G52" s="55">
        <f t="shared" si="1"/>
        <v>12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243</v>
      </c>
      <c r="D53" s="70" t="s">
        <v>201</v>
      </c>
      <c r="E53" s="55">
        <v>1</v>
      </c>
      <c r="F53" s="55">
        <v>43</v>
      </c>
      <c r="G53" s="55">
        <f t="shared" si="1"/>
        <v>43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244</v>
      </c>
      <c r="D54" s="70" t="s">
        <v>201</v>
      </c>
      <c r="E54" s="55">
        <v>4</v>
      </c>
      <c r="F54" s="55">
        <v>8</v>
      </c>
      <c r="G54" s="55">
        <f t="shared" si="1"/>
        <v>32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136" t="s">
        <v>29</v>
      </c>
      <c r="C56" s="137"/>
      <c r="D56" s="137"/>
      <c r="E56" s="137"/>
      <c r="F56" s="137"/>
      <c r="G56" s="138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1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2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4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5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6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7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8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9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10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A67" s="44"/>
      <c r="B67" s="39"/>
      <c r="C67" s="44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A68" s="44"/>
      <c r="B68" s="39"/>
      <c r="C68" s="44"/>
      <c r="D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5.75" customHeight="1" x14ac:dyDescent="0.25"/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</sheetData>
  <sheetProtection algorithmName="SHA-512" hashValue="c5rjXyNW+zC4OHgEEKnyDPIS48scGvdot+dz25QsTPTg2kPn7Oc2w+O9rgyX9E9bFWjH5xGcD7QoH0tsM7fTuA==" saltValue="W3Tx6TutnxAzVIpWVLYB+A==" spinCount="100000" sheet="1" objects="1" scenarios="1" formatColumns="0" formatRows="0" sort="0" autoFilter="0"/>
  <mergeCells count="9">
    <mergeCell ref="B7:G7"/>
    <mergeCell ref="B27:G27"/>
    <mergeCell ref="B56:G5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56</xdr:row>
                    <xdr:rowOff>28575</xdr:rowOff>
                  </from>
                  <to>
                    <xdr:col>1</xdr:col>
                    <xdr:colOff>771525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56</xdr:row>
                    <xdr:rowOff>28575</xdr:rowOff>
                  </from>
                  <to>
                    <xdr:col>1</xdr:col>
                    <xdr:colOff>1543050</xdr:colOff>
                    <xdr:row>56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F14" sqref="F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226</v>
      </c>
      <c r="D13" s="55"/>
      <c r="E13" s="55">
        <v>30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227</v>
      </c>
      <c r="D14" s="55"/>
      <c r="E14" s="55">
        <v>100</v>
      </c>
      <c r="F14" s="55"/>
      <c r="G14" s="55">
        <v>100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130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2018-06-04T08:56:05Z</dcterms:modified>
</cp:coreProperties>
</file>