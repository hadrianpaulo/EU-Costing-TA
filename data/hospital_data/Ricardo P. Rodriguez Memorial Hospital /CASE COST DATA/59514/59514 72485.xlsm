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J21" i="2"/>
  <c r="J20" i="2"/>
  <c r="J19" i="2"/>
  <c r="G56" i="9"/>
  <c r="G17" i="9" l="1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J29" i="2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<sst xmlns="http://schemas.openxmlformats.org/spreadsheetml/2006/main" count="573" uniqueCount="243">
  <si>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</si>
  <si>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</si>
  <si>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</si>
  <si>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</si>
  <si>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</si>
  <si>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</si>
  <si>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</si>
  <si>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</si>
  <si>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</si>
  <si>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</si>
  <si>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</si>
  <si>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</si>
  <si>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</si>
  <si>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</si>
  <si>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</si>
  <si>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</si>
  <si>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</si>
  <si>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</si>
  <si>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</si>
  <si>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</si>
  <si>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</si>
  <si>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</si>
  <si>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</si>
  <si>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</si>
  <si>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</si>
  <si>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</si>
  <si>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</si>
  <si>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</si>
  <si>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</si>
  <si>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</si>
  <si>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</si>
  <si>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</si>
  <si>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</si>
  <si>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</si>
  <si>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</si>
  <si>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</si>
  <si>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</si>
  <si>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</si>
  <si>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</si>
  <si>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</si>
  <si>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</si>
  <si>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</si>
  <si>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</si>
  <si>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</si>
  <si>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</si>
  <si>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</si>
  <si>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</si>
  <si>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</si>
  <si>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</si>
  <si>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</si>
  <si>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</si>
  <si>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</si>
  <si>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</si>
  <si>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</si>
  <si>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</si>
  <si>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</si>
  <si>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</si>
  <si>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</si>
  <si>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</si>
  <si>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</si>
  <si>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</si>
  <si>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</si>
  <si>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</si>
  <si>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</si>
  <si>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</si>
  <si>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</si>
  <si>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</si>
  <si>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</si>
  <si>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</si>
  <si>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</si>
  <si>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</si>
  <si>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</si>
  <si>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</si>
  <si>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</si>
  <si>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</si>
  <si>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</si>
  <si>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</si>
  <si>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</si>
  <si>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</si>
  <si>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</si>
  <si>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</si>
  <si>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</si>
  <si>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</si>
  <si>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</si>
  <si>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</si>
  <si>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</si>
  <si>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</si>
  <si>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</si>
  <si>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</si>
  <si>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</si>
  <si>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</si>
  <si>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</si>
  <si>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</si>
  <si>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</si>
  <si>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</si>
  <si>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</si>
  <si>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</si>
  <si>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</si>
  <si>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</si>
  <si>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</si>
  <si>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</si>
  <si>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</si>
  <si>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</si>
  <si>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</si>
  <si>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</si>
  <si>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</si>
  <si>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</si>
  <si>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</si>
  <si>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</si>
  <si>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</si>
  <si>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</si>
  <si>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</si>
  <si>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</si>
  <si>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</si>
  <si>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</si>
  <si>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</si>
  <si>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</si>
  <si>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</si>
  <si>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</si>
  <si>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</si>
  <si>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</si>
  <si>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</si>
  <si>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</si>
  <si>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</si>
  <si>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</si>
  <si>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</si>
  <si>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</si>
  <si>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</si>
  <si>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</si>
  <si>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</si>
  <si>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</si>
  <si>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</si>
  <si>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</si>
  <si>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</si>
  <si>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</si>
  <si>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</si>
  <si>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</si>
  <si>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</si>
  <si>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</si>
  <si>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</si>
  <si>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</si>
  <si>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</si>
  <si>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</si>
  <si>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</si>
  <si>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</si>
  <si>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</si>
  <si>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</si>
  <si>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</si>
  <si>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</si>
  <si>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</si>
  <si>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</si>
  <si>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</si>
  <si>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</si>
  <si>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</si>
  <si>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</si>
  <si>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</si>
  <si>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</si>
  <si>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</si>
  <si>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</si>
  <si>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</si>
  <si>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</si>
  <si>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</si>
  <si>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</si>
  <si>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</si>
  <si>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</si>
  <si>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</si>
  <si>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</si>
  <si>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</si>
  <si>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</si>
  <si>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</si>
  <si>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</si>
  <si>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</si>
  <si>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</si>
  <si>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</si>
  <si>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</si>
  <si>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</si>
  <si>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</si>
  <si>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</si>
  <si>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</si>
  <si>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</si>
  <si>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</si>
  <si>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</si>
  <si>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</si>
  <si>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</si>
  <si>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</si>
  <si>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</si>
  <si>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</si>
  <si>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</si>
  <si>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PROMETHAZINE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</si>
  <si>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</si>
  <si>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</si>
  <si>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</si>
  <si>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</si>
  <si>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</si>
  <si>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</si>
  <si>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</si>
  <si>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</si>
  <si>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</si>
  <si>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1 LITER</t>
  </si>
  <si>
    <t>DICLOFENAC SODIUM</t>
  </si>
  <si>
    <t>NALBUPHINE</t>
  </si>
  <si>
    <t>10MG</t>
  </si>
  <si>
    <t>DIAZEPAM</t>
  </si>
  <si>
    <t>EPHEDRINE SULFATE</t>
  </si>
  <si>
    <t>50MG/ML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</si>
  <si>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</si>
  <si>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</si>
  <si>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</si>
  <si>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</si>
  <si>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</si>
  <si>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</si>
  <si>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</si>
  <si>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</si>
  <si>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</si>
  <si>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</si>
  <si>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</si>
  <si>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</si>
  <si>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</si>
  <si>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</si>
  <si>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</si>
  <si>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</si>
  <si>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</si>
  <si>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</si>
  <si>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</si>
  <si>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</si>
  <si>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</si>
  <si>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</si>
  <si>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</si>
  <si>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</si>
  <si>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</si>
  <si>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</si>
  <si>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</si>
  <si>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1.0</t>
  </si>
  <si>
    <t>CHROMIC 2.0 DOUBLE ARM CUTTING</t>
  </si>
  <si>
    <t>VICRYL 1</t>
  </si>
  <si>
    <t>VICRYL 3-0</t>
  </si>
  <si>
    <t>POVIDONE IODINE</t>
  </si>
  <si>
    <t xml:space="preserve">0.9 NACL </t>
  </si>
  <si>
    <t>STERILE WATER</t>
  </si>
  <si>
    <t>VIAL, IV</t>
  </si>
  <si>
    <t>10ML</t>
  </si>
  <si>
    <t>BALANCED MULTIPLE MAINTENANCE</t>
  </si>
  <si>
    <t>IV SPLINT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</si>
</sst>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30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2389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3144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17823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20" workbookViewId="0">
      <selection activeCell="H30" sqref="H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6</v>
      </c>
      <c r="I11" s="55">
        <v>23</v>
      </c>
      <c r="J11" s="55">
        <f>H11*I11</f>
        <v>138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6</v>
      </c>
      <c r="I12" s="55">
        <v>80</v>
      </c>
      <c r="J12" s="55">
        <f t="shared" ref="J12:J27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195</v>
      </c>
      <c r="E14" s="27" t="s">
        <v>192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189</v>
      </c>
      <c r="E15" s="27" t="s">
        <v>194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189</v>
      </c>
      <c r="E16" s="27" t="s">
        <v>197</v>
      </c>
      <c r="F16" s="55">
        <v>0</v>
      </c>
      <c r="G16" s="55">
        <v>0</v>
      </c>
      <c r="H16" s="55">
        <v>1</v>
      </c>
      <c r="I16" s="55">
        <v>40</v>
      </c>
      <c r="J16" s="55">
        <f t="shared" si="0"/>
        <v>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189</v>
      </c>
      <c r="E17" s="27" t="s">
        <v>190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200</v>
      </c>
      <c r="D18" s="27" t="s">
        <v>189</v>
      </c>
      <c r="E18" s="27" t="s">
        <v>201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205</v>
      </c>
      <c r="D19" s="27" t="s">
        <v>206</v>
      </c>
      <c r="E19" s="27" t="s">
        <v>184</v>
      </c>
      <c r="F19" s="55">
        <v>0</v>
      </c>
      <c r="G19" s="55">
        <v>0</v>
      </c>
      <c r="H19" s="55">
        <v>30</v>
      </c>
      <c r="I19" s="55">
        <v>8</v>
      </c>
      <c r="J19" s="55">
        <f t="shared" ref="J19:J26" si="1">H19*I19</f>
        <v>240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207</v>
      </c>
      <c r="D20" s="27" t="s">
        <v>206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208</v>
      </c>
      <c r="D21" s="27" t="s">
        <v>209</v>
      </c>
      <c r="E21" s="27" t="s">
        <v>201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237</v>
      </c>
      <c r="D22" s="27" t="s">
        <v>186</v>
      </c>
      <c r="E22" s="27" t="s">
        <v>198</v>
      </c>
      <c r="F22" s="55">
        <v>0</v>
      </c>
      <c r="G22" s="55">
        <v>0</v>
      </c>
      <c r="H22" s="55">
        <v>1</v>
      </c>
      <c r="I22" s="55">
        <v>80</v>
      </c>
      <c r="J22" s="55">
        <f t="shared" ref="J22:J27" si="2">H22*I22</f>
        <v>80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203</v>
      </c>
      <c r="D23" s="27" t="s">
        <v>189</v>
      </c>
      <c r="E23" s="27" t="s">
        <v>204</v>
      </c>
      <c r="F23" s="55">
        <v>0</v>
      </c>
      <c r="G23" s="55">
        <v>0</v>
      </c>
      <c r="H23" s="55">
        <v>1</v>
      </c>
      <c r="I23" s="55">
        <v>75</v>
      </c>
      <c r="J23" s="55">
        <f t="shared" si="2"/>
        <v>75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241</v>
      </c>
      <c r="D24" s="27" t="s">
        <v>186</v>
      </c>
      <c r="E24" s="27" t="s">
        <v>198</v>
      </c>
      <c r="F24" s="55">
        <v>0</v>
      </c>
      <c r="G24" s="55">
        <v>0</v>
      </c>
      <c r="H24" s="55">
        <v>1</v>
      </c>
      <c r="I24" s="55">
        <v>105</v>
      </c>
      <c r="J24" s="55">
        <f t="shared" si="2"/>
        <v>105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202</v>
      </c>
      <c r="D25" s="27" t="s">
        <v>189</v>
      </c>
      <c r="E25" s="27" t="s">
        <v>192</v>
      </c>
      <c r="F25" s="55">
        <v>0</v>
      </c>
      <c r="G25" s="55">
        <v>0</v>
      </c>
      <c r="H25" s="55">
        <v>1</v>
      </c>
      <c r="I25" s="55">
        <v>135</v>
      </c>
      <c r="J25" s="55">
        <f t="shared" si="2"/>
        <v>135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238</v>
      </c>
      <c r="D26" s="27" t="s">
        <v>239</v>
      </c>
      <c r="E26" s="27" t="s">
        <v>240</v>
      </c>
      <c r="F26" s="55">
        <v>0</v>
      </c>
      <c r="G26" s="55">
        <v>0</v>
      </c>
      <c r="H26" s="55">
        <v>1</v>
      </c>
      <c r="I26" s="55">
        <v>40</v>
      </c>
      <c r="J26" s="55">
        <f t="shared" si="2"/>
        <v>40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2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2389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37" workbookViewId="0">
      <selection activeCell="G59" sqref="G5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220</v>
      </c>
      <c r="D16" s="70" t="s">
        <v>211</v>
      </c>
      <c r="E16" s="55">
        <v>30</v>
      </c>
      <c r="F16" s="55">
        <v>3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214</v>
      </c>
      <c r="D17" s="70" t="s">
        <v>211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236</v>
      </c>
      <c r="D18" s="70" t="s">
        <v>211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210</v>
      </c>
      <c r="D28" s="70" t="s">
        <v>211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212</v>
      </c>
      <c r="D29" s="70" t="s">
        <v>211</v>
      </c>
      <c r="E29" s="55">
        <v>2</v>
      </c>
      <c r="F29" s="55">
        <v>61</v>
      </c>
      <c r="G29" s="55">
        <f t="shared" ref="G29:G56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213</v>
      </c>
      <c r="D30" s="70" t="s">
        <v>211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214</v>
      </c>
      <c r="D31" s="70" t="s">
        <v>211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215</v>
      </c>
      <c r="D32" s="70" t="s">
        <v>211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216</v>
      </c>
      <c r="D33" s="70" t="s">
        <v>211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217</v>
      </c>
      <c r="D34" s="70" t="s">
        <v>211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218</v>
      </c>
      <c r="D35" s="70" t="s">
        <v>211</v>
      </c>
      <c r="E35" s="55">
        <v>4</v>
      </c>
      <c r="F35" s="55">
        <v>45</v>
      </c>
      <c r="G35" s="55">
        <f t="shared" si="1"/>
        <v>180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219</v>
      </c>
      <c r="D36" s="70" t="s">
        <v>211</v>
      </c>
      <c r="E36" s="55">
        <v>2</v>
      </c>
      <c r="F36" s="55">
        <v>6</v>
      </c>
      <c r="G36" s="55">
        <f t="shared" si="1"/>
        <v>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220</v>
      </c>
      <c r="D37" s="70" t="s">
        <v>211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221</v>
      </c>
      <c r="D38" s="70" t="s">
        <v>211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222</v>
      </c>
      <c r="D39" s="70" t="s">
        <v>211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223</v>
      </c>
      <c r="D40" s="70" t="s">
        <v>211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224</v>
      </c>
      <c r="D41" s="70" t="s">
        <v>211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225</v>
      </c>
      <c r="D42" s="70" t="s">
        <v>211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226</v>
      </c>
      <c r="D43" s="70" t="s">
        <v>211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227</v>
      </c>
      <c r="D44" s="70" t="s">
        <v>211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228</v>
      </c>
      <c r="D45" s="70" t="s">
        <v>211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229</v>
      </c>
      <c r="D46" s="70" t="s">
        <v>211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230</v>
      </c>
      <c r="D47" s="70" t="s">
        <v>211</v>
      </c>
      <c r="E47" s="55">
        <v>20</v>
      </c>
      <c r="F47" s="55">
        <v>4</v>
      </c>
      <c r="G47" s="55">
        <f t="shared" si="1"/>
        <v>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231</v>
      </c>
      <c r="D48" s="70" t="s">
        <v>211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232</v>
      </c>
      <c r="D49" s="70" t="s">
        <v>211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233</v>
      </c>
      <c r="D50" s="70" t="s">
        <v>211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234</v>
      </c>
      <c r="D51" s="70" t="s">
        <v>211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235</v>
      </c>
      <c r="D52" s="70" t="s">
        <v>211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242</v>
      </c>
      <c r="D53" s="70" t="s">
        <v>211</v>
      </c>
      <c r="E53" s="55">
        <v>1</v>
      </c>
      <c r="F53" s="55">
        <v>110</v>
      </c>
      <c r="G53" s="55">
        <f t="shared" si="1"/>
        <v>110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135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2018-06-05T04:41:23Z</dcterms:modified>
</cp:coreProperties>
</file>