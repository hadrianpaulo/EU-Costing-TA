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G60" i="9" l="1"/>
  <c r="G59" i="9"/>
  <c r="G58" i="9"/>
  <c r="G57" i="9"/>
  <c r="G17" i="9"/>
  <c r="J22" i="2"/>
  <c r="J21" i="2" l="1"/>
  <c r="J20" i="2"/>
  <c r="J19" i="2"/>
  <c r="G56" i="9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<sst xmlns="http://schemas.openxmlformats.org/spreadsheetml/2006/main" count="569" uniqueCount="242">
  <si>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</si>
  <si>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</si>
  <si>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</si>
  <si>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</si>
  <si>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</si>
  <si>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</si>
  <si>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</si>
  <si>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</si>
  <si>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</si>
  <si>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</si>
  <si>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</si>
  <si>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</si>
  <si>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</si>
  <si>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</si>
  <si>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</si>
  <si>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</si>
  <si>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</si>
  <si>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</si>
  <si>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</si>
  <si>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</si>
  <si>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</si>
  <si>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</si>
  <si>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</si>
  <si>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</si>
  <si>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</si>
  <si>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</si>
  <si>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</si>
  <si>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</si>
  <si>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</si>
  <si>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</si>
  <si>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</si>
  <si>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</si>
  <si>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</si>
  <si>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</si>
  <si>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</si>
  <si>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</si>
  <si>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</si>
  <si>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</si>
  <si>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</si>
  <si>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</si>
  <si>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</si>
  <si>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</si>
  <si>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</si>
  <si>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</si>
  <si>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</si>
  <si>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</si>
  <si>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</si>
  <si>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</si>
  <si>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</si>
  <si>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</si>
  <si>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</si>
  <si>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</si>
  <si>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</si>
  <si>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</si>
  <si>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</si>
  <si>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</si>
  <si>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</si>
  <si>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</si>
  <si>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</si>
  <si>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</si>
  <si>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</si>
  <si>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</si>
  <si>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</si>
  <si>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</si>
  <si>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</si>
  <si>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</si>
  <si>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</si>
  <si>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</si>
  <si>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</si>
  <si>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</si>
  <si>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</si>
  <si>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</si>
  <si>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</si>
  <si>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</si>
  <si>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</si>
  <si>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</si>
  <si>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</si>
  <si>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</si>
  <si>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</si>
  <si>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</si>
  <si>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</si>
  <si>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</si>
  <si>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</si>
  <si>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</si>
  <si>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</si>
  <si>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</si>
  <si>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</si>
  <si>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</si>
  <si>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</si>
  <si>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</si>
  <si>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</si>
  <si>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</si>
  <si>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</si>
  <si>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</si>
  <si>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</si>
  <si>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</si>
  <si>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</si>
  <si>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</si>
  <si>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</si>
  <si>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</si>
  <si>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</si>
  <si>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</si>
  <si>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</si>
  <si>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</si>
  <si>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</si>
  <si>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</si>
  <si>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</si>
  <si>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</si>
  <si>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</si>
  <si>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</si>
  <si>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</si>
  <si>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</si>
  <si>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</si>
  <si>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</si>
  <si>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</si>
  <si>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</si>
  <si>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</si>
  <si>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</si>
  <si>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</si>
  <si>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</si>
  <si>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</si>
  <si>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</si>
  <si>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</si>
  <si>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</si>
  <si>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</si>
  <si>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</si>
  <si>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</si>
  <si>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</si>
  <si>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</si>
  <si>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</si>
  <si>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</si>
  <si>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</si>
  <si>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</si>
  <si>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</si>
  <si>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</si>
  <si>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</si>
  <si>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</si>
  <si>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</si>
  <si>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</si>
  <si>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</si>
  <si>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</si>
  <si>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</si>
  <si>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</si>
  <si>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</si>
  <si>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</si>
  <si>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</si>
  <si>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</si>
  <si>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</si>
  <si>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</si>
  <si>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</si>
  <si>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</si>
  <si>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</si>
  <si>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</si>
  <si>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</si>
  <si>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</si>
  <si>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</si>
  <si>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</si>
  <si>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</si>
  <si>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</si>
  <si>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</si>
  <si>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</si>
  <si>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</si>
  <si>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</si>
  <si>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</si>
  <si>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</si>
  <si>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</si>
  <si>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</si>
  <si>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</si>
  <si>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</si>
  <si>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</si>
  <si>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</si>
  <si>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</si>
  <si>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</si>
  <si>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</si>
  <si>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</si>
  <si>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</si>
  <si>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</si>
  <si>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</si>
  <si>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</si>
  <si>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</si>
  <si>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</si>
  <si>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</si>
  <si>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</si>
  <si>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</si>
  <si>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</si>
  <si>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</si>
  <si>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</si>
  <si>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</si>
  <si>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</si>
  <si>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</si>
  <si>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</si>
  <si>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</si>
  <si>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</si>
  <si>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</si>
  <si>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</si>
  <si>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</si>
  <si>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</si>
  <si>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</si>
  <si>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</si>
  <si>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</si>
  <si>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</si>
  <si>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DIAZEPAM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</si>
  <si>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</si>
  <si>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</si>
  <si>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</si>
  <si>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</si>
  <si>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</si>
  <si>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</si>
  <si>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</si>
  <si>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</si>
  <si>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</si>
  <si>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</si>
  <si>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</si>
  <si>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</si>
  <si>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</si>
  <si>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</si>
  <si>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</si>
  <si>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</si>
  <si>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</si>
  <si>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</si>
  <si>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</si>
  <si>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</si>
  <si>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</si>
  <si>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</si>
  <si>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</si>
  <si>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</si>
  <si>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</si>
  <si>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</si>
  <si>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</si>
  <si>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</si>
  <si>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</si>
  <si>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</si>
  <si>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</si>
  <si>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BALNCED MULTIPLE MAINTENANCE SOLUTION</t>
  </si>
  <si>
    <t>ID BRACELET</t>
  </si>
  <si>
    <t>CYDEX</t>
  </si>
  <si>
    <t>BETADINE 10%</t>
  </si>
  <si>
    <t>SILK CUTTING 2-0</t>
  </si>
  <si>
    <t>CORD CLAMP</t>
  </si>
  <si>
    <t>INSULIN SYRINGE</t>
  </si>
  <si>
    <t>10 CC SYRINE</t>
  </si>
  <si>
    <t>IV CATHETER G-22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</si>
</sst>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1731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3421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17032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workbookViewId="0">
      <selection activeCell="H26" sqref="H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4</v>
      </c>
      <c r="I11" s="55">
        <v>23</v>
      </c>
      <c r="J11" s="55">
        <f>H11*I11</f>
        <v>92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2</v>
      </c>
      <c r="I12" s="55">
        <v>80</v>
      </c>
      <c r="J12" s="55">
        <f t="shared" ref="J12:J18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233</v>
      </c>
      <c r="D13" s="27" t="s">
        <v>186</v>
      </c>
      <c r="E13" s="27" t="s">
        <v>197</v>
      </c>
      <c r="F13" s="55">
        <v>0</v>
      </c>
      <c r="G13" s="55">
        <v>0</v>
      </c>
      <c r="H13" s="55">
        <v>1</v>
      </c>
      <c r="I13" s="55">
        <v>105</v>
      </c>
      <c r="J13" s="55">
        <f t="shared" si="0"/>
        <v>105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194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188</v>
      </c>
      <c r="E15" s="27" t="s">
        <v>193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196</v>
      </c>
      <c r="F16" s="55">
        <v>0</v>
      </c>
      <c r="G16" s="55">
        <v>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199</v>
      </c>
      <c r="D18" s="27" t="s">
        <v>188</v>
      </c>
      <c r="E18" s="27" t="s">
        <v>200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203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2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204</v>
      </c>
      <c r="D20" s="27" t="s">
        <v>203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205</v>
      </c>
      <c r="D21" s="27" t="s">
        <v>206</v>
      </c>
      <c r="E21" s="27" t="s">
        <v>200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201</v>
      </c>
      <c r="D22" s="27" t="s">
        <v>188</v>
      </c>
      <c r="E22" s="27" t="s">
        <v>191</v>
      </c>
      <c r="F22" s="55">
        <v>0</v>
      </c>
      <c r="G22" s="55">
        <v>0</v>
      </c>
      <c r="H22" s="55">
        <v>1</v>
      </c>
      <c r="I22" s="55">
        <v>135</v>
      </c>
      <c r="J22" s="55">
        <f t="shared" si="1"/>
        <v>135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SUM(J11:J26)</f>
        <v>1731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13" workbookViewId="0">
      <selection activeCell="C53" sqref="C5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217</v>
      </c>
      <c r="D16" s="70" t="s">
        <v>208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232</v>
      </c>
      <c r="D17" s="70" t="s">
        <v>208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207</v>
      </c>
      <c r="D28" s="70" t="s">
        <v>208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209</v>
      </c>
      <c r="D29" s="70" t="s">
        <v>208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210</v>
      </c>
      <c r="D30" s="70" t="s">
        <v>208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211</v>
      </c>
      <c r="D31" s="70" t="s">
        <v>208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212</v>
      </c>
      <c r="D32" s="70" t="s">
        <v>208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213</v>
      </c>
      <c r="D33" s="70" t="s">
        <v>208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214</v>
      </c>
      <c r="D34" s="70" t="s">
        <v>208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215</v>
      </c>
      <c r="D35" s="70" t="s">
        <v>208</v>
      </c>
      <c r="E35" s="55">
        <v>4</v>
      </c>
      <c r="F35" s="55">
        <v>45</v>
      </c>
      <c r="G35" s="55">
        <f t="shared" si="1"/>
        <v>180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216</v>
      </c>
      <c r="D36" s="70" t="s">
        <v>208</v>
      </c>
      <c r="E36" s="55">
        <v>8</v>
      </c>
      <c r="F36" s="55">
        <v>6</v>
      </c>
      <c r="G36" s="55">
        <f t="shared" si="1"/>
        <v>48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217</v>
      </c>
      <c r="D37" s="70" t="s">
        <v>208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218</v>
      </c>
      <c r="D38" s="70" t="s">
        <v>208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219</v>
      </c>
      <c r="D39" s="70" t="s">
        <v>208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220</v>
      </c>
      <c r="D40" s="70" t="s">
        <v>208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221</v>
      </c>
      <c r="D41" s="70" t="s">
        <v>208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222</v>
      </c>
      <c r="D42" s="70" t="s">
        <v>208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223</v>
      </c>
      <c r="D43" s="70" t="s">
        <v>208</v>
      </c>
      <c r="E43" s="55">
        <v>8</v>
      </c>
      <c r="F43" s="55">
        <v>7</v>
      </c>
      <c r="G43" s="55">
        <f t="shared" si="1"/>
        <v>56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224</v>
      </c>
      <c r="D44" s="70" t="s">
        <v>208</v>
      </c>
      <c r="E44" s="55">
        <v>6</v>
      </c>
      <c r="F44" s="55">
        <v>6</v>
      </c>
      <c r="G44" s="55">
        <f t="shared" si="1"/>
        <v>36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225</v>
      </c>
      <c r="D45" s="70" t="s">
        <v>208</v>
      </c>
      <c r="E45" s="55">
        <v>6</v>
      </c>
      <c r="F45" s="55">
        <v>7</v>
      </c>
      <c r="G45" s="55">
        <f t="shared" si="1"/>
        <v>42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226</v>
      </c>
      <c r="D46" s="70" t="s">
        <v>208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227</v>
      </c>
      <c r="D47" s="70" t="s">
        <v>208</v>
      </c>
      <c r="E47" s="55">
        <v>30</v>
      </c>
      <c r="F47" s="55">
        <v>4</v>
      </c>
      <c r="G47" s="55">
        <f t="shared" si="1"/>
        <v>120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228</v>
      </c>
      <c r="D48" s="70" t="s">
        <v>208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/>
      <c r="D49" s="70"/>
      <c r="E49" s="55"/>
      <c r="F49" s="55"/>
      <c r="G49" s="55">
        <f t="shared" si="1"/>
        <v>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229</v>
      </c>
      <c r="D50" s="70" t="s">
        <v>208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230</v>
      </c>
      <c r="D51" s="70" t="s">
        <v>208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231</v>
      </c>
      <c r="D52" s="70" t="s">
        <v>208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234</v>
      </c>
      <c r="D53" s="70" t="s">
        <v>208</v>
      </c>
      <c r="E53" s="55">
        <v>2</v>
      </c>
      <c r="F53" s="55">
        <v>7</v>
      </c>
      <c r="G53" s="55">
        <f t="shared" si="1"/>
        <v>14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235</v>
      </c>
      <c r="D54" s="70"/>
      <c r="E54" s="55">
        <v>1</v>
      </c>
      <c r="F54" s="55">
        <v>30</v>
      </c>
      <c r="G54" s="55">
        <f t="shared" si="1"/>
        <v>30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236</v>
      </c>
      <c r="D55" s="70"/>
      <c r="E55" s="55">
        <v>1</v>
      </c>
      <c r="F55" s="55">
        <v>50</v>
      </c>
      <c r="G55" s="55">
        <f t="shared" si="1"/>
        <v>50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237</v>
      </c>
      <c r="D56" s="70" t="s">
        <v>208</v>
      </c>
      <c r="E56" s="55">
        <v>1</v>
      </c>
      <c r="F56" s="55">
        <v>190</v>
      </c>
      <c r="G56" s="55">
        <f t="shared" si="1"/>
        <v>190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238</v>
      </c>
      <c r="D57" s="70" t="s">
        <v>208</v>
      </c>
      <c r="E57" s="55">
        <v>1</v>
      </c>
      <c r="F57" s="55">
        <v>6</v>
      </c>
      <c r="G57" s="55">
        <f t="shared" si="1"/>
        <v>6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 t="s">
        <v>239</v>
      </c>
      <c r="D58" s="70" t="s">
        <v>208</v>
      </c>
      <c r="E58" s="55">
        <v>2</v>
      </c>
      <c r="F58" s="55">
        <v>17</v>
      </c>
      <c r="G58" s="55">
        <f t="shared" si="1"/>
        <v>34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 t="s">
        <v>240</v>
      </c>
      <c r="D59" s="70" t="s">
        <v>208</v>
      </c>
      <c r="E59" s="55">
        <v>4</v>
      </c>
      <c r="F59" s="55">
        <v>8</v>
      </c>
      <c r="G59" s="55">
        <f t="shared" si="1"/>
        <v>32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 t="s">
        <v>241</v>
      </c>
      <c r="D60" s="70" t="s">
        <v>208</v>
      </c>
      <c r="E60" s="55">
        <v>2</v>
      </c>
      <c r="F60" s="55">
        <v>61</v>
      </c>
      <c r="G60" s="55">
        <f t="shared" si="1"/>
        <v>122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3275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2018-06-11T03:37:44Z</dcterms:modified>
</cp:coreProperties>
</file>