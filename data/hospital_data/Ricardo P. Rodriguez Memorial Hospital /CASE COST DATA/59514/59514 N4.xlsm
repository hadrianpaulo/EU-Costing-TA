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7" i="9" l="1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58" i="9" l="1"/>
  <c r="G59" i="9" l="1"/>
  <c r="G60" i="9"/>
  <c r="G61" i="9"/>
  <c r="G62" i="9"/>
  <c r="G63" i="9"/>
  <c r="J27" i="2"/>
  <c r="J26" i="2"/>
  <c r="J25" i="2"/>
  <c r="J24" i="2"/>
  <c r="G41" i="9" l="1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64" i="9" l="1"/>
  <c r="G16" i="9"/>
  <c r="G17" i="9"/>
  <c r="G18" i="9"/>
  <c r="G19" i="9"/>
  <c r="G20" i="9"/>
  <c r="G21" i="9"/>
  <c r="G22" i="9"/>
  <c r="G23" i="9"/>
  <c r="G24" i="9"/>
  <c r="G25" i="9"/>
  <c r="J23" i="2"/>
  <c r="J12" i="2"/>
  <c r="J13" i="2"/>
  <c r="J14" i="2"/>
  <c r="J15" i="2"/>
  <c r="J16" i="2"/>
  <c r="J17" i="2"/>
  <c r="J18" i="2"/>
  <c r="J19" i="2"/>
  <c r="J20" i="2"/>
  <c r="J21" i="2"/>
  <c r="J2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<sst xmlns="http://schemas.openxmlformats.org/spreadsheetml/2006/main" count="573" uniqueCount="246">
  <si>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</si>
  <si>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</si>
  <si>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</si>
  <si>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</si>
  <si>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</si>
  <si>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</si>
  <si>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</si>
  <si>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</si>
  <si>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</si>
  <si>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clerk/Ward Nurse</t>
    </r>
  </si>
  <si>
    <r>
      <rPr>
        <b/>
        <sz val="11"/>
        <color rgb="FF000000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>Patient charts/Claims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</si>
  <si>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</si>
  <si>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</si>
  <si>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</si>
  <si>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</si>
  <si>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</si>
  <si>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</si>
  <si>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</si>
  <si>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</si>
  <si>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</si>
  <si>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</si>
  <si>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</si>
  <si>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</si>
  <si>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</si>
  <si>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charset val="134"/>
      </rPr>
      <t xml:space="preserve">Ward / Department </t>
    </r>
    <r>
      <rPr>
        <b/>
        <sz val="11"/>
        <color rgb="FFFF0000"/>
        <rFont val="Arial Narrow"/>
        <charset val="134"/>
      </rPr>
      <t>(always update)</t>
    </r>
    <r>
      <rPr>
        <b/>
        <sz val="11"/>
        <color rgb="FF000000"/>
        <rFont val="Arial Narrow"/>
        <charset val="134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</si>
  <si>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</si>
  <si>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</si>
  <si>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</si>
  <si>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</si>
  <si>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</si>
  <si>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</si>
  <si>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</si>
  <si>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</si>
  <si>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</si>
  <si>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</si>
  <si>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</si>
  <si>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</si>
  <si>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</si>
  <si>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</si>
  <si>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</si>
  <si>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</si>
  <si>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</si>
  <si>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</si>
  <si>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</si>
  <si>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</si>
  <si>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 and Pharmacist</t>
    </r>
  </si>
  <si>
    <r>
      <rPr>
        <b/>
        <sz val="11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 xml:space="preserve"> Itemized/Breakdown of the Statement of Accounts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</si>
  <si>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</si>
  <si>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</si>
  <si>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</si>
  <si>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</si>
  <si>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</si>
  <si>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</si>
  <si>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</si>
  <si>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</si>
  <si>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</si>
  <si>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</si>
  <si>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</si>
  <si>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</si>
  <si>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</si>
  <si>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</si>
  <si>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</si>
  <si>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</t>
    </r>
  </si>
  <si>
    <r>
      <rPr>
        <b/>
        <sz val="11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Itemized/Breakdown of the Statement of accounts and billing charges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</si>
  <si>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</si>
  <si>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</si>
  <si>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</si>
  <si>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</si>
  <si>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</si>
  <si>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</si>
  <si>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</si>
  <si>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</si>
  <si>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</si>
  <si>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</si>
  <si>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</si>
  <si>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sz val="11"/>
        <rFont val="Arial Narrow"/>
        <charset val="134"/>
      </rPr>
      <t xml:space="preserve">minutes / hours spent </t>
    </r>
    <r>
      <rPr>
        <sz val="11"/>
        <color rgb="FF000000"/>
        <rFont val="Arial Narrow"/>
        <charset val="134"/>
      </rPr>
      <t>by medical personnel (doctors and specialists as well as all nurses and others)</t>
    </r>
    <r>
      <rPr>
        <b/>
        <sz val="11"/>
        <rFont val="Arial Narrow"/>
        <charset val="134"/>
      </rPr>
      <t xml:space="preserve"> </t>
    </r>
    <r>
      <rPr>
        <sz val="11"/>
        <color rgb="FF000000"/>
        <rFont val="Arial Narrow"/>
        <charset val="134"/>
      </rPr>
      <t>for care and treatment of specified patient case</t>
    </r>
  </si>
  <si>
    <r>
      <rPr>
        <b/>
        <sz val="11"/>
        <color rgb="FF000000"/>
        <rFont val="Arial Narrow"/>
        <charset val="134"/>
      </rPr>
      <t xml:space="preserve">Department / Unit / Ward: </t>
    </r>
    <r>
      <rPr>
        <sz val="11"/>
        <color rgb="FF000000"/>
        <rFont val="Arial Narrow"/>
        <charset val="134"/>
      </rPr>
      <t>Medical ward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</si>
  <si>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Ward Nurse</t>
    </r>
  </si>
  <si>
    <r>
      <rPr>
        <b/>
        <sz val="11"/>
        <color rgb="FF000000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Patient charts 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</si>
  <si>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</si>
  <si>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</si>
  <si>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</si>
  <si>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</si>
  <si>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</si>
  <si>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</si>
  <si>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</si>
  <si>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</si>
  <si>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</si>
  <si>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</si>
  <si>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</si>
  <si>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</si>
  <si>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</si>
  <si>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</si>
  <si>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</si>
  <si>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</si>
  <si>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</si>
  <si>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</si>
  <si>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</si>
  <si>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</si>
  <si>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</si>
  <si>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</si>
  <si>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</si>
  <si>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</si>
  <si>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</si>
  <si>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</si>
  <si>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</si>
  <si>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</si>
  <si>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</si>
  <si>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</si>
  <si>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</si>
  <si>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</si>
  <si>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</si>
  <si>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</si>
  <si>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</si>
  <si>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</si>
  <si>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</si>
  <si>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</si>
  <si>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</si>
  <si>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</si>
  <si>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</si>
  <si>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</si>
  <si>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</si>
  <si>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</si>
  <si>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</si>
  <si>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</si>
  <si>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</si>
  <si>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</si>
  <si>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</si>
  <si>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</si>
  <si>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</si>
  <si>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</si>
  <si>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</si>
  <si>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</si>
  <si>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</si>
  <si>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</si>
  <si>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</si>
  <si>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</si>
  <si>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</si>
  <si>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</si>
  <si>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</si>
  <si>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</si>
  <si>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</si>
  <si>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</si>
  <si>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</si>
  <si>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</si>
  <si>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</si>
  <si>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</si>
  <si>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</si>
  <si>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</si>
  <si>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</si>
  <si>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</si>
  <si>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</si>
  <si>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</si>
  <si>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</si>
  <si>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</si>
  <si>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</si>
  <si>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</si>
  <si>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</si>
  <si>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</si>
  <si>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</si>
  <si>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</si>
  <si>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</si>
  <si>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</si>
  <si>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</si>
  <si>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</si>
  <si>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</si>
  <si>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</si>
  <si>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MEDICAL SUPPLIES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</si>
  <si>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</si>
  <si>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</si>
  <si>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</si>
  <si>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</si>
  <si>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</si>
  <si>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</si>
  <si>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</si>
  <si>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</si>
  <si>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</si>
  <si>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</si>
  <si>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</si>
  <si>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</si>
  <si>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</si>
  <si>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</si>
  <si>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</si>
  <si>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</si>
  <si>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</si>
  <si>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</si>
  <si>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</si>
  <si>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</si>
  <si>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</si>
  <si>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</si>
  <si>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</si>
  <si>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</si>
  <si>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</si>
  <si>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</si>
  <si>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</si>
  <si>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</si>
  <si>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DICLOFENAC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</si>
  <si>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</si>
  <si>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</si>
  <si>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</si>
  <si>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</si>
  <si>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</si>
  <si>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</si>
  <si>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</si>
  <si>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</si>
  <si>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</si>
  <si>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</si>
  <si>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SET ADULT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</si>
  <si>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</si>
  <si>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</si>
  <si>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</si>
  <si>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</si>
  <si>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</si>
  <si>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</si>
  <si>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</si>
  <si>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</si>
  <si>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</si>
  <si>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</si>
  <si>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</si>
  <si>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CHROMIC - I</t>
  </si>
  <si>
    <t>CHROMIC  2.0 DOUBLE ARM CUTTING</t>
  </si>
  <si>
    <t>VICRYL I</t>
  </si>
  <si>
    <t>POVIDONE IODINE</t>
  </si>
  <si>
    <t>60ML</t>
  </si>
  <si>
    <t>100/5ML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</si>
  <si>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</si>
  <si>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</si>
  <si>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</si>
  <si>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</si>
  <si>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</si>
  <si>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</si>
  <si>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CYDEX</t>
  </si>
  <si>
    <t>BETADINE 10 %</t>
  </si>
  <si>
    <t>CORD CLAMP</t>
  </si>
  <si>
    <t>ID BRACELET</t>
  </si>
  <si>
    <t>INSULIN SYRINGE</t>
  </si>
  <si>
    <t>BMMS</t>
  </si>
  <si>
    <t>METHYLERGOMETRINE</t>
  </si>
  <si>
    <t>AMPULE.IV</t>
  </si>
  <si>
    <t>200MCG/ML</t>
  </si>
  <si>
    <t>STERLE GLOVES 7.5</t>
  </si>
  <si>
    <t>SILK 3-0</t>
  </si>
  <si>
    <t>DISPOSABLE RAZOR BLADE</t>
  </si>
  <si>
    <t>SODIUM CHLORIDE</t>
  </si>
  <si>
    <t>1000L</t>
  </si>
  <si>
    <t>BOTTLE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</si>
</sst>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rgb="FFFA7D00"/>
      <name val="Calibri"/>
      <charset val="134"/>
      <scheme val="minor"/>
    </font>
    <font>
      <sz val="11"/>
      <color rgb="FF000000"/>
      <name val="Arial Narrow"/>
      <charset val="134"/>
    </font>
    <font>
      <sz val="11"/>
      <name val="Arial Narrow"/>
      <charset val="134"/>
    </font>
    <font>
      <sz val="11"/>
      <name val="Calibri"/>
      <charset val="134"/>
    </font>
    <font>
      <b/>
      <sz val="11"/>
      <color rgb="FF000000"/>
      <name val="Arial Narrow"/>
      <charset val="134"/>
    </font>
    <font>
      <b/>
      <sz val="11"/>
      <name val="Arial Narrow"/>
      <charset val="134"/>
    </font>
    <font>
      <sz val="11"/>
      <color rgb="FF0070C0"/>
      <name val="Arial Narrow"/>
      <charset val="134"/>
    </font>
    <font>
      <b/>
      <sz val="11"/>
      <color rgb="FF0070C0"/>
      <name val="Arial Narrow"/>
      <charset val="134"/>
    </font>
    <font>
      <b/>
      <sz val="12"/>
      <color rgb="FF000000"/>
      <name val="Arial Narrow"/>
      <charset val="134"/>
    </font>
    <font>
      <i/>
      <sz val="11"/>
      <color rgb="FF000000"/>
      <name val="Arial Narrow"/>
      <charset val="134"/>
    </font>
    <font>
      <sz val="10"/>
      <color rgb="FF000000"/>
      <name val="Arial Narrow"/>
      <charset val="134"/>
    </font>
    <font>
      <b/>
      <sz val="10"/>
      <color rgb="FF000000"/>
      <name val="Arial Narrow"/>
      <charset val="134"/>
    </font>
    <font>
      <b/>
      <sz val="12"/>
      <name val="Arial Narrow"/>
      <charset val="134"/>
    </font>
    <font>
      <sz val="11"/>
      <color rgb="FF4A86E8"/>
      <name val="Arial Narrow"/>
      <charset val="134"/>
    </font>
    <font>
      <b/>
      <u/>
      <sz val="11"/>
      <color rgb="FF000000"/>
      <name val="Arial Narrow"/>
      <charset val="134"/>
    </font>
    <font>
      <b/>
      <sz val="11"/>
      <color rgb="FFFF0000"/>
      <name val="Arial Narrow"/>
      <charset val="134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6" workbookViewId="0">
      <selection activeCell="D70" sqref="D70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178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179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180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181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182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183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3200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228</v>
      </c>
      <c r="D61" s="41">
        <v>1767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229</v>
      </c>
      <c r="D62" s="41">
        <v>3185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179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180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181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182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20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176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183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177</v>
      </c>
      <c r="D71" s="41">
        <v>60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227</v>
      </c>
      <c r="D72" s="41">
        <v>100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167</v>
      </c>
      <c r="D73" s="41">
        <v>80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16912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24" sqref="J24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184</v>
      </c>
      <c r="D11" s="116" t="s">
        <v>185</v>
      </c>
      <c r="E11" s="116" t="s">
        <v>186</v>
      </c>
      <c r="F11" s="41">
        <v>0</v>
      </c>
      <c r="G11" s="41">
        <v>0</v>
      </c>
      <c r="H11" s="41">
        <v>2</v>
      </c>
      <c r="I11" s="41">
        <v>80</v>
      </c>
      <c r="J11" s="41">
        <f>H11*I11</f>
        <v>160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174</v>
      </c>
      <c r="D12" s="116" t="s">
        <v>187</v>
      </c>
      <c r="E12" s="116" t="s">
        <v>168</v>
      </c>
      <c r="F12" s="41">
        <v>0</v>
      </c>
      <c r="G12" s="41">
        <v>0</v>
      </c>
      <c r="H12" s="41">
        <v>1</v>
      </c>
      <c r="I12" s="41">
        <v>23</v>
      </c>
      <c r="J12" s="41">
        <f t="shared" ref="J12:J14" si="0">H12*I12</f>
        <v>23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188</v>
      </c>
      <c r="D13" s="116" t="s">
        <v>189</v>
      </c>
      <c r="E13" s="116" t="s">
        <v>190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191</v>
      </c>
      <c r="D14" s="116" t="s">
        <v>175</v>
      </c>
      <c r="E14" s="116" t="s">
        <v>192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194</v>
      </c>
      <c r="D15" s="116" t="s">
        <v>193</v>
      </c>
      <c r="E15" s="116" t="s">
        <v>195</v>
      </c>
      <c r="F15" s="41">
        <v>0</v>
      </c>
      <c r="G15" s="41">
        <v>0</v>
      </c>
      <c r="H15" s="41">
        <v>1</v>
      </c>
      <c r="I15" s="41">
        <v>40</v>
      </c>
      <c r="J15" s="41">
        <f t="shared" ref="J15:J27" si="1">H15*I15</f>
        <v>40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196</v>
      </c>
      <c r="D16" s="116" t="s">
        <v>189</v>
      </c>
      <c r="E16" s="116" t="s">
        <v>190</v>
      </c>
      <c r="F16" s="41">
        <v>0</v>
      </c>
      <c r="G16" s="41">
        <v>0</v>
      </c>
      <c r="H16" s="41">
        <v>2</v>
      </c>
      <c r="I16" s="41">
        <v>30</v>
      </c>
      <c r="J16" s="41">
        <f t="shared" si="1"/>
        <v>60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197</v>
      </c>
      <c r="D17" s="116" t="s">
        <v>189</v>
      </c>
      <c r="E17" s="116" t="s">
        <v>198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199</v>
      </c>
      <c r="D18" s="116" t="s">
        <v>189</v>
      </c>
      <c r="E18" s="116" t="s">
        <v>192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200</v>
      </c>
      <c r="D19" s="116" t="s">
        <v>201</v>
      </c>
      <c r="E19" s="116" t="s">
        <v>168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202</v>
      </c>
      <c r="D20" s="116" t="s">
        <v>201</v>
      </c>
      <c r="E20" s="116" t="s">
        <v>168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203</v>
      </c>
      <c r="D21" s="116" t="s">
        <v>204</v>
      </c>
      <c r="E21" s="116" t="s">
        <v>205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236</v>
      </c>
      <c r="D22" s="116" t="s">
        <v>185</v>
      </c>
      <c r="E22" s="116" t="s">
        <v>186</v>
      </c>
      <c r="F22" s="41">
        <v>0</v>
      </c>
      <c r="G22" s="41">
        <v>0</v>
      </c>
      <c r="H22" s="41">
        <v>1</v>
      </c>
      <c r="I22" s="41">
        <v>105</v>
      </c>
      <c r="J22" s="41">
        <f t="shared" si="1"/>
        <v>105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237</v>
      </c>
      <c r="D23" s="116" t="s">
        <v>238</v>
      </c>
      <c r="E23" s="116" t="s">
        <v>239</v>
      </c>
      <c r="F23" s="41">
        <v>0</v>
      </c>
      <c r="G23" s="41">
        <v>0</v>
      </c>
      <c r="H23" s="41">
        <v>1</v>
      </c>
      <c r="I23" s="41">
        <v>50</v>
      </c>
      <c r="J23" s="41">
        <f t="shared" si="1"/>
        <v>50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243</v>
      </c>
      <c r="D24" s="116" t="s">
        <v>185</v>
      </c>
      <c r="E24" s="116" t="s">
        <v>244</v>
      </c>
      <c r="F24" s="41">
        <v>0</v>
      </c>
      <c r="G24" s="41">
        <v>0</v>
      </c>
      <c r="H24" s="41">
        <v>1</v>
      </c>
      <c r="I24" s="41">
        <v>80</v>
      </c>
      <c r="J24" s="41">
        <f t="shared" si="1"/>
        <v>80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116"/>
      <c r="D25" s="116"/>
      <c r="E25" s="116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116"/>
      <c r="D26" s="116"/>
      <c r="E26" s="116"/>
      <c r="F26" s="41">
        <v>0</v>
      </c>
      <c r="G26" s="41">
        <v>0</v>
      </c>
      <c r="H26" s="41"/>
      <c r="I26" s="41"/>
      <c r="J26" s="41">
        <f t="shared" si="1"/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116"/>
      <c r="D27" s="116"/>
      <c r="E27" s="116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116"/>
      <c r="D28" s="116"/>
      <c r="E28" s="116"/>
      <c r="F28" s="41">
        <v>0</v>
      </c>
      <c r="G28" s="41">
        <v>0</v>
      </c>
      <c r="H28" s="41"/>
      <c r="I28" s="41"/>
      <c r="J28" s="41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1767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5" workbookViewId="0">
      <selection activeCell="F68" sqref="F68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206</v>
      </c>
      <c r="D27" s="118" t="s">
        <v>169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241</v>
      </c>
      <c r="D28" s="118" t="s">
        <v>169</v>
      </c>
      <c r="E28" s="41"/>
      <c r="F28" s="41"/>
      <c r="G28" s="41">
        <f t="shared" ref="G28:G63" si="1">E28*F28</f>
        <v>0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207</v>
      </c>
      <c r="D29" s="118" t="s">
        <v>169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242</v>
      </c>
      <c r="D30" s="118" t="s">
        <v>169</v>
      </c>
      <c r="E30" s="41">
        <v>1</v>
      </c>
      <c r="F30" s="41">
        <v>35</v>
      </c>
      <c r="G30" s="41">
        <f t="shared" si="1"/>
        <v>35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208</v>
      </c>
      <c r="D31" s="118" t="s">
        <v>169</v>
      </c>
      <c r="E31" s="41">
        <v>2</v>
      </c>
      <c r="F31" s="41">
        <v>65</v>
      </c>
      <c r="G31" s="41">
        <f t="shared" si="1"/>
        <v>130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209</v>
      </c>
      <c r="D32" s="118" t="s">
        <v>169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210</v>
      </c>
      <c r="D33" s="118" t="s">
        <v>169</v>
      </c>
      <c r="E33" s="41">
        <v>2</v>
      </c>
      <c r="F33" s="41">
        <v>6</v>
      </c>
      <c r="G33" s="41">
        <f t="shared" si="1"/>
        <v>12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211</v>
      </c>
      <c r="D34" s="118" t="s">
        <v>169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212</v>
      </c>
      <c r="D35" s="118" t="s">
        <v>224</v>
      </c>
      <c r="E35" s="41">
        <v>4</v>
      </c>
      <c r="F35" s="41">
        <v>45</v>
      </c>
      <c r="G35" s="41">
        <f t="shared" si="1"/>
        <v>180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170</v>
      </c>
      <c r="D36" s="118" t="s">
        <v>169</v>
      </c>
      <c r="E36" s="41">
        <v>4</v>
      </c>
      <c r="F36" s="41">
        <v>6</v>
      </c>
      <c r="G36" s="41">
        <f t="shared" si="1"/>
        <v>24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213</v>
      </c>
      <c r="D37" s="118" t="s">
        <v>169</v>
      </c>
      <c r="E37" s="41">
        <v>50</v>
      </c>
      <c r="F37" s="41">
        <v>3</v>
      </c>
      <c r="G37" s="41">
        <f t="shared" si="1"/>
        <v>150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214</v>
      </c>
      <c r="D38" s="118" t="s">
        <v>169</v>
      </c>
      <c r="E38" s="41">
        <v>7</v>
      </c>
      <c r="F38" s="41">
        <v>65</v>
      </c>
      <c r="G38" s="41">
        <f t="shared" si="1"/>
        <v>455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225</v>
      </c>
      <c r="D39" s="118" t="s">
        <v>169</v>
      </c>
      <c r="E39" s="41">
        <v>2</v>
      </c>
      <c r="F39" s="41">
        <v>110</v>
      </c>
      <c r="G39" s="41">
        <f t="shared" si="1"/>
        <v>220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215</v>
      </c>
      <c r="D40" s="118" t="s">
        <v>169</v>
      </c>
      <c r="E40" s="41">
        <v>1</v>
      </c>
      <c r="F40" s="41">
        <v>210</v>
      </c>
      <c r="G40" s="41">
        <f t="shared" si="1"/>
        <v>210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216</v>
      </c>
      <c r="D41" s="118" t="s">
        <v>169</v>
      </c>
      <c r="E41" s="41">
        <v>1</v>
      </c>
      <c r="F41" s="41">
        <v>35</v>
      </c>
      <c r="G41" s="41">
        <f t="shared" si="1"/>
        <v>35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217</v>
      </c>
      <c r="D42" s="118" t="s">
        <v>169</v>
      </c>
      <c r="E42" s="41">
        <v>4</v>
      </c>
      <c r="F42" s="41">
        <v>7</v>
      </c>
      <c r="G42" s="41">
        <f t="shared" ref="G42:G57" si="2">E42*F42</f>
        <v>28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171</v>
      </c>
      <c r="D43" s="118" t="s">
        <v>169</v>
      </c>
      <c r="E43" s="41">
        <v>2</v>
      </c>
      <c r="F43" s="41">
        <v>6</v>
      </c>
      <c r="G43" s="41">
        <f t="shared" si="2"/>
        <v>12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172</v>
      </c>
      <c r="D44" s="118" t="s">
        <v>169</v>
      </c>
      <c r="E44" s="41">
        <v>2</v>
      </c>
      <c r="F44" s="41">
        <v>7</v>
      </c>
      <c r="G44" s="41">
        <f t="shared" si="2"/>
        <v>14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218</v>
      </c>
      <c r="D45" s="118" t="s">
        <v>169</v>
      </c>
      <c r="E45" s="41">
        <v>1</v>
      </c>
      <c r="F45" s="41">
        <v>2</v>
      </c>
      <c r="G45" s="41">
        <f t="shared" si="2"/>
        <v>2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219</v>
      </c>
      <c r="D46" s="118" t="s">
        <v>169</v>
      </c>
      <c r="E46" s="41">
        <v>1</v>
      </c>
      <c r="F46" s="41">
        <v>205</v>
      </c>
      <c r="G46" s="41">
        <f t="shared" si="2"/>
        <v>205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220</v>
      </c>
      <c r="D47" s="118" t="s">
        <v>169</v>
      </c>
      <c r="E47" s="41">
        <v>1</v>
      </c>
      <c r="F47" s="41">
        <v>290</v>
      </c>
      <c r="G47" s="41">
        <f t="shared" si="2"/>
        <v>290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221</v>
      </c>
      <c r="D48" s="118" t="s">
        <v>169</v>
      </c>
      <c r="E48" s="41">
        <v>1</v>
      </c>
      <c r="F48" s="41">
        <v>410</v>
      </c>
      <c r="G48" s="41">
        <f t="shared" si="2"/>
        <v>410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222</v>
      </c>
      <c r="D49" s="118" t="s">
        <v>223</v>
      </c>
      <c r="E49" s="41">
        <v>1</v>
      </c>
      <c r="F49" s="41">
        <v>116</v>
      </c>
      <c r="G49" s="41">
        <f t="shared" si="2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226</v>
      </c>
      <c r="D50" s="118" t="s">
        <v>169</v>
      </c>
      <c r="E50" s="41">
        <v>3</v>
      </c>
      <c r="F50" s="41">
        <v>25</v>
      </c>
      <c r="G50" s="41">
        <f t="shared" si="2"/>
        <v>75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240</v>
      </c>
      <c r="D51" s="118" t="s">
        <v>169</v>
      </c>
      <c r="E51" s="41">
        <v>2</v>
      </c>
      <c r="F51" s="41">
        <v>25</v>
      </c>
      <c r="G51" s="41">
        <f t="shared" si="2"/>
        <v>50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230</v>
      </c>
      <c r="D52" s="118" t="s">
        <v>169</v>
      </c>
      <c r="E52" s="41">
        <v>26</v>
      </c>
      <c r="F52" s="41">
        <v>4</v>
      </c>
      <c r="G52" s="41">
        <f t="shared" si="2"/>
        <v>104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117" t="s">
        <v>231</v>
      </c>
      <c r="D53" s="118" t="s">
        <v>169</v>
      </c>
      <c r="E53" s="41">
        <v>1</v>
      </c>
      <c r="F53" s="41">
        <v>30</v>
      </c>
      <c r="G53" s="41">
        <f t="shared" si="2"/>
        <v>30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 t="s">
        <v>232</v>
      </c>
      <c r="D54" s="118" t="s">
        <v>245</v>
      </c>
      <c r="E54" s="41">
        <v>1</v>
      </c>
      <c r="F54" s="41">
        <v>50</v>
      </c>
      <c r="G54" s="41">
        <f t="shared" si="2"/>
        <v>50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 t="s">
        <v>233</v>
      </c>
      <c r="D55" s="118" t="s">
        <v>169</v>
      </c>
      <c r="E55" s="41">
        <v>1</v>
      </c>
      <c r="F55" s="41">
        <v>6</v>
      </c>
      <c r="G55" s="41">
        <f t="shared" si="2"/>
        <v>6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 t="s">
        <v>234</v>
      </c>
      <c r="D56" s="118" t="s">
        <v>169</v>
      </c>
      <c r="E56" s="41">
        <v>1</v>
      </c>
      <c r="F56" s="41">
        <v>7</v>
      </c>
      <c r="G56" s="41">
        <f t="shared" si="2"/>
        <v>7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 t="s">
        <v>235</v>
      </c>
      <c r="D57" s="118" t="s">
        <v>169</v>
      </c>
      <c r="E57" s="41">
        <v>1</v>
      </c>
      <c r="F57" s="41">
        <v>117</v>
      </c>
      <c r="G57" s="41">
        <f t="shared" si="2"/>
        <v>117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3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si="1"/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1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1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1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1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3185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173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