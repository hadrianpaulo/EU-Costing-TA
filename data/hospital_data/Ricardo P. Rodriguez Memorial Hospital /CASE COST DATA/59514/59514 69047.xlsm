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FINAL OUTPUT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Supplies_Medical'!$C$15:$C$68</definedName>
    <definedName name="Drugs">'1.2 Drugs&amp;Med'!$C$11:$C$25</definedName>
    <definedName name="_xlnm.Print_Area" localSheetId="0">'1.1 Case data_general'!$B$1:$F$77</definedName>
    <definedName name="_xlnm.Print_Area" localSheetId="1">'1.2 Drugs&amp;Med'!$B$2:$J$28</definedName>
  </definedNames>
  <calcPr calcId="162913"/>
</workbook>
</file>

<file path=xl/calcChain.xml><?xml version="1.0" encoding="utf-8"?>
<calcChain xmlns="http://schemas.openxmlformats.org/spreadsheetml/2006/main">
  <c r="G54" i="9" l="1"/>
  <c r="G53" i="9"/>
  <c r="G52" i="9" l="1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28" i="9"/>
  <c r="G17" i="9"/>
  <c r="G18" i="9"/>
  <c r="G19" i="9"/>
  <c r="G20" i="9"/>
  <c r="G22" i="9"/>
  <c r="G23" i="9"/>
  <c r="G24" i="9"/>
  <c r="G25" i="9"/>
  <c r="G26" i="9"/>
  <c r="G16" i="9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<sst xmlns="http://schemas.openxmlformats.org/spreadsheetml/2006/main" count="560" uniqueCount="239">
  <si>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</si>
  <si>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</si>
  <si>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</si>
  <si>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</si>
  <si>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</si>
  <si>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</si>
  <si>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</si>
  <si>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</si>
  <si>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</si>
  <si>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</si>
  <si>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</si>
  <si>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</si>
  <si>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</si>
  <si>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</si>
  <si>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</si>
  <si>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</si>
  <si>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</si>
  <si>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</si>
  <si>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</si>
  <si>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</si>
  <si>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</si>
  <si>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</si>
  <si>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</si>
  <si>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</si>
  <si>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</si>
  <si>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</si>
  <si>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</si>
  <si>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</si>
  <si>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</si>
  <si>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</si>
  <si>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</si>
  <si>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</si>
  <si>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</si>
  <si>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</si>
  <si>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</si>
  <si>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</si>
  <si>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</si>
  <si>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</si>
  <si>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</si>
  <si>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</si>
  <si>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</si>
  <si>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</si>
  <si>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</si>
  <si>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</si>
  <si>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</si>
  <si>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</si>
  <si>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</si>
  <si>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</si>
  <si>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</si>
  <si>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</si>
  <si>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</si>
  <si>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</si>
  <si>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</si>
  <si>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</si>
  <si>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</si>
  <si>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</si>
  <si>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</si>
  <si>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</si>
  <si>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</si>
  <si>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</si>
  <si>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</si>
  <si>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</si>
  <si>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</si>
  <si>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</si>
  <si>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</si>
  <si>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</si>
  <si>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</si>
  <si>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</si>
  <si>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</si>
  <si>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</si>
  <si>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</si>
  <si>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</si>
  <si>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</si>
  <si>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</si>
  <si>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</si>
  <si>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</si>
  <si>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</si>
  <si>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</si>
  <si>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</si>
  <si>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</si>
  <si>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</si>
  <si>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</si>
  <si>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</si>
  <si>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</si>
  <si>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</si>
  <si>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</si>
  <si>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</si>
  <si>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</si>
  <si>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</si>
  <si>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</si>
  <si>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</si>
  <si>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</si>
  <si>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</si>
  <si>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</si>
  <si>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</si>
  <si>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</si>
  <si>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</si>
  <si>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</si>
  <si>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</si>
  <si>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</si>
  <si>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</si>
  <si>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</si>
  <si>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</si>
  <si>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</si>
  <si>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</si>
  <si>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</si>
  <si>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</si>
  <si>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</si>
  <si>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</si>
  <si>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</si>
  <si>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</si>
  <si>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</si>
  <si>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</si>
  <si>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</si>
  <si>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</si>
  <si>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</si>
  <si>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</si>
  <si>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</si>
  <si>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</si>
  <si>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</si>
  <si>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</si>
  <si>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</si>
  <si>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</si>
  <si>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</si>
  <si>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</si>
  <si>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</si>
  <si>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</si>
  <si>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</si>
  <si>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</si>
  <si>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</si>
  <si>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</si>
  <si>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</si>
  <si>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</si>
  <si>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</si>
  <si>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</si>
  <si>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</si>
  <si>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</si>
  <si>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</si>
  <si>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</si>
  <si>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</si>
  <si>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</si>
  <si>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</si>
  <si>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</si>
  <si>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</si>
  <si>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</si>
  <si>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</si>
  <si>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</si>
  <si>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</si>
  <si>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</si>
  <si>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</si>
  <si>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</si>
  <si>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</si>
  <si>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</si>
  <si>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</si>
  <si>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</si>
  <si>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</si>
  <si>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</si>
  <si>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</si>
  <si>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</si>
  <si>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</si>
  <si>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</si>
  <si>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</si>
  <si>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</si>
  <si>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 xml:space="preserve">Cesarean Delivery </t>
  </si>
  <si>
    <t>CBC, TYPING</t>
  </si>
  <si>
    <t>CLOTTING TIME- BLEEDING TIME</t>
  </si>
  <si>
    <t>HbsAg</t>
  </si>
  <si>
    <t>VDRL (SYPHILLIS)</t>
  </si>
  <si>
    <t>ECG</t>
  </si>
  <si>
    <t>D5LRS</t>
  </si>
  <si>
    <t>1 LITER</t>
  </si>
  <si>
    <t>AMPICILLIN</t>
  </si>
  <si>
    <t>500 MG</t>
  </si>
  <si>
    <t>BOTTLE, IV</t>
  </si>
  <si>
    <t>POWDER, IV</t>
  </si>
  <si>
    <t>POLYAMPULE, IV</t>
  </si>
  <si>
    <t>PROMETHAZINE</t>
  </si>
  <si>
    <t>AMPULE, IV</t>
  </si>
  <si>
    <t>25MG/ML</t>
  </si>
  <si>
    <t>BUPIVACAINE 0.5% HEAVY</t>
  </si>
  <si>
    <t>5MG/ML</t>
  </si>
  <si>
    <t>10MG/ML</t>
  </si>
  <si>
    <t>OXYTOCIN</t>
  </si>
  <si>
    <t>10IU/ML</t>
  </si>
  <si>
    <t xml:space="preserve">METHYLERGOMETHRINE MALEATE </t>
  </si>
  <si>
    <t>200MCG/ML</t>
  </si>
  <si>
    <t>DICLOFENAC SODIUM</t>
  </si>
  <si>
    <t>25MG</t>
  </si>
  <si>
    <t>NALBUPHINE</t>
  </si>
  <si>
    <t>DIAZEPAM</t>
  </si>
  <si>
    <t xml:space="preserve">CEFALEXIN </t>
  </si>
  <si>
    <t>CAPSULE</t>
  </si>
  <si>
    <t>500MG</t>
  </si>
  <si>
    <t>MEFENAMIC ACID</t>
  </si>
  <si>
    <t>BISACODYL</t>
  </si>
  <si>
    <t>SUPPOSITORY, ANAL</t>
  </si>
  <si>
    <t>10MG</t>
  </si>
  <si>
    <t>DISPOSABLE RAZOR BLADE</t>
  </si>
  <si>
    <t>PC</t>
  </si>
  <si>
    <t>IV SET ADULT</t>
  </si>
  <si>
    <t>IV CATHETER G18</t>
  </si>
  <si>
    <t>THERMOMETER</t>
  </si>
  <si>
    <t>ADHESIVE PLASTER</t>
  </si>
  <si>
    <t>DISPOSABLE MASK</t>
  </si>
  <si>
    <t>OS</t>
  </si>
  <si>
    <t>ABDOMINAL PACK ADULTS</t>
  </si>
  <si>
    <t xml:space="preserve"> GLOVES UNSTERILE</t>
  </si>
  <si>
    <t>FOLEY CATHETER F-18</t>
  </si>
  <si>
    <t>CUTASEPT F (100/5ML)</t>
  </si>
  <si>
    <t>URINE BAG</t>
  </si>
  <si>
    <t>SPINAL NEEDLE G-23</t>
  </si>
  <si>
    <t>STERILE GLOVES 7.5</t>
  </si>
  <si>
    <t xml:space="preserve">1 CC SYRINGE </t>
  </si>
  <si>
    <t>3 CC SYRINGE</t>
  </si>
  <si>
    <t>5 CC SYRINGE</t>
  </si>
  <si>
    <t>FEATHER SURGICAL BLADE #10</t>
  </si>
  <si>
    <t>SUCTION SET YANKUER F-24</t>
  </si>
  <si>
    <t>CHROMIC 1</t>
  </si>
  <si>
    <t>CHROMIC 2.0 DOUBLE ARM CUTTING</t>
  </si>
  <si>
    <t>VICRYL 1</t>
  </si>
  <si>
    <t>VICRYL 3-0</t>
  </si>
  <si>
    <t>POVIDONE IODINE 60ML</t>
  </si>
  <si>
    <t>DISPOSABLE CAP</t>
  </si>
  <si>
    <t>VISIT IN THE WARD</t>
  </si>
  <si>
    <t>PROCEDURE</t>
  </si>
  <si>
    <t xml:space="preserve">DRUGS AND MEDICINES </t>
  </si>
  <si>
    <t>MEDICAL SUPPLIES</t>
  </si>
  <si>
    <t>OXYGEN FEE</t>
  </si>
  <si>
    <t>LABORATORY EXAM</t>
  </si>
  <si>
    <t>BC/DC</t>
  </si>
  <si>
    <t>OPERATING ROOM FEE</t>
  </si>
  <si>
    <t>LABOR ROOM</t>
  </si>
  <si>
    <t>GARBAGE FEE</t>
  </si>
  <si>
    <t>ROOM AND BOARD</t>
  </si>
  <si>
    <t>PF</t>
  </si>
  <si>
    <t>ANESTHESIOLOGIST FEE</t>
  </si>
  <si>
    <t>IV CATHETER G22</t>
  </si>
  <si>
    <t>STERILE GLOVES 7.0</t>
  </si>
  <si>
    <t>ABDOMINAL BINDER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</si>
</sst>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58</xdr:row>
          <xdr:rowOff>28575</xdr:rowOff>
        </xdr:from>
        <xdr:to>
          <xdr:col>1</xdr:col>
          <xdr:colOff>771525</xdr:colOff>
          <xdr:row>58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58</xdr:row>
          <xdr:rowOff>28575</xdr:rowOff>
        </xdr:from>
        <xdr:to>
          <xdr:col>1</xdr:col>
          <xdr:colOff>1543050</xdr:colOff>
          <xdr:row>58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opLeftCell="A54" zoomScaleNormal="100" workbookViewId="0">
      <selection activeCell="D63" sqref="D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167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19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 t="s">
        <v>168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43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44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52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20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54</v>
      </c>
      <c r="C60" s="17" t="s">
        <v>50</v>
      </c>
      <c r="D60" s="17" t="s">
        <v>55</v>
      </c>
      <c r="E60" s="18" t="s">
        <v>56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225</v>
      </c>
      <c r="D61" s="55">
        <v>2280</v>
      </c>
      <c r="E61" s="55">
        <v>0</v>
      </c>
      <c r="F61" s="55"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226</v>
      </c>
      <c r="D62" s="55">
        <v>4078</v>
      </c>
      <c r="E62" s="55">
        <v>0</v>
      </c>
      <c r="F62" s="55">
        <v>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227</v>
      </c>
      <c r="D63" s="55">
        <v>60</v>
      </c>
      <c r="E63" s="55">
        <v>0</v>
      </c>
      <c r="F63" s="55"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 t="s">
        <v>228</v>
      </c>
      <c r="D64" s="55">
        <v>780</v>
      </c>
      <c r="E64" s="55">
        <v>0</v>
      </c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 t="s">
        <v>168</v>
      </c>
      <c r="D65" s="55">
        <v>120</v>
      </c>
      <c r="E65" s="55">
        <v>0</v>
      </c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 t="s">
        <v>229</v>
      </c>
      <c r="D66" s="55">
        <v>100</v>
      </c>
      <c r="E66" s="55">
        <v>0</v>
      </c>
      <c r="F66" s="55"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 t="s">
        <v>230</v>
      </c>
      <c r="D67" s="55">
        <v>2200</v>
      </c>
      <c r="E67" s="55">
        <v>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 t="s">
        <v>231</v>
      </c>
      <c r="D68" s="55">
        <v>200</v>
      </c>
      <c r="E68" s="55">
        <v>0</v>
      </c>
      <c r="F68" s="55"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 t="s">
        <v>232</v>
      </c>
      <c r="D69" s="55">
        <v>30</v>
      </c>
      <c r="E69" s="55">
        <v>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 t="s">
        <v>233</v>
      </c>
      <c r="D70" s="55">
        <v>1200</v>
      </c>
      <c r="E70" s="55">
        <v>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11</v>
      </c>
      <c r="C71" s="27" t="s">
        <v>234</v>
      </c>
      <c r="D71" s="55">
        <v>5320</v>
      </c>
      <c r="E71" s="55">
        <v>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12</v>
      </c>
      <c r="C72" s="27" t="s">
        <v>235</v>
      </c>
      <c r="D72" s="55">
        <v>2280</v>
      </c>
      <c r="E72" s="55">
        <v>0</v>
      </c>
      <c r="F72" s="55">
        <v>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13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14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15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SUM(D61:D76)</f>
        <v>18648</v>
      </c>
      <c r="E77" s="59">
        <f>SUM(E61:E76)</f>
        <v>0</v>
      </c>
      <c r="F77" s="59">
        <f>SUM(F61:F76)</f>
        <v>0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algorithmName="SHA-512" hashValue="edt4WL/fgGC+NvbwJ54wJSjNNAsgQCTmgubG3AEU7vQ3qF7prKS38T9QXb7AIYm0DgJyeDaA6oBH5/XPJ9EcfA==" saltValue="JK1S84qm9gKAk6KFfxsWAA==" spinCount="100000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5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8"/>
  <sheetViews>
    <sheetView topLeftCell="A6" workbookViewId="0">
      <selection activeCell="I27" sqref="I2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 xml:space="preserve">Cesarean Delivery 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17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169</v>
      </c>
      <c r="D11" s="27" t="s">
        <v>173</v>
      </c>
      <c r="E11" s="27" t="s">
        <v>170</v>
      </c>
      <c r="F11" s="55">
        <v>0</v>
      </c>
      <c r="G11" s="55">
        <v>0</v>
      </c>
      <c r="H11" s="55">
        <v>9</v>
      </c>
      <c r="I11" s="55">
        <v>80</v>
      </c>
      <c r="J11" s="55">
        <f>H11*I11</f>
        <v>720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174</v>
      </c>
      <c r="E12" s="27" t="s">
        <v>172</v>
      </c>
      <c r="F12" s="55">
        <v>0</v>
      </c>
      <c r="G12" s="55">
        <v>0</v>
      </c>
      <c r="H12" s="55">
        <v>7</v>
      </c>
      <c r="I12" s="55">
        <v>23</v>
      </c>
      <c r="J12" s="55">
        <f t="shared" ref="J12:J26" si="0">H12*I12</f>
        <v>161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176</v>
      </c>
      <c r="D13" s="27" t="s">
        <v>177</v>
      </c>
      <c r="E13" s="27" t="s">
        <v>178</v>
      </c>
      <c r="F13" s="55">
        <v>0</v>
      </c>
      <c r="G13" s="55">
        <v>0</v>
      </c>
      <c r="H13" s="55">
        <v>1</v>
      </c>
      <c r="I13" s="55">
        <v>25</v>
      </c>
      <c r="J13" s="55">
        <f t="shared" si="0"/>
        <v>25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179</v>
      </c>
      <c r="D14" s="27" t="s">
        <v>175</v>
      </c>
      <c r="E14" s="27" t="s">
        <v>180</v>
      </c>
      <c r="F14" s="55">
        <v>0</v>
      </c>
      <c r="G14" s="55">
        <v>0</v>
      </c>
      <c r="H14" s="55">
        <v>1</v>
      </c>
      <c r="I14" s="55">
        <v>650</v>
      </c>
      <c r="J14" s="55">
        <f t="shared" si="0"/>
        <v>650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182</v>
      </c>
      <c r="D15" s="27" t="s">
        <v>177</v>
      </c>
      <c r="E15" s="27" t="s">
        <v>183</v>
      </c>
      <c r="F15" s="55">
        <v>0</v>
      </c>
      <c r="G15" s="55">
        <v>0</v>
      </c>
      <c r="H15" s="55">
        <v>1</v>
      </c>
      <c r="I15" s="55">
        <v>40</v>
      </c>
      <c r="J15" s="55">
        <f t="shared" si="0"/>
        <v>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184</v>
      </c>
      <c r="D16" s="27" t="s">
        <v>177</v>
      </c>
      <c r="E16" s="27" t="s">
        <v>185</v>
      </c>
      <c r="F16" s="55">
        <v>0</v>
      </c>
      <c r="G16" s="55">
        <v>0</v>
      </c>
      <c r="H16" s="55">
        <v>1</v>
      </c>
      <c r="I16" s="55">
        <v>50</v>
      </c>
      <c r="J16" s="55">
        <f t="shared" si="0"/>
        <v>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186</v>
      </c>
      <c r="D17" s="27" t="s">
        <v>177</v>
      </c>
      <c r="E17" s="27" t="s">
        <v>187</v>
      </c>
      <c r="F17" s="55">
        <v>0</v>
      </c>
      <c r="G17" s="55">
        <v>0</v>
      </c>
      <c r="H17" s="55">
        <v>2</v>
      </c>
      <c r="I17" s="55">
        <v>30</v>
      </c>
      <c r="J17" s="55">
        <f t="shared" si="0"/>
        <v>60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188</v>
      </c>
      <c r="D18" s="27" t="s">
        <v>177</v>
      </c>
      <c r="E18" s="27" t="s">
        <v>181</v>
      </c>
      <c r="F18" s="55">
        <v>0</v>
      </c>
      <c r="G18" s="55">
        <v>0</v>
      </c>
      <c r="H18" s="55">
        <v>1</v>
      </c>
      <c r="I18" s="55">
        <v>125</v>
      </c>
      <c r="J18" s="55">
        <f t="shared" si="0"/>
        <v>125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189</v>
      </c>
      <c r="D19" s="27" t="s">
        <v>177</v>
      </c>
      <c r="E19" s="27" t="s">
        <v>180</v>
      </c>
      <c r="F19" s="55">
        <v>0</v>
      </c>
      <c r="G19" s="55">
        <v>0</v>
      </c>
      <c r="H19" s="55">
        <v>1</v>
      </c>
      <c r="I19" s="55">
        <v>135</v>
      </c>
      <c r="J19" s="55">
        <f t="shared" si="0"/>
        <v>135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190</v>
      </c>
      <c r="D20" s="27" t="s">
        <v>191</v>
      </c>
      <c r="E20" s="27" t="s">
        <v>192</v>
      </c>
      <c r="F20" s="55">
        <v>0</v>
      </c>
      <c r="G20" s="55">
        <v>0</v>
      </c>
      <c r="H20" s="55">
        <v>21</v>
      </c>
      <c r="I20" s="55">
        <v>8</v>
      </c>
      <c r="J20" s="55">
        <f t="shared" si="0"/>
        <v>168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193</v>
      </c>
      <c r="D21" s="27" t="s">
        <v>191</v>
      </c>
      <c r="E21" s="27" t="s">
        <v>192</v>
      </c>
      <c r="F21" s="55">
        <v>0</v>
      </c>
      <c r="G21" s="55">
        <v>0</v>
      </c>
      <c r="H21" s="55">
        <v>9</v>
      </c>
      <c r="I21" s="55">
        <v>4</v>
      </c>
      <c r="J21" s="55">
        <f t="shared" si="0"/>
        <v>36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194</v>
      </c>
      <c r="D22" s="27" t="s">
        <v>195</v>
      </c>
      <c r="E22" s="27" t="s">
        <v>196</v>
      </c>
      <c r="F22" s="55">
        <v>0</v>
      </c>
      <c r="G22" s="55">
        <v>0</v>
      </c>
      <c r="H22" s="55">
        <v>2</v>
      </c>
      <c r="I22" s="55">
        <v>55</v>
      </c>
      <c r="J22" s="55">
        <f t="shared" si="0"/>
        <v>110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/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25">
      <c r="A28" s="33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</row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1pwhGRu7otKAj5Ny0wbOKbG5TdaSvxpIiY1y4Grbh2NCgBtfL2yBQSQR31sO7yfqZo5c5rcW1rbZMmxcjGE/eQ==" saltValue="2BdbmGZv330G8534Jf3NQ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7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2"/>
  <sheetViews>
    <sheetView workbookViewId="0">
      <pane ySplit="1" topLeftCell="A7" activePane="bottomLeft" state="frozen"/>
      <selection pane="bottomLeft" activeCell="G57" sqref="G5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30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202</v>
      </c>
      <c r="D16" s="70"/>
      <c r="E16" s="55">
        <v>1</v>
      </c>
      <c r="F16" s="55">
        <v>65</v>
      </c>
      <c r="G16" s="55">
        <f>E16*F16</f>
        <v>65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221</v>
      </c>
      <c r="D17" s="70"/>
      <c r="E17" s="55">
        <v>1</v>
      </c>
      <c r="F17" s="55">
        <v>116</v>
      </c>
      <c r="G17" s="55">
        <f t="shared" ref="G17:G26" si="0">E17*F17</f>
        <v>116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204</v>
      </c>
      <c r="D18" s="70"/>
      <c r="E18" s="55">
        <v>20</v>
      </c>
      <c r="F18" s="55">
        <v>3</v>
      </c>
      <c r="G18" s="55">
        <f t="shared" si="0"/>
        <v>60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197</v>
      </c>
      <c r="D28" s="70" t="s">
        <v>198</v>
      </c>
      <c r="E28" s="55">
        <v>1</v>
      </c>
      <c r="F28" s="55">
        <v>35</v>
      </c>
      <c r="G28" s="55">
        <f>E28*F28</f>
        <v>35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199</v>
      </c>
      <c r="D29" s="70" t="s">
        <v>198</v>
      </c>
      <c r="E29" s="55">
        <v>2</v>
      </c>
      <c r="F29" s="55">
        <v>32</v>
      </c>
      <c r="G29" s="55">
        <f t="shared" ref="G29:G56" si="1">E29*F29</f>
        <v>64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201</v>
      </c>
      <c r="D30" s="70" t="s">
        <v>198</v>
      </c>
      <c r="E30" s="55">
        <v>1</v>
      </c>
      <c r="F30" s="55">
        <v>85</v>
      </c>
      <c r="G30" s="55">
        <f t="shared" si="1"/>
        <v>85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200</v>
      </c>
      <c r="D31" s="70" t="s">
        <v>198</v>
      </c>
      <c r="E31" s="55">
        <v>2</v>
      </c>
      <c r="F31" s="55">
        <v>61</v>
      </c>
      <c r="G31" s="55">
        <f t="shared" si="1"/>
        <v>122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202</v>
      </c>
      <c r="D32" s="70" t="s">
        <v>198</v>
      </c>
      <c r="E32" s="55">
        <v>1</v>
      </c>
      <c r="F32" s="55">
        <v>65</v>
      </c>
      <c r="G32" s="55">
        <f t="shared" si="1"/>
        <v>65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203</v>
      </c>
      <c r="D33" s="70" t="s">
        <v>198</v>
      </c>
      <c r="E33" s="55">
        <v>2</v>
      </c>
      <c r="F33" s="55">
        <v>6</v>
      </c>
      <c r="G33" s="55">
        <f t="shared" si="1"/>
        <v>12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204</v>
      </c>
      <c r="D34" s="70" t="s">
        <v>198</v>
      </c>
      <c r="E34" s="55">
        <v>40</v>
      </c>
      <c r="F34" s="55">
        <v>3</v>
      </c>
      <c r="G34" s="55">
        <f t="shared" si="1"/>
        <v>120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205</v>
      </c>
      <c r="D35" s="70" t="s">
        <v>198</v>
      </c>
      <c r="E35" s="55">
        <v>5</v>
      </c>
      <c r="F35" s="55">
        <v>65</v>
      </c>
      <c r="G35" s="55">
        <f t="shared" si="1"/>
        <v>325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206</v>
      </c>
      <c r="D36" s="70" t="s">
        <v>198</v>
      </c>
      <c r="E36" s="55">
        <v>25</v>
      </c>
      <c r="F36" s="55">
        <v>4</v>
      </c>
      <c r="G36" s="55">
        <f t="shared" si="1"/>
        <v>100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207</v>
      </c>
      <c r="D37" s="70" t="s">
        <v>198</v>
      </c>
      <c r="E37" s="55">
        <v>1</v>
      </c>
      <c r="F37" s="55">
        <v>40</v>
      </c>
      <c r="G37" s="55">
        <f t="shared" si="1"/>
        <v>40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208</v>
      </c>
      <c r="D38" s="70" t="s">
        <v>198</v>
      </c>
      <c r="E38" s="55">
        <v>5</v>
      </c>
      <c r="F38" s="55">
        <v>45</v>
      </c>
      <c r="G38" s="55">
        <f t="shared" si="1"/>
        <v>225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209</v>
      </c>
      <c r="D39" s="70" t="s">
        <v>198</v>
      </c>
      <c r="E39" s="55">
        <v>1</v>
      </c>
      <c r="F39" s="55">
        <v>25</v>
      </c>
      <c r="G39" s="55">
        <f t="shared" si="1"/>
        <v>25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210</v>
      </c>
      <c r="D40" s="70" t="s">
        <v>198</v>
      </c>
      <c r="E40" s="55">
        <v>1</v>
      </c>
      <c r="F40" s="55">
        <v>110</v>
      </c>
      <c r="G40" s="55">
        <f t="shared" si="1"/>
        <v>110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211</v>
      </c>
      <c r="D41" s="70" t="s">
        <v>198</v>
      </c>
      <c r="E41" s="55">
        <v>2</v>
      </c>
      <c r="F41" s="55">
        <v>25</v>
      </c>
      <c r="G41" s="55">
        <f t="shared" si="1"/>
        <v>50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212</v>
      </c>
      <c r="D42" s="70" t="s">
        <v>198</v>
      </c>
      <c r="E42" s="55">
        <v>2</v>
      </c>
      <c r="F42" s="55">
        <v>7</v>
      </c>
      <c r="G42" s="55">
        <f t="shared" si="1"/>
        <v>14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213</v>
      </c>
      <c r="D43" s="70" t="s">
        <v>198</v>
      </c>
      <c r="E43" s="55">
        <v>2</v>
      </c>
      <c r="F43" s="55">
        <v>6</v>
      </c>
      <c r="G43" s="55">
        <f t="shared" si="1"/>
        <v>12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214</v>
      </c>
      <c r="D44" s="70" t="s">
        <v>198</v>
      </c>
      <c r="E44" s="55">
        <v>2</v>
      </c>
      <c r="F44" s="55">
        <v>7</v>
      </c>
      <c r="G44" s="55">
        <f t="shared" si="1"/>
        <v>14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215</v>
      </c>
      <c r="D45" s="70" t="s">
        <v>198</v>
      </c>
      <c r="E45" s="55">
        <v>1</v>
      </c>
      <c r="F45" s="55">
        <v>35</v>
      </c>
      <c r="G45" s="55">
        <f t="shared" si="1"/>
        <v>35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216</v>
      </c>
      <c r="D46" s="70" t="s">
        <v>198</v>
      </c>
      <c r="E46" s="55">
        <v>1</v>
      </c>
      <c r="F46" s="55">
        <v>210</v>
      </c>
      <c r="G46" s="55">
        <f t="shared" si="1"/>
        <v>210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217</v>
      </c>
      <c r="D47" s="70" t="s">
        <v>198</v>
      </c>
      <c r="E47" s="55">
        <v>1</v>
      </c>
      <c r="F47" s="55">
        <v>205</v>
      </c>
      <c r="G47" s="55">
        <f t="shared" si="1"/>
        <v>205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218</v>
      </c>
      <c r="D48" s="70" t="s">
        <v>198</v>
      </c>
      <c r="E48" s="55">
        <v>1</v>
      </c>
      <c r="F48" s="55">
        <v>280</v>
      </c>
      <c r="G48" s="55">
        <f t="shared" si="1"/>
        <v>280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219</v>
      </c>
      <c r="D49" s="70" t="s">
        <v>198</v>
      </c>
      <c r="E49" s="55">
        <v>1</v>
      </c>
      <c r="F49" s="55">
        <v>410</v>
      </c>
      <c r="G49" s="55">
        <f t="shared" si="1"/>
        <v>410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220</v>
      </c>
      <c r="D50" s="70" t="s">
        <v>198</v>
      </c>
      <c r="E50" s="55">
        <v>2</v>
      </c>
      <c r="F50" s="55">
        <v>280</v>
      </c>
      <c r="G50" s="55">
        <f t="shared" si="1"/>
        <v>560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222</v>
      </c>
      <c r="D51" s="70" t="s">
        <v>198</v>
      </c>
      <c r="E51" s="55">
        <v>2</v>
      </c>
      <c r="F51" s="55">
        <v>6</v>
      </c>
      <c r="G51" s="55">
        <f t="shared" si="1"/>
        <v>12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236</v>
      </c>
      <c r="D52" s="70" t="s">
        <v>198</v>
      </c>
      <c r="E52" s="55">
        <v>2</v>
      </c>
      <c r="F52" s="55">
        <v>61</v>
      </c>
      <c r="G52" s="55">
        <f t="shared" si="1"/>
        <v>122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 t="s">
        <v>237</v>
      </c>
      <c r="D53" s="70" t="s">
        <v>198</v>
      </c>
      <c r="E53" s="55">
        <v>3</v>
      </c>
      <c r="F53" s="55">
        <v>25</v>
      </c>
      <c r="G53" s="55">
        <f t="shared" si="1"/>
        <v>75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 t="s">
        <v>238</v>
      </c>
      <c r="D54" s="70" t="s">
        <v>198</v>
      </c>
      <c r="E54" s="55">
        <v>1</v>
      </c>
      <c r="F54" s="55">
        <v>510</v>
      </c>
      <c r="G54" s="55">
        <f t="shared" si="1"/>
        <v>510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30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136" t="s">
        <v>29</v>
      </c>
      <c r="C58" s="137"/>
      <c r="D58" s="137"/>
      <c r="E58" s="137"/>
      <c r="F58" s="137"/>
      <c r="G58" s="138"/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1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2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3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4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5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6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7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8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9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10</v>
      </c>
      <c r="C68" s="69"/>
      <c r="D68" s="70"/>
      <c r="E68" s="55"/>
      <c r="F68" s="55"/>
      <c r="G68" s="55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A69" s="44"/>
      <c r="B69" s="39"/>
      <c r="C69" s="44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A70" s="44"/>
      <c r="B70" s="39"/>
      <c r="C70" s="44"/>
      <c r="D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</sheetData>
  <sheetProtection algorithmName="SHA-512" hashValue="9Wcqd2r6Q3ZRnNvczGGjnapEv5no9QyI/jLluZCFJbm/69ZQfMaHx7OwE79XInVpaMVcxgpcVlxI8UdyXyMtnA==" saltValue="H0vATdHd44Ls5P921EKt1g==" spinCount="100000" sheet="1" objects="1" scenarios="1" formatColumns="0" formatRows="0" sort="0" autoFilter="0"/>
  <mergeCells count="9">
    <mergeCell ref="B7:G7"/>
    <mergeCell ref="B27:G27"/>
    <mergeCell ref="B58:G5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58</xdr:row>
                    <xdr:rowOff>28575</xdr:rowOff>
                  </from>
                  <to>
                    <xdr:col>1</xdr:col>
                    <xdr:colOff>771525</xdr:colOff>
                    <xdr:row>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58</xdr:row>
                    <xdr:rowOff>28575</xdr:rowOff>
                  </from>
                  <to>
                    <xdr:col>1</xdr:col>
                    <xdr:colOff>1543050</xdr:colOff>
                    <xdr:row>58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5" workbookViewId="0">
      <selection activeCell="E14" sqref="E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223</v>
      </c>
      <c r="D13" s="55"/>
      <c r="E13" s="55">
        <v>40</v>
      </c>
      <c r="F13" s="55"/>
      <c r="G13" s="55">
        <v>45</v>
      </c>
      <c r="H13" s="55"/>
      <c r="I13" s="55"/>
      <c r="J13" s="55"/>
      <c r="K13" s="55"/>
      <c r="L13" s="55"/>
      <c r="M13" s="55"/>
      <c r="N13" s="55"/>
      <c r="P13" s="88">
        <f>SUM(D13:N13)</f>
        <v>85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224</v>
      </c>
      <c r="D14" s="55"/>
      <c r="E14" s="55">
        <v>100</v>
      </c>
      <c r="F14" s="55"/>
      <c r="G14" s="55">
        <v>100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200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140</v>
      </c>
      <c r="F30" s="88">
        <f t="shared" si="1"/>
        <v>0</v>
      </c>
      <c r="G30" s="88">
        <f t="shared" si="1"/>
        <v>145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285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2018-05-11T08:46:15Z</dcterms:created>
  <dcterms:modified xsi:type="dcterms:W3CDTF">2018-06-06T02:44:04Z</dcterms:modified>
</cp:coreProperties>
</file>