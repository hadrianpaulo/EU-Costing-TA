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Drugs&amp;Med'!$B$2:$J$29</definedName>
  </definedNames>
  <calcPr calcId="162913"/>
</workbook>
</file>

<file path=xl/calcChain.xml><?xml version="1.0" encoding="utf-8"?>
<calcChain xmlns="http://schemas.openxmlformats.org/spreadsheetml/2006/main">
  <c r="G53" i="9" l="1"/>
  <c r="G52" i="9"/>
  <c r="G21" i="9"/>
  <c r="J27" i="2"/>
  <c r="G56" i="9" l="1"/>
  <c r="G55" i="9"/>
  <c r="G54" i="9" l="1"/>
  <c r="G29" i="9" l="1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28" i="9"/>
  <c r="G17" i="9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<sst xmlns="http://schemas.openxmlformats.org/spreadsheetml/2006/main" count="578" uniqueCount="250">
  <si>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</si>
  <si>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</si>
  <si>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</si>
  <si>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</si>
  <si>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</si>
  <si>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</si>
  <si>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</si>
  <si>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</si>
  <si>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</si>
  <si>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</si>
  <si>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</si>
  <si>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</si>
  <si>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</si>
  <si>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</si>
  <si>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</si>
  <si>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</si>
  <si>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</si>
  <si>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</si>
  <si>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</si>
  <si>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</si>
  <si>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</si>
  <si>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</si>
  <si>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</si>
  <si>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</si>
  <si>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</si>
  <si>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</si>
  <si>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</si>
  <si>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</si>
  <si>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</si>
  <si>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</si>
  <si>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</si>
  <si>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</si>
  <si>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</si>
  <si>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</si>
  <si>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</si>
  <si>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</si>
  <si>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</si>
  <si>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</si>
  <si>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</si>
  <si>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</si>
  <si>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</si>
  <si>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</si>
  <si>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</si>
  <si>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</si>
  <si>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</si>
  <si>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</si>
  <si>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</si>
  <si>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</si>
  <si>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</si>
  <si>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</si>
  <si>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</si>
  <si>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</si>
  <si>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</si>
  <si>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</si>
  <si>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</si>
  <si>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</si>
  <si>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</si>
  <si>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</si>
  <si>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</si>
  <si>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</si>
  <si>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</si>
  <si>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</si>
  <si>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</si>
  <si>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</si>
  <si>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</si>
  <si>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</si>
  <si>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</si>
  <si>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</si>
  <si>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</si>
  <si>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</si>
  <si>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</si>
  <si>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</si>
  <si>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</si>
  <si>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</si>
  <si>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</si>
  <si>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</si>
  <si>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</si>
  <si>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</si>
  <si>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</si>
  <si>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</si>
  <si>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</si>
  <si>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</si>
  <si>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</si>
  <si>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</si>
  <si>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</si>
  <si>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</si>
  <si>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</si>
  <si>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</si>
  <si>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</si>
  <si>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</si>
  <si>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</si>
  <si>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</si>
  <si>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</si>
  <si>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</si>
  <si>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</si>
  <si>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</si>
  <si>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</si>
  <si>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</si>
  <si>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</si>
  <si>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</si>
  <si>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</si>
  <si>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</si>
  <si>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</si>
  <si>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</si>
  <si>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</si>
  <si>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</si>
  <si>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</si>
  <si>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</si>
  <si>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</si>
  <si>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</si>
  <si>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</si>
  <si>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</si>
  <si>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</si>
  <si>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</si>
  <si>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</si>
  <si>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</si>
  <si>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</si>
  <si>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</si>
  <si>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</si>
  <si>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</si>
  <si>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</si>
  <si>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</si>
  <si>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</si>
  <si>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</si>
  <si>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</si>
  <si>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</si>
  <si>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</si>
  <si>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</si>
  <si>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</si>
  <si>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</si>
  <si>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</si>
  <si>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</si>
  <si>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</si>
  <si>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</si>
  <si>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</si>
  <si>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</si>
  <si>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</si>
  <si>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</si>
  <si>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</si>
  <si>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</si>
  <si>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</si>
  <si>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</si>
  <si>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</si>
  <si>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</si>
  <si>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</si>
  <si>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</si>
  <si>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</si>
  <si>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</si>
  <si>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</si>
  <si>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</si>
  <si>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</si>
  <si>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</si>
  <si>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</si>
  <si>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</si>
  <si>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</si>
  <si>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</si>
  <si>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</si>
  <si>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</si>
  <si>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</si>
  <si>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</si>
  <si>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</si>
  <si>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</si>
  <si>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</si>
  <si>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</si>
  <si>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</si>
  <si>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</si>
  <si>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</si>
  <si>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</si>
  <si>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</si>
  <si>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</si>
  <si>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</si>
  <si>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</si>
  <si>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</si>
  <si>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</si>
  <si>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</si>
  <si>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</si>
  <si>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</si>
  <si>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</si>
  <si>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</si>
  <si>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</si>
  <si>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</si>
  <si>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</si>
  <si>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</si>
  <si>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</si>
  <si>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</si>
  <si>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</si>
  <si>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</si>
  <si>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</si>
  <si>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</si>
  <si>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</si>
  <si>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</si>
  <si>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</si>
  <si>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</si>
  <si>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</si>
  <si>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</si>
  <si>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</si>
  <si>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</si>
  <si>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DISPOSABLE RAZOR BLADE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</si>
  <si>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</si>
  <si>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</si>
  <si>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</si>
  <si>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</si>
  <si>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</si>
  <si>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</si>
  <si>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</si>
  <si>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</si>
  <si>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</si>
  <si>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</si>
  <si>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</si>
  <si>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</si>
  <si>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</si>
  <si>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</si>
  <si>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</si>
  <si>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</si>
  <si>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</si>
  <si>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</si>
  <si>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</si>
  <si>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</si>
  <si>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CHROMIC 2.0 DOUBLE ARM CUTTING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</si>
  <si>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</si>
  <si>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</si>
  <si>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</si>
  <si>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</si>
  <si>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</si>
  <si>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</si>
  <si>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</si>
  <si>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</si>
  <si>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</si>
  <si>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</si>
  <si>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</si>
  <si>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</si>
  <si>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</si>
  <si>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</si>
  <si>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</si>
  <si>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</si>
  <si>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</si>
  <si>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</si>
  <si>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STERILE WATER</t>
  </si>
  <si>
    <t>10ML</t>
  </si>
  <si>
    <t>MIDAZOLAM</t>
  </si>
  <si>
    <t>1MG/3ML</t>
  </si>
  <si>
    <t>METOCLOPROMIDE</t>
  </si>
  <si>
    <t>5MG/2ML</t>
  </si>
  <si>
    <t>RANITIDINE</t>
  </si>
  <si>
    <t>25/ML</t>
  </si>
  <si>
    <t>LIDOCAINE HCI 2%</t>
  </si>
  <si>
    <t>VIAL, INJECTION</t>
  </si>
  <si>
    <t>50ML</t>
  </si>
  <si>
    <t>10CC SYRINGE</t>
  </si>
  <si>
    <t>GLOVES UNSTERILE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</si>
</sst>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48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43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52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225</v>
      </c>
      <c r="D61" s="55">
        <v>2349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226</v>
      </c>
      <c r="D62" s="55">
        <v>3144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227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228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229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230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231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232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233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234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235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17783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opLeftCell="A9" workbookViewId="0">
      <selection activeCell="J29" sqref="J2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5</v>
      </c>
      <c r="I11" s="55">
        <v>80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7</v>
      </c>
      <c r="I12" s="55">
        <v>23</v>
      </c>
      <c r="J12" s="55">
        <f t="shared" ref="J12:J27" si="0">H12*I12</f>
        <v>161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si="0"/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0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237</v>
      </c>
      <c r="D23" s="27" t="s">
        <v>175</v>
      </c>
      <c r="E23" s="27" t="s">
        <v>238</v>
      </c>
      <c r="F23" s="55">
        <v>0</v>
      </c>
      <c r="G23" s="55">
        <v>0</v>
      </c>
      <c r="H23" s="55">
        <v>1</v>
      </c>
      <c r="I23" s="55">
        <v>40</v>
      </c>
      <c r="J23" s="55">
        <f t="shared" si="0"/>
        <v>40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239</v>
      </c>
      <c r="D24" s="27" t="s">
        <v>177</v>
      </c>
      <c r="E24" s="27" t="s">
        <v>240</v>
      </c>
      <c r="F24" s="55">
        <v>0</v>
      </c>
      <c r="G24" s="55">
        <v>0</v>
      </c>
      <c r="H24" s="55">
        <v>1</v>
      </c>
      <c r="I24" s="55">
        <v>210</v>
      </c>
      <c r="J24" s="55">
        <f t="shared" si="0"/>
        <v>210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241</v>
      </c>
      <c r="D25" s="27" t="s">
        <v>177</v>
      </c>
      <c r="E25" s="27" t="s">
        <v>242</v>
      </c>
      <c r="F25" s="55">
        <v>0</v>
      </c>
      <c r="G25" s="55">
        <v>0</v>
      </c>
      <c r="H25" s="55">
        <v>1</v>
      </c>
      <c r="I25" s="55">
        <v>20</v>
      </c>
      <c r="J25" s="55">
        <f t="shared" si="0"/>
        <v>20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243</v>
      </c>
      <c r="D26" s="27" t="s">
        <v>177</v>
      </c>
      <c r="E26" s="27" t="s">
        <v>244</v>
      </c>
      <c r="F26" s="55">
        <v>0</v>
      </c>
      <c r="G26" s="55">
        <v>0</v>
      </c>
      <c r="H26" s="55">
        <v>2</v>
      </c>
      <c r="I26" s="55">
        <v>35</v>
      </c>
      <c r="J26" s="55">
        <f t="shared" si="0"/>
        <v>70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245</v>
      </c>
      <c r="D27" s="27" t="s">
        <v>246</v>
      </c>
      <c r="E27" s="27" t="s">
        <v>247</v>
      </c>
      <c r="F27" s="55">
        <v>0</v>
      </c>
      <c r="G27" s="55">
        <v>0</v>
      </c>
      <c r="H27" s="55">
        <v>3</v>
      </c>
      <c r="I27" s="55">
        <v>3</v>
      </c>
      <c r="J27" s="55">
        <f t="shared" si="0"/>
        <v>9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mF9h9ELLfmAxwiBNS4+OksZnrKHLyRBYTmEmLdqvmVTkS0gezLWiPDiHoV5MXQVWMn4+Vtge83FO8Ppl6MgIKA==" saltValue="tvFLIUxAzrdfQWzlqjSu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16" activePane="bottomLeft" state="frozen"/>
      <selection pane="bottomLeft" activeCell="E60" sqref="E6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202</v>
      </c>
      <c r="D16" s="70"/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221</v>
      </c>
      <c r="D17" s="70"/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204</v>
      </c>
      <c r="D18" s="70"/>
      <c r="E18" s="55">
        <v>10</v>
      </c>
      <c r="F18" s="55">
        <v>3</v>
      </c>
      <c r="G18" s="55">
        <f t="shared" si="0"/>
        <v>30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213</v>
      </c>
      <c r="D19" s="70"/>
      <c r="E19" s="55">
        <v>5</v>
      </c>
      <c r="F19" s="55">
        <v>6</v>
      </c>
      <c r="G19" s="55">
        <f t="shared" si="0"/>
        <v>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248</v>
      </c>
      <c r="D20" s="70"/>
      <c r="E20" s="55">
        <v>5</v>
      </c>
      <c r="F20" s="55">
        <v>8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214</v>
      </c>
      <c r="D21" s="70"/>
      <c r="E21" s="55">
        <v>5</v>
      </c>
      <c r="F21" s="55">
        <v>7</v>
      </c>
      <c r="G21" s="55">
        <f t="shared" si="0"/>
        <v>35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203</v>
      </c>
      <c r="D22" s="70"/>
      <c r="E22" s="55">
        <v>5</v>
      </c>
      <c r="F22" s="55">
        <v>6</v>
      </c>
      <c r="G22" s="55">
        <f t="shared" si="0"/>
        <v>30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249</v>
      </c>
      <c r="D23" s="70"/>
      <c r="E23" s="55">
        <v>5</v>
      </c>
      <c r="F23" s="55">
        <v>4</v>
      </c>
      <c r="G23" s="55">
        <f t="shared" si="0"/>
        <v>20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197</v>
      </c>
      <c r="D28" s="70" t="s">
        <v>198</v>
      </c>
      <c r="E28" s="55">
        <v>1</v>
      </c>
      <c r="F28" s="55">
        <v>35</v>
      </c>
      <c r="G28" s="55">
        <f>E28*F28</f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199</v>
      </c>
      <c r="D29" s="70" t="s">
        <v>198</v>
      </c>
      <c r="E29" s="55">
        <v>1</v>
      </c>
      <c r="F29" s="55">
        <v>32</v>
      </c>
      <c r="G29" s="55">
        <f t="shared" ref="G29:G56" si="1">E29*F29</f>
        <v>32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201</v>
      </c>
      <c r="D30" s="70" t="s">
        <v>198</v>
      </c>
      <c r="E30" s="55">
        <v>1</v>
      </c>
      <c r="F30" s="55">
        <v>85</v>
      </c>
      <c r="G30" s="55">
        <f t="shared" si="1"/>
        <v>85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200</v>
      </c>
      <c r="D31" s="70" t="s">
        <v>198</v>
      </c>
      <c r="E31" s="55">
        <v>2</v>
      </c>
      <c r="F31" s="55">
        <v>61</v>
      </c>
      <c r="G31" s="55">
        <f t="shared" si="1"/>
        <v>122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198</v>
      </c>
      <c r="E32" s="55">
        <v>1</v>
      </c>
      <c r="F32" s="55">
        <v>65</v>
      </c>
      <c r="G32" s="55">
        <f t="shared" si="1"/>
        <v>65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198</v>
      </c>
      <c r="E33" s="55">
        <v>6</v>
      </c>
      <c r="F33" s="55">
        <v>6</v>
      </c>
      <c r="G33" s="55">
        <f t="shared" si="1"/>
        <v>36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198</v>
      </c>
      <c r="E34" s="55">
        <v>40</v>
      </c>
      <c r="F34" s="55">
        <v>3</v>
      </c>
      <c r="G34" s="55">
        <f t="shared" si="1"/>
        <v>120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198</v>
      </c>
      <c r="E35" s="55">
        <v>4</v>
      </c>
      <c r="F35" s="55">
        <v>65</v>
      </c>
      <c r="G35" s="55">
        <f t="shared" si="1"/>
        <v>260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198</v>
      </c>
      <c r="E36" s="55">
        <v>22</v>
      </c>
      <c r="F36" s="55">
        <v>4</v>
      </c>
      <c r="G36" s="55">
        <f t="shared" si="1"/>
        <v>88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198</v>
      </c>
      <c r="E37" s="55">
        <v>1</v>
      </c>
      <c r="F37" s="55">
        <v>40</v>
      </c>
      <c r="G37" s="55">
        <f t="shared" si="1"/>
        <v>40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198</v>
      </c>
      <c r="E38" s="55">
        <v>1</v>
      </c>
      <c r="F38" s="55">
        <v>45</v>
      </c>
      <c r="G38" s="55">
        <f t="shared" si="1"/>
        <v>45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198</v>
      </c>
      <c r="E39" s="55">
        <v>1</v>
      </c>
      <c r="F39" s="55">
        <v>25</v>
      </c>
      <c r="G39" s="55">
        <f t="shared" si="1"/>
        <v>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198</v>
      </c>
      <c r="E40" s="55">
        <v>1</v>
      </c>
      <c r="F40" s="55">
        <v>110</v>
      </c>
      <c r="G40" s="55">
        <f t="shared" si="1"/>
        <v>110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198</v>
      </c>
      <c r="E41" s="55">
        <v>2</v>
      </c>
      <c r="F41" s="55">
        <v>25</v>
      </c>
      <c r="G41" s="55">
        <f t="shared" si="1"/>
        <v>50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198</v>
      </c>
      <c r="E42" s="55">
        <v>6</v>
      </c>
      <c r="F42" s="55">
        <v>7</v>
      </c>
      <c r="G42" s="55">
        <f t="shared" si="1"/>
        <v>42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198</v>
      </c>
      <c r="E43" s="55">
        <v>7</v>
      </c>
      <c r="F43" s="55">
        <v>6</v>
      </c>
      <c r="G43" s="55">
        <f t="shared" si="1"/>
        <v>42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198</v>
      </c>
      <c r="E44" s="55">
        <v>6</v>
      </c>
      <c r="F44" s="55">
        <v>7</v>
      </c>
      <c r="G44" s="55">
        <f t="shared" si="1"/>
        <v>42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215</v>
      </c>
      <c r="D45" s="70" t="s">
        <v>198</v>
      </c>
      <c r="E45" s="55">
        <v>1</v>
      </c>
      <c r="F45" s="55">
        <v>35</v>
      </c>
      <c r="G45" s="55">
        <f t="shared" si="1"/>
        <v>35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216</v>
      </c>
      <c r="D46" s="70" t="s">
        <v>198</v>
      </c>
      <c r="E46" s="55">
        <v>1</v>
      </c>
      <c r="F46" s="55">
        <v>210</v>
      </c>
      <c r="G46" s="55">
        <f t="shared" si="1"/>
        <v>210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217</v>
      </c>
      <c r="D47" s="70" t="s">
        <v>198</v>
      </c>
      <c r="E47" s="55">
        <v>1</v>
      </c>
      <c r="F47" s="55">
        <v>205</v>
      </c>
      <c r="G47" s="55">
        <f t="shared" si="1"/>
        <v>205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218</v>
      </c>
      <c r="D48" s="70" t="s">
        <v>198</v>
      </c>
      <c r="E48" s="55">
        <v>1</v>
      </c>
      <c r="F48" s="55">
        <v>280</v>
      </c>
      <c r="G48" s="55">
        <f t="shared" si="1"/>
        <v>280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219</v>
      </c>
      <c r="D49" s="70" t="s">
        <v>198</v>
      </c>
      <c r="E49" s="55">
        <v>1</v>
      </c>
      <c r="F49" s="55">
        <v>410</v>
      </c>
      <c r="G49" s="55">
        <f t="shared" si="1"/>
        <v>410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220</v>
      </c>
      <c r="D50" s="70" t="s">
        <v>198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222</v>
      </c>
      <c r="D51" s="70" t="s">
        <v>198</v>
      </c>
      <c r="E51" s="55">
        <v>2</v>
      </c>
      <c r="F51" s="55">
        <v>6</v>
      </c>
      <c r="G51" s="55">
        <f t="shared" si="1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236</v>
      </c>
      <c r="D52" s="70" t="s">
        <v>198</v>
      </c>
      <c r="E52" s="55">
        <v>3</v>
      </c>
      <c r="F52" s="55">
        <v>25</v>
      </c>
      <c r="G52" s="55">
        <f t="shared" ref="G52:G53" si="2">E52*F52</f>
        <v>75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248</v>
      </c>
      <c r="D53" s="70" t="s">
        <v>198</v>
      </c>
      <c r="E53" s="55">
        <v>4</v>
      </c>
      <c r="F53" s="55">
        <v>8</v>
      </c>
      <c r="G53" s="55">
        <f t="shared" si="2"/>
        <v>32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si="1"/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1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9Wcqd2r6Q3ZRnNvczGGjnapEv5no9QyI/jLluZCFJbm/69ZQfMaHx7OwE79XInVpaMVcxgpcVlxI8UdyXyMtnA==" saltValue="H0vATdHd44Ls5P921EKt1g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223</v>
      </c>
      <c r="D13" s="55"/>
      <c r="E13" s="55">
        <v>45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224</v>
      </c>
      <c r="D14" s="55"/>
      <c r="E14" s="55">
        <v>100</v>
      </c>
      <c r="F14" s="55"/>
      <c r="G14" s="55">
        <v>100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145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2018-06-06T03:30:58Z</dcterms:modified>
</cp:coreProperties>
</file>