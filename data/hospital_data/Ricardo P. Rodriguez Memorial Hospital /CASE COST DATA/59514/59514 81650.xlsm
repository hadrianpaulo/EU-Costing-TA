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</workbook>
</file>

<file path=xl/calcChain.xml><?xml version="1.0" encoding="utf-8"?>
<calcChain xmlns="http://schemas.openxmlformats.org/spreadsheetml/2006/main">
  <c r="G56" i="9" l="1"/>
  <c r="J26" i="2"/>
  <c r="G17" i="9" l="1"/>
  <c r="G18" i="9"/>
  <c r="G16" i="9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<sst xmlns="http://schemas.openxmlformats.org/spreadsheetml/2006/main" count="564" uniqueCount="239">
  <si>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</si>
  <si>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</si>
  <si>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</si>
  <si>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</si>
  <si>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</si>
  <si>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</si>
  <si>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</si>
  <si>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</si>
  <si>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</si>
  <si>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</si>
  <si>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</si>
  <si>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</si>
  <si>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</si>
  <si>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</si>
  <si>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</si>
  <si>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</si>
  <si>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</si>
  <si>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</si>
  <si>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</si>
  <si>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</si>
  <si>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</si>
  <si>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</si>
  <si>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</si>
  <si>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</si>
  <si>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</si>
  <si>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</si>
  <si>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</si>
  <si>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</si>
  <si>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</si>
  <si>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</si>
  <si>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</si>
  <si>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</si>
  <si>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</si>
  <si>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</si>
  <si>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</si>
  <si>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</si>
  <si>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</si>
  <si>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</si>
  <si>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</si>
  <si>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</si>
  <si>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</si>
  <si>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</si>
  <si>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</si>
  <si>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</si>
  <si>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</si>
  <si>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</si>
  <si>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</si>
  <si>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</si>
  <si>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</si>
  <si>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</si>
  <si>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</si>
  <si>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</si>
  <si>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</si>
  <si>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</si>
  <si>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</si>
  <si>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</si>
  <si>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</si>
  <si>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</si>
  <si>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</si>
  <si>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</si>
  <si>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</si>
  <si>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</si>
  <si>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</si>
  <si>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</si>
  <si>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</si>
  <si>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</si>
  <si>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</si>
  <si>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</si>
  <si>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</si>
  <si>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</si>
  <si>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</si>
  <si>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</si>
  <si>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</si>
  <si>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</si>
  <si>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</si>
  <si>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</si>
  <si>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</si>
  <si>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</si>
  <si>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</si>
  <si>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</si>
  <si>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</si>
  <si>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</si>
  <si>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</si>
  <si>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</si>
  <si>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</si>
  <si>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</si>
  <si>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</si>
  <si>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</si>
  <si>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</si>
  <si>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</si>
  <si>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</si>
  <si>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</si>
  <si>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</si>
  <si>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</si>
  <si>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</si>
  <si>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</si>
  <si>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</si>
  <si>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</si>
  <si>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</si>
  <si>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</si>
  <si>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</si>
  <si>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</si>
  <si>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</si>
  <si>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</si>
  <si>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</si>
  <si>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</si>
  <si>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</si>
  <si>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</si>
  <si>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</si>
  <si>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</si>
  <si>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</si>
  <si>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</si>
  <si>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</si>
  <si>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</si>
  <si>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</si>
  <si>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</si>
  <si>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</si>
  <si>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</si>
  <si>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</si>
  <si>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</si>
  <si>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</si>
  <si>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</si>
  <si>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</si>
  <si>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</si>
  <si>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</si>
  <si>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</si>
  <si>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</si>
  <si>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</si>
  <si>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</si>
  <si>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</si>
  <si>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</si>
  <si>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</si>
  <si>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</si>
  <si>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</si>
  <si>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</si>
  <si>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</si>
  <si>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</si>
  <si>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</si>
  <si>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</si>
  <si>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</si>
  <si>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</si>
  <si>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</si>
  <si>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</si>
  <si>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</si>
  <si>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</si>
  <si>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</si>
  <si>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</si>
  <si>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</si>
  <si>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</si>
  <si>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</si>
  <si>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</si>
  <si>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</si>
  <si>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</si>
  <si>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</si>
  <si>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</si>
  <si>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</si>
  <si>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</si>
  <si>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</si>
  <si>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</si>
  <si>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</si>
  <si>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</si>
  <si>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</si>
  <si>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</si>
  <si>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</si>
  <si>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</si>
  <si>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</si>
  <si>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</si>
  <si>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</si>
  <si>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</si>
  <si>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</si>
  <si>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</si>
  <si>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</si>
  <si>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</si>
  <si>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</si>
  <si>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</si>
  <si>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</si>
  <si>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</si>
  <si>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</si>
  <si>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</si>
  <si>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</si>
  <si>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</si>
  <si>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</si>
  <si>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</si>
  <si>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</si>
  <si>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</si>
  <si>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</si>
  <si>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</si>
  <si>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</si>
  <si>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</si>
  <si>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</si>
  <si>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</si>
  <si>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</si>
  <si>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METHYLERGOMETHRINE MALEATE</t>
  </si>
  <si>
    <t>200MCG/ML</t>
  </si>
  <si>
    <t>POLYAMPULE, IV</t>
  </si>
  <si>
    <t>OXYTOCIN</t>
  </si>
  <si>
    <t>10IU/ML</t>
  </si>
  <si>
    <t>DICLOFENAC SODIUM</t>
  </si>
  <si>
    <t>NALBUPHINE</t>
  </si>
  <si>
    <t>10MG</t>
  </si>
  <si>
    <t>DIAZEPAM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</si>
  <si>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</si>
  <si>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</si>
  <si>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</si>
  <si>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</si>
  <si>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</si>
  <si>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</si>
  <si>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</si>
  <si>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</si>
  <si>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</si>
  <si>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</si>
  <si>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</si>
  <si>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</si>
  <si>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</si>
  <si>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</si>
  <si>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</si>
  <si>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</si>
  <si>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</si>
  <si>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</si>
  <si>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</si>
  <si>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</si>
  <si>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</si>
  <si>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</si>
  <si>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</si>
  <si>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</si>
  <si>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</si>
  <si>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</si>
  <si>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</si>
  <si>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1.0</t>
  </si>
  <si>
    <t>CHROMIC 2.0 DOUBLE ARM CUTTING</t>
  </si>
  <si>
    <t>VICRYL 1</t>
  </si>
  <si>
    <t>VICRYL 3-0</t>
  </si>
  <si>
    <t>POVIDONE IODINE</t>
  </si>
  <si>
    <t>ONDANESTERONE</t>
  </si>
  <si>
    <t>4MG/ML</t>
  </si>
  <si>
    <t>CLOPIDOGREL</t>
  </si>
  <si>
    <t>TABLET, ORAL</t>
  </si>
  <si>
    <t>75MG</t>
  </si>
  <si>
    <t>SPILINTADULT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</si>
</sst>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D66" sqref="D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2966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3283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30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1200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18439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8" workbookViewId="0">
      <selection activeCell="G24" sqref="G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4</v>
      </c>
      <c r="I11" s="55">
        <v>23</v>
      </c>
      <c r="J11" s="55">
        <f>H11*I11</f>
        <v>92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3</v>
      </c>
      <c r="I12" s="55">
        <v>80</v>
      </c>
      <c r="J12" s="55">
        <f t="shared" ref="J12:J26" si="0">H12*I12</f>
        <v>240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233</v>
      </c>
      <c r="D13" s="27" t="s">
        <v>188</v>
      </c>
      <c r="E13" s="27" t="s">
        <v>234</v>
      </c>
      <c r="F13" s="55">
        <v>0</v>
      </c>
      <c r="G13" s="55">
        <v>0</v>
      </c>
      <c r="H13" s="55">
        <v>1</v>
      </c>
      <c r="I13" s="55">
        <v>760</v>
      </c>
      <c r="J13" s="55">
        <f t="shared" si="0"/>
        <v>760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194</v>
      </c>
      <c r="E14" s="27" t="s">
        <v>191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188</v>
      </c>
      <c r="E15" s="27" t="s">
        <v>193</v>
      </c>
      <c r="F15" s="55">
        <v>0</v>
      </c>
      <c r="G15" s="55">
        <v>0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188</v>
      </c>
      <c r="E16" s="27" t="s">
        <v>196</v>
      </c>
      <c r="F16" s="55">
        <v>0</v>
      </c>
      <c r="G16" s="55">
        <v>0</v>
      </c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188</v>
      </c>
      <c r="E17" s="27" t="s">
        <v>189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198</v>
      </c>
      <c r="D18" s="27" t="s">
        <v>188</v>
      </c>
      <c r="E18" s="27" t="s">
        <v>199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188</v>
      </c>
      <c r="E19" s="27" t="s">
        <v>191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201</v>
      </c>
      <c r="D20" s="27" t="s">
        <v>202</v>
      </c>
      <c r="E20" s="27" t="s">
        <v>184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203</v>
      </c>
      <c r="D21" s="27" t="s">
        <v>202</v>
      </c>
      <c r="E21" s="27" t="s">
        <v>184</v>
      </c>
      <c r="F21" s="55">
        <v>0</v>
      </c>
      <c r="G21" s="55">
        <v>0</v>
      </c>
      <c r="H21" s="55">
        <v>9</v>
      </c>
      <c r="I21" s="55">
        <v>4</v>
      </c>
      <c r="J21" s="55">
        <f t="shared" si="0"/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204</v>
      </c>
      <c r="D22" s="27" t="s">
        <v>205</v>
      </c>
      <c r="E22" s="27" t="s">
        <v>199</v>
      </c>
      <c r="F22" s="55">
        <v>0</v>
      </c>
      <c r="G22" s="55"/>
      <c r="H22" s="55">
        <v>2</v>
      </c>
      <c r="I22" s="55">
        <v>55</v>
      </c>
      <c r="J22" s="55">
        <f t="shared" si="0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235</v>
      </c>
      <c r="D23" s="27" t="s">
        <v>236</v>
      </c>
      <c r="E23" s="27" t="s">
        <v>237</v>
      </c>
      <c r="F23" s="55">
        <v>0</v>
      </c>
      <c r="G23" s="55">
        <v>0</v>
      </c>
      <c r="H23" s="55">
        <v>20</v>
      </c>
      <c r="I23" s="55">
        <v>25</v>
      </c>
      <c r="J23" s="55">
        <f t="shared" si="0"/>
        <v>500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topLeftCell="A7" workbookViewId="0">
      <selection activeCell="G60" sqref="G6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216</v>
      </c>
      <c r="D16" s="70" t="s">
        <v>207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210</v>
      </c>
      <c r="D17" s="70" t="s">
        <v>207</v>
      </c>
      <c r="E17" s="55">
        <v>1</v>
      </c>
      <c r="F17" s="55">
        <v>65</v>
      </c>
      <c r="G17" s="55">
        <f t="shared" ref="G17:G18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232</v>
      </c>
      <c r="D18" s="70" t="s">
        <v>207</v>
      </c>
      <c r="E18" s="55">
        <v>1</v>
      </c>
      <c r="F18" s="55">
        <v>116</v>
      </c>
      <c r="G18" s="55">
        <f t="shared" si="0"/>
        <v>116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206</v>
      </c>
      <c r="D28" s="70" t="s">
        <v>207</v>
      </c>
      <c r="E28" s="55">
        <v>2</v>
      </c>
      <c r="F28" s="55">
        <v>32</v>
      </c>
      <c r="G28" s="55">
        <f>E28*F28</f>
        <v>64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208</v>
      </c>
      <c r="D29" s="70" t="s">
        <v>207</v>
      </c>
      <c r="E29" s="55">
        <v>2</v>
      </c>
      <c r="F29" s="55">
        <v>61</v>
      </c>
      <c r="G29" s="55">
        <f t="shared" ref="G29:G56" si="1">E29*F29</f>
        <v>122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209</v>
      </c>
      <c r="D30" s="70" t="s">
        <v>207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210</v>
      </c>
      <c r="D31" s="70" t="s">
        <v>207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211</v>
      </c>
      <c r="D32" s="70" t="s">
        <v>207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212</v>
      </c>
      <c r="D33" s="70" t="s">
        <v>207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213</v>
      </c>
      <c r="D34" s="70" t="s">
        <v>207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214</v>
      </c>
      <c r="D35" s="70" t="s">
        <v>207</v>
      </c>
      <c r="E35" s="55">
        <v>5</v>
      </c>
      <c r="F35" s="55">
        <v>45</v>
      </c>
      <c r="G35" s="55">
        <f t="shared" si="1"/>
        <v>225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215</v>
      </c>
      <c r="D36" s="70" t="s">
        <v>207</v>
      </c>
      <c r="E36" s="55">
        <v>6</v>
      </c>
      <c r="F36" s="55">
        <v>6</v>
      </c>
      <c r="G36" s="55">
        <f t="shared" si="1"/>
        <v>36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216</v>
      </c>
      <c r="D37" s="70" t="s">
        <v>207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217</v>
      </c>
      <c r="D38" s="70" t="s">
        <v>207</v>
      </c>
      <c r="E38" s="55">
        <v>4</v>
      </c>
      <c r="F38" s="55">
        <v>65</v>
      </c>
      <c r="G38" s="55">
        <f t="shared" si="1"/>
        <v>260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218</v>
      </c>
      <c r="D39" s="70" t="s">
        <v>207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219</v>
      </c>
      <c r="D40" s="70" t="s">
        <v>207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220</v>
      </c>
      <c r="D41" s="70" t="s">
        <v>207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221</v>
      </c>
      <c r="D42" s="70" t="s">
        <v>207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222</v>
      </c>
      <c r="D43" s="70" t="s">
        <v>207</v>
      </c>
      <c r="E43" s="55">
        <v>6</v>
      </c>
      <c r="F43" s="55">
        <v>7</v>
      </c>
      <c r="G43" s="55">
        <f t="shared" si="1"/>
        <v>42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223</v>
      </c>
      <c r="D44" s="70" t="s">
        <v>207</v>
      </c>
      <c r="E44" s="55">
        <v>6</v>
      </c>
      <c r="F44" s="55">
        <v>6</v>
      </c>
      <c r="G44" s="55">
        <f t="shared" si="1"/>
        <v>36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224</v>
      </c>
      <c r="D45" s="70" t="s">
        <v>207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225</v>
      </c>
      <c r="D46" s="70" t="s">
        <v>207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226</v>
      </c>
      <c r="D47" s="70" t="s">
        <v>207</v>
      </c>
      <c r="E47" s="55">
        <v>24</v>
      </c>
      <c r="F47" s="55">
        <v>4</v>
      </c>
      <c r="G47" s="55">
        <f t="shared" si="1"/>
        <v>96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227</v>
      </c>
      <c r="D48" s="70" t="s">
        <v>207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228</v>
      </c>
      <c r="D49" s="70" t="s">
        <v>207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229</v>
      </c>
      <c r="D50" s="70" t="s">
        <v>207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230</v>
      </c>
      <c r="D51" s="70" t="s">
        <v>207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231</v>
      </c>
      <c r="D52" s="70" t="s">
        <v>207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238</v>
      </c>
      <c r="D53" s="70" t="s">
        <v>207</v>
      </c>
      <c r="E53" s="55">
        <v>1</v>
      </c>
      <c r="F53" s="55">
        <v>110</v>
      </c>
      <c r="G53" s="55">
        <f t="shared" si="1"/>
        <v>110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si="1"/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1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Pasx16hezAYrBBx5yZPVWHyjDwTipjHlIj+wcamquxOOD5CnoSVy7rIyTUORYzjOGQo5Ztz4T70y6eeME5Yc4Q==" saltValue="99RkrJ+0v9M6dKEJE75pbw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90</v>
      </c>
      <c r="F14" s="55"/>
      <c r="G14" s="55">
        <v>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120</v>
      </c>
      <c r="F30" s="88">
        <f t="shared" si="1"/>
        <v>0</v>
      </c>
      <c r="G30" s="88">
        <f t="shared" si="1"/>
        <v>135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2018-06-05T04:01:50Z</dcterms:modified>
</cp:coreProperties>
</file>