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J31" i="2" l="1"/>
  <c r="J30" i="2"/>
  <c r="J29" i="2"/>
  <c r="J28" i="2"/>
  <c r="J26" i="2"/>
  <c r="G58" i="9" l="1"/>
  <c r="G57" i="9"/>
  <c r="G56" i="9"/>
  <c r="G18" i="9"/>
  <c r="J25" i="2" l="1"/>
  <c r="J24" i="2"/>
  <c r="J23" i="2"/>
  <c r="J22" i="2"/>
  <c r="J27" i="2"/>
  <c r="G60" i="9"/>
  <c r="G59" i="9"/>
  <c r="G17" i="9"/>
  <c r="J21" i="2" l="1"/>
  <c r="J20" i="2"/>
  <c r="J19" i="2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6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<sst xmlns="http://schemas.openxmlformats.org/spreadsheetml/2006/main" count="586" uniqueCount="251">
  <si>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</si>
  <si>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</si>
  <si>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</si>
  <si>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</si>
  <si>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</si>
  <si>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</si>
  <si>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</si>
  <si>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</si>
  <si>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</si>
  <si>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</si>
  <si>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</si>
  <si>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</si>
  <si>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</si>
  <si>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</si>
  <si>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</si>
  <si>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</si>
  <si>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</si>
  <si>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</si>
  <si>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</si>
  <si>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</si>
  <si>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</si>
  <si>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</si>
  <si>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</si>
  <si>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</si>
  <si>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</si>
  <si>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</si>
  <si>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</si>
  <si>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</si>
  <si>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</si>
  <si>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</si>
  <si>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</si>
  <si>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</si>
  <si>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</si>
  <si>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</si>
  <si>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</si>
  <si>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</si>
  <si>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</si>
  <si>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</si>
  <si>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</si>
  <si>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</si>
  <si>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</si>
  <si>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</si>
  <si>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</si>
  <si>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</si>
  <si>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</si>
  <si>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</si>
  <si>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</si>
  <si>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</si>
  <si>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</si>
  <si>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</si>
  <si>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</si>
  <si>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</si>
  <si>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</si>
  <si>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</si>
  <si>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</si>
  <si>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</si>
  <si>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</si>
  <si>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</si>
  <si>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</si>
  <si>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</si>
  <si>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</si>
  <si>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</si>
  <si>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</si>
  <si>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</si>
  <si>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</si>
  <si>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</si>
  <si>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</si>
  <si>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</si>
  <si>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</si>
  <si>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</si>
  <si>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</si>
  <si>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</si>
  <si>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</si>
  <si>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</si>
  <si>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</si>
  <si>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</si>
  <si>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</si>
  <si>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</si>
  <si>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</si>
  <si>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</si>
  <si>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</si>
  <si>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</si>
  <si>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</si>
  <si>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</si>
  <si>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</si>
  <si>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</si>
  <si>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</si>
  <si>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</si>
  <si>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</si>
  <si>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</si>
  <si>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</si>
  <si>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</si>
  <si>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</si>
  <si>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</si>
  <si>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</si>
  <si>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</si>
  <si>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</si>
  <si>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</si>
  <si>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</si>
  <si>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</si>
  <si>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</si>
  <si>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</si>
  <si>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</si>
  <si>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</si>
  <si>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</si>
  <si>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</si>
  <si>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</si>
  <si>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</si>
  <si>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</si>
  <si>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</si>
  <si>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</si>
  <si>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</si>
  <si>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</si>
  <si>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</si>
  <si>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</si>
  <si>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</si>
  <si>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</si>
  <si>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</si>
  <si>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</si>
  <si>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</si>
  <si>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</si>
  <si>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</si>
  <si>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</si>
  <si>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</si>
  <si>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</si>
  <si>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</si>
  <si>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</si>
  <si>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</si>
  <si>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</si>
  <si>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</si>
  <si>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</si>
  <si>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</si>
  <si>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</si>
  <si>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</si>
  <si>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</si>
  <si>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</si>
  <si>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</si>
  <si>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</si>
  <si>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</si>
  <si>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</si>
  <si>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</si>
  <si>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</si>
  <si>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</si>
  <si>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</si>
  <si>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</si>
  <si>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</si>
  <si>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</si>
  <si>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</si>
  <si>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</si>
  <si>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</si>
  <si>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</si>
  <si>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</si>
  <si>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</si>
  <si>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</si>
  <si>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</si>
  <si>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</si>
  <si>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</si>
  <si>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</si>
  <si>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</si>
  <si>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</si>
  <si>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</si>
  <si>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</si>
  <si>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</si>
  <si>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</si>
  <si>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</si>
  <si>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</si>
  <si>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</si>
  <si>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</si>
  <si>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</si>
  <si>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</si>
  <si>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</si>
  <si>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</si>
  <si>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</si>
  <si>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</si>
  <si>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</si>
  <si>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</si>
  <si>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</si>
  <si>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</si>
  <si>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</si>
  <si>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</si>
  <si>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</si>
  <si>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</si>
  <si>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</si>
  <si>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</si>
  <si>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</si>
  <si>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</si>
  <si>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</si>
  <si>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</si>
  <si>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</si>
  <si>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</si>
  <si>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</si>
  <si>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</si>
  <si>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POLYAMPULE, IV</t>
  </si>
  <si>
    <t>OXYTOCIN</t>
  </si>
  <si>
    <t>10IU/ML</t>
  </si>
  <si>
    <t>DICLOFENAC SODIUM</t>
  </si>
  <si>
    <t>NALBUPHINE</t>
  </si>
  <si>
    <t>10MG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</si>
  <si>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</si>
  <si>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</si>
  <si>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</si>
  <si>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</si>
  <si>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</si>
  <si>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</si>
  <si>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</si>
  <si>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</si>
  <si>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</si>
  <si>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</si>
  <si>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</si>
  <si>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</si>
  <si>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</si>
  <si>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</si>
  <si>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</si>
  <si>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</si>
  <si>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</si>
  <si>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</si>
  <si>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</si>
  <si>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</si>
  <si>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</si>
  <si>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</si>
  <si>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</si>
  <si>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</si>
  <si>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</si>
  <si>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</si>
  <si>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</si>
  <si>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</si>
  <si>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</si>
  <si>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</si>
  <si>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</si>
  <si>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ID BRACELET</t>
  </si>
  <si>
    <t>pc</t>
  </si>
  <si>
    <t xml:space="preserve">CHROMIC 1-0 </t>
  </si>
  <si>
    <t>PROMETHAZINE</t>
  </si>
  <si>
    <t>25MG/ML</t>
  </si>
  <si>
    <t>DIAZEPAM</t>
  </si>
  <si>
    <t>200MCG/ML</t>
  </si>
  <si>
    <t>KETOROLAC</t>
  </si>
  <si>
    <t>30MG/ML</t>
  </si>
  <si>
    <t>RADITINE</t>
  </si>
  <si>
    <t>METOCLOPROMIDE</t>
  </si>
  <si>
    <t>5MG/2ML</t>
  </si>
  <si>
    <t>EPHEDRINE SULFATE</t>
  </si>
  <si>
    <t>50MG/ML</t>
  </si>
  <si>
    <t>METHYLERGOMETRINE MALEATE</t>
  </si>
  <si>
    <t>MIDAZOLAM</t>
  </si>
  <si>
    <t>1MG/3ML</t>
  </si>
  <si>
    <t>D5W</t>
  </si>
  <si>
    <t>ATROPINE SULFATE</t>
  </si>
  <si>
    <t>1MG/ML</t>
  </si>
  <si>
    <t>TRAMADOL</t>
  </si>
  <si>
    <t>OXYGEN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</si>
</sst>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42" zoomScaleNormal="100" workbookViewId="0">
      <selection activeCell="B38" sqref="B38:F3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0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0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0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0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2785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3076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17371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9" workbookViewId="0">
      <selection activeCell="J32" sqref="J3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12</v>
      </c>
      <c r="I11" s="55">
        <v>23</v>
      </c>
      <c r="J11" s="55">
        <f>H11*I11</f>
        <v>276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6</v>
      </c>
      <c r="I12" s="55">
        <v>80</v>
      </c>
      <c r="J12" s="55">
        <f t="shared" ref="J12:J18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243</v>
      </c>
      <c r="D13" s="27" t="s">
        <v>188</v>
      </c>
      <c r="E13" s="27" t="s">
        <v>235</v>
      </c>
      <c r="F13" s="55">
        <v>0</v>
      </c>
      <c r="G13" s="55">
        <v>0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192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188</v>
      </c>
      <c r="E15" s="27" t="s">
        <v>194</v>
      </c>
      <c r="F15" s="55">
        <v>0</v>
      </c>
      <c r="G15" s="55">
        <v>0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188</v>
      </c>
      <c r="E16" s="27" t="s">
        <v>189</v>
      </c>
      <c r="F16" s="55">
        <v>0</v>
      </c>
      <c r="G16" s="55">
        <v>0</v>
      </c>
      <c r="H16" s="55">
        <v>0</v>
      </c>
      <c r="I16" s="55">
        <v>30</v>
      </c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188</v>
      </c>
      <c r="E17" s="27" t="s">
        <v>197</v>
      </c>
      <c r="F17" s="55">
        <v>0</v>
      </c>
      <c r="G17" s="55">
        <v>0</v>
      </c>
      <c r="H17" s="55">
        <v>1</v>
      </c>
      <c r="I17" s="55">
        <v>125</v>
      </c>
      <c r="J17" s="55">
        <f t="shared" si="0"/>
        <v>125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199</v>
      </c>
      <c r="E18" s="27" t="s">
        <v>184</v>
      </c>
      <c r="F18" s="55">
        <v>0</v>
      </c>
      <c r="G18" s="55">
        <v>0</v>
      </c>
      <c r="H18" s="55">
        <v>21</v>
      </c>
      <c r="I18" s="55">
        <v>8</v>
      </c>
      <c r="J18" s="55">
        <f t="shared" si="0"/>
        <v>168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199</v>
      </c>
      <c r="E19" s="27" t="s">
        <v>184</v>
      </c>
      <c r="F19" s="55">
        <v>0</v>
      </c>
      <c r="G19" s="55">
        <v>0</v>
      </c>
      <c r="H19" s="55">
        <v>9</v>
      </c>
      <c r="I19" s="55">
        <v>4</v>
      </c>
      <c r="J19" s="55">
        <f t="shared" ref="J19:J30" si="1">H19*I19</f>
        <v>36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201</v>
      </c>
      <c r="D20" s="27" t="s">
        <v>202</v>
      </c>
      <c r="E20" s="27" t="s">
        <v>197</v>
      </c>
      <c r="F20" s="55">
        <v>0</v>
      </c>
      <c r="G20" s="55"/>
      <c r="H20" s="55">
        <v>2</v>
      </c>
      <c r="I20" s="55">
        <v>55</v>
      </c>
      <c r="J20" s="55">
        <f t="shared" si="1"/>
        <v>110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232</v>
      </c>
      <c r="D21" s="27" t="s">
        <v>188</v>
      </c>
      <c r="E21" s="27"/>
      <c r="F21" s="55">
        <v>0</v>
      </c>
      <c r="G21" s="55">
        <v>0</v>
      </c>
      <c r="H21" s="55">
        <v>0</v>
      </c>
      <c r="I21" s="55">
        <v>0</v>
      </c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234</v>
      </c>
      <c r="D22" s="27" t="s">
        <v>188</v>
      </c>
      <c r="E22" s="27" t="s">
        <v>191</v>
      </c>
      <c r="F22" s="55">
        <v>0</v>
      </c>
      <c r="G22" s="55">
        <v>0</v>
      </c>
      <c r="H22" s="55">
        <v>0</v>
      </c>
      <c r="I22" s="55">
        <v>135</v>
      </c>
      <c r="J22" s="55">
        <f t="shared" ref="J22:J26" si="2">H22*I22</f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236</v>
      </c>
      <c r="D23" s="27" t="s">
        <v>188</v>
      </c>
      <c r="E23" s="27" t="s">
        <v>237</v>
      </c>
      <c r="F23" s="55">
        <v>0</v>
      </c>
      <c r="G23" s="55">
        <v>0</v>
      </c>
      <c r="H23" s="55">
        <v>4</v>
      </c>
      <c r="I23" s="55">
        <v>120</v>
      </c>
      <c r="J23" s="55">
        <f t="shared" si="2"/>
        <v>480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238</v>
      </c>
      <c r="D24" s="27" t="s">
        <v>188</v>
      </c>
      <c r="E24" s="27" t="s">
        <v>233</v>
      </c>
      <c r="F24" s="55">
        <v>0</v>
      </c>
      <c r="G24" s="55">
        <v>0</v>
      </c>
      <c r="H24" s="55">
        <v>1</v>
      </c>
      <c r="I24" s="55">
        <v>35</v>
      </c>
      <c r="J24" s="55">
        <f t="shared" si="2"/>
        <v>35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239</v>
      </c>
      <c r="D25" s="27" t="s">
        <v>188</v>
      </c>
      <c r="E25" s="27" t="s">
        <v>240</v>
      </c>
      <c r="F25" s="55">
        <v>0</v>
      </c>
      <c r="G25" s="55">
        <v>0</v>
      </c>
      <c r="H25" s="55">
        <v>1</v>
      </c>
      <c r="I25" s="55">
        <v>20</v>
      </c>
      <c r="J25" s="55">
        <f t="shared" si="2"/>
        <v>20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244</v>
      </c>
      <c r="D26" s="27" t="s">
        <v>188</v>
      </c>
      <c r="E26" s="27" t="s">
        <v>245</v>
      </c>
      <c r="F26" s="55">
        <v>0</v>
      </c>
      <c r="G26" s="55">
        <v>0</v>
      </c>
      <c r="H26" s="55">
        <v>1</v>
      </c>
      <c r="I26" s="55">
        <v>210</v>
      </c>
      <c r="J26" s="55">
        <f t="shared" si="2"/>
        <v>210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241</v>
      </c>
      <c r="D27" s="27" t="s">
        <v>188</v>
      </c>
      <c r="E27" s="27" t="s">
        <v>242</v>
      </c>
      <c r="F27" s="55">
        <v>0</v>
      </c>
      <c r="G27" s="55">
        <v>0</v>
      </c>
      <c r="H27" s="55">
        <v>0</v>
      </c>
      <c r="I27" s="55">
        <v>75</v>
      </c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246</v>
      </c>
      <c r="D28" s="27" t="s">
        <v>186</v>
      </c>
      <c r="E28" s="27" t="s">
        <v>187</v>
      </c>
      <c r="F28" s="55">
        <v>0</v>
      </c>
      <c r="G28" s="55">
        <v>0</v>
      </c>
      <c r="H28" s="55"/>
      <c r="I28" s="55">
        <v>80</v>
      </c>
      <c r="J28" s="55">
        <f t="shared" si="1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 t="s">
        <v>247</v>
      </c>
      <c r="D29" s="27" t="s">
        <v>188</v>
      </c>
      <c r="E29" s="27" t="s">
        <v>248</v>
      </c>
      <c r="F29" s="55">
        <v>0</v>
      </c>
      <c r="G29" s="55">
        <v>0</v>
      </c>
      <c r="H29" s="55"/>
      <c r="I29" s="55">
        <v>20</v>
      </c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 t="s">
        <v>249</v>
      </c>
      <c r="D30" s="27" t="s">
        <v>188</v>
      </c>
      <c r="E30" s="27" t="s">
        <v>242</v>
      </c>
      <c r="F30" s="55">
        <v>0</v>
      </c>
      <c r="G30" s="55">
        <v>0</v>
      </c>
      <c r="H30" s="55">
        <v>1</v>
      </c>
      <c r="I30" s="55">
        <v>65</v>
      </c>
      <c r="J30" s="55">
        <f t="shared" si="1"/>
        <v>65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>SUM(J11:J30)</f>
        <v>2785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workbookViewId="0">
      <selection activeCell="E43" sqref="E4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213</v>
      </c>
      <c r="D16" s="70" t="s">
        <v>204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228</v>
      </c>
      <c r="D17" s="70" t="s">
        <v>204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230</v>
      </c>
      <c r="E18" s="55">
        <v>1</v>
      </c>
      <c r="F18" s="55">
        <v>65</v>
      </c>
      <c r="G18" s="55">
        <f>E18*F18</f>
        <v>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203</v>
      </c>
      <c r="D28" s="70" t="s">
        <v>204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205</v>
      </c>
      <c r="D29" s="70" t="s">
        <v>204</v>
      </c>
      <c r="E29" s="55">
        <v>2</v>
      </c>
      <c r="F29" s="55">
        <v>61</v>
      </c>
      <c r="G29" s="55">
        <f t="shared" ref="G29:G60" si="1">E29*F29</f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206</v>
      </c>
      <c r="D30" s="70" t="s">
        <v>204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207</v>
      </c>
      <c r="D31" s="70" t="s">
        <v>204</v>
      </c>
      <c r="E31" s="55">
        <v>0</v>
      </c>
      <c r="F31" s="55">
        <v>65</v>
      </c>
      <c r="G31" s="55">
        <f t="shared" si="1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208</v>
      </c>
      <c r="D32" s="70" t="s">
        <v>204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209</v>
      </c>
      <c r="D33" s="70" t="s">
        <v>204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210</v>
      </c>
      <c r="D34" s="70" t="s">
        <v>204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211</v>
      </c>
      <c r="D35" s="70" t="s">
        <v>204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212</v>
      </c>
      <c r="D36" s="70" t="s">
        <v>204</v>
      </c>
      <c r="E36" s="55">
        <v>7</v>
      </c>
      <c r="F36" s="55">
        <v>6</v>
      </c>
      <c r="G36" s="55">
        <f t="shared" si="1"/>
        <v>42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213</v>
      </c>
      <c r="D37" s="70" t="s">
        <v>204</v>
      </c>
      <c r="E37" s="55">
        <v>50</v>
      </c>
      <c r="F37" s="55">
        <v>3</v>
      </c>
      <c r="G37" s="55">
        <f t="shared" si="1"/>
        <v>150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214</v>
      </c>
      <c r="D38" s="70" t="s">
        <v>204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215</v>
      </c>
      <c r="D39" s="70" t="s">
        <v>204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216</v>
      </c>
      <c r="D40" s="70" t="s">
        <v>204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217</v>
      </c>
      <c r="D41" s="70" t="s">
        <v>204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218</v>
      </c>
      <c r="D42" s="70" t="s">
        <v>204</v>
      </c>
      <c r="E42" s="55">
        <v>0</v>
      </c>
      <c r="F42" s="55">
        <v>25</v>
      </c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219</v>
      </c>
      <c r="D43" s="70" t="s">
        <v>204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220</v>
      </c>
      <c r="D44" s="70" t="s">
        <v>204</v>
      </c>
      <c r="E44" s="55">
        <v>7</v>
      </c>
      <c r="F44" s="55">
        <v>6</v>
      </c>
      <c r="G44" s="55">
        <f t="shared" si="1"/>
        <v>42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221</v>
      </c>
      <c r="D45" s="70" t="s">
        <v>204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222</v>
      </c>
      <c r="D46" s="70" t="s">
        <v>204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223</v>
      </c>
      <c r="D47" s="70" t="s">
        <v>204</v>
      </c>
      <c r="E47" s="55">
        <v>25</v>
      </c>
      <c r="F47" s="55">
        <v>4</v>
      </c>
      <c r="G47" s="55">
        <f t="shared" si="1"/>
        <v>100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224</v>
      </c>
      <c r="D48" s="70" t="s">
        <v>204</v>
      </c>
      <c r="E48" s="55">
        <v>0</v>
      </c>
      <c r="F48" s="55">
        <v>25</v>
      </c>
      <c r="G48" s="55">
        <f t="shared" si="1"/>
        <v>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231</v>
      </c>
      <c r="D49" s="70" t="s">
        <v>204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225</v>
      </c>
      <c r="D50" s="70" t="s">
        <v>204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226</v>
      </c>
      <c r="D51" s="70" t="s">
        <v>204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227</v>
      </c>
      <c r="D52" s="70" t="s">
        <v>204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229</v>
      </c>
      <c r="D53" s="70" t="s">
        <v>204</v>
      </c>
      <c r="E53" s="55">
        <v>1</v>
      </c>
      <c r="F53" s="55">
        <v>7</v>
      </c>
      <c r="G53" s="55">
        <f t="shared" si="1"/>
        <v>7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250</v>
      </c>
      <c r="D54" s="70" t="s">
        <v>204</v>
      </c>
      <c r="E54" s="55">
        <v>1</v>
      </c>
      <c r="F54" s="55">
        <v>100</v>
      </c>
      <c r="G54" s="55">
        <f t="shared" si="1"/>
        <v>100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ref="G56:G58" si="2">E56*F56</f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 t="shared" si="2"/>
        <v>0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/>
      <c r="D58" s="70"/>
      <c r="E58" s="55"/>
      <c r="F58" s="55"/>
      <c r="G58" s="55">
        <f t="shared" si="2"/>
        <v>0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/>
      <c r="D59" s="70"/>
      <c r="E59" s="55"/>
      <c r="F59" s="55"/>
      <c r="G59" s="55">
        <f t="shared" si="1"/>
        <v>0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/>
      <c r="D60" s="70"/>
      <c r="E60" s="55"/>
      <c r="F60" s="55"/>
      <c r="G60" s="55">
        <f t="shared" si="1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2835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9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35</v>
      </c>
      <c r="F14" s="55"/>
      <c r="G14" s="55">
        <v>35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80</v>
      </c>
      <c r="F30" s="88">
        <f t="shared" si="1"/>
        <v>0</v>
      </c>
      <c r="G30" s="88">
        <f t="shared" si="1"/>
        <v>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2018-06-11T08:41:42Z</dcterms:modified>
</cp:coreProperties>
</file>