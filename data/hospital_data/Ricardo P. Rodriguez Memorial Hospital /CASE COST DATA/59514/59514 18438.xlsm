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DESKTOP FILES\FINAL OUTPUT\case cost 59514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Supplies_Medical'!$C$15:$C$72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Drugs&amp;Med'!$B$2:$J$32</definedName>
  </definedNames>
  <calcPr calcId="162913"/>
</workbook>
</file>

<file path=xl/calcChain.xml><?xml version="1.0" encoding="utf-8"?>
<calcChain xmlns="http://schemas.openxmlformats.org/spreadsheetml/2006/main">
  <c r="G58" i="9" l="1"/>
  <c r="G57" i="9"/>
  <c r="G56" i="9"/>
  <c r="G18" i="9"/>
  <c r="J25" i="2" l="1"/>
  <c r="J24" i="2"/>
  <c r="J23" i="2"/>
  <c r="J22" i="2"/>
  <c r="J27" i="2"/>
  <c r="G60" i="9"/>
  <c r="G59" i="9"/>
  <c r="G17" i="9"/>
  <c r="J21" i="2" l="1"/>
  <c r="J20" i="2"/>
  <c r="J19" i="2"/>
  <c r="G16" i="9" l="1"/>
  <c r="G55" i="9"/>
  <c r="G54" i="9"/>
  <c r="G53" i="9"/>
  <c r="G52" i="9"/>
  <c r="G51" i="9"/>
  <c r="G50" i="9"/>
  <c r="G49" i="9"/>
  <c r="G48" i="9"/>
  <c r="G47" i="9"/>
  <c r="G38" i="9"/>
  <c r="G39" i="9"/>
  <c r="G40" i="9"/>
  <c r="G41" i="9"/>
  <c r="G42" i="9"/>
  <c r="G43" i="9"/>
  <c r="G44" i="9"/>
  <c r="G45" i="9"/>
  <c r="G46" i="9"/>
  <c r="G29" i="9"/>
  <c r="G30" i="9"/>
  <c r="G31" i="9"/>
  <c r="G32" i="9"/>
  <c r="G33" i="9"/>
  <c r="G34" i="9"/>
  <c r="G35" i="9"/>
  <c r="G36" i="9"/>
  <c r="G37" i="9"/>
  <c r="G28" i="9"/>
  <c r="J12" i="2"/>
  <c r="J13" i="2"/>
  <c r="J14" i="2"/>
  <c r="J15" i="2"/>
  <c r="J16" i="2"/>
  <c r="J17" i="2"/>
  <c r="J18" i="2"/>
  <c r="G61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J29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<sst xmlns="http://schemas.openxmlformats.org/spreadsheetml/2006/main" count="569" uniqueCount="242">
  <si>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</si>
  <si>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</si>
  <si>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</si>
  <si>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</si>
  <si>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</si>
  <si>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</si>
  <si>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</si>
  <si>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</si>
  <si>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</si>
  <si>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</si>
  <si>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</si>
  <si>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</si>
  <si>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</si>
  <si>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</si>
  <si>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</si>
  <si>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</si>
  <si>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</si>
  <si>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</si>
  <si>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</si>
  <si>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</si>
  <si>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</si>
  <si>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</si>
  <si>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</si>
  <si>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</si>
  <si>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</si>
  <si>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</si>
  <si>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</si>
  <si>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</si>
  <si>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</si>
  <si>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</si>
  <si>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</si>
  <si>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</si>
  <si>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</si>
  <si>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</si>
  <si>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</si>
  <si>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</si>
  <si>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</si>
  <si>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</si>
  <si>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</si>
  <si>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</si>
  <si>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</si>
  <si>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</si>
  <si>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</si>
  <si>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</si>
  <si>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</si>
  <si>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</si>
  <si>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</si>
  <si>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</si>
  <si>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</si>
  <si>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</si>
  <si>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</si>
  <si>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</si>
  <si>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</si>
  <si>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</si>
  <si>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</si>
  <si>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</si>
  <si>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</si>
  <si>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</si>
  <si>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</si>
  <si>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</si>
  <si>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</si>
  <si>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</si>
  <si>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</si>
  <si>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</si>
  <si>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</si>
  <si>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</si>
  <si>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</si>
  <si>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</si>
  <si>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</si>
  <si>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</si>
  <si>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</si>
  <si>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</si>
  <si>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</si>
  <si>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</si>
  <si>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</si>
  <si>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</si>
  <si>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</si>
  <si>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</si>
  <si>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</si>
  <si>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</si>
  <si>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</si>
  <si>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</si>
  <si>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</si>
  <si>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</si>
  <si>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</si>
  <si>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</si>
  <si>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</si>
  <si>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</si>
  <si>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</si>
  <si>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</si>
  <si>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</si>
  <si>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</si>
  <si>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</si>
  <si>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</si>
  <si>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</si>
  <si>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</si>
  <si>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</si>
  <si>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</si>
  <si>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</si>
  <si>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</si>
  <si>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</si>
  <si>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</si>
  <si>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</si>
  <si>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</si>
  <si>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</si>
  <si>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</si>
  <si>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</si>
  <si>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</si>
  <si>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</si>
  <si>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</si>
  <si>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</si>
  <si>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</si>
  <si>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</si>
  <si>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</si>
  <si>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</si>
  <si>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</si>
  <si>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</si>
  <si>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</si>
  <si>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</si>
  <si>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</si>
  <si>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</si>
  <si>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</si>
  <si>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</si>
  <si>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</si>
  <si>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</si>
  <si>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</si>
  <si>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</si>
  <si>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</si>
  <si>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</si>
  <si>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</si>
  <si>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</si>
  <si>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</si>
  <si>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</si>
  <si>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</si>
  <si>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</si>
  <si>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</si>
  <si>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</si>
  <si>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</si>
  <si>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</si>
  <si>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</si>
  <si>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</si>
  <si>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</si>
  <si>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</si>
  <si>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</si>
  <si>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</si>
  <si>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</si>
  <si>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</si>
  <si>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</si>
  <si>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</si>
  <si>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</si>
  <si>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</si>
  <si>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</si>
  <si>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</si>
  <si>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</si>
  <si>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</si>
  <si>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</si>
  <si>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</si>
  <si>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</si>
  <si>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</si>
  <si>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</si>
  <si>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</si>
  <si>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</si>
  <si>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</si>
  <si>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</si>
  <si>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</si>
  <si>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CESAREAN SECTION</t>
  </si>
  <si>
    <t>HbsAg</t>
  </si>
  <si>
    <t>VDRL (SYPHILLIS)</t>
  </si>
  <si>
    <t>CBC, BLOOD TYPING</t>
  </si>
  <si>
    <t>CLOTTING TIME- BLEEDNG TIME</t>
  </si>
  <si>
    <t>ECG</t>
  </si>
  <si>
    <t>DRUGS AND MEDICINE</t>
  </si>
  <si>
    <t>MEDICAL SUPPLIES</t>
  </si>
  <si>
    <t>OXYGEN</t>
  </si>
  <si>
    <t>LABORATORY EXAM</t>
  </si>
  <si>
    <t>BC/DC</t>
  </si>
  <si>
    <t>OPERATING ROOM FEE</t>
  </si>
  <si>
    <t>LABOR ROOM FEE</t>
  </si>
  <si>
    <t>GARBAGE FEE</t>
  </si>
  <si>
    <t>ROOM AND BOARD</t>
  </si>
  <si>
    <t>PF</t>
  </si>
  <si>
    <t>ANESTHESIOLOGIST FEE</t>
  </si>
  <si>
    <t>AMPICILLIN</t>
  </si>
  <si>
    <t>POWDER, IV</t>
  </si>
  <si>
    <t>500MG</t>
  </si>
  <si>
    <t>D5LRS</t>
  </si>
  <si>
    <t>BOTTLE, IV</t>
  </si>
  <si>
    <t>1LITER</t>
  </si>
  <si>
    <t>AMPULE, IV</t>
  </si>
  <si>
    <t>25MGML</t>
  </si>
  <si>
    <t>BUPIVACAINE 0.5% HEAVY</t>
  </si>
  <si>
    <t>5MG/ML</t>
  </si>
  <si>
    <t>POLYAMPULE, IV</t>
  </si>
  <si>
    <t>OXYTOCIN</t>
  </si>
  <si>
    <t>10IU/ML</t>
  </si>
  <si>
    <t>DICLOFENAC SODIUM</t>
  </si>
  <si>
    <t>NALBUPHINE</t>
  </si>
  <si>
    <t>10MG</t>
  </si>
  <si>
    <t>CEFALEXIN</t>
  </si>
  <si>
    <t>CAPSULE, ORAL</t>
  </si>
  <si>
    <t>MEFENAMIC ACID</t>
  </si>
  <si>
    <t>BISACODYL</t>
  </si>
  <si>
    <t>SUPPOSITORY,ANAL</t>
  </si>
  <si>
    <t>IV SET ADULT</t>
  </si>
  <si>
    <t>PC</t>
  </si>
  <si>
    <t>IV CATHETER G-18</t>
  </si>
  <si>
    <t>DISPOSABLE RAZOR BLADE</t>
  </si>
  <si>
    <t>ADHESIVE PLASTER</t>
  </si>
  <si>
    <t>DIGITAL THERMOMETER</t>
  </si>
  <si>
    <t>DISPOSABLE CAP</t>
  </si>
  <si>
    <t>FOLEY CATH F-18</t>
  </si>
  <si>
    <t>CUTASEPT F 100/5ML)</t>
  </si>
  <si>
    <t>DISPOSABLE MASK</t>
  </si>
  <si>
    <t>OS</t>
  </si>
  <si>
    <t>ABDOMINAL PACK</t>
  </si>
  <si>
    <t>SPINAL NEEDLE G-23</t>
  </si>
  <si>
    <t>SUCTION SET YANKUER F 24</t>
  </si>
  <si>
    <t>FEATHER SURGICAL BLADE</t>
  </si>
  <si>
    <t>STERILE GLOVES 7.5</t>
  </si>
  <si>
    <t>1 CC SYRIGE</t>
  </si>
  <si>
    <t>3CC SYRINGE</t>
  </si>
  <si>
    <t>5CC SYRINGE</t>
  </si>
  <si>
    <t>URINE BAG</t>
  </si>
  <si>
    <t>GLOVES UNSTERILE</t>
  </si>
  <si>
    <t>STERILE GLOVES 7.0</t>
  </si>
  <si>
    <t>CHROMIC 2.0 DOUBLE ARM CUTTING</t>
  </si>
  <si>
    <t>VICRYL 1</t>
  </si>
  <si>
    <t>VICRYL 3-0</t>
  </si>
  <si>
    <t>POVIDONE IODINE</t>
  </si>
  <si>
    <t>ID BRACELET</t>
  </si>
  <si>
    <t>CYDEX</t>
  </si>
  <si>
    <t>BETADINE 10%</t>
  </si>
  <si>
    <t>CORD CLAMP</t>
  </si>
  <si>
    <t>INSULIN SYRINGE</t>
  </si>
  <si>
    <t>pc</t>
  </si>
  <si>
    <t xml:space="preserve">CHROMIC 1-0 </t>
  </si>
  <si>
    <t>PROMETHAZINE</t>
  </si>
  <si>
    <t>25MG/ML</t>
  </si>
  <si>
    <t>DIAZEPAM</t>
  </si>
  <si>
    <t>MAETHYLERGOMETRINE MALEATE</t>
  </si>
  <si>
    <t>200MCG/ML</t>
  </si>
  <si>
    <t>SILK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</si>
</sst>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28575</xdr:rowOff>
        </xdr:from>
        <xdr:to>
          <xdr:col>1</xdr:col>
          <xdr:colOff>771525</xdr:colOff>
          <xdr:row>62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62</xdr:row>
          <xdr:rowOff>28575</xdr:rowOff>
        </xdr:from>
        <xdr:to>
          <xdr:col>1</xdr:col>
          <xdr:colOff>1543050</xdr:colOff>
          <xdr:row>62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81" zoomScaleNormal="100" workbookViewId="0">
      <selection activeCell="D62" sqref="D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1880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3396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780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100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30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179</v>
      </c>
      <c r="D69" s="55">
        <v>1200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180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181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SUM(D60:D72)</f>
        <v>17566</v>
      </c>
      <c r="E73" s="59">
        <f>SUM(E60:E72)</f>
        <v>0</v>
      </c>
      <c r="F73" s="59">
        <f>SUM(F60:F72)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iMNOB0B184SZ3SdFey74ovD4dUKY4vD85p/JP5P7QyDMtBkPeyCsvJMJy/jeztlPKc513VrcDu6G1ulAzXndXg==" saltValue="j+TP5P/WybSCKEsXDqrUn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1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2"/>
  <sheetViews>
    <sheetView topLeftCell="A8" workbookViewId="0">
      <selection activeCell="G26" sqref="G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CESAREAN SECTION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21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183</v>
      </c>
      <c r="E11" s="27" t="s">
        <v>184</v>
      </c>
      <c r="F11" s="55">
        <v>0</v>
      </c>
      <c r="G11" s="55">
        <v>0</v>
      </c>
      <c r="H11" s="55">
        <v>7</v>
      </c>
      <c r="I11" s="55">
        <v>23</v>
      </c>
      <c r="J11" s="55">
        <f>H11*I11</f>
        <v>161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186</v>
      </c>
      <c r="E12" s="27" t="s">
        <v>187</v>
      </c>
      <c r="F12" s="55">
        <v>0</v>
      </c>
      <c r="G12" s="55">
        <v>0</v>
      </c>
      <c r="H12" s="55">
        <v>4</v>
      </c>
      <c r="I12" s="55">
        <v>80</v>
      </c>
      <c r="J12" s="55">
        <f t="shared" ref="J12:J18" si="0">H12*I12</f>
        <v>320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239</v>
      </c>
      <c r="D13" s="27" t="s">
        <v>188</v>
      </c>
      <c r="E13" s="27" t="s">
        <v>240</v>
      </c>
      <c r="F13" s="55">
        <v>0</v>
      </c>
      <c r="G13" s="55">
        <v>0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192</v>
      </c>
      <c r="E14" s="27" t="s">
        <v>191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188</v>
      </c>
      <c r="E15" s="27" t="s">
        <v>194</v>
      </c>
      <c r="F15" s="55">
        <v>0</v>
      </c>
      <c r="G15" s="55">
        <v>0</v>
      </c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188</v>
      </c>
      <c r="E16" s="27" t="s">
        <v>189</v>
      </c>
      <c r="F16" s="55">
        <v>0</v>
      </c>
      <c r="G16" s="55">
        <v>0</v>
      </c>
      <c r="H16" s="55">
        <v>2</v>
      </c>
      <c r="I16" s="55">
        <v>30</v>
      </c>
      <c r="J16" s="55">
        <f t="shared" si="0"/>
        <v>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196</v>
      </c>
      <c r="D17" s="27" t="s">
        <v>188</v>
      </c>
      <c r="E17" s="27" t="s">
        <v>197</v>
      </c>
      <c r="F17" s="55">
        <v>0</v>
      </c>
      <c r="G17" s="55">
        <v>0</v>
      </c>
      <c r="H17" s="55">
        <v>1</v>
      </c>
      <c r="I17" s="55">
        <v>125</v>
      </c>
      <c r="J17" s="55">
        <f t="shared" si="0"/>
        <v>125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198</v>
      </c>
      <c r="D18" s="27" t="s">
        <v>199</v>
      </c>
      <c r="E18" s="27" t="s">
        <v>184</v>
      </c>
      <c r="F18" s="55">
        <v>0</v>
      </c>
      <c r="G18" s="55">
        <v>0</v>
      </c>
      <c r="H18" s="55">
        <v>21</v>
      </c>
      <c r="I18" s="55">
        <v>8</v>
      </c>
      <c r="J18" s="55">
        <f t="shared" si="0"/>
        <v>168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200</v>
      </c>
      <c r="D19" s="27" t="s">
        <v>199</v>
      </c>
      <c r="E19" s="27" t="s">
        <v>184</v>
      </c>
      <c r="F19" s="55">
        <v>0</v>
      </c>
      <c r="G19" s="55">
        <v>0</v>
      </c>
      <c r="H19" s="55">
        <v>9</v>
      </c>
      <c r="I19" s="55">
        <v>4</v>
      </c>
      <c r="J19" s="55">
        <f t="shared" ref="J19:J27" si="1">H19*I19</f>
        <v>36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201</v>
      </c>
      <c r="D20" s="27" t="s">
        <v>202</v>
      </c>
      <c r="E20" s="27" t="s">
        <v>197</v>
      </c>
      <c r="F20" s="55">
        <v>0</v>
      </c>
      <c r="G20" s="55"/>
      <c r="H20" s="55">
        <v>2</v>
      </c>
      <c r="I20" s="55">
        <v>55</v>
      </c>
      <c r="J20" s="55">
        <f t="shared" si="1"/>
        <v>110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236</v>
      </c>
      <c r="D21" s="27" t="s">
        <v>188</v>
      </c>
      <c r="E21" s="27" t="s">
        <v>237</v>
      </c>
      <c r="F21" s="55">
        <v>0</v>
      </c>
      <c r="G21" s="55">
        <v>0</v>
      </c>
      <c r="H21" s="55">
        <v>1</v>
      </c>
      <c r="I21" s="55">
        <v>25</v>
      </c>
      <c r="J21" s="55">
        <f t="shared" si="1"/>
        <v>25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238</v>
      </c>
      <c r="D22" s="27" t="s">
        <v>188</v>
      </c>
      <c r="E22" s="27" t="s">
        <v>191</v>
      </c>
      <c r="F22" s="55">
        <v>0</v>
      </c>
      <c r="G22" s="55">
        <v>0</v>
      </c>
      <c r="H22" s="55">
        <v>1</v>
      </c>
      <c r="I22" s="55">
        <v>135</v>
      </c>
      <c r="J22" s="55">
        <f t="shared" ref="J22:J25" si="2">H22*I22</f>
        <v>135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2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2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2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1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>SUM(J11:J27)</f>
        <v>1880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ht="12.75" customHeight="1" x14ac:dyDescent="0.2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algorithmName="SHA-512" hashValue="wHfUly4olNMOIQ9q1tGHavDk3AZPBp9/44NajNv66MX73B6AP7uS8mgdwvgpI1s2PdyZjutsDN8Sa2ihU7FU2w==" saltValue="7aZxfJQS2OIF9l5le/HTM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6"/>
  <sheetViews>
    <sheetView topLeftCell="A40" workbookViewId="0">
      <selection activeCell="F60" sqref="F6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34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213</v>
      </c>
      <c r="D16" s="70" t="s">
        <v>204</v>
      </c>
      <c r="E16" s="55">
        <v>20</v>
      </c>
      <c r="F16" s="55">
        <v>3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228</v>
      </c>
      <c r="D17" s="70" t="s">
        <v>204</v>
      </c>
      <c r="E17" s="55">
        <v>1</v>
      </c>
      <c r="F17" s="55">
        <v>116</v>
      </c>
      <c r="G17" s="55">
        <f t="shared" ref="G17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207</v>
      </c>
      <c r="D18" s="70" t="s">
        <v>234</v>
      </c>
      <c r="E18" s="55">
        <v>1</v>
      </c>
      <c r="F18" s="55">
        <v>65</v>
      </c>
      <c r="G18" s="55">
        <f>E18*F18</f>
        <v>65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203</v>
      </c>
      <c r="D28" s="70" t="s">
        <v>204</v>
      </c>
      <c r="E28" s="55">
        <v>1</v>
      </c>
      <c r="F28" s="55">
        <v>32</v>
      </c>
      <c r="G28" s="55">
        <f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205</v>
      </c>
      <c r="D29" s="70" t="s">
        <v>204</v>
      </c>
      <c r="E29" s="55">
        <v>1</v>
      </c>
      <c r="F29" s="55">
        <v>61</v>
      </c>
      <c r="G29" s="55">
        <f t="shared" ref="G29:G60" si="1">E29*F29</f>
        <v>61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206</v>
      </c>
      <c r="D30" s="70" t="s">
        <v>204</v>
      </c>
      <c r="E30" s="55">
        <v>1</v>
      </c>
      <c r="F30" s="55">
        <v>35</v>
      </c>
      <c r="G30" s="55">
        <f t="shared" si="1"/>
        <v>35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207</v>
      </c>
      <c r="D31" s="70" t="s">
        <v>204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208</v>
      </c>
      <c r="D32" s="70" t="s">
        <v>204</v>
      </c>
      <c r="E32" s="55">
        <v>1</v>
      </c>
      <c r="F32" s="55">
        <v>85</v>
      </c>
      <c r="G32" s="55">
        <f t="shared" si="1"/>
        <v>85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209</v>
      </c>
      <c r="D33" s="70" t="s">
        <v>204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210</v>
      </c>
      <c r="D34" s="70" t="s">
        <v>204</v>
      </c>
      <c r="E34" s="55">
        <v>1</v>
      </c>
      <c r="F34" s="55">
        <v>40</v>
      </c>
      <c r="G34" s="55">
        <f t="shared" si="1"/>
        <v>40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211</v>
      </c>
      <c r="D35" s="70" t="s">
        <v>204</v>
      </c>
      <c r="E35" s="55">
        <v>4</v>
      </c>
      <c r="F35" s="55">
        <v>45</v>
      </c>
      <c r="G35" s="55">
        <f t="shared" si="1"/>
        <v>180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212</v>
      </c>
      <c r="D36" s="70" t="s">
        <v>204</v>
      </c>
      <c r="E36" s="55">
        <v>4</v>
      </c>
      <c r="F36" s="55">
        <v>6</v>
      </c>
      <c r="G36" s="55">
        <f t="shared" si="1"/>
        <v>24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213</v>
      </c>
      <c r="D37" s="70" t="s">
        <v>204</v>
      </c>
      <c r="E37" s="55">
        <v>40</v>
      </c>
      <c r="F37" s="55">
        <v>3</v>
      </c>
      <c r="G37" s="55">
        <f t="shared" si="1"/>
        <v>120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214</v>
      </c>
      <c r="D38" s="70" t="s">
        <v>204</v>
      </c>
      <c r="E38" s="55">
        <v>5</v>
      </c>
      <c r="F38" s="55">
        <v>65</v>
      </c>
      <c r="G38" s="55">
        <f t="shared" si="1"/>
        <v>325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215</v>
      </c>
      <c r="D39" s="70" t="s">
        <v>204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216</v>
      </c>
      <c r="D40" s="70" t="s">
        <v>204</v>
      </c>
      <c r="E40" s="55">
        <v>1</v>
      </c>
      <c r="F40" s="55">
        <v>210</v>
      </c>
      <c r="G40" s="55">
        <f t="shared" si="1"/>
        <v>210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217</v>
      </c>
      <c r="D41" s="70" t="s">
        <v>204</v>
      </c>
      <c r="E41" s="55">
        <v>1</v>
      </c>
      <c r="F41" s="55">
        <v>35</v>
      </c>
      <c r="G41" s="55">
        <f t="shared" si="1"/>
        <v>35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218</v>
      </c>
      <c r="D42" s="70" t="s">
        <v>204</v>
      </c>
      <c r="E42" s="55">
        <v>2</v>
      </c>
      <c r="F42" s="55">
        <v>25</v>
      </c>
      <c r="G42" s="55">
        <f t="shared" si="1"/>
        <v>50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219</v>
      </c>
      <c r="D43" s="70" t="s">
        <v>204</v>
      </c>
      <c r="E43" s="55">
        <v>4</v>
      </c>
      <c r="F43" s="55">
        <v>7</v>
      </c>
      <c r="G43" s="55">
        <f t="shared" si="1"/>
        <v>28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220</v>
      </c>
      <c r="D44" s="70" t="s">
        <v>204</v>
      </c>
      <c r="E44" s="55">
        <v>2</v>
      </c>
      <c r="F44" s="55">
        <v>6</v>
      </c>
      <c r="G44" s="55">
        <f t="shared" si="1"/>
        <v>12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221</v>
      </c>
      <c r="D45" s="70" t="s">
        <v>204</v>
      </c>
      <c r="E45" s="55">
        <v>2</v>
      </c>
      <c r="F45" s="55">
        <v>7</v>
      </c>
      <c r="G45" s="55">
        <f t="shared" si="1"/>
        <v>14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222</v>
      </c>
      <c r="D46" s="70" t="s">
        <v>204</v>
      </c>
      <c r="E46" s="55">
        <v>1</v>
      </c>
      <c r="F46" s="55">
        <v>25</v>
      </c>
      <c r="G46" s="55">
        <f t="shared" si="1"/>
        <v>25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223</v>
      </c>
      <c r="D47" s="70" t="s">
        <v>204</v>
      </c>
      <c r="E47" s="55">
        <v>26</v>
      </c>
      <c r="F47" s="55">
        <v>4</v>
      </c>
      <c r="G47" s="55">
        <f t="shared" si="1"/>
        <v>104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224</v>
      </c>
      <c r="D48" s="70" t="s">
        <v>204</v>
      </c>
      <c r="E48" s="55">
        <v>3</v>
      </c>
      <c r="F48" s="55">
        <v>25</v>
      </c>
      <c r="G48" s="55">
        <f t="shared" si="1"/>
        <v>75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235</v>
      </c>
      <c r="D49" s="70" t="s">
        <v>204</v>
      </c>
      <c r="E49" s="55">
        <v>1</v>
      </c>
      <c r="F49" s="55">
        <v>205</v>
      </c>
      <c r="G49" s="55">
        <f t="shared" si="1"/>
        <v>205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225</v>
      </c>
      <c r="D50" s="70" t="s">
        <v>204</v>
      </c>
      <c r="E50" s="55">
        <v>1</v>
      </c>
      <c r="F50" s="55">
        <v>280</v>
      </c>
      <c r="G50" s="55">
        <f t="shared" si="1"/>
        <v>280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226</v>
      </c>
      <c r="D51" s="70" t="s">
        <v>204</v>
      </c>
      <c r="E51" s="55">
        <v>1</v>
      </c>
      <c r="F51" s="55">
        <v>410</v>
      </c>
      <c r="G51" s="55">
        <f t="shared" si="1"/>
        <v>410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227</v>
      </c>
      <c r="D52" s="70" t="s">
        <v>204</v>
      </c>
      <c r="E52" s="55">
        <v>1</v>
      </c>
      <c r="F52" s="55">
        <v>280</v>
      </c>
      <c r="G52" s="55">
        <f t="shared" si="1"/>
        <v>280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229</v>
      </c>
      <c r="D53" s="70" t="s">
        <v>204</v>
      </c>
      <c r="E53" s="55">
        <v>1</v>
      </c>
      <c r="F53" s="55">
        <v>7</v>
      </c>
      <c r="G53" s="55">
        <f t="shared" si="1"/>
        <v>7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230</v>
      </c>
      <c r="D54" s="70"/>
      <c r="E54" s="55">
        <v>1</v>
      </c>
      <c r="F54" s="55">
        <v>30</v>
      </c>
      <c r="G54" s="55">
        <f t="shared" si="1"/>
        <v>30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231</v>
      </c>
      <c r="D55" s="70"/>
      <c r="E55" s="55">
        <v>1</v>
      </c>
      <c r="F55" s="55">
        <v>50</v>
      </c>
      <c r="G55" s="55">
        <f t="shared" si="1"/>
        <v>50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 t="s">
        <v>232</v>
      </c>
      <c r="D56" s="70" t="s">
        <v>204</v>
      </c>
      <c r="E56" s="55">
        <v>2</v>
      </c>
      <c r="F56" s="55">
        <v>6</v>
      </c>
      <c r="G56" s="55">
        <f t="shared" ref="G56:G58" si="2">E56*F56</f>
        <v>12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 t="s">
        <v>233</v>
      </c>
      <c r="D57" s="70" t="s">
        <v>204</v>
      </c>
      <c r="E57" s="55">
        <v>2</v>
      </c>
      <c r="F57" s="55">
        <v>17</v>
      </c>
      <c r="G57" s="55">
        <f t="shared" si="2"/>
        <v>34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31</v>
      </c>
      <c r="C58" s="69" t="s">
        <v>241</v>
      </c>
      <c r="D58" s="70" t="s">
        <v>204</v>
      </c>
      <c r="E58" s="55">
        <v>1</v>
      </c>
      <c r="F58" s="55">
        <v>205</v>
      </c>
      <c r="G58" s="55">
        <f t="shared" si="2"/>
        <v>205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32</v>
      </c>
      <c r="C59" s="69"/>
      <c r="D59" s="70"/>
      <c r="E59" s="55"/>
      <c r="F59" s="55"/>
      <c r="G59" s="55">
        <f t="shared" si="1"/>
        <v>0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33</v>
      </c>
      <c r="C60" s="69"/>
      <c r="D60" s="70"/>
      <c r="E60" s="55"/>
      <c r="F60" s="55"/>
      <c r="G60" s="55">
        <f t="shared" si="1"/>
        <v>0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34</v>
      </c>
      <c r="C61" s="69"/>
      <c r="D61" s="70"/>
      <c r="E61" s="55"/>
      <c r="F61" s="55"/>
      <c r="G61" s="55">
        <f>SUM(G28:G60)</f>
        <v>3155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136" t="s">
        <v>29</v>
      </c>
      <c r="C62" s="137"/>
      <c r="D62" s="137"/>
      <c r="E62" s="137"/>
      <c r="F62" s="137"/>
      <c r="G62" s="138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1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2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3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4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5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6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8">
        <v>7</v>
      </c>
      <c r="C69" s="69"/>
      <c r="D69" s="70"/>
      <c r="E69" s="55"/>
      <c r="F69" s="55"/>
      <c r="G69" s="55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8">
        <v>8</v>
      </c>
      <c r="C70" s="69"/>
      <c r="D70" s="70"/>
      <c r="E70" s="55"/>
      <c r="F70" s="55"/>
      <c r="G70" s="55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8">
        <v>9</v>
      </c>
      <c r="C71" s="69"/>
      <c r="D71" s="70"/>
      <c r="E71" s="55"/>
      <c r="F71" s="55"/>
      <c r="G71" s="55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8">
        <v>10</v>
      </c>
      <c r="C72" s="69"/>
      <c r="D72" s="70"/>
      <c r="E72" s="55"/>
      <c r="F72" s="55"/>
      <c r="G72" s="55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A73" s="44"/>
      <c r="B73" s="39"/>
      <c r="C73" s="44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A74" s="44"/>
      <c r="B74" s="39"/>
      <c r="C74" s="44"/>
      <c r="D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sheetProtection algorithmName="SHA-512" hashValue="5nyfxWPOfLx2n+I6wspIhgpcJoqd1/99xEjsaTkVuqkPz3I7jEs/Y8aYgbO1T0OnmGzrk0z3QxLf2bb1vZHQlw==" saltValue="YGx2RM81HlRpvHWvah+ASQ==" spinCount="100000" sheet="1" objects="1" scenarios="1" formatColumns="0" formatRows="0" sort="0" autoFilter="0"/>
  <mergeCells count="9">
    <mergeCell ref="B7:G7"/>
    <mergeCell ref="B27:G27"/>
    <mergeCell ref="B62:G6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62</xdr:row>
                    <xdr:rowOff>28575</xdr:rowOff>
                  </from>
                  <to>
                    <xdr:col>1</xdr:col>
                    <xdr:colOff>771525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62</xdr:row>
                    <xdr:rowOff>28575</xdr:rowOff>
                  </from>
                  <to>
                    <xdr:col>1</xdr:col>
                    <xdr:colOff>1543050</xdr:colOff>
                    <xdr:row>62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40</v>
      </c>
      <c r="F14" s="55"/>
      <c r="G14" s="55">
        <v>40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90</v>
      </c>
      <c r="F30" s="88">
        <f t="shared" si="1"/>
        <v>0</v>
      </c>
      <c r="G30" s="88">
        <f t="shared" si="1"/>
        <v>90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2018-08-22T23:36:46Z</dcterms:modified>
</cp:coreProperties>
</file>