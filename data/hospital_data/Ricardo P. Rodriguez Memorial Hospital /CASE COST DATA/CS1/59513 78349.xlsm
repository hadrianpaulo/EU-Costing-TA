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OMIS USER\Desktop\FINAL OUTPUT\CS1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Supplies_Medical'!$C$15:$C$79</definedName>
    <definedName name="Drugs">'1.2 Drugs&amp;Med'!$C$11:$C$25</definedName>
    <definedName name="_xlnm.Print_Area" localSheetId="0">'1.1 Case data_general'!$B$1:$F$79</definedName>
    <definedName name="_xlnm.Print_Area" localSheetId="1">'1.2 Drugs&amp;Med'!$B$2:$J$35</definedName>
  </definedNames>
  <calcPr calcId="162913"/>
</workbook>
</file>

<file path=xl/calcChain.xml><?xml version="1.0" encoding="utf-8"?>
<calcChain xmlns="http://schemas.openxmlformats.org/spreadsheetml/2006/main">
  <c r="G68" i="9" l="1"/>
  <c r="G32" i="9"/>
  <c r="G31" i="9"/>
  <c r="G30" i="9"/>
  <c r="G29" i="9"/>
  <c r="G28" i="9"/>
  <c r="G27" i="9"/>
  <c r="G21" i="9"/>
  <c r="G64" i="9"/>
  <c r="G63" i="9"/>
  <c r="J32" i="2"/>
  <c r="J31" i="2"/>
  <c r="J30" i="2"/>
  <c r="J29" i="2"/>
  <c r="J28" i="2"/>
  <c r="J12" i="2"/>
  <c r="J27" i="2"/>
  <c r="G58" i="9"/>
  <c r="G57" i="9"/>
  <c r="G56" i="9"/>
  <c r="G55" i="9"/>
  <c r="G54" i="9"/>
  <c r="G53" i="9"/>
  <c r="G52" i="9"/>
  <c r="G51" i="9"/>
  <c r="G50" i="9"/>
  <c r="G49" i="9"/>
  <c r="G48" i="9"/>
  <c r="G62" i="9" l="1"/>
  <c r="G60" i="9" l="1"/>
  <c r="G59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61" i="9"/>
  <c r="J26" i="2"/>
  <c r="J25" i="2" l="1"/>
  <c r="J24" i="2"/>
  <c r="J23" i="2"/>
  <c r="J22" i="2"/>
  <c r="J21" i="2"/>
  <c r="G17" i="9" l="1"/>
  <c r="G18" i="9"/>
  <c r="G19" i="9"/>
  <c r="G20" i="9"/>
  <c r="G22" i="9"/>
  <c r="G23" i="9"/>
  <c r="G24" i="9"/>
  <c r="G25" i="9"/>
  <c r="G26" i="9"/>
  <c r="G16" i="9"/>
  <c r="J13" i="2"/>
  <c r="J14" i="2"/>
  <c r="J15" i="2"/>
  <c r="J16" i="2"/>
  <c r="J17" i="2"/>
  <c r="J18" i="2"/>
  <c r="J19" i="2"/>
  <c r="J20" i="2"/>
  <c r="J34" i="2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9" i="1"/>
  <c r="E79" i="1"/>
  <c r="D79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<sst xmlns="http://schemas.openxmlformats.org/spreadsheetml/2006/main" count="621" uniqueCount="268">
  <si>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</si>
  <si>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</si>
  <si>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</si>
  <si>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</si>
  <si>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</si>
  <si>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</si>
  <si>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</si>
  <si>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</si>
  <si>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</si>
  <si>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</si>
  <si>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</si>
  <si>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</si>
  <si>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</si>
  <si>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</si>
  <si>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</si>
  <si>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</si>
  <si>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</si>
  <si>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</si>
  <si>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</si>
  <si>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</si>
  <si>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</si>
  <si>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</si>
  <si>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</si>
  <si>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</si>
  <si>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</si>
  <si>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</si>
  <si>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</si>
  <si>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</si>
  <si>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</si>
  <si>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</si>
  <si>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</si>
  <si>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</si>
  <si>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</si>
  <si>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</si>
  <si>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</si>
  <si>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</si>
  <si>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</si>
  <si>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</si>
  <si>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</si>
  <si>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</si>
  <si>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</si>
  <si>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</si>
  <si>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</si>
  <si>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</si>
  <si>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</si>
  <si>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</si>
  <si>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</si>
  <si>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</si>
  <si>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</si>
  <si>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</si>
  <si>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</si>
  <si>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</si>
  <si>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</si>
  <si>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</si>
  <si>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</si>
  <si>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</si>
  <si>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</si>
  <si>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</si>
  <si>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</si>
  <si>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</si>
  <si>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</si>
  <si>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</si>
  <si>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</si>
  <si>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</si>
  <si>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</si>
  <si>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</si>
  <si>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</si>
  <si>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</si>
  <si>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</si>
  <si>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</si>
  <si>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</si>
  <si>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</si>
  <si>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</si>
  <si>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</si>
  <si>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</si>
  <si>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</si>
  <si>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</si>
  <si>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</si>
  <si>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</si>
  <si>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</si>
  <si>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</si>
  <si>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</si>
  <si>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</si>
  <si>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</si>
  <si>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</si>
  <si>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</si>
  <si>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</si>
  <si>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</si>
  <si>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</si>
  <si>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</si>
  <si>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</si>
  <si>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</si>
  <si>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</si>
  <si>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</si>
  <si>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</si>
  <si>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</si>
  <si>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</si>
  <si>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</si>
  <si>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</si>
  <si>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</si>
  <si>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</si>
  <si>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</si>
  <si>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</si>
  <si>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</si>
  <si>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</si>
  <si>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</si>
  <si>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</si>
  <si>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</si>
  <si>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</si>
  <si>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</si>
  <si>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</si>
  <si>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</si>
  <si>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</si>
  <si>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</si>
  <si>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</si>
  <si>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</si>
  <si>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</si>
  <si>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</si>
  <si>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</si>
  <si>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</si>
  <si>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</si>
  <si>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</si>
  <si>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</si>
  <si>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</si>
  <si>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</si>
  <si>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</si>
  <si>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</si>
  <si>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</si>
  <si>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</si>
  <si>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</si>
  <si>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</si>
  <si>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</si>
  <si>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</si>
  <si>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</si>
  <si>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</si>
  <si>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</si>
  <si>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</si>
  <si>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</si>
  <si>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</si>
  <si>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</si>
  <si>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</si>
  <si>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</si>
  <si>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</si>
  <si>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</si>
  <si>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</si>
  <si>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</si>
  <si>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</si>
  <si>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</si>
  <si>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</si>
  <si>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</si>
  <si>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</si>
  <si>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</si>
  <si>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</si>
  <si>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</si>
  <si>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</si>
  <si>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</si>
  <si>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</si>
  <si>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</si>
  <si>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</si>
  <si>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</si>
  <si>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</si>
  <si>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</si>
  <si>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</si>
  <si>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 xml:space="preserve">Cesarean Delivery </t>
  </si>
  <si>
    <t>CBC, TYPING</t>
  </si>
  <si>
    <t>CLOTTING TIME- BLEEDING TIME</t>
  </si>
  <si>
    <t>HbsAg</t>
  </si>
  <si>
    <t>VDRL (SYPHILLIS)</t>
  </si>
  <si>
    <t>ECG</t>
  </si>
  <si>
    <t>D5LRS</t>
  </si>
  <si>
    <t>1 LITER</t>
  </si>
  <si>
    <t>AMPICILLIN</t>
  </si>
  <si>
    <t>BOTTLE, IV</t>
  </si>
  <si>
    <t>POWDER, IV</t>
  </si>
  <si>
    <t>POLYAMPULE, IV</t>
  </si>
  <si>
    <t>PROMETHAZINE</t>
  </si>
  <si>
    <t>AMPULE, IV</t>
  </si>
  <si>
    <t>25MG/ML</t>
  </si>
  <si>
    <t>BUPIVACAINE 0.5% HEAVY</t>
  </si>
  <si>
    <t>5MG/ML</t>
  </si>
  <si>
    <t>10MG/ML</t>
  </si>
  <si>
    <t>OXYTOCIN</t>
  </si>
  <si>
    <t>10IU/ML</t>
  </si>
  <si>
    <t>DICLOFENAC SODIUM</t>
  </si>
  <si>
    <t>25MG</t>
  </si>
  <si>
    <t>NALBUPHINE</t>
  </si>
  <si>
    <t>DIAZEPAM</t>
  </si>
  <si>
    <t xml:space="preserve">CEFALEXIN </t>
  </si>
  <si>
    <t>CAPSULE</t>
  </si>
  <si>
    <t>500MG</t>
  </si>
  <si>
    <t>MEFENAMIC ACID</t>
  </si>
  <si>
    <t>BISACODYL</t>
  </si>
  <si>
    <t>SUPPOSITORY, ANAL</t>
  </si>
  <si>
    <t>10MG</t>
  </si>
  <si>
    <t>PC</t>
  </si>
  <si>
    <t>IV SET ADULT</t>
  </si>
  <si>
    <t>IV CATHETER G18</t>
  </si>
  <si>
    <t>THERMOMETER</t>
  </si>
  <si>
    <t>ADHESIVE PLASTER</t>
  </si>
  <si>
    <t>DISPOSABLE MASK</t>
  </si>
  <si>
    <t>OS</t>
  </si>
  <si>
    <t>ABDOMINAL PACK ADULTS</t>
  </si>
  <si>
    <t xml:space="preserve"> GLOVES UNSTERILE</t>
  </si>
  <si>
    <t>FOLEY CATHETER F-18</t>
  </si>
  <si>
    <t>CUTASEPT F (100/5ML)</t>
  </si>
  <si>
    <t>URINE BAG</t>
  </si>
  <si>
    <t>SPINAL NEEDLE G-23</t>
  </si>
  <si>
    <t>STERILE GLOVES 7.5</t>
  </si>
  <si>
    <t xml:space="preserve">1 CC SYRINGE </t>
  </si>
  <si>
    <t>FEATHER SURGICAL BLADE #10</t>
  </si>
  <si>
    <t>SUCTION SET YANKUER F-24</t>
  </si>
  <si>
    <t>CHROMIC 1</t>
  </si>
  <si>
    <t>VICRYL 1</t>
  </si>
  <si>
    <t>VICRYL 3-0</t>
  </si>
  <si>
    <t>DISPOSABLE CAP</t>
  </si>
  <si>
    <t>VISIT IN THE WARD</t>
  </si>
  <si>
    <t>PROCEDURE</t>
  </si>
  <si>
    <t xml:space="preserve">DRUGS AND MEDICINES </t>
  </si>
  <si>
    <t>MEDICAL SUPPLIES</t>
  </si>
  <si>
    <t>OXYGEN FEE</t>
  </si>
  <si>
    <t>LABORATORY EXAM</t>
  </si>
  <si>
    <t>BC/DC</t>
  </si>
  <si>
    <t>OPERATING ROOM FEE</t>
  </si>
  <si>
    <t>LABOR ROOM</t>
  </si>
  <si>
    <t>GARBAGE FEE</t>
  </si>
  <si>
    <t>ROOM AND BOARD</t>
  </si>
  <si>
    <t>PF</t>
  </si>
  <si>
    <t>ANESTHESIOLOGIST FEE</t>
  </si>
  <si>
    <t>STERILE GLOVES 7.0</t>
  </si>
  <si>
    <t>1LITER</t>
  </si>
  <si>
    <t>CHROMIC 2-0 DOUBLE ARM CUTTING</t>
  </si>
  <si>
    <t>NASAL CANNULA</t>
  </si>
  <si>
    <t>10 CC SYRINGE</t>
  </si>
  <si>
    <t>DISPOSABLE RAZOR BLADE</t>
  </si>
  <si>
    <t>CORD CLAMP</t>
  </si>
  <si>
    <t>INSULIN SYRINGE</t>
  </si>
  <si>
    <t>SURGICAL COTTON 2-0</t>
  </si>
  <si>
    <t>3CC SYRINGE</t>
  </si>
  <si>
    <t>5CC SYRINGE</t>
  </si>
  <si>
    <t>POVIDONE IODINE</t>
  </si>
  <si>
    <t>RANDOM BLOOD SUGAR</t>
  </si>
  <si>
    <t>CBC, PLATELET COUNT</t>
  </si>
  <si>
    <t>URINALYSIS</t>
  </si>
  <si>
    <t>CLONIDINE</t>
  </si>
  <si>
    <t>TABLET, ORAL</t>
  </si>
  <si>
    <t>75MCG</t>
  </si>
  <si>
    <t>FUROSEMIDE</t>
  </si>
  <si>
    <t>METOCLOPROMIDE</t>
  </si>
  <si>
    <t>5MG/2ML</t>
  </si>
  <si>
    <t>HYDRALAZINE</t>
  </si>
  <si>
    <t>20MG/ML</t>
  </si>
  <si>
    <t>MAGNESIUM SULFATE</t>
  </si>
  <si>
    <t>500MG/2ML</t>
  </si>
  <si>
    <t>AMLODIPINE</t>
  </si>
  <si>
    <t>BALANCEDV MULTIPLE MAINTANANCE SOLUTION</t>
  </si>
  <si>
    <t>METHYLDOPA</t>
  </si>
  <si>
    <t>250MG</t>
  </si>
  <si>
    <t>ID BRACELET</t>
  </si>
  <si>
    <t>CYDEX</t>
  </si>
  <si>
    <t>ML</t>
  </si>
  <si>
    <t>BETADINE</t>
  </si>
  <si>
    <t>SOLUSET</t>
  </si>
  <si>
    <t>LUBRICATING JELLY</t>
  </si>
  <si>
    <t>20CC SYRINGE</t>
  </si>
  <si>
    <t>IV CATHETER G20</t>
  </si>
  <si>
    <t>IV CATHERTER G22</t>
  </si>
  <si>
    <t>FOLEY CATHETER F-16</t>
  </si>
  <si>
    <t xml:space="preserve">GLOVES UNSTERILE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</si>
</sst>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164" fontId="2" fillId="0" borderId="0" xfId="0" applyNumberFormat="1" applyFont="1" applyProtection="1"/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33</xdr:row>
          <xdr:rowOff>28575</xdr:rowOff>
        </xdr:from>
        <xdr:to>
          <xdr:col>1</xdr:col>
          <xdr:colOff>762000</xdr:colOff>
          <xdr:row>33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33</xdr:row>
          <xdr:rowOff>28575</xdr:rowOff>
        </xdr:from>
        <xdr:to>
          <xdr:col>1</xdr:col>
          <xdr:colOff>1533525</xdr:colOff>
          <xdr:row>33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69</xdr:row>
          <xdr:rowOff>28575</xdr:rowOff>
        </xdr:from>
        <xdr:to>
          <xdr:col>1</xdr:col>
          <xdr:colOff>771525</xdr:colOff>
          <xdr:row>69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69</xdr:row>
          <xdr:rowOff>28575</xdr:rowOff>
        </xdr:from>
        <xdr:to>
          <xdr:col>1</xdr:col>
          <xdr:colOff>1543050</xdr:colOff>
          <xdr:row>69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6"/>
  <sheetViews>
    <sheetView tabSelected="1" topLeftCell="A57" zoomScaleNormal="100" workbookViewId="0">
      <selection activeCell="D71" sqref="D7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59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60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/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51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59513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42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4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164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165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166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167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240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241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242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 t="s">
        <v>168</v>
      </c>
      <c r="D42" s="23"/>
      <c r="E42" s="55">
        <v>2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43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52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217</v>
      </c>
      <c r="D63" s="55">
        <v>4562</v>
      </c>
      <c r="E63" s="55">
        <v>0</v>
      </c>
      <c r="F63" s="55">
        <v>0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218</v>
      </c>
      <c r="D64" s="55">
        <v>4309.5</v>
      </c>
      <c r="E64" s="55">
        <v>0</v>
      </c>
      <c r="F64" s="55"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219</v>
      </c>
      <c r="D65" s="55">
        <v>0</v>
      </c>
      <c r="E65" s="55">
        <v>0</v>
      </c>
      <c r="F65" s="55">
        <v>60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 t="s">
        <v>220</v>
      </c>
      <c r="D66" s="55">
        <v>1180</v>
      </c>
      <c r="E66" s="55">
        <v>0</v>
      </c>
      <c r="F66" s="55">
        <v>0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 t="s">
        <v>168</v>
      </c>
      <c r="D67" s="55">
        <v>240</v>
      </c>
      <c r="E67" s="55">
        <v>0</v>
      </c>
      <c r="F67" s="55">
        <v>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 t="s">
        <v>221</v>
      </c>
      <c r="D68" s="55">
        <v>0</v>
      </c>
      <c r="E68" s="55">
        <v>0</v>
      </c>
      <c r="F68" s="55">
        <v>100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 t="s">
        <v>222</v>
      </c>
      <c r="D69" s="55">
        <v>0</v>
      </c>
      <c r="E69" s="55">
        <v>2200</v>
      </c>
      <c r="F69" s="55"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 t="s">
        <v>223</v>
      </c>
      <c r="D70" s="55">
        <v>0</v>
      </c>
      <c r="E70" s="55">
        <v>200</v>
      </c>
      <c r="F70" s="55"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 t="s">
        <v>224</v>
      </c>
      <c r="D71" s="55">
        <v>0</v>
      </c>
      <c r="E71" s="55">
        <v>40</v>
      </c>
      <c r="F71" s="55"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 t="s">
        <v>225</v>
      </c>
      <c r="D72" s="55">
        <v>1108.5</v>
      </c>
      <c r="E72" s="55">
        <v>491.5</v>
      </c>
      <c r="F72" s="55">
        <v>0</v>
      </c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11</v>
      </c>
      <c r="C73" s="27" t="s">
        <v>226</v>
      </c>
      <c r="D73" s="55">
        <v>5320</v>
      </c>
      <c r="E73" s="55">
        <v>0</v>
      </c>
      <c r="F73" s="55">
        <v>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12</v>
      </c>
      <c r="C74" s="27" t="s">
        <v>227</v>
      </c>
      <c r="D74" s="55">
        <v>2280</v>
      </c>
      <c r="E74" s="55">
        <v>0</v>
      </c>
      <c r="F74" s="55"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13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14</v>
      </c>
      <c r="C76" s="27"/>
      <c r="D76" s="55"/>
      <c r="E76" s="55"/>
      <c r="F76" s="5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0">
        <v>15</v>
      </c>
      <c r="C77" s="27"/>
      <c r="D77" s="55"/>
      <c r="E77" s="55"/>
      <c r="F77" s="55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4.9000000000000004" customHeight="1" thickBot="1" x14ac:dyDescent="0.35">
      <c r="A78" s="1"/>
      <c r="B78" s="1"/>
      <c r="C78" s="1"/>
      <c r="D78" s="58"/>
      <c r="E78" s="58"/>
      <c r="F78" s="58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thickTop="1" x14ac:dyDescent="0.3">
      <c r="A79" s="1"/>
      <c r="B79" s="11"/>
      <c r="C79" s="4" t="s">
        <v>22</v>
      </c>
      <c r="D79" s="59">
        <f>SUM(D63:D78)</f>
        <v>19000</v>
      </c>
      <c r="E79" s="59">
        <f>SUM(E63:E78)</f>
        <v>2931.5</v>
      </c>
      <c r="F79" s="59">
        <f>SUM(F63:F78)</f>
        <v>160</v>
      </c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  <row r="1016" spans="1:25" ht="13.5" customHeight="1" x14ac:dyDescent="0.3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</row>
  </sheetData>
  <sheetProtection algorithmName="SHA-512" hashValue="7Yh5crAEndFJmynbHjZ495c4FzEGLeDvDY4uYpyhudDWIiGwG7kMjPuodzEoo2a6TTXGqDaTmXQMQVyS2nyaUQ==" saltValue="F6Bqg6Wi3TnvAzh/mkNJBw==" spinCount="100000" sheet="1" objects="1" scenarios="1"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7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5"/>
  <sheetViews>
    <sheetView workbookViewId="0">
      <selection activeCell="H17" sqref="H1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 xml:space="preserve">Cesarean Delivery 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24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63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169</v>
      </c>
      <c r="D11" s="27" t="s">
        <v>172</v>
      </c>
      <c r="E11" s="27" t="s">
        <v>170</v>
      </c>
      <c r="F11" s="55">
        <v>0</v>
      </c>
      <c r="G11" s="55">
        <v>0</v>
      </c>
      <c r="H11" s="55">
        <v>2</v>
      </c>
      <c r="I11" s="55">
        <v>80</v>
      </c>
      <c r="J11" s="55">
        <f>H11*I11</f>
        <v>160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175</v>
      </c>
      <c r="D12" s="27" t="s">
        <v>176</v>
      </c>
      <c r="E12" s="27" t="s">
        <v>177</v>
      </c>
      <c r="F12" s="55">
        <v>0</v>
      </c>
      <c r="G12" s="55">
        <v>0</v>
      </c>
      <c r="H12" s="55">
        <v>1</v>
      </c>
      <c r="I12" s="55">
        <v>25</v>
      </c>
      <c r="J12" s="55">
        <f>H12*I12</f>
        <v>25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178</v>
      </c>
      <c r="D13" s="27" t="s">
        <v>174</v>
      </c>
      <c r="E13" s="27" t="s">
        <v>179</v>
      </c>
      <c r="F13" s="55">
        <v>0</v>
      </c>
      <c r="G13" s="55">
        <v>0</v>
      </c>
      <c r="H13" s="55">
        <v>1</v>
      </c>
      <c r="I13" s="55">
        <v>650</v>
      </c>
      <c r="J13" s="55">
        <f t="shared" ref="J13:J20" si="0">H13*I13</f>
        <v>650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181</v>
      </c>
      <c r="D14" s="27" t="s">
        <v>176</v>
      </c>
      <c r="E14" s="27" t="s">
        <v>182</v>
      </c>
      <c r="F14" s="55">
        <v>0</v>
      </c>
      <c r="G14" s="55">
        <v>0</v>
      </c>
      <c r="H14" s="55">
        <v>1</v>
      </c>
      <c r="I14" s="55">
        <v>40</v>
      </c>
      <c r="J14" s="55">
        <f t="shared" si="0"/>
        <v>40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183</v>
      </c>
      <c r="D15" s="27" t="s">
        <v>176</v>
      </c>
      <c r="E15" s="27" t="s">
        <v>184</v>
      </c>
      <c r="F15" s="55">
        <v>0</v>
      </c>
      <c r="G15" s="55">
        <v>0</v>
      </c>
      <c r="H15" s="55">
        <v>3</v>
      </c>
      <c r="I15" s="55">
        <v>30</v>
      </c>
      <c r="J15" s="55">
        <f t="shared" si="0"/>
        <v>90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185</v>
      </c>
      <c r="D16" s="27" t="s">
        <v>176</v>
      </c>
      <c r="E16" s="27" t="s">
        <v>180</v>
      </c>
      <c r="F16" s="55">
        <v>0</v>
      </c>
      <c r="G16" s="55">
        <v>0</v>
      </c>
      <c r="H16" s="55">
        <v>1</v>
      </c>
      <c r="I16" s="55">
        <v>125</v>
      </c>
      <c r="J16" s="55">
        <f t="shared" si="0"/>
        <v>125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2:20" ht="12.75" customHeight="1" x14ac:dyDescent="0.3">
      <c r="B17" s="42">
        <v>7</v>
      </c>
      <c r="C17" s="27" t="s">
        <v>187</v>
      </c>
      <c r="D17" s="27" t="s">
        <v>188</v>
      </c>
      <c r="E17" s="27" t="s">
        <v>189</v>
      </c>
      <c r="F17" s="55">
        <v>0</v>
      </c>
      <c r="G17" s="55">
        <v>0</v>
      </c>
      <c r="H17" s="55">
        <v>63</v>
      </c>
      <c r="I17" s="55">
        <v>8</v>
      </c>
      <c r="J17" s="55">
        <f t="shared" si="0"/>
        <v>504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2:20" ht="12.75" customHeight="1" x14ac:dyDescent="0.3">
      <c r="B18" s="42">
        <v>8</v>
      </c>
      <c r="C18" s="27" t="s">
        <v>190</v>
      </c>
      <c r="D18" s="27" t="s">
        <v>188</v>
      </c>
      <c r="E18" s="27" t="s">
        <v>189</v>
      </c>
      <c r="F18" s="55">
        <v>0</v>
      </c>
      <c r="G18" s="55">
        <v>0</v>
      </c>
      <c r="H18" s="55">
        <v>18</v>
      </c>
      <c r="I18" s="55">
        <v>4</v>
      </c>
      <c r="J18" s="55">
        <f t="shared" si="0"/>
        <v>72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2:20" ht="12.75" customHeight="1" x14ac:dyDescent="0.3">
      <c r="B19" s="42">
        <v>9</v>
      </c>
      <c r="C19" s="27" t="s">
        <v>191</v>
      </c>
      <c r="D19" s="27" t="s">
        <v>192</v>
      </c>
      <c r="E19" s="27" t="s">
        <v>193</v>
      </c>
      <c r="F19" s="55">
        <v>0</v>
      </c>
      <c r="G19" s="55">
        <v>0</v>
      </c>
      <c r="H19" s="55">
        <v>2</v>
      </c>
      <c r="I19" s="55">
        <v>55</v>
      </c>
      <c r="J19" s="55">
        <f t="shared" si="0"/>
        <v>110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2:20" ht="12.75" customHeight="1" x14ac:dyDescent="0.3">
      <c r="B20" s="42">
        <v>10</v>
      </c>
      <c r="C20" s="27" t="s">
        <v>186</v>
      </c>
      <c r="D20" s="27" t="s">
        <v>176</v>
      </c>
      <c r="E20" s="27" t="s">
        <v>179</v>
      </c>
      <c r="F20" s="55">
        <v>0</v>
      </c>
      <c r="G20" s="55">
        <v>0</v>
      </c>
      <c r="H20" s="55">
        <v>4</v>
      </c>
      <c r="I20" s="55">
        <v>135</v>
      </c>
      <c r="J20" s="55">
        <f t="shared" si="0"/>
        <v>540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2:20" ht="12.75" customHeight="1" x14ac:dyDescent="0.3">
      <c r="B21" s="42">
        <v>11</v>
      </c>
      <c r="C21" s="27" t="s">
        <v>171</v>
      </c>
      <c r="D21" s="27" t="s">
        <v>173</v>
      </c>
      <c r="E21" s="27" t="s">
        <v>189</v>
      </c>
      <c r="F21" s="55">
        <v>0</v>
      </c>
      <c r="G21" s="55">
        <v>0</v>
      </c>
      <c r="H21" s="55">
        <v>4</v>
      </c>
      <c r="I21" s="55">
        <v>23</v>
      </c>
      <c r="J21" s="55">
        <f t="shared" ref="J21:J32" si="1">H21*I21</f>
        <v>92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2:20" ht="12.75" customHeight="1" x14ac:dyDescent="0.3">
      <c r="B22" s="42">
        <v>12</v>
      </c>
      <c r="C22" s="27" t="s">
        <v>243</v>
      </c>
      <c r="D22" s="27" t="s">
        <v>244</v>
      </c>
      <c r="E22" s="27" t="s">
        <v>245</v>
      </c>
      <c r="F22" s="55">
        <v>0</v>
      </c>
      <c r="G22" s="55">
        <v>0</v>
      </c>
      <c r="H22" s="55">
        <v>2</v>
      </c>
      <c r="I22" s="55">
        <v>40</v>
      </c>
      <c r="J22" s="55">
        <f t="shared" si="1"/>
        <v>80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2:20" ht="12.75" customHeight="1" x14ac:dyDescent="0.3">
      <c r="B23" s="42">
        <v>13</v>
      </c>
      <c r="C23" s="27" t="s">
        <v>246</v>
      </c>
      <c r="D23" s="27" t="s">
        <v>176</v>
      </c>
      <c r="E23" s="27" t="s">
        <v>180</v>
      </c>
      <c r="F23" s="55">
        <v>0</v>
      </c>
      <c r="G23" s="55">
        <v>0</v>
      </c>
      <c r="H23" s="55">
        <v>2</v>
      </c>
      <c r="I23" s="55">
        <v>25</v>
      </c>
      <c r="J23" s="55">
        <f t="shared" si="1"/>
        <v>50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2:20" ht="12.75" customHeight="1" x14ac:dyDescent="0.3">
      <c r="B24" s="42">
        <v>14</v>
      </c>
      <c r="C24" s="27" t="s">
        <v>247</v>
      </c>
      <c r="D24" s="27" t="s">
        <v>176</v>
      </c>
      <c r="E24" s="27" t="s">
        <v>248</v>
      </c>
      <c r="F24" s="55">
        <v>0</v>
      </c>
      <c r="G24" s="55">
        <v>0</v>
      </c>
      <c r="H24" s="55">
        <v>2</v>
      </c>
      <c r="I24" s="55">
        <v>20</v>
      </c>
      <c r="J24" s="55">
        <f t="shared" si="1"/>
        <v>40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2:20" ht="12.75" customHeight="1" x14ac:dyDescent="0.3">
      <c r="B25" s="42">
        <v>15</v>
      </c>
      <c r="C25" s="27" t="s">
        <v>249</v>
      </c>
      <c r="D25" s="27" t="s">
        <v>176</v>
      </c>
      <c r="E25" s="27" t="s">
        <v>250</v>
      </c>
      <c r="F25" s="55">
        <v>0</v>
      </c>
      <c r="G25" s="55">
        <v>0</v>
      </c>
      <c r="H25" s="55">
        <v>4</v>
      </c>
      <c r="I25" s="55">
        <v>330</v>
      </c>
      <c r="J25" s="55">
        <f t="shared" si="1"/>
        <v>1320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2:20" ht="12.75" customHeight="1" x14ac:dyDescent="0.3">
      <c r="B26" s="42">
        <v>16</v>
      </c>
      <c r="C26" s="27" t="s">
        <v>251</v>
      </c>
      <c r="D26" s="27" t="s">
        <v>176</v>
      </c>
      <c r="E26" s="27" t="s">
        <v>252</v>
      </c>
      <c r="F26" s="55">
        <v>0</v>
      </c>
      <c r="G26" s="55">
        <v>0</v>
      </c>
      <c r="H26" s="55">
        <v>5</v>
      </c>
      <c r="I26" s="55">
        <v>35</v>
      </c>
      <c r="J26" s="55">
        <f t="shared" si="1"/>
        <v>175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2:20" ht="12.75" customHeight="1" x14ac:dyDescent="0.3">
      <c r="B27" s="42">
        <v>17</v>
      </c>
      <c r="C27" s="27" t="s">
        <v>253</v>
      </c>
      <c r="D27" s="27" t="s">
        <v>244</v>
      </c>
      <c r="E27" s="27" t="s">
        <v>193</v>
      </c>
      <c r="F27" s="55">
        <v>0</v>
      </c>
      <c r="G27" s="55">
        <v>0</v>
      </c>
      <c r="H27" s="55">
        <v>17</v>
      </c>
      <c r="I27" s="55">
        <v>7</v>
      </c>
      <c r="J27" s="55">
        <f t="shared" si="1"/>
        <v>119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2:20" ht="12.75" customHeight="1" x14ac:dyDescent="0.3">
      <c r="B28" s="42">
        <v>18</v>
      </c>
      <c r="C28" s="27" t="s">
        <v>254</v>
      </c>
      <c r="D28" s="27" t="s">
        <v>172</v>
      </c>
      <c r="E28" s="27" t="s">
        <v>229</v>
      </c>
      <c r="F28" s="55">
        <v>0</v>
      </c>
      <c r="G28" s="55">
        <v>0</v>
      </c>
      <c r="H28" s="55">
        <v>2</v>
      </c>
      <c r="I28" s="55">
        <v>105</v>
      </c>
      <c r="J28" s="55">
        <f t="shared" si="1"/>
        <v>210</v>
      </c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2:20" ht="12.75" customHeight="1" x14ac:dyDescent="0.3">
      <c r="B29" s="42">
        <v>19</v>
      </c>
      <c r="C29" s="27" t="s">
        <v>255</v>
      </c>
      <c r="D29" s="27" t="s">
        <v>244</v>
      </c>
      <c r="E29" s="27" t="s">
        <v>256</v>
      </c>
      <c r="F29" s="55">
        <v>0</v>
      </c>
      <c r="G29" s="55">
        <v>0</v>
      </c>
      <c r="H29" s="55">
        <v>10</v>
      </c>
      <c r="I29" s="55">
        <v>16</v>
      </c>
      <c r="J29" s="55">
        <f t="shared" si="1"/>
        <v>160</v>
      </c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2:20" ht="12.75" customHeight="1" x14ac:dyDescent="0.3">
      <c r="B30" s="42">
        <v>20</v>
      </c>
      <c r="C30" s="27"/>
      <c r="D30" s="27"/>
      <c r="E30" s="27"/>
      <c r="F30" s="55"/>
      <c r="G30" s="55"/>
      <c r="H30" s="55"/>
      <c r="I30" s="55"/>
      <c r="J30" s="55">
        <f t="shared" si="1"/>
        <v>0</v>
      </c>
      <c r="K30" s="34"/>
      <c r="L30" s="34"/>
      <c r="M30" s="34"/>
      <c r="N30" s="34"/>
      <c r="O30" s="34"/>
      <c r="P30" s="34"/>
      <c r="Q30" s="34"/>
      <c r="R30" s="34"/>
      <c r="S30" s="34"/>
      <c r="T30" s="34"/>
    </row>
    <row r="31" spans="2:20" ht="12.75" customHeight="1" x14ac:dyDescent="0.3">
      <c r="B31" s="42">
        <v>21</v>
      </c>
      <c r="C31" s="27"/>
      <c r="D31" s="27"/>
      <c r="E31" s="27"/>
      <c r="F31" s="55"/>
      <c r="G31" s="55"/>
      <c r="H31" s="55"/>
      <c r="I31" s="55"/>
      <c r="J31" s="55">
        <f t="shared" si="1"/>
        <v>0</v>
      </c>
      <c r="K31" s="34"/>
      <c r="L31" s="34"/>
      <c r="M31" s="34"/>
      <c r="N31" s="34"/>
      <c r="O31" s="34"/>
      <c r="P31" s="34"/>
      <c r="Q31" s="34"/>
      <c r="R31" s="34"/>
      <c r="S31" s="34"/>
      <c r="T31" s="34"/>
    </row>
    <row r="32" spans="2:20" ht="12.75" customHeight="1" x14ac:dyDescent="0.3">
      <c r="B32" s="42">
        <v>22</v>
      </c>
      <c r="C32" s="27"/>
      <c r="D32" s="27"/>
      <c r="E32" s="27"/>
      <c r="F32" s="55"/>
      <c r="G32" s="55"/>
      <c r="H32" s="55"/>
      <c r="I32" s="55"/>
      <c r="J32" s="55">
        <f t="shared" si="1"/>
        <v>0</v>
      </c>
      <c r="K32" s="34"/>
      <c r="L32" s="34"/>
      <c r="M32" s="34"/>
      <c r="N32" s="34"/>
      <c r="O32" s="34"/>
      <c r="P32" s="34"/>
      <c r="Q32" s="34"/>
      <c r="R32" s="34"/>
      <c r="S32" s="34"/>
      <c r="T32" s="34"/>
    </row>
    <row r="33" spans="1:20" ht="12.75" customHeight="1" x14ac:dyDescent="0.3">
      <c r="B33" s="42">
        <v>23</v>
      </c>
      <c r="C33" s="27"/>
      <c r="D33" s="27"/>
      <c r="E33" s="27"/>
      <c r="F33" s="55"/>
      <c r="G33" s="55"/>
      <c r="H33" s="55"/>
      <c r="I33" s="55"/>
      <c r="J33" s="55"/>
      <c r="K33" s="34"/>
      <c r="L33" s="34"/>
      <c r="M33" s="34"/>
      <c r="N33" s="34"/>
      <c r="O33" s="34"/>
      <c r="P33" s="34"/>
      <c r="Q33" s="34"/>
      <c r="R33" s="34"/>
      <c r="S33" s="34"/>
      <c r="T33" s="34"/>
    </row>
    <row r="34" spans="1:20" ht="12.75" customHeight="1" x14ac:dyDescent="0.3">
      <c r="B34" s="42">
        <v>24</v>
      </c>
      <c r="C34" s="27"/>
      <c r="D34" s="27"/>
      <c r="E34" s="27"/>
      <c r="F34" s="55"/>
      <c r="G34" s="55"/>
      <c r="H34" s="55"/>
      <c r="I34" s="55"/>
      <c r="J34" s="55">
        <f>SUM(J11:J33)</f>
        <v>4562</v>
      </c>
      <c r="K34" s="34"/>
      <c r="L34" s="34"/>
      <c r="M34" s="34"/>
      <c r="N34" s="34"/>
      <c r="O34" s="34"/>
      <c r="P34" s="34"/>
      <c r="Q34" s="34"/>
      <c r="R34" s="34"/>
      <c r="S34" s="34"/>
      <c r="T34" s="34"/>
    </row>
    <row r="35" spans="1:20" ht="12.75" customHeight="1" x14ac:dyDescent="0.25">
      <c r="A35" s="33"/>
      <c r="B35" s="34"/>
      <c r="C35" s="34"/>
      <c r="D35" s="34"/>
      <c r="E35" s="34"/>
      <c r="F35" s="34"/>
      <c r="G35" s="34"/>
      <c r="H35" s="34"/>
      <c r="I35" s="34"/>
      <c r="J35" s="115"/>
      <c r="K35" s="34"/>
      <c r="L35" s="34"/>
      <c r="M35" s="34"/>
      <c r="N35" s="34"/>
      <c r="O35" s="34"/>
      <c r="P35" s="34"/>
      <c r="Q35" s="34"/>
      <c r="R35" s="34"/>
      <c r="S35" s="34"/>
    </row>
    <row r="36" spans="1:20" ht="15.75" customHeight="1" x14ac:dyDescent="0.25"/>
    <row r="37" spans="1:20" ht="15.75" customHeight="1" x14ac:dyDescent="0.25"/>
    <row r="38" spans="1:20" ht="15.75" customHeight="1" x14ac:dyDescent="0.25"/>
    <row r="39" spans="1:20" ht="15.75" customHeight="1" x14ac:dyDescent="0.25"/>
    <row r="40" spans="1:20" ht="15.75" customHeight="1" x14ac:dyDescent="0.25"/>
    <row r="41" spans="1:20" ht="15.75" customHeight="1" x14ac:dyDescent="0.25"/>
    <row r="42" spans="1:20" ht="15.75" customHeight="1" x14ac:dyDescent="0.25"/>
    <row r="43" spans="1:20" ht="15.75" customHeight="1" x14ac:dyDescent="0.25"/>
    <row r="44" spans="1:20" ht="15.75" customHeight="1" x14ac:dyDescent="0.25"/>
    <row r="45" spans="1:20" ht="15.75" customHeight="1" x14ac:dyDescent="0.25"/>
    <row r="46" spans="1:20" ht="15.75" customHeight="1" x14ac:dyDescent="0.25"/>
    <row r="47" spans="1:20" ht="15.75" customHeight="1" x14ac:dyDescent="0.25"/>
    <row r="48" spans="1:2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</sheetData>
  <sheetProtection algorithmName="SHA-512" hashValue="r0NaVCUn6L0JI2MjQJEvBmgwCcFtqHkTd+0vOsfF0xPxfNg6fRnTwZtkSpgXYz5ibT6HwAvlNgZfo3WXEbWFvw==" saltValue="DqbltTaIZSlw1AC4jUHlsw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4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1003"/>
  <sheetViews>
    <sheetView workbookViewId="0">
      <pane ySplit="1" topLeftCell="A2" activePane="bottomLeft" state="frozen"/>
      <selection pane="bottomLeft" activeCell="B69" sqref="B69:G6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 xml:space="preserve">Cesarean Delivery 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17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35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68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71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200</v>
      </c>
      <c r="D16" s="70" t="s">
        <v>194</v>
      </c>
      <c r="E16" s="55">
        <v>20</v>
      </c>
      <c r="F16" s="55">
        <v>3</v>
      </c>
      <c r="G16" s="55">
        <f>E16*F16</f>
        <v>60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198</v>
      </c>
      <c r="D17" s="70" t="s">
        <v>194</v>
      </c>
      <c r="E17" s="55">
        <v>1</v>
      </c>
      <c r="F17" s="55">
        <v>65</v>
      </c>
      <c r="G17" s="55">
        <f t="shared" ref="G17:G31" si="0">E17*F17</f>
        <v>65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239</v>
      </c>
      <c r="D18" s="70" t="s">
        <v>194</v>
      </c>
      <c r="E18" s="55">
        <v>1</v>
      </c>
      <c r="F18" s="55">
        <v>116</v>
      </c>
      <c r="G18" s="55">
        <f t="shared" si="0"/>
        <v>116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261</v>
      </c>
      <c r="D19" s="70" t="s">
        <v>194</v>
      </c>
      <c r="E19" s="55">
        <v>1</v>
      </c>
      <c r="F19" s="55">
        <v>200</v>
      </c>
      <c r="G19" s="55">
        <f t="shared" si="0"/>
        <v>200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231</v>
      </c>
      <c r="D20" s="70" t="s">
        <v>194</v>
      </c>
      <c r="E20" s="55">
        <v>1</v>
      </c>
      <c r="F20" s="55">
        <v>43</v>
      </c>
      <c r="G20" s="55">
        <f t="shared" si="0"/>
        <v>43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262</v>
      </c>
      <c r="D21" s="70" t="s">
        <v>194</v>
      </c>
      <c r="E21" s="55">
        <v>3</v>
      </c>
      <c r="F21" s="55">
        <v>11.5</v>
      </c>
      <c r="G21" s="55">
        <f t="shared" si="0"/>
        <v>34.5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203</v>
      </c>
      <c r="D22" s="70" t="s">
        <v>194</v>
      </c>
      <c r="E22" s="55">
        <v>2</v>
      </c>
      <c r="F22" s="55">
        <v>40</v>
      </c>
      <c r="G22" s="55">
        <f t="shared" si="0"/>
        <v>80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263</v>
      </c>
      <c r="D23" s="70" t="s">
        <v>194</v>
      </c>
      <c r="E23" s="55">
        <v>4</v>
      </c>
      <c r="F23" s="55">
        <v>22</v>
      </c>
      <c r="G23" s="55">
        <f t="shared" si="0"/>
        <v>88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264</v>
      </c>
      <c r="D24" s="70" t="s">
        <v>194</v>
      </c>
      <c r="E24" s="55">
        <v>1</v>
      </c>
      <c r="F24" s="55">
        <v>61</v>
      </c>
      <c r="G24" s="55">
        <f t="shared" si="0"/>
        <v>61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265</v>
      </c>
      <c r="D25" s="70" t="s">
        <v>194</v>
      </c>
      <c r="E25" s="55">
        <v>1</v>
      </c>
      <c r="F25" s="55">
        <v>61</v>
      </c>
      <c r="G25" s="55">
        <f t="shared" si="0"/>
        <v>61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205</v>
      </c>
      <c r="D26" s="70" t="s">
        <v>194</v>
      </c>
      <c r="E26" s="55">
        <v>1</v>
      </c>
      <c r="F26" s="55">
        <v>25</v>
      </c>
      <c r="G26" s="55">
        <f t="shared" si="0"/>
        <v>25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266</v>
      </c>
      <c r="D27" s="70" t="s">
        <v>194</v>
      </c>
      <c r="E27" s="55">
        <v>1</v>
      </c>
      <c r="F27" s="55">
        <v>40</v>
      </c>
      <c r="G27" s="55">
        <f t="shared" si="0"/>
        <v>40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232</v>
      </c>
      <c r="D28" s="70" t="s">
        <v>194</v>
      </c>
      <c r="E28" s="55">
        <v>4</v>
      </c>
      <c r="F28" s="55">
        <v>8</v>
      </c>
      <c r="G28" s="55">
        <f t="shared" si="0"/>
        <v>32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 t="s">
        <v>237</v>
      </c>
      <c r="D29" s="70" t="s">
        <v>194</v>
      </c>
      <c r="E29" s="55">
        <v>4</v>
      </c>
      <c r="F29" s="55">
        <v>6</v>
      </c>
      <c r="G29" s="55">
        <f t="shared" si="0"/>
        <v>24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 t="s">
        <v>199</v>
      </c>
      <c r="D30" s="70" t="s">
        <v>194</v>
      </c>
      <c r="E30" s="55">
        <v>5</v>
      </c>
      <c r="F30" s="55">
        <v>6</v>
      </c>
      <c r="G30" s="55">
        <f t="shared" si="0"/>
        <v>30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 t="s">
        <v>267</v>
      </c>
      <c r="D31" s="70" t="s">
        <v>194</v>
      </c>
      <c r="E31" s="55">
        <v>4</v>
      </c>
      <c r="F31" s="55">
        <v>4</v>
      </c>
      <c r="G31" s="55">
        <f t="shared" si="0"/>
        <v>16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>
        <f>SUM(G16:G31)</f>
        <v>975.5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137" t="s">
        <v>75</v>
      </c>
      <c r="C33" s="138"/>
      <c r="D33" s="138"/>
      <c r="E33" s="138"/>
      <c r="F33" s="138"/>
      <c r="G33" s="139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</v>
      </c>
      <c r="C34" s="69" t="s">
        <v>195</v>
      </c>
      <c r="D34" s="70" t="s">
        <v>194</v>
      </c>
      <c r="E34" s="55">
        <v>2</v>
      </c>
      <c r="F34" s="55">
        <v>32</v>
      </c>
      <c r="G34" s="55">
        <f t="shared" ref="G34:G60" si="1">E34*F34</f>
        <v>64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2</v>
      </c>
      <c r="C35" s="69" t="s">
        <v>197</v>
      </c>
      <c r="D35" s="70" t="s">
        <v>194</v>
      </c>
      <c r="E35" s="55">
        <v>1</v>
      </c>
      <c r="F35" s="55">
        <v>85</v>
      </c>
      <c r="G35" s="55">
        <f t="shared" si="1"/>
        <v>85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3</v>
      </c>
      <c r="C36" s="69" t="s">
        <v>196</v>
      </c>
      <c r="D36" s="70" t="s">
        <v>194</v>
      </c>
      <c r="E36" s="55">
        <v>1</v>
      </c>
      <c r="F36" s="55">
        <v>61</v>
      </c>
      <c r="G36" s="55">
        <f t="shared" si="1"/>
        <v>61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4</v>
      </c>
      <c r="C37" s="69" t="s">
        <v>198</v>
      </c>
      <c r="D37" s="70" t="s">
        <v>194</v>
      </c>
      <c r="E37" s="55">
        <v>1</v>
      </c>
      <c r="F37" s="55">
        <v>65</v>
      </c>
      <c r="G37" s="55">
        <f t="shared" si="1"/>
        <v>65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5</v>
      </c>
      <c r="C38" s="69" t="s">
        <v>199</v>
      </c>
      <c r="D38" s="70" t="s">
        <v>194</v>
      </c>
      <c r="E38" s="55">
        <v>4</v>
      </c>
      <c r="F38" s="55">
        <v>6</v>
      </c>
      <c r="G38" s="55">
        <f t="shared" si="1"/>
        <v>24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6</v>
      </c>
      <c r="C39" s="69" t="s">
        <v>200</v>
      </c>
      <c r="D39" s="70" t="s">
        <v>194</v>
      </c>
      <c r="E39" s="55">
        <v>40</v>
      </c>
      <c r="F39" s="55">
        <v>3</v>
      </c>
      <c r="G39" s="55">
        <f t="shared" si="1"/>
        <v>120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7</v>
      </c>
      <c r="C40" s="69" t="s">
        <v>201</v>
      </c>
      <c r="D40" s="70" t="s">
        <v>194</v>
      </c>
      <c r="E40" s="55">
        <v>5</v>
      </c>
      <c r="F40" s="55">
        <v>65</v>
      </c>
      <c r="G40" s="55">
        <f t="shared" si="1"/>
        <v>325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8</v>
      </c>
      <c r="C41" s="69" t="s">
        <v>202</v>
      </c>
      <c r="D41" s="70" t="s">
        <v>194</v>
      </c>
      <c r="E41" s="55">
        <v>26</v>
      </c>
      <c r="F41" s="55">
        <v>4</v>
      </c>
      <c r="G41" s="55">
        <f t="shared" si="1"/>
        <v>104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9</v>
      </c>
      <c r="C42" s="69" t="s">
        <v>203</v>
      </c>
      <c r="D42" s="70" t="s">
        <v>194</v>
      </c>
      <c r="E42" s="55">
        <v>1</v>
      </c>
      <c r="F42" s="55">
        <v>40</v>
      </c>
      <c r="G42" s="55">
        <f t="shared" si="1"/>
        <v>40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10</v>
      </c>
      <c r="C43" s="69" t="s">
        <v>204</v>
      </c>
      <c r="D43" s="70" t="s">
        <v>194</v>
      </c>
      <c r="E43" s="55">
        <v>4</v>
      </c>
      <c r="F43" s="55">
        <v>45</v>
      </c>
      <c r="G43" s="55">
        <f t="shared" si="1"/>
        <v>180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11</v>
      </c>
      <c r="C44" s="69" t="s">
        <v>205</v>
      </c>
      <c r="D44" s="70" t="s">
        <v>194</v>
      </c>
      <c r="E44" s="55">
        <v>1</v>
      </c>
      <c r="F44" s="55">
        <v>25</v>
      </c>
      <c r="G44" s="55">
        <f t="shared" si="1"/>
        <v>25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12</v>
      </c>
      <c r="C45" s="69" t="s">
        <v>206</v>
      </c>
      <c r="D45" s="70" t="s">
        <v>194</v>
      </c>
      <c r="E45" s="55">
        <v>2</v>
      </c>
      <c r="F45" s="55">
        <v>110</v>
      </c>
      <c r="G45" s="55">
        <f t="shared" si="1"/>
        <v>220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13</v>
      </c>
      <c r="C46" s="69" t="s">
        <v>207</v>
      </c>
      <c r="D46" s="70" t="s">
        <v>194</v>
      </c>
      <c r="E46" s="55">
        <v>2</v>
      </c>
      <c r="F46" s="55">
        <v>25</v>
      </c>
      <c r="G46" s="55">
        <f t="shared" si="1"/>
        <v>50</v>
      </c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14</v>
      </c>
      <c r="C47" s="69" t="s">
        <v>208</v>
      </c>
      <c r="D47" s="70" t="s">
        <v>194</v>
      </c>
      <c r="E47" s="55">
        <v>4</v>
      </c>
      <c r="F47" s="55">
        <v>7</v>
      </c>
      <c r="G47" s="55">
        <f t="shared" si="1"/>
        <v>28</v>
      </c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15</v>
      </c>
      <c r="C48" s="69" t="s">
        <v>209</v>
      </c>
      <c r="D48" s="70" t="s">
        <v>194</v>
      </c>
      <c r="E48" s="55">
        <v>1</v>
      </c>
      <c r="F48" s="55">
        <v>35</v>
      </c>
      <c r="G48" s="55">
        <f t="shared" ref="G48:G58" si="2">E48*F48</f>
        <v>35</v>
      </c>
      <c r="H48" s="39"/>
      <c r="I48" s="39"/>
      <c r="J48" s="39"/>
      <c r="K48" s="39"/>
      <c r="L48" s="39"/>
      <c r="M48" s="39"/>
      <c r="N48" s="39"/>
      <c r="O48" s="39"/>
      <c r="P48" s="39"/>
    </row>
    <row r="49" spans="2:16" ht="14.25" customHeight="1" x14ac:dyDescent="0.3">
      <c r="B49" s="68">
        <v>16</v>
      </c>
      <c r="C49" s="69" t="s">
        <v>210</v>
      </c>
      <c r="D49" s="70" t="s">
        <v>194</v>
      </c>
      <c r="E49" s="55">
        <v>1</v>
      </c>
      <c r="F49" s="55">
        <v>210</v>
      </c>
      <c r="G49" s="55">
        <f t="shared" si="2"/>
        <v>210</v>
      </c>
      <c r="H49" s="39"/>
      <c r="I49" s="39"/>
      <c r="J49" s="39"/>
      <c r="K49" s="39"/>
      <c r="L49" s="39"/>
      <c r="M49" s="39"/>
      <c r="N49" s="39"/>
      <c r="O49" s="39"/>
      <c r="P49" s="39"/>
    </row>
    <row r="50" spans="2:16" ht="14.25" customHeight="1" x14ac:dyDescent="0.3">
      <c r="B50" s="68">
        <v>17</v>
      </c>
      <c r="C50" s="69" t="s">
        <v>211</v>
      </c>
      <c r="D50" s="70" t="s">
        <v>194</v>
      </c>
      <c r="E50" s="55">
        <v>1</v>
      </c>
      <c r="F50" s="55">
        <v>205</v>
      </c>
      <c r="G50" s="55">
        <f t="shared" si="2"/>
        <v>205</v>
      </c>
      <c r="H50" s="39"/>
      <c r="I50" s="39"/>
      <c r="J50" s="39"/>
      <c r="K50" s="39"/>
      <c r="L50" s="39"/>
      <c r="M50" s="39"/>
      <c r="N50" s="39"/>
      <c r="O50" s="39"/>
      <c r="P50" s="39"/>
    </row>
    <row r="51" spans="2:16" ht="14.25" customHeight="1" x14ac:dyDescent="0.3">
      <c r="B51" s="68">
        <v>18</v>
      </c>
      <c r="C51" s="69" t="s">
        <v>230</v>
      </c>
      <c r="D51" s="70" t="s">
        <v>194</v>
      </c>
      <c r="E51" s="55">
        <v>1</v>
      </c>
      <c r="F51" s="55">
        <v>280</v>
      </c>
      <c r="G51" s="55">
        <f t="shared" si="2"/>
        <v>280</v>
      </c>
      <c r="H51" s="39"/>
      <c r="I51" s="39"/>
      <c r="J51" s="39"/>
      <c r="K51" s="39"/>
      <c r="L51" s="39"/>
      <c r="M51" s="39"/>
      <c r="N51" s="39"/>
      <c r="O51" s="39"/>
      <c r="P51" s="39"/>
    </row>
    <row r="52" spans="2:16" ht="14.25" customHeight="1" x14ac:dyDescent="0.3">
      <c r="B52" s="68">
        <v>19</v>
      </c>
      <c r="C52" s="69" t="s">
        <v>212</v>
      </c>
      <c r="D52" s="70" t="s">
        <v>194</v>
      </c>
      <c r="E52" s="55">
        <v>1</v>
      </c>
      <c r="F52" s="55">
        <v>410</v>
      </c>
      <c r="G52" s="55">
        <f t="shared" si="2"/>
        <v>410</v>
      </c>
      <c r="H52" s="39"/>
      <c r="I52" s="39"/>
      <c r="J52" s="39"/>
      <c r="K52" s="39"/>
      <c r="L52" s="39"/>
      <c r="M52" s="39"/>
      <c r="N52" s="39"/>
      <c r="O52" s="39"/>
      <c r="P52" s="39"/>
    </row>
    <row r="53" spans="2:16" ht="14.25" customHeight="1" x14ac:dyDescent="0.3">
      <c r="B53" s="68">
        <v>20</v>
      </c>
      <c r="C53" s="69" t="s">
        <v>213</v>
      </c>
      <c r="D53" s="70" t="s">
        <v>194</v>
      </c>
      <c r="E53" s="55">
        <v>1</v>
      </c>
      <c r="F53" s="55">
        <v>280</v>
      </c>
      <c r="G53" s="55">
        <f t="shared" si="2"/>
        <v>280</v>
      </c>
      <c r="H53" s="39"/>
      <c r="I53" s="39"/>
      <c r="J53" s="39"/>
      <c r="K53" s="39"/>
      <c r="L53" s="39"/>
      <c r="M53" s="39"/>
      <c r="N53" s="39"/>
      <c r="O53" s="39"/>
      <c r="P53" s="39"/>
    </row>
    <row r="54" spans="2:16" ht="14.25" customHeight="1" x14ac:dyDescent="0.3">
      <c r="B54" s="68">
        <v>21</v>
      </c>
      <c r="C54" s="69" t="s">
        <v>214</v>
      </c>
      <c r="D54" s="70" t="s">
        <v>194</v>
      </c>
      <c r="E54" s="55">
        <v>3</v>
      </c>
      <c r="F54" s="55">
        <v>6</v>
      </c>
      <c r="G54" s="55">
        <f t="shared" si="2"/>
        <v>18</v>
      </c>
      <c r="H54" s="39"/>
      <c r="I54" s="39"/>
      <c r="J54" s="39"/>
      <c r="K54" s="39"/>
      <c r="L54" s="39"/>
      <c r="M54" s="39"/>
      <c r="N54" s="39"/>
      <c r="O54" s="39"/>
      <c r="P54" s="39"/>
    </row>
    <row r="55" spans="2:16" ht="14.25" customHeight="1" x14ac:dyDescent="0.3">
      <c r="B55" s="68">
        <v>22</v>
      </c>
      <c r="C55" s="69" t="s">
        <v>228</v>
      </c>
      <c r="D55" s="70" t="s">
        <v>194</v>
      </c>
      <c r="E55" s="55">
        <v>3</v>
      </c>
      <c r="F55" s="55">
        <v>25</v>
      </c>
      <c r="G55" s="55">
        <f t="shared" si="2"/>
        <v>75</v>
      </c>
      <c r="H55" s="39"/>
      <c r="I55" s="39"/>
      <c r="J55" s="39"/>
      <c r="K55" s="39"/>
      <c r="L55" s="39"/>
      <c r="M55" s="39"/>
      <c r="N55" s="39"/>
      <c r="O55" s="39"/>
      <c r="P55" s="39"/>
    </row>
    <row r="56" spans="2:16" ht="14.25" customHeight="1" x14ac:dyDescent="0.3">
      <c r="B56" s="68">
        <v>23</v>
      </c>
      <c r="C56" s="69" t="s">
        <v>233</v>
      </c>
      <c r="D56" s="70" t="s">
        <v>194</v>
      </c>
      <c r="E56" s="55">
        <v>1</v>
      </c>
      <c r="F56" s="55">
        <v>35</v>
      </c>
      <c r="G56" s="55">
        <f t="shared" si="2"/>
        <v>35</v>
      </c>
      <c r="H56" s="39"/>
      <c r="I56" s="39"/>
      <c r="J56" s="39"/>
      <c r="K56" s="39"/>
      <c r="L56" s="39"/>
      <c r="M56" s="39"/>
      <c r="N56" s="39"/>
      <c r="O56" s="39"/>
      <c r="P56" s="39"/>
    </row>
    <row r="57" spans="2:16" ht="14.25" customHeight="1" x14ac:dyDescent="0.3">
      <c r="B57" s="68">
        <v>24</v>
      </c>
      <c r="C57" s="69" t="s">
        <v>237</v>
      </c>
      <c r="D57" s="70" t="s">
        <v>194</v>
      </c>
      <c r="E57" s="55">
        <v>2</v>
      </c>
      <c r="F57" s="55">
        <v>6</v>
      </c>
      <c r="G57" s="55">
        <f t="shared" si="2"/>
        <v>12</v>
      </c>
      <c r="H57" s="39"/>
      <c r="I57" s="39"/>
      <c r="J57" s="39"/>
      <c r="K57" s="39"/>
      <c r="L57" s="39"/>
      <c r="M57" s="39"/>
      <c r="N57" s="39"/>
      <c r="O57" s="39"/>
      <c r="P57" s="39"/>
    </row>
    <row r="58" spans="2:16" ht="14.25" customHeight="1" x14ac:dyDescent="0.3">
      <c r="B58" s="68">
        <v>25</v>
      </c>
      <c r="C58" s="69" t="s">
        <v>238</v>
      </c>
      <c r="D58" s="70" t="s">
        <v>194</v>
      </c>
      <c r="E58" s="55">
        <v>2</v>
      </c>
      <c r="F58" s="55">
        <v>7</v>
      </c>
      <c r="G58" s="55">
        <f t="shared" si="2"/>
        <v>14</v>
      </c>
      <c r="H58" s="39"/>
      <c r="I58" s="39"/>
      <c r="J58" s="39"/>
      <c r="K58" s="39"/>
      <c r="L58" s="39"/>
      <c r="M58" s="39"/>
      <c r="N58" s="39"/>
      <c r="O58" s="39"/>
      <c r="P58" s="39"/>
    </row>
    <row r="59" spans="2:16" ht="14.25" customHeight="1" x14ac:dyDescent="0.3">
      <c r="B59" s="68">
        <v>26</v>
      </c>
      <c r="C59" s="69" t="s">
        <v>257</v>
      </c>
      <c r="D59" s="70" t="s">
        <v>194</v>
      </c>
      <c r="E59" s="55">
        <v>2</v>
      </c>
      <c r="F59" s="55">
        <v>7</v>
      </c>
      <c r="G59" s="55">
        <f t="shared" si="1"/>
        <v>14</v>
      </c>
      <c r="H59" s="39"/>
      <c r="I59" s="39"/>
      <c r="J59" s="39"/>
      <c r="K59" s="39"/>
      <c r="L59" s="39"/>
      <c r="M59" s="39"/>
      <c r="N59" s="39"/>
      <c r="O59" s="39"/>
      <c r="P59" s="39"/>
    </row>
    <row r="60" spans="2:16" ht="14.25" customHeight="1" x14ac:dyDescent="0.3">
      <c r="B60" s="68">
        <v>27</v>
      </c>
      <c r="C60" s="69" t="s">
        <v>258</v>
      </c>
      <c r="D60" s="70" t="s">
        <v>259</v>
      </c>
      <c r="E60" s="55">
        <v>1</v>
      </c>
      <c r="F60" s="55">
        <v>30</v>
      </c>
      <c r="G60" s="55">
        <f t="shared" si="1"/>
        <v>30</v>
      </c>
      <c r="H60" s="39"/>
      <c r="I60" s="39"/>
      <c r="J60" s="39"/>
      <c r="K60" s="39"/>
      <c r="L60" s="39"/>
      <c r="M60" s="39"/>
      <c r="N60" s="39"/>
      <c r="O60" s="39"/>
      <c r="P60" s="39"/>
    </row>
    <row r="61" spans="2:16" ht="14.25" customHeight="1" x14ac:dyDescent="0.3">
      <c r="B61" s="68">
        <v>28</v>
      </c>
      <c r="C61" s="69" t="s">
        <v>260</v>
      </c>
      <c r="D61" s="70" t="s">
        <v>259</v>
      </c>
      <c r="E61" s="55">
        <v>1</v>
      </c>
      <c r="F61" s="55">
        <v>50</v>
      </c>
      <c r="G61" s="55">
        <f t="shared" ref="G61:G62" si="3">E61*F61</f>
        <v>50</v>
      </c>
      <c r="H61" s="39"/>
      <c r="I61" s="39"/>
      <c r="J61" s="39"/>
      <c r="K61" s="39"/>
      <c r="L61" s="39"/>
      <c r="M61" s="39"/>
      <c r="N61" s="39"/>
      <c r="O61" s="39"/>
      <c r="P61" s="39"/>
    </row>
    <row r="62" spans="2:16" ht="14.25" customHeight="1" x14ac:dyDescent="0.3">
      <c r="B62" s="68">
        <v>29</v>
      </c>
      <c r="C62" s="69" t="s">
        <v>234</v>
      </c>
      <c r="D62" s="70" t="s">
        <v>194</v>
      </c>
      <c r="E62" s="55">
        <v>1</v>
      </c>
      <c r="F62" s="55">
        <v>6</v>
      </c>
      <c r="G62" s="55">
        <f t="shared" si="3"/>
        <v>6</v>
      </c>
      <c r="H62" s="39"/>
      <c r="I62" s="39"/>
      <c r="J62" s="39"/>
      <c r="K62" s="39"/>
      <c r="L62" s="39"/>
      <c r="M62" s="39"/>
      <c r="N62" s="39"/>
      <c r="O62" s="39"/>
      <c r="P62" s="39"/>
    </row>
    <row r="63" spans="2:16" ht="14.25" customHeight="1" x14ac:dyDescent="0.3">
      <c r="B63" s="68">
        <v>30</v>
      </c>
      <c r="C63" s="69" t="s">
        <v>235</v>
      </c>
      <c r="D63" s="70" t="s">
        <v>194</v>
      </c>
      <c r="E63" s="55">
        <v>2</v>
      </c>
      <c r="F63" s="55">
        <v>17</v>
      </c>
      <c r="G63" s="55">
        <f>E63*F63</f>
        <v>34</v>
      </c>
      <c r="H63" s="39"/>
      <c r="I63" s="39"/>
      <c r="J63" s="39"/>
      <c r="K63" s="39"/>
      <c r="L63" s="39"/>
      <c r="M63" s="39"/>
      <c r="N63" s="39"/>
      <c r="O63" s="39"/>
      <c r="P63" s="39"/>
    </row>
    <row r="64" spans="2:16" ht="14.25" customHeight="1" x14ac:dyDescent="0.3">
      <c r="B64" s="68">
        <v>31</v>
      </c>
      <c r="C64" s="69" t="s">
        <v>236</v>
      </c>
      <c r="D64" s="70" t="s">
        <v>194</v>
      </c>
      <c r="E64" s="55">
        <v>1</v>
      </c>
      <c r="F64" s="55">
        <v>235</v>
      </c>
      <c r="G64" s="55">
        <f>E64*F64</f>
        <v>235</v>
      </c>
      <c r="H64" s="39"/>
      <c r="I64" s="39"/>
      <c r="J64" s="39"/>
      <c r="K64" s="39"/>
      <c r="L64" s="39"/>
      <c r="M64" s="39"/>
      <c r="N64" s="39"/>
      <c r="O64" s="39"/>
      <c r="P64" s="39"/>
    </row>
    <row r="65" spans="1:16" ht="14.25" customHeight="1" x14ac:dyDescent="0.3">
      <c r="B65" s="68">
        <v>32</v>
      </c>
      <c r="C65" s="69"/>
      <c r="D65" s="70"/>
      <c r="E65" s="55"/>
      <c r="F65" s="55"/>
      <c r="G65" s="55"/>
      <c r="H65" s="39"/>
      <c r="I65" s="39"/>
      <c r="J65" s="39"/>
      <c r="K65" s="39"/>
      <c r="L65" s="39"/>
      <c r="M65" s="39"/>
      <c r="N65" s="39"/>
      <c r="O65" s="39"/>
      <c r="P65" s="39"/>
    </row>
    <row r="66" spans="1:16" ht="14.25" customHeight="1" x14ac:dyDescent="0.3">
      <c r="B66" s="68">
        <v>33</v>
      </c>
      <c r="C66" s="69"/>
      <c r="D66" s="70"/>
      <c r="E66" s="55"/>
      <c r="F66" s="55"/>
      <c r="G66" s="55"/>
      <c r="H66" s="39"/>
      <c r="I66" s="39"/>
      <c r="J66" s="39"/>
      <c r="K66" s="39"/>
      <c r="L66" s="39"/>
      <c r="M66" s="39"/>
      <c r="N66" s="39"/>
      <c r="O66" s="39"/>
      <c r="P66" s="39"/>
    </row>
    <row r="67" spans="1:16" ht="14.25" customHeight="1" x14ac:dyDescent="0.3">
      <c r="B67" s="68">
        <v>34</v>
      </c>
      <c r="C67" s="69"/>
      <c r="D67" s="70"/>
      <c r="E67" s="55"/>
      <c r="F67" s="55"/>
      <c r="G67" s="55"/>
      <c r="H67" s="39"/>
      <c r="I67" s="39"/>
      <c r="J67" s="39"/>
      <c r="K67" s="39"/>
      <c r="L67" s="39"/>
      <c r="M67" s="39"/>
      <c r="N67" s="39"/>
      <c r="O67" s="39"/>
      <c r="P67" s="39"/>
    </row>
    <row r="68" spans="1:16" ht="14.25" customHeight="1" x14ac:dyDescent="0.3">
      <c r="B68" s="68">
        <v>35</v>
      </c>
      <c r="C68" s="69"/>
      <c r="D68" s="70"/>
      <c r="E68" s="55"/>
      <c r="F68" s="55"/>
      <c r="G68" s="55">
        <f>SUM(G34:G67)</f>
        <v>3334</v>
      </c>
      <c r="H68" s="39"/>
      <c r="I68" s="39"/>
      <c r="J68" s="39"/>
      <c r="K68" s="39"/>
      <c r="L68" s="39"/>
      <c r="M68" s="39"/>
      <c r="N68" s="39"/>
      <c r="O68" s="39"/>
      <c r="P68" s="39"/>
    </row>
    <row r="69" spans="1:16" ht="14.25" customHeight="1" x14ac:dyDescent="0.3">
      <c r="B69" s="137" t="s">
        <v>29</v>
      </c>
      <c r="C69" s="138"/>
      <c r="D69" s="138"/>
      <c r="E69" s="138"/>
      <c r="F69" s="138"/>
      <c r="G69" s="139"/>
      <c r="H69" s="39"/>
      <c r="I69" s="39"/>
      <c r="J69" s="39"/>
      <c r="K69" s="39"/>
      <c r="L69" s="39"/>
      <c r="M69" s="39"/>
      <c r="N69" s="39"/>
      <c r="O69" s="39"/>
      <c r="P69" s="39"/>
    </row>
    <row r="70" spans="1:16" ht="14.25" customHeight="1" x14ac:dyDescent="0.3">
      <c r="B70" s="68">
        <v>1</v>
      </c>
      <c r="C70" s="69"/>
      <c r="D70" s="70"/>
      <c r="E70" s="55"/>
      <c r="F70" s="55"/>
      <c r="G70" s="55"/>
      <c r="H70" s="39"/>
      <c r="I70" s="39"/>
      <c r="J70" s="39"/>
      <c r="K70" s="39"/>
      <c r="L70" s="39"/>
      <c r="M70" s="39"/>
      <c r="N70" s="39"/>
      <c r="O70" s="39"/>
      <c r="P70" s="39"/>
    </row>
    <row r="71" spans="1:16" ht="14.25" customHeight="1" x14ac:dyDescent="0.3">
      <c r="B71" s="68">
        <v>2</v>
      </c>
      <c r="C71" s="69"/>
      <c r="D71" s="70"/>
      <c r="E71" s="55"/>
      <c r="F71" s="55"/>
      <c r="G71" s="55"/>
      <c r="H71" s="39"/>
      <c r="I71" s="39"/>
      <c r="J71" s="39"/>
      <c r="K71" s="39"/>
      <c r="L71" s="39"/>
      <c r="M71" s="39"/>
      <c r="N71" s="39"/>
      <c r="O71" s="39"/>
      <c r="P71" s="39"/>
    </row>
    <row r="72" spans="1:16" ht="14.25" customHeight="1" x14ac:dyDescent="0.3">
      <c r="B72" s="68">
        <v>3</v>
      </c>
      <c r="C72" s="69"/>
      <c r="D72" s="70"/>
      <c r="E72" s="55"/>
      <c r="F72" s="55"/>
      <c r="G72" s="55"/>
      <c r="H72" s="39"/>
      <c r="I72" s="39"/>
      <c r="J72" s="39"/>
      <c r="K72" s="39"/>
      <c r="L72" s="39"/>
      <c r="M72" s="39"/>
      <c r="N72" s="39"/>
      <c r="O72" s="39"/>
      <c r="P72" s="39"/>
    </row>
    <row r="73" spans="1:16" ht="14.25" customHeight="1" x14ac:dyDescent="0.3">
      <c r="B73" s="68">
        <v>4</v>
      </c>
      <c r="C73" s="69"/>
      <c r="D73" s="70"/>
      <c r="E73" s="55"/>
      <c r="F73" s="55"/>
      <c r="G73" s="55"/>
      <c r="H73" s="39"/>
      <c r="I73" s="39"/>
      <c r="J73" s="39"/>
      <c r="K73" s="39"/>
      <c r="L73" s="39"/>
      <c r="M73" s="39"/>
      <c r="N73" s="39"/>
      <c r="O73" s="39"/>
      <c r="P73" s="39"/>
    </row>
    <row r="74" spans="1:16" ht="14.25" customHeight="1" x14ac:dyDescent="0.3">
      <c r="B74" s="68">
        <v>5</v>
      </c>
      <c r="C74" s="69"/>
      <c r="D74" s="70"/>
      <c r="E74" s="55"/>
      <c r="F74" s="55"/>
      <c r="G74" s="55"/>
      <c r="H74" s="39"/>
      <c r="I74" s="39"/>
      <c r="J74" s="39"/>
      <c r="K74" s="39"/>
      <c r="L74" s="39"/>
      <c r="M74" s="39"/>
      <c r="N74" s="39"/>
      <c r="O74" s="39"/>
      <c r="P74" s="39"/>
    </row>
    <row r="75" spans="1:16" ht="14.25" customHeight="1" x14ac:dyDescent="0.3">
      <c r="B75" s="68">
        <v>6</v>
      </c>
      <c r="C75" s="69"/>
      <c r="D75" s="70"/>
      <c r="E75" s="55"/>
      <c r="F75" s="55"/>
      <c r="G75" s="55"/>
      <c r="H75" s="39"/>
      <c r="I75" s="39"/>
      <c r="J75" s="39"/>
      <c r="K75" s="39"/>
      <c r="L75" s="39"/>
      <c r="M75" s="39"/>
      <c r="N75" s="39"/>
      <c r="O75" s="39"/>
      <c r="P75" s="39"/>
    </row>
    <row r="76" spans="1:16" ht="14.25" customHeight="1" x14ac:dyDescent="0.3">
      <c r="B76" s="68">
        <v>7</v>
      </c>
      <c r="C76" s="69"/>
      <c r="D76" s="70"/>
      <c r="E76" s="55"/>
      <c r="F76" s="55"/>
      <c r="G76" s="55"/>
      <c r="H76" s="39"/>
      <c r="I76" s="39"/>
      <c r="J76" s="39"/>
      <c r="K76" s="39"/>
      <c r="L76" s="39"/>
      <c r="M76" s="39"/>
      <c r="N76" s="39"/>
      <c r="O76" s="39"/>
      <c r="P76" s="39"/>
    </row>
    <row r="77" spans="1:16" ht="14.25" customHeight="1" x14ac:dyDescent="0.3">
      <c r="B77" s="68">
        <v>8</v>
      </c>
      <c r="C77" s="69"/>
      <c r="D77" s="70"/>
      <c r="E77" s="55"/>
      <c r="F77" s="55"/>
      <c r="G77" s="55"/>
      <c r="H77" s="39"/>
      <c r="I77" s="39"/>
      <c r="J77" s="39"/>
      <c r="K77" s="39"/>
      <c r="L77" s="39"/>
      <c r="M77" s="39"/>
      <c r="N77" s="39"/>
      <c r="O77" s="39"/>
      <c r="P77" s="39"/>
    </row>
    <row r="78" spans="1:16" ht="14.25" customHeight="1" x14ac:dyDescent="0.3">
      <c r="B78" s="68">
        <v>9</v>
      </c>
      <c r="C78" s="69"/>
      <c r="D78" s="70"/>
      <c r="E78" s="55"/>
      <c r="F78" s="55"/>
      <c r="G78" s="55"/>
      <c r="H78" s="39"/>
      <c r="I78" s="39"/>
      <c r="J78" s="39"/>
      <c r="K78" s="39"/>
      <c r="L78" s="39"/>
      <c r="M78" s="39"/>
      <c r="N78" s="39"/>
      <c r="O78" s="39"/>
      <c r="P78" s="39"/>
    </row>
    <row r="79" spans="1:16" ht="14.25" customHeight="1" x14ac:dyDescent="0.3">
      <c r="B79" s="68">
        <v>10</v>
      </c>
      <c r="C79" s="69"/>
      <c r="D79" s="70"/>
      <c r="E79" s="55"/>
      <c r="F79" s="55"/>
      <c r="G79" s="55"/>
      <c r="H79" s="39"/>
      <c r="I79" s="39"/>
      <c r="J79" s="39"/>
      <c r="K79" s="39"/>
      <c r="L79" s="39"/>
      <c r="M79" s="39"/>
      <c r="N79" s="39"/>
      <c r="O79" s="39"/>
      <c r="P79" s="39"/>
    </row>
    <row r="80" spans="1:16" ht="14.25" customHeight="1" x14ac:dyDescent="0.3">
      <c r="A80" s="44"/>
      <c r="B80" s="39"/>
      <c r="C80" s="44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</row>
    <row r="81" spans="1:16" ht="14.25" customHeight="1" x14ac:dyDescent="0.3">
      <c r="A81" s="44"/>
      <c r="B81" s="39"/>
      <c r="C81" s="44"/>
      <c r="D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</row>
    <row r="82" spans="1:16" ht="15.75" customHeight="1" x14ac:dyDescent="0.25"/>
    <row r="83" spans="1:16" ht="15.75" customHeight="1" x14ac:dyDescent="0.25"/>
    <row r="84" spans="1:16" ht="15.75" customHeight="1" x14ac:dyDescent="0.25"/>
    <row r="85" spans="1:16" ht="15.75" customHeight="1" x14ac:dyDescent="0.25"/>
    <row r="86" spans="1:16" ht="15.75" customHeight="1" x14ac:dyDescent="0.25"/>
    <row r="87" spans="1:16" ht="15.75" customHeight="1" x14ac:dyDescent="0.25"/>
    <row r="88" spans="1:16" ht="15.75" customHeight="1" x14ac:dyDescent="0.25"/>
    <row r="89" spans="1:16" ht="15.75" customHeight="1" x14ac:dyDescent="0.25"/>
    <row r="90" spans="1:16" ht="15.75" customHeight="1" x14ac:dyDescent="0.25"/>
    <row r="91" spans="1:16" ht="15.75" customHeight="1" x14ac:dyDescent="0.25"/>
    <row r="92" spans="1:16" ht="15.75" customHeight="1" x14ac:dyDescent="0.25"/>
    <row r="93" spans="1:16" ht="15.75" customHeight="1" x14ac:dyDescent="0.25"/>
    <row r="94" spans="1:16" ht="15.75" customHeight="1" x14ac:dyDescent="0.25"/>
    <row r="95" spans="1:16" ht="15.75" customHeight="1" x14ac:dyDescent="0.25"/>
    <row r="96" spans="1:1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</sheetData>
  <sheetProtection algorithmName="SHA-512" hashValue="UokrD0sA3r/aMG+w12K9deBLqNr9BcGH+94FxVXiqTp6f+DNxJfJN/CpsWTMj/6um3IkHzlTZ9x8Kk9xVfiNXQ==" saltValue="bDvZVV+xjkYZmuueNAAFXw==" spinCount="100000" sheet="1" objects="1" scenarios="1" formatColumns="0" formatRows="0" sort="0" autoFilter="0"/>
  <mergeCells count="9">
    <mergeCell ref="B7:G7"/>
    <mergeCell ref="B33:G33"/>
    <mergeCell ref="B69:G69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79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33</xdr:row>
                    <xdr:rowOff>28575</xdr:rowOff>
                  </from>
                  <to>
                    <xdr:col>1</xdr:col>
                    <xdr:colOff>762000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33</xdr:row>
                    <xdr:rowOff>28575</xdr:rowOff>
                  </from>
                  <to>
                    <xdr:col>1</xdr:col>
                    <xdr:colOff>1533525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69</xdr:row>
                    <xdr:rowOff>28575</xdr:rowOff>
                  </from>
                  <to>
                    <xdr:col>1</xdr:col>
                    <xdr:colOff>771525</xdr:colOff>
                    <xdr:row>69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69</xdr:row>
                    <xdr:rowOff>28575</xdr:rowOff>
                  </from>
                  <to>
                    <xdr:col>1</xdr:col>
                    <xdr:colOff>1543050</xdr:colOff>
                    <xdr:row>69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G15" sqref="G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 xml:space="preserve">Cesarean Delivery 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215</v>
      </c>
      <c r="D13" s="55"/>
      <c r="E13" s="55">
        <v>50</v>
      </c>
      <c r="F13" s="55"/>
      <c r="G13" s="55">
        <v>50</v>
      </c>
      <c r="H13" s="55"/>
      <c r="I13" s="55"/>
      <c r="J13" s="55"/>
      <c r="K13" s="55"/>
      <c r="L13" s="55"/>
      <c r="M13" s="55"/>
      <c r="N13" s="55"/>
      <c r="P13" s="88">
        <f>SUM(D13:N13)</f>
        <v>100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216</v>
      </c>
      <c r="D14" s="55"/>
      <c r="E14" s="55">
        <v>90</v>
      </c>
      <c r="F14" s="55"/>
      <c r="G14" s="55">
        <v>90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180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140</v>
      </c>
      <c r="F30" s="88">
        <f t="shared" si="1"/>
        <v>0</v>
      </c>
      <c r="G30" s="88">
        <f t="shared" si="1"/>
        <v>140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280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USER</cp:lastModifiedBy>
  <dcterms:created xsi:type="dcterms:W3CDTF">2018-05-11T08:46:15Z</dcterms:created>
  <dcterms:modified xsi:type="dcterms:W3CDTF">2018-06-13T09:04:24Z</dcterms:modified>
</cp:coreProperties>
</file>