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OMIS USER\Desktop\FINAL OUTPUT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2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data_general'!$B$1:$F$77</definedName>
    <definedName name="_xlnm.Print_Area" localSheetId="1">'1.2 Drugs&amp;Med'!$B$2:$J$30</definedName>
  </definedNames>
  <calcPr calcId="162913"/>
</workbook>
</file>

<file path=xl/calcChain.xml><?xml version="1.0" encoding="utf-8"?>
<calcChain xmlns="http://schemas.openxmlformats.org/spreadsheetml/2006/main">
  <c r="J12" i="2" l="1"/>
  <c r="J27" i="2"/>
  <c r="G52" i="9"/>
  <c r="G51" i="9"/>
  <c r="G50" i="9"/>
  <c r="G49" i="9"/>
  <c r="G48" i="9"/>
  <c r="G47" i="9"/>
  <c r="G46" i="9"/>
  <c r="G45" i="9"/>
  <c r="G44" i="9"/>
  <c r="G43" i="9"/>
  <c r="G42" i="9"/>
  <c r="G56" i="9" l="1"/>
  <c r="G54" i="9" l="1"/>
  <c r="G53" i="9"/>
  <c r="G41" i="9"/>
  <c r="G40" i="9"/>
  <c r="G39" i="9"/>
  <c r="G38" i="9"/>
  <c r="G37" i="9"/>
  <c r="G36" i="9"/>
  <c r="G35" i="9"/>
  <c r="G34" i="9"/>
  <c r="G33" i="9"/>
  <c r="G32" i="9"/>
  <c r="G31" i="9"/>
  <c r="G30" i="9"/>
  <c r="G29" i="9"/>
  <c r="G28" i="9"/>
  <c r="G55" i="9"/>
  <c r="J26" i="2"/>
  <c r="G57" i="9" l="1"/>
  <c r="J25" i="2"/>
  <c r="J24" i="2"/>
  <c r="J23" i="2"/>
  <c r="J22" i="2"/>
  <c r="J21" i="2"/>
  <c r="G17" i="9" l="1"/>
  <c r="G18" i="9"/>
  <c r="G19" i="9"/>
  <c r="G20" i="9"/>
  <c r="G22" i="9"/>
  <c r="G23" i="9"/>
  <c r="G24" i="9"/>
  <c r="G25" i="9"/>
  <c r="G26" i="9"/>
  <c r="G16" i="9"/>
  <c r="J13" i="2"/>
  <c r="J14" i="2"/>
  <c r="J15" i="2"/>
  <c r="J16" i="2"/>
  <c r="J17" i="2"/>
  <c r="J18" i="2"/>
  <c r="J19" i="2"/>
  <c r="J20" i="2"/>
  <c r="J29" i="2" l="1"/>
  <c r="G1" i="1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7" i="1"/>
  <c r="E77" i="1"/>
  <c r="D77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<sst xmlns="http://schemas.openxmlformats.org/spreadsheetml/2006/main" count="566" uniqueCount="244">
  <si>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</si>
  <si>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</si>
  <si>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</si>
  <si>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</si>
  <si>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</si>
  <si>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</si>
  <si>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</si>
  <si>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</si>
  <si>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</si>
  <si>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</si>
  <si>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</si>
  <si>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</si>
  <si>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</si>
  <si>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</si>
  <si>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</si>
  <si>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</si>
  <si>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</si>
  <si>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</si>
  <si>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</si>
  <si>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</si>
  <si>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</si>
  <si>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</si>
  <si>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</si>
  <si>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</si>
  <si>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</si>
  <si>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</si>
  <si>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</si>
  <si>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</si>
  <si>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</si>
  <si>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</si>
  <si>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</si>
  <si>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</si>
  <si>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</si>
  <si>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</si>
  <si>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</si>
  <si>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</si>
  <si>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</si>
  <si>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</si>
  <si>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</si>
  <si>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</si>
  <si>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</si>
  <si>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</si>
  <si>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</si>
  <si>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</si>
  <si>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</si>
  <si>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</si>
  <si>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</si>
  <si>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</si>
  <si>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</si>
  <si>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</si>
  <si>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</si>
  <si>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</si>
  <si>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</si>
  <si>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</si>
  <si>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</si>
  <si>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</si>
  <si>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</si>
  <si>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</si>
  <si>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</si>
  <si>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</si>
  <si>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</si>
  <si>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</si>
  <si>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</si>
  <si>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</si>
  <si>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</si>
  <si>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</si>
  <si>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</si>
  <si>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</si>
  <si>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</si>
  <si>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</si>
  <si>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</si>
  <si>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</si>
  <si>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</si>
  <si>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</si>
  <si>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</si>
  <si>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</si>
  <si>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</si>
  <si>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</si>
  <si>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</si>
  <si>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</si>
  <si>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</si>
  <si>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</si>
  <si>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</si>
  <si>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</si>
  <si>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</si>
  <si>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</si>
  <si>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</si>
  <si>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</si>
  <si>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</si>
  <si>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</si>
  <si>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</si>
  <si>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</si>
  <si>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</si>
  <si>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</si>
  <si>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</si>
  <si>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</si>
  <si>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</si>
  <si>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</si>
  <si>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</si>
  <si>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</si>
  <si>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</si>
  <si>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</si>
  <si>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</si>
  <si>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</si>
  <si>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</si>
  <si>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</si>
  <si>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</si>
  <si>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</si>
  <si>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</si>
  <si>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</si>
  <si>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</si>
  <si>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</si>
  <si>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</si>
  <si>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</si>
  <si>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</si>
  <si>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</si>
  <si>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</si>
  <si>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</si>
  <si>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</si>
  <si>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</si>
  <si>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</si>
  <si>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</si>
  <si>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</si>
  <si>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</si>
  <si>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</si>
  <si>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</si>
  <si>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</si>
  <si>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</si>
  <si>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</si>
  <si>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</si>
  <si>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</si>
  <si>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</si>
  <si>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</si>
  <si>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</si>
  <si>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</si>
  <si>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</si>
  <si>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</si>
  <si>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</si>
  <si>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</si>
  <si>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</si>
  <si>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</si>
  <si>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</si>
  <si>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</si>
  <si>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</si>
  <si>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</si>
  <si>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</si>
  <si>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</si>
  <si>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</si>
  <si>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</si>
  <si>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</si>
  <si>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</si>
  <si>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</si>
  <si>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</si>
  <si>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</si>
  <si>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</si>
  <si>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</si>
  <si>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</si>
  <si>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</si>
  <si>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</si>
  <si>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</si>
  <si>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</si>
  <si>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</si>
  <si>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</si>
  <si>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 xml:space="preserve">Cesarean Delivery </t>
  </si>
  <si>
    <t>CBC, TYPING</t>
  </si>
  <si>
    <t>CLOTTING TIME- BLEEDING TIME</t>
  </si>
  <si>
    <t>HbsAg</t>
  </si>
  <si>
    <t>VDRL (SYPHILLIS)</t>
  </si>
  <si>
    <t>ECG</t>
  </si>
  <si>
    <t>D5LRS</t>
  </si>
  <si>
    <t>1 LITER</t>
  </si>
  <si>
    <t>BOTTLE, IV</t>
  </si>
  <si>
    <t>POLYAMPULE, IV</t>
  </si>
  <si>
    <t>PROMETHAZINE</t>
  </si>
  <si>
    <t>AMPULE, IV</t>
  </si>
  <si>
    <t>25MG/ML</t>
  </si>
  <si>
    <t>BUPIVACAINE 0.5% HEAVY</t>
  </si>
  <si>
    <t>5MG/ML</t>
  </si>
  <si>
    <t>10MG/ML</t>
  </si>
  <si>
    <t>OXYTOCIN</t>
  </si>
  <si>
    <t>10IU/ML</t>
  </si>
  <si>
    <t xml:space="preserve">METHYLERGOMETHRINE MALEATE </t>
  </si>
  <si>
    <t>200MCG/ML</t>
  </si>
  <si>
    <t>DICLOFENAC SODIUM</t>
  </si>
  <si>
    <t>25MG</t>
  </si>
  <si>
    <t>NALBUPHINE</t>
  </si>
  <si>
    <t xml:space="preserve">CEFALEXIN </t>
  </si>
  <si>
    <t>CAPSULE</t>
  </si>
  <si>
    <t>500MG</t>
  </si>
  <si>
    <t>MEFENAMIC ACID</t>
  </si>
  <si>
    <t>BISACODYL</t>
  </si>
  <si>
    <t>SUPPOSITORY, ANAL</t>
  </si>
  <si>
    <t>10MG</t>
  </si>
  <si>
    <t>PC</t>
  </si>
  <si>
    <t>IV SET ADULT</t>
  </si>
  <si>
    <t>IV CATHETER G18</t>
  </si>
  <si>
    <t>THERMOMETER</t>
  </si>
  <si>
    <t>ADHESIVE PLASTER</t>
  </si>
  <si>
    <t>DISPOSABLE MASK</t>
  </si>
  <si>
    <t>OS</t>
  </si>
  <si>
    <t>ABDOMINAL PACK ADULTS</t>
  </si>
  <si>
    <t xml:space="preserve"> GLOVES UNSTERILE</t>
  </si>
  <si>
    <t>FOLEY CATHETER F-18</t>
  </si>
  <si>
    <t>CUTASEPT F (100/5ML)</t>
  </si>
  <si>
    <t>URINE BAG</t>
  </si>
  <si>
    <t>SPINAL NEEDLE G-23</t>
  </si>
  <si>
    <t>STERILE GLOVES 7.5</t>
  </si>
  <si>
    <t xml:space="preserve">1 CC SYRINGE </t>
  </si>
  <si>
    <t>FEATHER SURGICAL BLADE #10</t>
  </si>
  <si>
    <t>SUCTION SET YANKUER F-24</t>
  </si>
  <si>
    <t>CHROMIC 1</t>
  </si>
  <si>
    <t>VICRYL 1</t>
  </si>
  <si>
    <t>VICRYL 3-0</t>
  </si>
  <si>
    <t>DISPOSABLE CAP</t>
  </si>
  <si>
    <t>VISIT IN THE WARD</t>
  </si>
  <si>
    <t>PROCEDURE</t>
  </si>
  <si>
    <t xml:space="preserve">DRUGS AND MEDICINES </t>
  </si>
  <si>
    <t>MEDICAL SUPPLIES</t>
  </si>
  <si>
    <t>OXYGEN FEE</t>
  </si>
  <si>
    <t>LABORATORY EXAM</t>
  </si>
  <si>
    <t>BC/DC</t>
  </si>
  <si>
    <t>OPERATING ROOM FEE</t>
  </si>
  <si>
    <t>LABOR ROOM</t>
  </si>
  <si>
    <t>GARBAGE FEE</t>
  </si>
  <si>
    <t>ROOM AND BOARD</t>
  </si>
  <si>
    <t>PF</t>
  </si>
  <si>
    <t>ANESTHESIOLOGIST FEE</t>
  </si>
  <si>
    <t>STERILE GLOVES 7.0</t>
  </si>
  <si>
    <t>CHROMIC 2-0 DOUBLE ARM CUTTING</t>
  </si>
  <si>
    <t>10 CC SYRINGE</t>
  </si>
  <si>
    <t>DISPOSABLE RAZOR BLADE</t>
  </si>
  <si>
    <t>ABDOMINAL BINDER</t>
  </si>
  <si>
    <t>3CC SYRINGE</t>
  </si>
  <si>
    <t>5CC SYRINGE</t>
  </si>
  <si>
    <t>ONDANSETRON</t>
  </si>
  <si>
    <t>4MG/2ML</t>
  </si>
  <si>
    <t>RANITIDINE</t>
  </si>
  <si>
    <t>MIDAZOLAM</t>
  </si>
  <si>
    <t>1MG/3ML</t>
  </si>
  <si>
    <t>VIAL, INJECTION</t>
  </si>
  <si>
    <t>LIDOCAINE 2%</t>
  </si>
  <si>
    <t>50ML/VIAL</t>
  </si>
  <si>
    <t>DEXAMETHASONE</t>
  </si>
  <si>
    <t>4MG/ML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</si>
</sst>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164" fontId="2" fillId="0" borderId="0" xfId="0" applyNumberFormat="1" applyFont="1" applyProtection="1"/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39</xdr:row>
          <xdr:rowOff>19050</xdr:rowOff>
        </xdr:from>
        <xdr:to>
          <xdr:col>1</xdr:col>
          <xdr:colOff>733425</xdr:colOff>
          <xdr:row>39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39</xdr:row>
          <xdr:rowOff>19050</xdr:rowOff>
        </xdr:from>
        <xdr:to>
          <xdr:col>1</xdr:col>
          <xdr:colOff>1504950</xdr:colOff>
          <xdr:row>39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4"/>
  <sheetViews>
    <sheetView topLeftCell="A57" zoomScaleNormal="100" workbookViewId="0">
      <selection activeCell="D68" sqref="D68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163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5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15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59513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139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2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164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165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166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167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thickBot="1" x14ac:dyDescent="0.35">
      <c r="A39" s="1"/>
      <c r="B39" s="119" t="s">
        <v>19</v>
      </c>
      <c r="C39" s="120"/>
      <c r="D39" s="117"/>
      <c r="E39" s="120"/>
      <c r="F39" s="118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1</v>
      </c>
      <c r="C40" s="27" t="s">
        <v>168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2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3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4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216</v>
      </c>
      <c r="D61" s="55">
        <v>2857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217</v>
      </c>
      <c r="D62" s="55">
        <v>3252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218</v>
      </c>
      <c r="D63" s="55">
        <v>60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219</v>
      </c>
      <c r="D64" s="55">
        <v>780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168</v>
      </c>
      <c r="D65" s="55">
        <v>120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220</v>
      </c>
      <c r="D66" s="55">
        <v>100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 t="s">
        <v>221</v>
      </c>
      <c r="D67" s="55">
        <v>2200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 t="s">
        <v>222</v>
      </c>
      <c r="D68" s="55">
        <v>200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 t="s">
        <v>223</v>
      </c>
      <c r="D69" s="55">
        <v>20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 t="s">
        <v>224</v>
      </c>
      <c r="D70" s="55">
        <v>800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11</v>
      </c>
      <c r="C71" s="27" t="s">
        <v>225</v>
      </c>
      <c r="D71" s="55">
        <v>5320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12</v>
      </c>
      <c r="C72" s="27" t="s">
        <v>226</v>
      </c>
      <c r="D72" s="55">
        <v>2280</v>
      </c>
      <c r="E72" s="55">
        <v>0</v>
      </c>
      <c r="F72" s="55"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0">
        <v>13</v>
      </c>
      <c r="C73" s="27"/>
      <c r="D73" s="55"/>
      <c r="E73" s="55"/>
      <c r="F73" s="55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0">
        <v>14</v>
      </c>
      <c r="C74" s="27"/>
      <c r="D74" s="55"/>
      <c r="E74" s="55"/>
      <c r="F74" s="55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0">
        <v>15</v>
      </c>
      <c r="C75" s="27"/>
      <c r="D75" s="55"/>
      <c r="E75" s="55"/>
      <c r="F75" s="55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4.9000000000000004" customHeight="1" thickBot="1" x14ac:dyDescent="0.35">
      <c r="A76" s="1"/>
      <c r="B76" s="1"/>
      <c r="C76" s="1"/>
      <c r="D76" s="58"/>
      <c r="E76" s="58"/>
      <c r="F76" s="58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thickTop="1" x14ac:dyDescent="0.3">
      <c r="A77" s="1"/>
      <c r="B77" s="11"/>
      <c r="C77" s="4" t="s">
        <v>22</v>
      </c>
      <c r="D77" s="59">
        <f>SUM(D61:D76)</f>
        <v>17989</v>
      </c>
      <c r="E77" s="59">
        <f>SUM(E61:E76)</f>
        <v>0</v>
      </c>
      <c r="F77" s="59">
        <f>SUM(F61:F76)</f>
        <v>0</v>
      </c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  <row r="1012" spans="1:25" ht="13.5" customHeight="1" x14ac:dyDescent="0.3">
      <c r="A1012" s="1"/>
      <c r="B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</row>
    <row r="1013" spans="1:25" ht="13.5" customHeight="1" x14ac:dyDescent="0.3">
      <c r="A1013" s="1"/>
      <c r="B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</row>
    <row r="1014" spans="1:25" ht="13.5" customHeight="1" x14ac:dyDescent="0.3">
      <c r="A1014" s="1"/>
      <c r="B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</row>
  </sheetData>
  <sheetProtection algorithmName="SHA-512" hashValue="edt4WL/fgGC+NvbwJ54wJSjNNAsgQCTmgubG3AEU7vQ3qF7prKS38T9QXb7AIYm0DgJyeDaA6oBH5/XPJ9EcfA==" saltValue="JK1S84qm9gKAk6KFfxsWAA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2:F22"/>
    <mergeCell ref="B33:F33"/>
    <mergeCell ref="B28:F28"/>
    <mergeCell ref="B39:F39"/>
    <mergeCell ref="B46:F46"/>
  </mergeCells>
  <dataValidations count="1">
    <dataValidation type="decimal" operator="greaterThanOrEqual" allowBlank="1" showInputMessage="1" showErrorMessage="1" sqref="E32 E40:E43 E45 E23:F27 E47:F50 E52:F57 D61:F75 E34:E36 E37:E38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39</xdr:row>
                    <xdr:rowOff>19050</xdr:rowOff>
                  </from>
                  <to>
                    <xdr:col>1</xdr:col>
                    <xdr:colOff>733425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39</xdr:row>
                    <xdr:rowOff>19050</xdr:rowOff>
                  </from>
                  <to>
                    <xdr:col>1</xdr:col>
                    <xdr:colOff>1504950</xdr:colOff>
                    <xdr:row>39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80"/>
  <sheetViews>
    <sheetView topLeftCell="A8" workbookViewId="0">
      <selection activeCell="J13" sqref="J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 xml:space="preserve">Cesarean Delivery 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19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169</v>
      </c>
      <c r="D11" s="27" t="s">
        <v>171</v>
      </c>
      <c r="E11" s="27" t="s">
        <v>170</v>
      </c>
      <c r="F11" s="55">
        <v>0</v>
      </c>
      <c r="G11" s="55">
        <v>0</v>
      </c>
      <c r="H11" s="55">
        <v>5</v>
      </c>
      <c r="I11" s="55">
        <v>80</v>
      </c>
      <c r="J11" s="55">
        <f>H11*I11</f>
        <v>400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173</v>
      </c>
      <c r="D12" s="27" t="s">
        <v>174</v>
      </c>
      <c r="E12" s="27" t="s">
        <v>175</v>
      </c>
      <c r="F12" s="55">
        <v>0</v>
      </c>
      <c r="G12" s="55">
        <v>0</v>
      </c>
      <c r="H12" s="55">
        <v>1</v>
      </c>
      <c r="I12" s="55">
        <v>25</v>
      </c>
      <c r="J12" s="55">
        <f>H12*I12</f>
        <v>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176</v>
      </c>
      <c r="D13" s="27" t="s">
        <v>172</v>
      </c>
      <c r="E13" s="27" t="s">
        <v>177</v>
      </c>
      <c r="F13" s="55">
        <v>0</v>
      </c>
      <c r="G13" s="55">
        <v>0</v>
      </c>
      <c r="H13" s="55">
        <v>1</v>
      </c>
      <c r="I13" s="55">
        <v>650</v>
      </c>
      <c r="J13" s="55">
        <f t="shared" ref="J12:J20" si="0">H13*I13</f>
        <v>650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179</v>
      </c>
      <c r="D14" s="27" t="s">
        <v>174</v>
      </c>
      <c r="E14" s="27" t="s">
        <v>180</v>
      </c>
      <c r="F14" s="55">
        <v>0</v>
      </c>
      <c r="G14" s="55">
        <v>0</v>
      </c>
      <c r="H14" s="55">
        <v>2</v>
      </c>
      <c r="I14" s="55">
        <v>40</v>
      </c>
      <c r="J14" s="55">
        <f t="shared" si="0"/>
        <v>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181</v>
      </c>
      <c r="D15" s="27" t="s">
        <v>174</v>
      </c>
      <c r="E15" s="27" t="s">
        <v>182</v>
      </c>
      <c r="F15" s="55">
        <v>0</v>
      </c>
      <c r="G15" s="55">
        <v>0</v>
      </c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183</v>
      </c>
      <c r="D16" s="27" t="s">
        <v>174</v>
      </c>
      <c r="E16" s="27" t="s">
        <v>184</v>
      </c>
      <c r="F16" s="55">
        <v>0</v>
      </c>
      <c r="G16" s="55">
        <v>0</v>
      </c>
      <c r="H16" s="55">
        <v>2</v>
      </c>
      <c r="I16" s="55">
        <v>30</v>
      </c>
      <c r="J16" s="55">
        <f t="shared" si="0"/>
        <v>60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185</v>
      </c>
      <c r="D17" s="27" t="s">
        <v>174</v>
      </c>
      <c r="E17" s="27" t="s">
        <v>178</v>
      </c>
      <c r="F17" s="55">
        <v>0</v>
      </c>
      <c r="G17" s="55">
        <v>0</v>
      </c>
      <c r="H17" s="55">
        <v>1</v>
      </c>
      <c r="I17" s="55">
        <v>125</v>
      </c>
      <c r="J17" s="55">
        <f t="shared" si="0"/>
        <v>125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186</v>
      </c>
      <c r="D18" s="27" t="s">
        <v>187</v>
      </c>
      <c r="E18" s="27" t="s">
        <v>188</v>
      </c>
      <c r="F18" s="55">
        <v>0</v>
      </c>
      <c r="G18" s="55">
        <v>0</v>
      </c>
      <c r="H18" s="55">
        <v>21</v>
      </c>
      <c r="I18" s="55">
        <v>8</v>
      </c>
      <c r="J18" s="55">
        <f t="shared" si="0"/>
        <v>168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189</v>
      </c>
      <c r="D19" s="27" t="s">
        <v>187</v>
      </c>
      <c r="E19" s="27" t="s">
        <v>188</v>
      </c>
      <c r="F19" s="55">
        <v>0</v>
      </c>
      <c r="G19" s="55">
        <v>0</v>
      </c>
      <c r="H19" s="55">
        <v>15</v>
      </c>
      <c r="I19" s="55">
        <v>4</v>
      </c>
      <c r="J19" s="55">
        <f t="shared" si="0"/>
        <v>60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190</v>
      </c>
      <c r="D20" s="27" t="s">
        <v>191</v>
      </c>
      <c r="E20" s="27" t="s">
        <v>192</v>
      </c>
      <c r="F20" s="55">
        <v>0</v>
      </c>
      <c r="G20" s="55">
        <v>0</v>
      </c>
      <c r="H20" s="55">
        <v>2</v>
      </c>
      <c r="I20" s="55">
        <v>55</v>
      </c>
      <c r="J20" s="55">
        <f t="shared" si="0"/>
        <v>110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234</v>
      </c>
      <c r="D21" s="27" t="s">
        <v>174</v>
      </c>
      <c r="E21" s="27" t="s">
        <v>235</v>
      </c>
      <c r="F21" s="55">
        <v>0</v>
      </c>
      <c r="G21" s="55">
        <v>0</v>
      </c>
      <c r="H21" s="55">
        <v>1</v>
      </c>
      <c r="I21" s="55">
        <v>760</v>
      </c>
      <c r="J21" s="55">
        <f t="shared" ref="J21:J27" si="1">H21*I21</f>
        <v>760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236</v>
      </c>
      <c r="D22" s="27" t="s">
        <v>174</v>
      </c>
      <c r="E22" s="27" t="s">
        <v>175</v>
      </c>
      <c r="F22" s="55">
        <v>0</v>
      </c>
      <c r="G22" s="55">
        <v>0</v>
      </c>
      <c r="H22" s="55">
        <v>2</v>
      </c>
      <c r="I22" s="55">
        <v>35</v>
      </c>
      <c r="J22" s="55">
        <f t="shared" si="1"/>
        <v>70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237</v>
      </c>
      <c r="D23" s="27" t="s">
        <v>174</v>
      </c>
      <c r="E23" s="27" t="s">
        <v>238</v>
      </c>
      <c r="F23" s="55">
        <v>0</v>
      </c>
      <c r="G23" s="55">
        <v>0</v>
      </c>
      <c r="H23" s="55">
        <v>1</v>
      </c>
      <c r="I23" s="55">
        <v>210</v>
      </c>
      <c r="J23" s="55">
        <f t="shared" si="1"/>
        <v>210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240</v>
      </c>
      <c r="D24" s="27" t="s">
        <v>239</v>
      </c>
      <c r="E24" s="27" t="s">
        <v>241</v>
      </c>
      <c r="F24" s="55">
        <v>0</v>
      </c>
      <c r="G24" s="55">
        <v>0</v>
      </c>
      <c r="H24" s="55">
        <v>3</v>
      </c>
      <c r="I24" s="55">
        <v>3</v>
      </c>
      <c r="J24" s="55">
        <f t="shared" si="1"/>
        <v>9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242</v>
      </c>
      <c r="D25" s="27" t="s">
        <v>174</v>
      </c>
      <c r="E25" s="27" t="s">
        <v>243</v>
      </c>
      <c r="F25" s="55">
        <v>0</v>
      </c>
      <c r="G25" s="55">
        <v>0</v>
      </c>
      <c r="H25" s="55">
        <v>1</v>
      </c>
      <c r="I25" s="55">
        <v>80</v>
      </c>
      <c r="J25" s="55">
        <f t="shared" si="1"/>
        <v>80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1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3">
      <c r="B27" s="42">
        <v>17</v>
      </c>
      <c r="C27" s="27"/>
      <c r="D27" s="27"/>
      <c r="E27" s="27"/>
      <c r="F27" s="55"/>
      <c r="G27" s="55"/>
      <c r="H27" s="55"/>
      <c r="I27" s="55"/>
      <c r="J27" s="55">
        <f t="shared" si="1"/>
        <v>0</v>
      </c>
      <c r="K27" s="34"/>
      <c r="L27" s="34"/>
      <c r="M27" s="34"/>
      <c r="N27" s="34"/>
      <c r="O27" s="34"/>
      <c r="P27" s="34"/>
      <c r="Q27" s="34"/>
      <c r="R27" s="34"/>
      <c r="S27" s="34"/>
      <c r="T27" s="34"/>
    </row>
    <row r="28" spans="1:20" ht="12.75" customHeight="1" x14ac:dyDescent="0.3">
      <c r="B28" s="42">
        <v>18</v>
      </c>
      <c r="C28" s="27"/>
      <c r="D28" s="27"/>
      <c r="E28" s="27"/>
      <c r="F28" s="55"/>
      <c r="G28" s="55"/>
      <c r="H28" s="55"/>
      <c r="I28" s="55"/>
      <c r="J28" s="55"/>
      <c r="K28" s="34"/>
      <c r="L28" s="34"/>
      <c r="M28" s="34"/>
      <c r="N28" s="34"/>
      <c r="O28" s="34"/>
      <c r="P28" s="34"/>
      <c r="Q28" s="34"/>
      <c r="R28" s="34"/>
      <c r="S28" s="34"/>
      <c r="T28" s="34"/>
    </row>
    <row r="29" spans="1:20" ht="12.75" customHeight="1" x14ac:dyDescent="0.3">
      <c r="B29" s="42">
        <v>19</v>
      </c>
      <c r="C29" s="27"/>
      <c r="D29" s="27"/>
      <c r="E29" s="27"/>
      <c r="F29" s="55"/>
      <c r="G29" s="55"/>
      <c r="H29" s="55"/>
      <c r="I29" s="55"/>
      <c r="J29" s="55">
        <f>SUM(J13:J28)</f>
        <v>2432</v>
      </c>
      <c r="K29" s="34"/>
      <c r="L29" s="34"/>
      <c r="M29" s="34"/>
      <c r="N29" s="34"/>
      <c r="O29" s="34"/>
      <c r="P29" s="34"/>
      <c r="Q29" s="34"/>
      <c r="R29" s="34"/>
      <c r="S29" s="34"/>
      <c r="T29" s="34"/>
    </row>
    <row r="30" spans="1:20" ht="12.75" customHeight="1" x14ac:dyDescent="0.25">
      <c r="A30" s="33"/>
      <c r="B30" s="34"/>
      <c r="C30" s="34"/>
      <c r="D30" s="34"/>
      <c r="E30" s="34"/>
      <c r="F30" s="34"/>
      <c r="G30" s="34"/>
      <c r="H30" s="34"/>
      <c r="I30" s="34"/>
      <c r="J30" s="115"/>
      <c r="K30" s="34"/>
      <c r="L30" s="34"/>
      <c r="M30" s="34"/>
      <c r="N30" s="34"/>
      <c r="O30" s="34"/>
      <c r="P30" s="34"/>
      <c r="Q30" s="34"/>
      <c r="R30" s="34"/>
      <c r="S30" s="34"/>
    </row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</sheetData>
  <sheetProtection algorithmName="SHA-512" hashValue="pjWmViDikzTqpz7oQOgW9cCB0XP8CrV3qsYoqfyETdEWBJVFLGl/Ew68CRM+eHsfhS4tWSLmKkMNwCw7OjFRWA==" saltValue="rDp3WIpnLPijzZ9zyJStwQ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9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abSelected="1" workbookViewId="0">
      <pane ySplit="1" topLeftCell="A2" activePane="bottomLeft" state="frozen"/>
      <selection pane="bottomLeft" activeCell="F21" sqref="F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231</v>
      </c>
      <c r="D16" s="70" t="s">
        <v>193</v>
      </c>
      <c r="E16" s="55">
        <v>1</v>
      </c>
      <c r="F16" s="55">
        <v>510</v>
      </c>
      <c r="G16" s="55">
        <f>E16*F16</f>
        <v>510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/>
      <c r="D17" s="70"/>
      <c r="E17" s="55"/>
      <c r="F17" s="55"/>
      <c r="G17" s="55">
        <f t="shared" ref="G17:G26" si="0">E17*F17</f>
        <v>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/>
      <c r="D18" s="70"/>
      <c r="E18" s="55"/>
      <c r="F18" s="55"/>
      <c r="G18" s="55">
        <f t="shared" si="0"/>
        <v>0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>
        <f t="shared" si="0"/>
        <v>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>
        <f t="shared" si="0"/>
        <v>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>
        <f t="shared" si="0"/>
        <v>0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>
        <f t="shared" si="0"/>
        <v>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194</v>
      </c>
      <c r="D28" s="70" t="s">
        <v>193</v>
      </c>
      <c r="E28" s="55">
        <v>1</v>
      </c>
      <c r="F28" s="55">
        <v>32</v>
      </c>
      <c r="G28" s="55">
        <f t="shared" ref="G28:G54" si="1"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196</v>
      </c>
      <c r="D29" s="70" t="s">
        <v>193</v>
      </c>
      <c r="E29" s="55">
        <v>1</v>
      </c>
      <c r="F29" s="55">
        <v>85</v>
      </c>
      <c r="G29" s="55">
        <f t="shared" si="1"/>
        <v>85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195</v>
      </c>
      <c r="D30" s="70" t="s">
        <v>193</v>
      </c>
      <c r="E30" s="55">
        <v>1</v>
      </c>
      <c r="F30" s="55">
        <v>61</v>
      </c>
      <c r="G30" s="55">
        <f t="shared" si="1"/>
        <v>61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197</v>
      </c>
      <c r="D31" s="70" t="s">
        <v>193</v>
      </c>
      <c r="E31" s="55">
        <v>1</v>
      </c>
      <c r="F31" s="55">
        <v>65</v>
      </c>
      <c r="G31" s="55">
        <f t="shared" si="1"/>
        <v>65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198</v>
      </c>
      <c r="D32" s="70" t="s">
        <v>193</v>
      </c>
      <c r="E32" s="55">
        <v>2</v>
      </c>
      <c r="F32" s="55">
        <v>6</v>
      </c>
      <c r="G32" s="55">
        <f t="shared" si="1"/>
        <v>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199</v>
      </c>
      <c r="D33" s="70" t="s">
        <v>193</v>
      </c>
      <c r="E33" s="55">
        <v>40</v>
      </c>
      <c r="F33" s="55">
        <v>3</v>
      </c>
      <c r="G33" s="55">
        <f t="shared" si="1"/>
        <v>120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200</v>
      </c>
      <c r="D34" s="70" t="s">
        <v>193</v>
      </c>
      <c r="E34" s="55">
        <v>4</v>
      </c>
      <c r="F34" s="55">
        <v>65</v>
      </c>
      <c r="G34" s="55">
        <f t="shared" si="1"/>
        <v>260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201</v>
      </c>
      <c r="D35" s="70" t="s">
        <v>193</v>
      </c>
      <c r="E35" s="55">
        <v>20</v>
      </c>
      <c r="F35" s="55">
        <v>4</v>
      </c>
      <c r="G35" s="55">
        <f t="shared" si="1"/>
        <v>80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202</v>
      </c>
      <c r="D36" s="70" t="s">
        <v>193</v>
      </c>
      <c r="E36" s="55">
        <v>1</v>
      </c>
      <c r="F36" s="55">
        <v>40</v>
      </c>
      <c r="G36" s="55">
        <f t="shared" si="1"/>
        <v>40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203</v>
      </c>
      <c r="D37" s="70" t="s">
        <v>193</v>
      </c>
      <c r="E37" s="55">
        <v>4</v>
      </c>
      <c r="F37" s="55">
        <v>45</v>
      </c>
      <c r="G37" s="55">
        <f t="shared" si="1"/>
        <v>180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204</v>
      </c>
      <c r="D38" s="70" t="s">
        <v>193</v>
      </c>
      <c r="E38" s="55">
        <v>1</v>
      </c>
      <c r="F38" s="55">
        <v>25</v>
      </c>
      <c r="G38" s="55">
        <f t="shared" si="1"/>
        <v>25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205</v>
      </c>
      <c r="D39" s="70" t="s">
        <v>193</v>
      </c>
      <c r="E39" s="55">
        <v>1</v>
      </c>
      <c r="F39" s="55">
        <v>110</v>
      </c>
      <c r="G39" s="55">
        <f t="shared" si="1"/>
        <v>110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206</v>
      </c>
      <c r="D40" s="70" t="s">
        <v>193</v>
      </c>
      <c r="E40" s="55">
        <v>2</v>
      </c>
      <c r="F40" s="55">
        <v>25</v>
      </c>
      <c r="G40" s="55">
        <f t="shared" si="1"/>
        <v>50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207</v>
      </c>
      <c r="D41" s="70" t="s">
        <v>193</v>
      </c>
      <c r="E41" s="55">
        <v>2</v>
      </c>
      <c r="F41" s="55">
        <v>7</v>
      </c>
      <c r="G41" s="55">
        <f t="shared" si="1"/>
        <v>14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208</v>
      </c>
      <c r="D42" s="70" t="s">
        <v>193</v>
      </c>
      <c r="E42" s="55">
        <v>1</v>
      </c>
      <c r="F42" s="55">
        <v>35</v>
      </c>
      <c r="G42" s="55">
        <f t="shared" ref="G42:G52" si="2">E42*F42</f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209</v>
      </c>
      <c r="D43" s="70" t="s">
        <v>193</v>
      </c>
      <c r="E43" s="55">
        <v>1</v>
      </c>
      <c r="F43" s="55">
        <v>210</v>
      </c>
      <c r="G43" s="55">
        <f t="shared" si="2"/>
        <v>210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210</v>
      </c>
      <c r="D44" s="70" t="s">
        <v>193</v>
      </c>
      <c r="E44" s="55">
        <v>1</v>
      </c>
      <c r="F44" s="55">
        <v>205</v>
      </c>
      <c r="G44" s="55">
        <f t="shared" si="2"/>
        <v>205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228</v>
      </c>
      <c r="D45" s="70" t="s">
        <v>193</v>
      </c>
      <c r="E45" s="55">
        <v>1</v>
      </c>
      <c r="F45" s="55">
        <v>280</v>
      </c>
      <c r="G45" s="55">
        <f t="shared" si="2"/>
        <v>280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211</v>
      </c>
      <c r="D46" s="70" t="s">
        <v>193</v>
      </c>
      <c r="E46" s="55">
        <v>1</v>
      </c>
      <c r="F46" s="55">
        <v>410</v>
      </c>
      <c r="G46" s="55">
        <f t="shared" si="2"/>
        <v>410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212</v>
      </c>
      <c r="D47" s="70" t="s">
        <v>193</v>
      </c>
      <c r="E47" s="55">
        <v>1</v>
      </c>
      <c r="F47" s="55">
        <v>280</v>
      </c>
      <c r="G47" s="55">
        <f t="shared" si="2"/>
        <v>280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213</v>
      </c>
      <c r="D48" s="70" t="s">
        <v>193</v>
      </c>
      <c r="E48" s="55">
        <v>2</v>
      </c>
      <c r="F48" s="55">
        <v>6</v>
      </c>
      <c r="G48" s="55">
        <f t="shared" si="2"/>
        <v>12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227</v>
      </c>
      <c r="D49" s="70" t="s">
        <v>193</v>
      </c>
      <c r="E49" s="55">
        <v>3</v>
      </c>
      <c r="F49" s="55">
        <v>25</v>
      </c>
      <c r="G49" s="55">
        <f t="shared" si="2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230</v>
      </c>
      <c r="D50" s="70" t="s">
        <v>193</v>
      </c>
      <c r="E50" s="55">
        <v>1</v>
      </c>
      <c r="F50" s="55">
        <v>35</v>
      </c>
      <c r="G50" s="55">
        <f t="shared" si="2"/>
        <v>35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232</v>
      </c>
      <c r="D51" s="70" t="s">
        <v>193</v>
      </c>
      <c r="E51" s="55">
        <v>2</v>
      </c>
      <c r="F51" s="55">
        <v>6</v>
      </c>
      <c r="G51" s="55">
        <f t="shared" si="2"/>
        <v>12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233</v>
      </c>
      <c r="D52" s="70" t="s">
        <v>193</v>
      </c>
      <c r="E52" s="55">
        <v>2</v>
      </c>
      <c r="F52" s="55">
        <v>7</v>
      </c>
      <c r="G52" s="55">
        <f t="shared" si="2"/>
        <v>14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229</v>
      </c>
      <c r="D53" s="70" t="s">
        <v>193</v>
      </c>
      <c r="E53" s="55">
        <v>5</v>
      </c>
      <c r="F53" s="55">
        <v>8</v>
      </c>
      <c r="G53" s="55">
        <f t="shared" si="1"/>
        <v>40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/>
      <c r="D54" s="70"/>
      <c r="E54" s="55"/>
      <c r="F54" s="55"/>
      <c r="G54" s="55">
        <f t="shared" si="1"/>
        <v>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/>
      <c r="D55" s="70"/>
      <c r="E55" s="55"/>
      <c r="F55" s="55"/>
      <c r="G55" s="55">
        <f t="shared" ref="G55:G56" si="3">E55*F55</f>
        <v>0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>
        <f t="shared" si="3"/>
        <v>0</v>
      </c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>
        <f>SUM(G28:G56)</f>
        <v>2742</v>
      </c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7" t="s">
        <v>29</v>
      </c>
      <c r="C58" s="138"/>
      <c r="D58" s="138"/>
      <c r="E58" s="138"/>
      <c r="F58" s="138"/>
      <c r="G58" s="139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SltemwsmwUJBIc/ISpCyBjHolmaXz0gdE2mn3LBgwblM1RqqY5K3DVNNXsydIml38X1aL0LFmRxYNY52XO8xmA==" saltValue="QmJsKUcIFX6Z5DWtJR6ndQ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H21" sqref="H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 xml:space="preserve">Cesarean Delivery 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214</v>
      </c>
      <c r="D13" s="55"/>
      <c r="E13" s="55">
        <v>50</v>
      </c>
      <c r="F13" s="55"/>
      <c r="G13" s="55">
        <v>50</v>
      </c>
      <c r="H13" s="55"/>
      <c r="I13" s="55"/>
      <c r="J13" s="55"/>
      <c r="K13" s="55"/>
      <c r="L13" s="55"/>
      <c r="M13" s="55"/>
      <c r="N13" s="55"/>
      <c r="P13" s="88">
        <f>SUM(D13:N13)</f>
        <v>100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215</v>
      </c>
      <c r="D14" s="55"/>
      <c r="E14" s="55">
        <v>55</v>
      </c>
      <c r="F14" s="55"/>
      <c r="G14" s="55">
        <v>55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110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105</v>
      </c>
      <c r="F30" s="88">
        <f t="shared" si="1"/>
        <v>0</v>
      </c>
      <c r="G30" s="88">
        <f t="shared" si="1"/>
        <v>105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210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 USER</cp:lastModifiedBy>
  <dcterms:created xsi:type="dcterms:W3CDTF">2018-05-11T08:46:15Z</dcterms:created>
  <dcterms:modified xsi:type="dcterms:W3CDTF">2018-06-13T03:37:42Z</dcterms:modified>
</cp:coreProperties>
</file>