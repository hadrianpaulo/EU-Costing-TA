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Supplies_Medical'!$C$15:$C$79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Drugs&amp;Med'!$B$2:$J$35</definedName>
  </definedNames>
  <calcPr calcId="162913"/>
</workbook>
</file>

<file path=xl/calcChain.xml><?xml version="1.0" encoding="utf-8"?>
<calcChain xmlns="http://schemas.openxmlformats.org/spreadsheetml/2006/main">
  <c r="G31" i="9" l="1"/>
  <c r="G30" i="9"/>
  <c r="G29" i="9"/>
  <c r="G28" i="9"/>
  <c r="G27" i="9"/>
  <c r="G21" i="9"/>
  <c r="G64" i="9"/>
  <c r="G63" i="9"/>
  <c r="J32" i="2"/>
  <c r="J31" i="2"/>
  <c r="J30" i="2"/>
  <c r="J29" i="2"/>
  <c r="J28" i="2"/>
  <c r="J12" i="2"/>
  <c r="J27" i="2"/>
  <c r="G58" i="9"/>
  <c r="G57" i="9"/>
  <c r="G56" i="9"/>
  <c r="G55" i="9"/>
  <c r="G54" i="9"/>
  <c r="G53" i="9"/>
  <c r="G52" i="9"/>
  <c r="G51" i="9"/>
  <c r="G50" i="9"/>
  <c r="G49" i="9"/>
  <c r="G48" i="9"/>
  <c r="G62" i="9" l="1"/>
  <c r="G60" i="9" l="1"/>
  <c r="G59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61" i="9"/>
  <c r="J26" i="2"/>
  <c r="G68" i="9" l="1"/>
  <c r="J25" i="2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3" i="2"/>
  <c r="J14" i="2"/>
  <c r="J15" i="2"/>
  <c r="J16" i="2"/>
  <c r="J17" i="2"/>
  <c r="J18" i="2"/>
  <c r="J19" i="2"/>
  <c r="J20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J11" i="2"/>
  <c r="J34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<sst xmlns="http://schemas.openxmlformats.org/spreadsheetml/2006/main" count="590" uniqueCount="251">
  <si>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</si>
  <si>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</si>
  <si>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</si>
  <si>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</si>
  <si>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</si>
  <si>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</si>
  <si>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</si>
  <si>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</si>
  <si>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</si>
  <si>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</si>
  <si>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</si>
  <si>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</si>
  <si>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</si>
  <si>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</si>
  <si>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</si>
  <si>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</si>
  <si>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</si>
  <si>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</si>
  <si>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</si>
  <si>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</si>
  <si>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</si>
  <si>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</si>
  <si>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</si>
  <si>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</si>
  <si>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</si>
  <si>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</si>
  <si>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</si>
  <si>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</si>
  <si>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</si>
  <si>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</si>
  <si>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</si>
  <si>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</si>
  <si>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</si>
  <si>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</si>
  <si>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</si>
  <si>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</si>
  <si>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</si>
  <si>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</si>
  <si>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</si>
  <si>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</si>
  <si>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</si>
  <si>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</si>
  <si>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</si>
  <si>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</si>
  <si>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</si>
  <si>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</si>
  <si>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</si>
  <si>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</si>
  <si>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</si>
  <si>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</si>
  <si>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</si>
  <si>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</si>
  <si>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</si>
  <si>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</si>
  <si>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</si>
  <si>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</si>
  <si>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</si>
  <si>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</si>
  <si>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</si>
  <si>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</si>
  <si>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</si>
  <si>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</si>
  <si>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</si>
  <si>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</si>
  <si>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</si>
  <si>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</si>
  <si>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</si>
  <si>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</si>
  <si>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</si>
  <si>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</si>
  <si>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</si>
  <si>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</si>
  <si>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</si>
  <si>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</si>
  <si>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</si>
  <si>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</si>
  <si>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</si>
  <si>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</si>
  <si>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</si>
  <si>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</si>
  <si>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</si>
  <si>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</si>
  <si>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</si>
  <si>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</si>
  <si>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</si>
  <si>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</si>
  <si>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</si>
  <si>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</si>
  <si>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</si>
  <si>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</si>
  <si>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</si>
  <si>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</si>
  <si>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</si>
  <si>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</si>
  <si>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</si>
  <si>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</si>
  <si>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</si>
  <si>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</si>
  <si>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</si>
  <si>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</si>
  <si>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</si>
  <si>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</si>
  <si>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</si>
  <si>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</si>
  <si>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</si>
  <si>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</si>
  <si>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</si>
  <si>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</si>
  <si>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</si>
  <si>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</si>
  <si>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</si>
  <si>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</si>
  <si>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</si>
  <si>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</si>
  <si>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</si>
  <si>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</si>
  <si>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</si>
  <si>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</si>
  <si>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</si>
  <si>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</si>
  <si>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</si>
  <si>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</si>
  <si>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</si>
  <si>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</si>
  <si>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</si>
  <si>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</si>
  <si>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</si>
  <si>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</si>
  <si>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</si>
  <si>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</si>
  <si>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</si>
  <si>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</si>
  <si>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</si>
  <si>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</si>
  <si>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</si>
  <si>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</si>
  <si>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</si>
  <si>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</si>
  <si>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</si>
  <si>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</si>
  <si>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</si>
  <si>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</si>
  <si>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</si>
  <si>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</si>
  <si>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</si>
  <si>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</si>
  <si>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</si>
  <si>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</si>
  <si>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</si>
  <si>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</si>
  <si>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</si>
  <si>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</si>
  <si>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</si>
  <si>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</si>
  <si>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</si>
  <si>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</si>
  <si>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</si>
  <si>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</si>
  <si>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</si>
  <si>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</si>
  <si>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</si>
  <si>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</si>
  <si>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</si>
  <si>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</si>
  <si>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</si>
  <si>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</si>
  <si>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</si>
  <si>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</si>
  <si>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</si>
  <si>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</si>
  <si>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</si>
  <si>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</si>
  <si>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BOTTLE, IV</t>
  </si>
  <si>
    <t>POWDER, IV</t>
  </si>
  <si>
    <t>POLYAMPULE, IV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</si>
  <si>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</si>
  <si>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</si>
  <si>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</si>
  <si>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</si>
  <si>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</si>
  <si>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</si>
  <si>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</si>
  <si>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>DICLOFENAC SODIUM</t>
  </si>
  <si>
    <t>25MG</t>
  </si>
  <si>
    <t>NALBUPHINE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</si>
  <si>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</si>
  <si>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</si>
  <si>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</si>
  <si>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</si>
  <si>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</si>
  <si>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</si>
  <si>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</si>
  <si>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</si>
  <si>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</si>
  <si>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</si>
  <si>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</si>
  <si>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</si>
  <si>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</si>
  <si>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</si>
  <si>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</si>
  <si>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</si>
  <si>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</si>
  <si>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</si>
  <si>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</si>
  <si>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</si>
  <si>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</si>
  <si>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</si>
  <si>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</si>
  <si>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</si>
  <si>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</si>
  <si>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</si>
  <si>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</si>
  <si>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</si>
  <si>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</si>
  <si>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</si>
  <si>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</si>
  <si>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</si>
  <si>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</si>
  <si>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</si>
  <si>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</si>
  <si>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</si>
  <si>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</si>
  <si>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</si>
  <si>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</si>
  <si>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</si>
  <si>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</si>
  <si>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10 CC SYRINGE</t>
  </si>
  <si>
    <t>DISPOSABLE RAZOR BLADE</t>
  </si>
  <si>
    <t>CORD CLAMP</t>
  </si>
  <si>
    <t>INSULIN SYRINGE</t>
  </si>
  <si>
    <t>ABDOMINAL BINDER</t>
  </si>
  <si>
    <t>3CC SYRINGE</t>
  </si>
  <si>
    <t>5CC SYRINGE</t>
  </si>
  <si>
    <t>RANITIDINE</t>
  </si>
  <si>
    <t>MIDAZOLAM</t>
  </si>
  <si>
    <t>1MG/3ML</t>
  </si>
  <si>
    <t>POVIDONE IODINE</t>
  </si>
  <si>
    <t>METOCLOPROMIDE</t>
  </si>
  <si>
    <t>5MG/2ML</t>
  </si>
  <si>
    <t>ID BRACELET</t>
  </si>
  <si>
    <t>CYDEX</t>
  </si>
  <si>
    <t>ML</t>
  </si>
  <si>
    <t>BETADINE</t>
  </si>
  <si>
    <t>IV CATHETER G20</t>
  </si>
  <si>
    <t xml:space="preserve">GLOVES UNSTERILE </t>
  </si>
  <si>
    <t>HNBB</t>
  </si>
  <si>
    <t>ATROPINE SULFATE</t>
  </si>
  <si>
    <t>1MG/ML</t>
  </si>
  <si>
    <t>EPHEDRINE SULFATE</t>
  </si>
  <si>
    <t>50MG/ML</t>
  </si>
  <si>
    <t>SPECIMEN CUP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</si>
</sst>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69</xdr:row>
          <xdr:rowOff>28575</xdr:rowOff>
        </xdr:from>
        <xdr:to>
          <xdr:col>1</xdr:col>
          <xdr:colOff>771525</xdr:colOff>
          <xdr:row>69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69</xdr:row>
          <xdr:rowOff>28575</xdr:rowOff>
        </xdr:from>
        <xdr:to>
          <xdr:col>1</xdr:col>
          <xdr:colOff>1543050</xdr:colOff>
          <xdr:row>69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6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168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213</v>
      </c>
      <c r="D63" s="55">
        <v>2218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214</v>
      </c>
      <c r="D64" s="55">
        <v>3630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215</v>
      </c>
      <c r="D65" s="55">
        <v>60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216</v>
      </c>
      <c r="D66" s="55">
        <v>780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168</v>
      </c>
      <c r="D67" s="55">
        <v>120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217</v>
      </c>
      <c r="D68" s="55">
        <v>100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218</v>
      </c>
      <c r="D69" s="55">
        <v>2200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219</v>
      </c>
      <c r="D70" s="55">
        <v>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 t="s">
        <v>220</v>
      </c>
      <c r="D71" s="55">
        <v>30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 t="s">
        <v>221</v>
      </c>
      <c r="D72" s="55">
        <v>1200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11</v>
      </c>
      <c r="C73" s="27" t="s">
        <v>222</v>
      </c>
      <c r="D73" s="55">
        <v>5320</v>
      </c>
      <c r="E73" s="55">
        <v>0</v>
      </c>
      <c r="F73" s="55"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12</v>
      </c>
      <c r="C74" s="27" t="s">
        <v>223</v>
      </c>
      <c r="D74" s="55">
        <v>2280</v>
      </c>
      <c r="E74" s="55">
        <v>0</v>
      </c>
      <c r="F74" s="55"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13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14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15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SUM(D63:D78)</f>
        <v>18138</v>
      </c>
      <c r="E79" s="59">
        <f>SUM(E63:E78)</f>
        <v>0</v>
      </c>
      <c r="F79" s="59">
        <f>SUM(F63:F78)</f>
        <v>0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algorithmName="SHA-512" hashValue="7Yh5crAEndFJmynbHjZ495c4FzEGLeDvDY4uYpyhudDWIiGwG7kMjPuodzEoo2a6TTXGqDaTmXQMQVyS2nyaUQ==" saltValue="F6Bqg6Wi3TnvAzh/mkNJBw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7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A20" workbookViewId="0">
      <selection activeCell="H28" sqref="H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172</v>
      </c>
      <c r="E11" s="27" t="s">
        <v>170</v>
      </c>
      <c r="F11" s="55">
        <v>0</v>
      </c>
      <c r="G11" s="55">
        <v>0</v>
      </c>
      <c r="H11" s="55">
        <v>4</v>
      </c>
      <c r="I11" s="55">
        <v>80</v>
      </c>
      <c r="J11" s="55">
        <f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174</v>
      </c>
      <c r="E12" s="27" t="s">
        <v>178</v>
      </c>
      <c r="F12" s="55">
        <v>0</v>
      </c>
      <c r="G12" s="55">
        <v>0</v>
      </c>
      <c r="H12" s="55">
        <v>1</v>
      </c>
      <c r="I12" s="55">
        <v>650</v>
      </c>
      <c r="J12" s="55">
        <f>H12*I12</f>
        <v>650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175</v>
      </c>
      <c r="E13" s="27" t="s">
        <v>181</v>
      </c>
      <c r="F13" s="55">
        <v>0</v>
      </c>
      <c r="G13" s="55">
        <v>0</v>
      </c>
      <c r="H13" s="55">
        <v>3</v>
      </c>
      <c r="I13" s="55">
        <v>40</v>
      </c>
      <c r="J13" s="55">
        <f t="shared" ref="J12:J20" si="0">H13*I13</f>
        <v>120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175</v>
      </c>
      <c r="E14" s="27" t="s">
        <v>183</v>
      </c>
      <c r="F14" s="55">
        <v>0</v>
      </c>
      <c r="G14" s="55">
        <v>0</v>
      </c>
      <c r="H14" s="55">
        <v>2</v>
      </c>
      <c r="I14" s="55">
        <v>30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175</v>
      </c>
      <c r="E15" s="27" t="s">
        <v>179</v>
      </c>
      <c r="F15" s="55">
        <v>0</v>
      </c>
      <c r="G15" s="55">
        <v>0</v>
      </c>
      <c r="H15" s="55">
        <v>1</v>
      </c>
      <c r="I15" s="55">
        <v>125</v>
      </c>
      <c r="J15" s="55">
        <f t="shared" si="0"/>
        <v>125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186</v>
      </c>
      <c r="E16" s="27" t="s">
        <v>187</v>
      </c>
      <c r="F16" s="55">
        <v>0</v>
      </c>
      <c r="G16" s="55">
        <v>0</v>
      </c>
      <c r="H16" s="55">
        <v>21</v>
      </c>
      <c r="I16" s="55">
        <v>8</v>
      </c>
      <c r="J16" s="55">
        <f t="shared" si="0"/>
        <v>168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188</v>
      </c>
      <c r="D17" s="27" t="s">
        <v>186</v>
      </c>
      <c r="E17" s="27" t="s">
        <v>187</v>
      </c>
      <c r="F17" s="55">
        <v>0</v>
      </c>
      <c r="G17" s="55">
        <v>0</v>
      </c>
      <c r="H17" s="55">
        <v>9</v>
      </c>
      <c r="I17" s="55">
        <v>4</v>
      </c>
      <c r="J17" s="55">
        <f t="shared" si="0"/>
        <v>36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189</v>
      </c>
      <c r="D18" s="27" t="s">
        <v>190</v>
      </c>
      <c r="E18" s="27" t="s">
        <v>191</v>
      </c>
      <c r="F18" s="55">
        <v>0</v>
      </c>
      <c r="G18" s="55">
        <v>0</v>
      </c>
      <c r="H18" s="55">
        <v>2</v>
      </c>
      <c r="I18" s="55">
        <v>55</v>
      </c>
      <c r="J18" s="55">
        <f t="shared" si="0"/>
        <v>110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171</v>
      </c>
      <c r="D19" s="27" t="s">
        <v>173</v>
      </c>
      <c r="E19" s="27" t="s">
        <v>187</v>
      </c>
      <c r="F19" s="55">
        <v>0</v>
      </c>
      <c r="G19" s="55">
        <v>0</v>
      </c>
      <c r="H19" s="55">
        <v>3</v>
      </c>
      <c r="I19" s="55">
        <v>23</v>
      </c>
      <c r="J19" s="55">
        <f t="shared" si="0"/>
        <v>69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245</v>
      </c>
      <c r="D20" s="27" t="s">
        <v>175</v>
      </c>
      <c r="E20" s="27" t="s">
        <v>179</v>
      </c>
      <c r="F20" s="55">
        <v>0</v>
      </c>
      <c r="G20" s="55">
        <v>0</v>
      </c>
      <c r="H20" s="55">
        <v>1</v>
      </c>
      <c r="I20" s="55">
        <v>55</v>
      </c>
      <c r="J20" s="55">
        <f t="shared" si="0"/>
        <v>55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237</v>
      </c>
      <c r="D21" s="27" t="s">
        <v>175</v>
      </c>
      <c r="E21" s="27" t="s">
        <v>238</v>
      </c>
      <c r="F21" s="55">
        <v>0</v>
      </c>
      <c r="G21" s="55">
        <v>0</v>
      </c>
      <c r="H21" s="55">
        <v>3</v>
      </c>
      <c r="I21" s="55">
        <v>20</v>
      </c>
      <c r="J21" s="55">
        <f t="shared" ref="J21:J32" si="1">H21*I21</f>
        <v>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233</v>
      </c>
      <c r="D22" s="27" t="s">
        <v>175</v>
      </c>
      <c r="E22" s="27" t="s">
        <v>176</v>
      </c>
      <c r="F22" s="55">
        <v>0</v>
      </c>
      <c r="G22" s="55">
        <v>0</v>
      </c>
      <c r="H22" s="55">
        <v>4</v>
      </c>
      <c r="I22" s="55">
        <v>35</v>
      </c>
      <c r="J22" s="55">
        <f t="shared" si="1"/>
        <v>140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246</v>
      </c>
      <c r="D23" s="27" t="s">
        <v>175</v>
      </c>
      <c r="E23" s="27" t="s">
        <v>247</v>
      </c>
      <c r="F23" s="55">
        <v>0</v>
      </c>
      <c r="G23" s="55">
        <v>0</v>
      </c>
      <c r="H23" s="55">
        <v>1</v>
      </c>
      <c r="I23" s="55">
        <v>20</v>
      </c>
      <c r="J23" s="55">
        <f t="shared" si="1"/>
        <v>20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248</v>
      </c>
      <c r="D24" s="27" t="s">
        <v>175</v>
      </c>
      <c r="E24" s="27" t="s">
        <v>249</v>
      </c>
      <c r="F24" s="55">
        <v>0</v>
      </c>
      <c r="G24" s="55">
        <v>0</v>
      </c>
      <c r="H24" s="55">
        <v>1</v>
      </c>
      <c r="I24" s="55">
        <v>75</v>
      </c>
      <c r="J24" s="55">
        <f t="shared" si="1"/>
        <v>75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234</v>
      </c>
      <c r="D25" s="27" t="s">
        <v>175</v>
      </c>
      <c r="E25" s="27" t="s">
        <v>235</v>
      </c>
      <c r="F25" s="55">
        <v>0</v>
      </c>
      <c r="G25" s="55">
        <v>0</v>
      </c>
      <c r="H25" s="55">
        <v>1</v>
      </c>
      <c r="I25" s="55">
        <v>210</v>
      </c>
      <c r="J25" s="55">
        <f t="shared" si="1"/>
        <v>210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>SUM(J11:J33)</f>
        <v>2218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115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r0NaVCUn6L0JI2MjQJEvBmgwCcFtqHkTd+0vOsfF0xPxfNg6fRnTwZtkSpgXYz5ibT6HwAvlNgZfo3WXEbWFvw==" saltValue="DqbltTaIZSlw1AC4jUHls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1003"/>
  <sheetViews>
    <sheetView workbookViewId="0">
      <pane ySplit="1" topLeftCell="A31" activePane="bottomLeft" state="frozen"/>
      <selection pane="bottomLeft" activeCell="F47" sqref="F4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197</v>
      </c>
      <c r="D16" s="70" t="s">
        <v>192</v>
      </c>
      <c r="E16" s="55">
        <v>10</v>
      </c>
      <c r="F16" s="55">
        <v>3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195</v>
      </c>
      <c r="D17" s="70" t="s">
        <v>192</v>
      </c>
      <c r="E17" s="55">
        <v>1</v>
      </c>
      <c r="F17" s="55">
        <v>65</v>
      </c>
      <c r="G17" s="55">
        <f t="shared" ref="G17:G31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236</v>
      </c>
      <c r="D18" s="70" t="s">
        <v>192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232</v>
      </c>
      <c r="D19" s="70" t="s">
        <v>192</v>
      </c>
      <c r="E19" s="55">
        <v>4</v>
      </c>
      <c r="F19" s="55">
        <v>7</v>
      </c>
      <c r="G19" s="55">
        <f t="shared" si="0"/>
        <v>28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226</v>
      </c>
      <c r="D20" s="70" t="s">
        <v>192</v>
      </c>
      <c r="E20" s="55">
        <v>4</v>
      </c>
      <c r="F20" s="55">
        <v>8</v>
      </c>
      <c r="G20" s="55">
        <f t="shared" si="0"/>
        <v>32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231</v>
      </c>
      <c r="D21" s="70" t="s">
        <v>192</v>
      </c>
      <c r="E21" s="55">
        <v>4</v>
      </c>
      <c r="F21" s="55">
        <v>6</v>
      </c>
      <c r="G21" s="55">
        <f t="shared" si="0"/>
        <v>24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196</v>
      </c>
      <c r="D22" s="70" t="s">
        <v>192</v>
      </c>
      <c r="E22" s="55">
        <v>4</v>
      </c>
      <c r="F22" s="55">
        <v>6</v>
      </c>
      <c r="G22" s="55">
        <f t="shared" si="0"/>
        <v>24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244</v>
      </c>
      <c r="D23" s="70" t="s">
        <v>192</v>
      </c>
      <c r="E23" s="55">
        <v>4</v>
      </c>
      <c r="F23" s="55">
        <v>4</v>
      </c>
      <c r="G23" s="55">
        <f t="shared" si="0"/>
        <v>16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230</v>
      </c>
      <c r="D24" s="70" t="s">
        <v>192</v>
      </c>
      <c r="E24" s="55">
        <v>1</v>
      </c>
      <c r="F24" s="55">
        <v>510</v>
      </c>
      <c r="G24" s="55">
        <f t="shared" si="0"/>
        <v>510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SUM(G16:G31)</f>
        <v>845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75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 t="s">
        <v>193</v>
      </c>
      <c r="D34" s="70" t="s">
        <v>192</v>
      </c>
      <c r="E34" s="55">
        <v>1</v>
      </c>
      <c r="F34" s="55">
        <v>32</v>
      </c>
      <c r="G34" s="55">
        <f t="shared" ref="G34:G60" si="1">E34*F34</f>
        <v>32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 t="s">
        <v>194</v>
      </c>
      <c r="D35" s="70" t="s">
        <v>192</v>
      </c>
      <c r="E35" s="55">
        <v>1</v>
      </c>
      <c r="F35" s="55">
        <v>85</v>
      </c>
      <c r="G35" s="55">
        <f t="shared" si="1"/>
        <v>85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 t="s">
        <v>243</v>
      </c>
      <c r="D36" s="70" t="s">
        <v>192</v>
      </c>
      <c r="E36" s="55">
        <v>1</v>
      </c>
      <c r="F36" s="55">
        <v>61</v>
      </c>
      <c r="G36" s="55">
        <f t="shared" si="1"/>
        <v>61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 t="s">
        <v>195</v>
      </c>
      <c r="D37" s="70" t="s">
        <v>192</v>
      </c>
      <c r="E37" s="55">
        <v>1</v>
      </c>
      <c r="F37" s="55">
        <v>65</v>
      </c>
      <c r="G37" s="55">
        <f t="shared" si="1"/>
        <v>65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 t="s">
        <v>196</v>
      </c>
      <c r="D38" s="70" t="s">
        <v>192</v>
      </c>
      <c r="E38" s="55">
        <v>4</v>
      </c>
      <c r="F38" s="55">
        <v>6</v>
      </c>
      <c r="G38" s="55">
        <f t="shared" si="1"/>
        <v>24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 t="s">
        <v>197</v>
      </c>
      <c r="D39" s="70" t="s">
        <v>192</v>
      </c>
      <c r="E39" s="55">
        <v>40</v>
      </c>
      <c r="F39" s="55">
        <v>3</v>
      </c>
      <c r="G39" s="55">
        <f t="shared" si="1"/>
        <v>120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 t="s">
        <v>198</v>
      </c>
      <c r="D40" s="70" t="s">
        <v>192</v>
      </c>
      <c r="E40" s="55">
        <v>4</v>
      </c>
      <c r="F40" s="55">
        <v>65</v>
      </c>
      <c r="G40" s="55">
        <f t="shared" si="1"/>
        <v>260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 t="s">
        <v>199</v>
      </c>
      <c r="D41" s="70" t="s">
        <v>192</v>
      </c>
      <c r="E41" s="55">
        <v>26</v>
      </c>
      <c r="F41" s="55">
        <v>4</v>
      </c>
      <c r="G41" s="55">
        <f t="shared" si="1"/>
        <v>104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 t="s">
        <v>200</v>
      </c>
      <c r="D42" s="70" t="s">
        <v>192</v>
      </c>
      <c r="E42" s="55">
        <v>1</v>
      </c>
      <c r="F42" s="55">
        <v>40</v>
      </c>
      <c r="G42" s="55">
        <f t="shared" si="1"/>
        <v>40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 t="s">
        <v>201</v>
      </c>
      <c r="D43" s="70" t="s">
        <v>192</v>
      </c>
      <c r="E43" s="55">
        <v>4</v>
      </c>
      <c r="F43" s="55">
        <v>45</v>
      </c>
      <c r="G43" s="55">
        <f t="shared" si="1"/>
        <v>180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11</v>
      </c>
      <c r="C44" s="69" t="s">
        <v>202</v>
      </c>
      <c r="D44" s="70" t="s">
        <v>192</v>
      </c>
      <c r="E44" s="55">
        <v>1</v>
      </c>
      <c r="F44" s="55">
        <v>25</v>
      </c>
      <c r="G44" s="55">
        <f t="shared" si="1"/>
        <v>25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12</v>
      </c>
      <c r="C45" s="69"/>
      <c r="D45" s="70"/>
      <c r="E45" s="55"/>
      <c r="F45" s="55"/>
      <c r="G45" s="55">
        <f t="shared" si="1"/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13</v>
      </c>
      <c r="C46" s="69" t="s">
        <v>203</v>
      </c>
      <c r="D46" s="70" t="s">
        <v>192</v>
      </c>
      <c r="E46" s="55">
        <v>2</v>
      </c>
      <c r="F46" s="55">
        <v>25</v>
      </c>
      <c r="G46" s="55">
        <f t="shared" si="1"/>
        <v>50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14</v>
      </c>
      <c r="C47" s="69" t="s">
        <v>204</v>
      </c>
      <c r="D47" s="70" t="s">
        <v>192</v>
      </c>
      <c r="E47" s="55">
        <v>4</v>
      </c>
      <c r="F47" s="55">
        <v>7</v>
      </c>
      <c r="G47" s="55">
        <f t="shared" si="1"/>
        <v>28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15</v>
      </c>
      <c r="C48" s="69" t="s">
        <v>205</v>
      </c>
      <c r="D48" s="70" t="s">
        <v>192</v>
      </c>
      <c r="E48" s="55">
        <v>1</v>
      </c>
      <c r="F48" s="55">
        <v>35</v>
      </c>
      <c r="G48" s="55">
        <f t="shared" ref="G48:G58" si="2">E48*F48</f>
        <v>35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16</v>
      </c>
      <c r="C49" s="69" t="s">
        <v>206</v>
      </c>
      <c r="D49" s="70" t="s">
        <v>192</v>
      </c>
      <c r="E49" s="55">
        <v>1</v>
      </c>
      <c r="F49" s="55">
        <v>210</v>
      </c>
      <c r="G49" s="55">
        <f t="shared" si="2"/>
        <v>210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17</v>
      </c>
      <c r="C50" s="69" t="s">
        <v>207</v>
      </c>
      <c r="D50" s="70" t="s">
        <v>192</v>
      </c>
      <c r="E50" s="55">
        <v>1</v>
      </c>
      <c r="F50" s="55">
        <v>205</v>
      </c>
      <c r="G50" s="55">
        <f t="shared" si="2"/>
        <v>205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18</v>
      </c>
      <c r="C51" s="69" t="s">
        <v>225</v>
      </c>
      <c r="D51" s="70" t="s">
        <v>192</v>
      </c>
      <c r="E51" s="55">
        <v>1</v>
      </c>
      <c r="F51" s="55">
        <v>280</v>
      </c>
      <c r="G51" s="55">
        <f t="shared" si="2"/>
        <v>280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19</v>
      </c>
      <c r="C52" s="69" t="s">
        <v>208</v>
      </c>
      <c r="D52" s="70" t="s">
        <v>192</v>
      </c>
      <c r="E52" s="55">
        <v>1</v>
      </c>
      <c r="F52" s="55">
        <v>410</v>
      </c>
      <c r="G52" s="55">
        <f t="shared" si="2"/>
        <v>410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20</v>
      </c>
      <c r="C53" s="69" t="s">
        <v>209</v>
      </c>
      <c r="D53" s="70" t="s">
        <v>192</v>
      </c>
      <c r="E53" s="55">
        <v>1</v>
      </c>
      <c r="F53" s="55">
        <v>280</v>
      </c>
      <c r="G53" s="55">
        <f t="shared" si="2"/>
        <v>280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21</v>
      </c>
      <c r="C54" s="69" t="s">
        <v>210</v>
      </c>
      <c r="D54" s="70" t="s">
        <v>192</v>
      </c>
      <c r="E54" s="55">
        <v>3</v>
      </c>
      <c r="F54" s="55">
        <v>6</v>
      </c>
      <c r="G54" s="55">
        <f t="shared" si="2"/>
        <v>18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22</v>
      </c>
      <c r="C55" s="69" t="s">
        <v>224</v>
      </c>
      <c r="D55" s="70" t="s">
        <v>192</v>
      </c>
      <c r="E55" s="55">
        <v>3</v>
      </c>
      <c r="F55" s="55">
        <v>25</v>
      </c>
      <c r="G55" s="55">
        <f t="shared" si="2"/>
        <v>75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23</v>
      </c>
      <c r="C56" s="69" t="s">
        <v>227</v>
      </c>
      <c r="D56" s="70" t="s">
        <v>192</v>
      </c>
      <c r="E56" s="55">
        <v>1</v>
      </c>
      <c r="F56" s="55">
        <v>35</v>
      </c>
      <c r="G56" s="55">
        <f t="shared" si="2"/>
        <v>35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24</v>
      </c>
      <c r="C57" s="69" t="s">
        <v>231</v>
      </c>
      <c r="D57" s="70" t="s">
        <v>192</v>
      </c>
      <c r="E57" s="55">
        <v>4</v>
      </c>
      <c r="F57" s="55">
        <v>6</v>
      </c>
      <c r="G57" s="55">
        <f t="shared" si="2"/>
        <v>24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25</v>
      </c>
      <c r="C58" s="69" t="s">
        <v>232</v>
      </c>
      <c r="D58" s="70" t="s">
        <v>192</v>
      </c>
      <c r="E58" s="55">
        <v>2</v>
      </c>
      <c r="F58" s="55">
        <v>7</v>
      </c>
      <c r="G58" s="55">
        <f t="shared" si="2"/>
        <v>14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26</v>
      </c>
      <c r="C59" s="69" t="s">
        <v>239</v>
      </c>
      <c r="D59" s="70" t="s">
        <v>192</v>
      </c>
      <c r="E59" s="55">
        <v>1</v>
      </c>
      <c r="F59" s="55">
        <v>7</v>
      </c>
      <c r="G59" s="55">
        <f t="shared" si="1"/>
        <v>7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27</v>
      </c>
      <c r="C60" s="69" t="s">
        <v>240</v>
      </c>
      <c r="D60" s="70" t="s">
        <v>241</v>
      </c>
      <c r="E60" s="55">
        <v>1</v>
      </c>
      <c r="F60" s="55">
        <v>30</v>
      </c>
      <c r="G60" s="55">
        <f t="shared" si="1"/>
        <v>30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28</v>
      </c>
      <c r="C61" s="69" t="s">
        <v>242</v>
      </c>
      <c r="D61" s="70" t="s">
        <v>241</v>
      </c>
      <c r="E61" s="55">
        <v>1</v>
      </c>
      <c r="F61" s="55">
        <v>50</v>
      </c>
      <c r="G61" s="55">
        <f t="shared" ref="G61:G62" si="3">E61*F61</f>
        <v>50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29</v>
      </c>
      <c r="C62" s="69" t="s">
        <v>228</v>
      </c>
      <c r="D62" s="70" t="s">
        <v>192</v>
      </c>
      <c r="E62" s="55">
        <v>1</v>
      </c>
      <c r="F62" s="55">
        <v>6</v>
      </c>
      <c r="G62" s="55">
        <f t="shared" si="3"/>
        <v>6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30</v>
      </c>
      <c r="C63" s="69" t="s">
        <v>229</v>
      </c>
      <c r="D63" s="70" t="s">
        <v>192</v>
      </c>
      <c r="E63" s="55">
        <v>1</v>
      </c>
      <c r="F63" s="55">
        <v>17</v>
      </c>
      <c r="G63" s="55">
        <f>E63*F63</f>
        <v>17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31</v>
      </c>
      <c r="C64" s="69" t="s">
        <v>250</v>
      </c>
      <c r="D64" s="70" t="s">
        <v>192</v>
      </c>
      <c r="E64" s="55">
        <v>1</v>
      </c>
      <c r="F64" s="55">
        <v>15</v>
      </c>
      <c r="G64" s="55">
        <f>E64*F64</f>
        <v>15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32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33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34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35</v>
      </c>
      <c r="C68" s="69"/>
      <c r="D68" s="70"/>
      <c r="E68" s="55"/>
      <c r="F68" s="55"/>
      <c r="G68" s="55">
        <f>SUM(G34:G67)</f>
        <v>2785</v>
      </c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137" t="s">
        <v>29</v>
      </c>
      <c r="C69" s="138"/>
      <c r="D69" s="138"/>
      <c r="E69" s="138"/>
      <c r="F69" s="138"/>
      <c r="G69" s="1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1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2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3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B73" s="68">
        <v>4</v>
      </c>
      <c r="C73" s="69"/>
      <c r="D73" s="70"/>
      <c r="E73" s="55"/>
      <c r="F73" s="55"/>
      <c r="G73" s="55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B74" s="68">
        <v>5</v>
      </c>
      <c r="C74" s="69"/>
      <c r="D74" s="70"/>
      <c r="E74" s="55"/>
      <c r="F74" s="55"/>
      <c r="G74" s="55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4.25" customHeight="1" x14ac:dyDescent="0.3">
      <c r="B75" s="68">
        <v>6</v>
      </c>
      <c r="C75" s="69"/>
      <c r="D75" s="70"/>
      <c r="E75" s="55"/>
      <c r="F75" s="55"/>
      <c r="G75" s="55"/>
      <c r="H75" s="39"/>
      <c r="I75" s="39"/>
      <c r="J75" s="39"/>
      <c r="K75" s="39"/>
      <c r="L75" s="39"/>
      <c r="M75" s="39"/>
      <c r="N75" s="39"/>
      <c r="O75" s="39"/>
      <c r="P75" s="39"/>
    </row>
    <row r="76" spans="1:16" ht="14.25" customHeight="1" x14ac:dyDescent="0.3">
      <c r="B76" s="68">
        <v>7</v>
      </c>
      <c r="C76" s="69"/>
      <c r="D76" s="70"/>
      <c r="E76" s="55"/>
      <c r="F76" s="55"/>
      <c r="G76" s="55"/>
      <c r="H76" s="39"/>
      <c r="I76" s="39"/>
      <c r="J76" s="39"/>
      <c r="K76" s="39"/>
      <c r="L76" s="39"/>
      <c r="M76" s="39"/>
      <c r="N76" s="39"/>
      <c r="O76" s="39"/>
      <c r="P76" s="39"/>
    </row>
    <row r="77" spans="1:16" ht="14.25" customHeight="1" x14ac:dyDescent="0.3">
      <c r="B77" s="68">
        <v>8</v>
      </c>
      <c r="C77" s="69"/>
      <c r="D77" s="70"/>
      <c r="E77" s="55"/>
      <c r="F77" s="55"/>
      <c r="G77" s="55"/>
      <c r="H77" s="39"/>
      <c r="I77" s="39"/>
      <c r="J77" s="39"/>
      <c r="K77" s="39"/>
      <c r="L77" s="39"/>
      <c r="M77" s="39"/>
      <c r="N77" s="39"/>
      <c r="O77" s="39"/>
      <c r="P77" s="39"/>
    </row>
    <row r="78" spans="1:16" ht="14.25" customHeight="1" x14ac:dyDescent="0.3">
      <c r="B78" s="68">
        <v>9</v>
      </c>
      <c r="C78" s="69"/>
      <c r="D78" s="70"/>
      <c r="E78" s="55"/>
      <c r="F78" s="55"/>
      <c r="G78" s="55"/>
      <c r="H78" s="39"/>
      <c r="I78" s="39"/>
      <c r="J78" s="39"/>
      <c r="K78" s="39"/>
      <c r="L78" s="39"/>
      <c r="M78" s="39"/>
      <c r="N78" s="39"/>
      <c r="O78" s="39"/>
      <c r="P78" s="39"/>
    </row>
    <row r="79" spans="1:16" ht="14.25" customHeight="1" x14ac:dyDescent="0.3">
      <c r="B79" s="68">
        <v>10</v>
      </c>
      <c r="C79" s="69"/>
      <c r="D79" s="70"/>
      <c r="E79" s="55"/>
      <c r="F79" s="55"/>
      <c r="G79" s="55"/>
      <c r="H79" s="39"/>
      <c r="I79" s="39"/>
      <c r="J79" s="39"/>
      <c r="K79" s="39"/>
      <c r="L79" s="39"/>
      <c r="M79" s="39"/>
      <c r="N79" s="39"/>
      <c r="O79" s="39"/>
      <c r="P79" s="39"/>
    </row>
    <row r="80" spans="1:16" ht="14.25" customHeight="1" x14ac:dyDescent="0.3">
      <c r="A80" s="44"/>
      <c r="B80" s="39"/>
      <c r="C80" s="44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</row>
    <row r="81" spans="1:16" ht="14.25" customHeight="1" x14ac:dyDescent="0.3">
      <c r="A81" s="44"/>
      <c r="B81" s="39"/>
      <c r="C81" s="44"/>
      <c r="D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</row>
    <row r="82" spans="1:16" ht="15.75" customHeight="1" x14ac:dyDescent="0.25"/>
    <row r="83" spans="1:16" ht="15.75" customHeight="1" x14ac:dyDescent="0.25"/>
    <row r="84" spans="1:16" ht="15.75" customHeight="1" x14ac:dyDescent="0.25"/>
    <row r="85" spans="1:16" ht="15.75" customHeight="1" x14ac:dyDescent="0.25"/>
    <row r="86" spans="1:16" ht="15.75" customHeight="1" x14ac:dyDescent="0.25"/>
    <row r="87" spans="1:16" ht="15.75" customHeight="1" x14ac:dyDescent="0.25"/>
    <row r="88" spans="1:16" ht="15.75" customHeight="1" x14ac:dyDescent="0.25"/>
    <row r="89" spans="1:16" ht="15.75" customHeight="1" x14ac:dyDescent="0.25"/>
    <row r="90" spans="1:16" ht="15.75" customHeight="1" x14ac:dyDescent="0.25"/>
    <row r="91" spans="1:16" ht="15.75" customHeight="1" x14ac:dyDescent="0.25"/>
    <row r="92" spans="1:16" ht="15.75" customHeight="1" x14ac:dyDescent="0.25"/>
    <row r="93" spans="1:16" ht="15.75" customHeight="1" x14ac:dyDescent="0.25"/>
    <row r="94" spans="1:16" ht="15.75" customHeight="1" x14ac:dyDescent="0.25"/>
    <row r="95" spans="1:16" ht="15.75" customHeight="1" x14ac:dyDescent="0.25"/>
    <row r="96" spans="1:1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</sheetData>
  <sheetProtection algorithmName="SHA-512" hashValue="UokrD0sA3r/aMG+w12K9deBLqNr9BcGH+94FxVXiqTp6f+DNxJfJN/CpsWTMj/6um3IkHzlTZ9x8Kk9xVfiNXQ==" saltValue="bDvZVV+xjkYZmuueNAAFXw==" spinCount="100000" sheet="1" objects="1" scenarios="1" formatColumns="0" formatRows="0" sort="0" autoFilter="0"/>
  <mergeCells count="9">
    <mergeCell ref="B7:G7"/>
    <mergeCell ref="B33:G33"/>
    <mergeCell ref="B69:G6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69</xdr:row>
                    <xdr:rowOff>28575</xdr:rowOff>
                  </from>
                  <to>
                    <xdr:col>1</xdr:col>
                    <xdr:colOff>771525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69</xdr:row>
                    <xdr:rowOff>28575</xdr:rowOff>
                  </from>
                  <to>
                    <xdr:col>1</xdr:col>
                    <xdr:colOff>1543050</xdr:colOff>
                    <xdr:row>69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8" sqref="G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211</v>
      </c>
      <c r="D13" s="55"/>
      <c r="E13" s="55">
        <v>45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212</v>
      </c>
      <c r="D14" s="55"/>
      <c r="E14" s="55">
        <v>50</v>
      </c>
      <c r="F14" s="55"/>
      <c r="G14" s="55">
        <v>50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95</v>
      </c>
      <c r="F30" s="88">
        <f t="shared" si="1"/>
        <v>0</v>
      </c>
      <c r="G30" s="88">
        <f t="shared" si="1"/>
        <v>95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2018-06-13T06:02:06Z</dcterms:modified>
</cp:coreProperties>
</file>