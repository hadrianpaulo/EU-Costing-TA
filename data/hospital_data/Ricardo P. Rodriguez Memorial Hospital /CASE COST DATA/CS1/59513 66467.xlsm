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6" i="9" l="1"/>
  <c r="J22" i="2"/>
  <c r="J21" i="2"/>
  <c r="J20" i="2"/>
  <c r="J23" i="2"/>
  <c r="G35" i="9" l="1"/>
  <c r="J25" i="2"/>
  <c r="J24" i="2"/>
  <c r="J19" i="2"/>
  <c r="J18" i="2"/>
  <c r="J17" i="2"/>
  <c r="J16" i="2"/>
  <c r="J15" i="2"/>
  <c r="J14" i="2"/>
  <c r="J13" i="2"/>
  <c r="G47" i="9" l="1"/>
  <c r="G46" i="9"/>
  <c r="G45" i="9"/>
  <c r="G44" i="9"/>
  <c r="G43" i="9"/>
  <c r="G42" i="9"/>
  <c r="G41" i="9"/>
  <c r="G40" i="9"/>
  <c r="G39" i="9"/>
  <c r="G38" i="9"/>
  <c r="G37" i="9"/>
  <c r="G36" i="9"/>
  <c r="G34" i="9"/>
  <c r="G33" i="9"/>
  <c r="G32" i="9"/>
  <c r="G31" i="9"/>
  <c r="G48" i="9" l="1"/>
  <c r="G49" i="9"/>
  <c r="G50" i="9"/>
  <c r="G51" i="9"/>
  <c r="G52" i="9"/>
  <c r="G53" i="9"/>
  <c r="G28" i="9"/>
  <c r="J28" i="2" l="1"/>
  <c r="G30" i="9" l="1"/>
  <c r="G29" i="9"/>
  <c r="G54" i="9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<sst xmlns="http://schemas.openxmlformats.org/spreadsheetml/2006/main" count="570" uniqueCount="246">
  <si>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</si>
  <si>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</si>
  <si>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</si>
  <si>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</si>
  <si>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</si>
  <si>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</si>
  <si>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</si>
  <si>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</si>
  <si>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</si>
  <si>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</si>
  <si>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</si>
  <si>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</si>
  <si>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</si>
  <si>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</si>
  <si>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</si>
  <si>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</si>
  <si>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</si>
  <si>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</si>
  <si>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</si>
  <si>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</si>
  <si>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</si>
  <si>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</si>
  <si>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</si>
  <si>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</si>
  <si>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</si>
  <si>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</si>
  <si>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</si>
  <si>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</si>
  <si>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</si>
  <si>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</si>
  <si>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</si>
  <si>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</si>
  <si>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</si>
  <si>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</si>
  <si>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</si>
  <si>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</si>
  <si>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</si>
  <si>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</si>
  <si>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</si>
  <si>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</si>
  <si>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</si>
  <si>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</si>
  <si>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</si>
  <si>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</si>
  <si>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</si>
  <si>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</si>
  <si>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</si>
  <si>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</si>
  <si>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</si>
  <si>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</si>
  <si>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</si>
  <si>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</si>
  <si>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</si>
  <si>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</si>
  <si>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</si>
  <si>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</si>
  <si>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</si>
  <si>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</si>
  <si>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</si>
  <si>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</si>
  <si>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</si>
  <si>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</si>
  <si>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</si>
  <si>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</si>
  <si>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</si>
  <si>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</si>
  <si>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</si>
  <si>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</si>
  <si>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</si>
  <si>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</si>
  <si>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</si>
  <si>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</si>
  <si>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</si>
  <si>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</si>
  <si>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</si>
  <si>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</si>
  <si>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</si>
  <si>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</si>
  <si>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</si>
  <si>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</si>
  <si>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</si>
  <si>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</si>
  <si>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</si>
  <si>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</si>
  <si>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</si>
  <si>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</si>
  <si>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</si>
  <si>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</si>
  <si>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</si>
  <si>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</si>
  <si>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</si>
  <si>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</si>
  <si>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</si>
  <si>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</si>
  <si>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</si>
  <si>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</si>
  <si>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</si>
  <si>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</si>
  <si>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</si>
  <si>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</si>
  <si>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</si>
  <si>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</si>
  <si>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</si>
  <si>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</si>
  <si>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</si>
  <si>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</si>
  <si>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</si>
  <si>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</si>
  <si>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</si>
  <si>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</si>
  <si>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</si>
  <si>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</si>
  <si>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</si>
  <si>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</si>
  <si>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</si>
  <si>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</si>
  <si>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</si>
  <si>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</si>
  <si>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</si>
  <si>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</si>
  <si>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</si>
  <si>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</si>
  <si>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</si>
  <si>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</si>
  <si>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</si>
  <si>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</si>
  <si>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</si>
  <si>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</si>
  <si>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</si>
  <si>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</si>
  <si>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</si>
  <si>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</si>
  <si>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</si>
  <si>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</si>
  <si>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</si>
  <si>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</si>
  <si>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</si>
  <si>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</si>
  <si>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</si>
  <si>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</si>
  <si>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</si>
  <si>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</si>
  <si>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</si>
  <si>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</si>
  <si>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</si>
  <si>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</si>
  <si>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</si>
  <si>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</si>
  <si>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</si>
  <si>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</si>
  <si>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</si>
  <si>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</si>
  <si>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</si>
  <si>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</si>
  <si>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</si>
  <si>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</si>
  <si>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</si>
  <si>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</si>
  <si>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</si>
  <si>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</si>
  <si>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</si>
  <si>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</si>
  <si>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</si>
  <si>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</si>
  <si>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</si>
  <si>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</si>
  <si>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</si>
  <si>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</si>
  <si>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</si>
  <si>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</si>
  <si>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</si>
  <si>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</si>
  <si>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</si>
  <si>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</si>
  <si>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</si>
  <si>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</si>
  <si>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</si>
  <si>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</si>
  <si>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</si>
  <si>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</si>
  <si>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</si>
  <si>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</si>
  <si>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</si>
  <si>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</si>
  <si>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</si>
  <si>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</si>
  <si>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</si>
  <si>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</si>
  <si>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</si>
  <si>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</si>
  <si>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</si>
  <si>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</si>
  <si>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</si>
  <si>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</si>
  <si>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</si>
  <si>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</si>
  <si>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</si>
  <si>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</si>
  <si>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</si>
  <si>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</si>
  <si>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</si>
  <si>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</si>
  <si>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</si>
  <si>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</si>
  <si>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</si>
  <si>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</si>
  <si>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</si>
  <si>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</si>
  <si>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</si>
  <si>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</si>
  <si>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</si>
  <si>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</si>
  <si>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</si>
  <si>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</si>
  <si>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</si>
  <si>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</si>
  <si>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</si>
  <si>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</si>
  <si>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</si>
  <si>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</si>
  <si>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</si>
  <si>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</si>
  <si>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</si>
  <si>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</si>
  <si>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</si>
  <si>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</si>
  <si>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VICRYL I</t>
  </si>
  <si>
    <t>VICRYL 3-0</t>
  </si>
  <si>
    <t>CHROMIC I</t>
  </si>
  <si>
    <t>CHROMIC 2.0 DOUBLE ARM CUTTING</t>
  </si>
  <si>
    <t>RANDOM BLOOD SUGAR</t>
  </si>
  <si>
    <t>STERILE WATER</t>
  </si>
  <si>
    <t>10ML</t>
  </si>
  <si>
    <t>IV SPLINT ADULT</t>
  </si>
  <si>
    <t>DISPOSABLE RAZOR BLADE</t>
  </si>
  <si>
    <t xml:space="preserve">MEDICAL SUPPLIES </t>
  </si>
  <si>
    <t>PROMETHAZINE</t>
  </si>
  <si>
    <t>10CC SYRINGE</t>
  </si>
  <si>
    <t>IV CATHETER G 24</t>
  </si>
  <si>
    <t>ID BRACELET</t>
  </si>
  <si>
    <t>CYDEX</t>
  </si>
  <si>
    <t>BETADINE 10%</t>
  </si>
  <si>
    <t>BOTTLE</t>
  </si>
  <si>
    <t>POVIDONE IODINE</t>
  </si>
  <si>
    <t>BOTTLE/60ML</t>
  </si>
  <si>
    <t>STERILE GLOVES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</si>
</sst>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6" workbookViewId="0">
      <selection activeCell="E74" sqref="E74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6" t="s">
        <v>8</v>
      </c>
      <c r="C12" s="127"/>
      <c r="D12" s="127"/>
      <c r="E12" s="127"/>
      <c r="F12" s="128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9" t="s">
        <v>9</v>
      </c>
      <c r="C13" s="130"/>
      <c r="D13" s="130"/>
      <c r="E13" s="130"/>
      <c r="F13" s="13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9" t="s">
        <v>10</v>
      </c>
      <c r="C14" s="130"/>
      <c r="D14" s="130"/>
      <c r="E14" s="130"/>
      <c r="F14" s="13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2" t="s">
        <v>11</v>
      </c>
      <c r="C15" s="133"/>
      <c r="D15" s="133"/>
      <c r="E15" s="133"/>
      <c r="F15" s="134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0" t="s">
        <v>17</v>
      </c>
      <c r="C18" s="121"/>
      <c r="D18" s="121"/>
      <c r="E18" s="121"/>
      <c r="F18" s="122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0" t="s">
        <v>18</v>
      </c>
      <c r="C22" s="121"/>
      <c r="D22" s="121"/>
      <c r="E22" s="121"/>
      <c r="F22" s="122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3" t="s">
        <v>19</v>
      </c>
      <c r="C28" s="124"/>
      <c r="D28" s="124"/>
      <c r="E28" s="124"/>
      <c r="F28" s="12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0" t="s">
        <v>27</v>
      </c>
      <c r="C33" s="121"/>
      <c r="D33" s="121"/>
      <c r="E33" s="121"/>
      <c r="F33" s="122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3" t="s">
        <v>28</v>
      </c>
      <c r="C38" s="124"/>
      <c r="D38" s="121"/>
      <c r="E38" s="124"/>
      <c r="F38" s="122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3" t="s">
        <v>29</v>
      </c>
      <c r="C43" s="124"/>
      <c r="D43" s="121"/>
      <c r="E43" s="124"/>
      <c r="F43" s="122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0" t="s">
        <v>31</v>
      </c>
      <c r="C45" s="121"/>
      <c r="D45" s="121"/>
      <c r="E45" s="121"/>
      <c r="F45" s="122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0" t="s">
        <v>32</v>
      </c>
      <c r="C50" s="121"/>
      <c r="D50" s="121"/>
      <c r="E50" s="121"/>
      <c r="F50" s="122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214</v>
      </c>
      <c r="D61" s="41">
        <v>2076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215</v>
      </c>
      <c r="D62" s="41">
        <v>3358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220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219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230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30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60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213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235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17804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G26" sqref="G26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6</v>
      </c>
      <c r="I11" s="41">
        <v>80</v>
      </c>
      <c r="J11" s="41">
        <f>H11*I11</f>
        <v>480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221</v>
      </c>
      <c r="D12" s="73" t="s">
        <v>222</v>
      </c>
      <c r="E12" s="73" t="s">
        <v>167</v>
      </c>
      <c r="F12" s="41">
        <v>0</v>
      </c>
      <c r="G12" s="41">
        <v>0</v>
      </c>
      <c r="H12" s="41">
        <v>9</v>
      </c>
      <c r="I12" s="41">
        <v>23</v>
      </c>
      <c r="J12" s="41">
        <f t="shared" ref="J12" si="0">H12*I12</f>
        <v>207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1</v>
      </c>
      <c r="I14" s="41">
        <v>40</v>
      </c>
      <c r="J14" s="41">
        <f t="shared" si="1"/>
        <v>40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217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195</v>
      </c>
      <c r="D18" s="116" t="s">
        <v>196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197</v>
      </c>
      <c r="D19" s="116" t="s">
        <v>196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198</v>
      </c>
      <c r="D20" s="116" t="s">
        <v>199</v>
      </c>
      <c r="E20" s="116" t="s">
        <v>200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231</v>
      </c>
      <c r="D21" s="73" t="s">
        <v>173</v>
      </c>
      <c r="E21" s="73" t="s">
        <v>232</v>
      </c>
      <c r="F21" s="41">
        <v>0</v>
      </c>
      <c r="G21" s="41">
        <v>0</v>
      </c>
      <c r="H21" s="41">
        <v>1</v>
      </c>
      <c r="I21" s="41">
        <v>40</v>
      </c>
      <c r="J21" s="41">
        <f t="shared" ref="J21:J22" si="2">H21*I21</f>
        <v>40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236</v>
      </c>
      <c r="D22" s="73" t="s">
        <v>185</v>
      </c>
      <c r="E22" s="73" t="s">
        <v>186</v>
      </c>
      <c r="F22" s="41">
        <v>0</v>
      </c>
      <c r="G22" s="41">
        <v>0</v>
      </c>
      <c r="H22" s="41">
        <v>1</v>
      </c>
      <c r="I22" s="41">
        <v>25</v>
      </c>
      <c r="J22" s="41">
        <f t="shared" si="2"/>
        <v>25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/>
      <c r="D23" s="116"/>
      <c r="E23" s="116"/>
      <c r="F23" s="41">
        <v>0</v>
      </c>
      <c r="G23" s="41">
        <v>0</v>
      </c>
      <c r="H23" s="41"/>
      <c r="I23" s="41"/>
      <c r="J23" s="41">
        <f t="shared" si="1"/>
        <v>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/>
      <c r="D24" s="116"/>
      <c r="E24" s="73"/>
      <c r="F24" s="41">
        <v>0</v>
      </c>
      <c r="G24" s="41">
        <v>0</v>
      </c>
      <c r="H24" s="41"/>
      <c r="I24" s="41"/>
      <c r="J24" s="41">
        <f t="shared" si="1"/>
        <v>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2076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9" workbookViewId="0">
      <selection activeCell="E35" sqref="E35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223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224</v>
      </c>
      <c r="D28" s="118" t="s">
        <v>168</v>
      </c>
      <c r="E28" s="41">
        <v>2</v>
      </c>
      <c r="F28" s="41">
        <v>61</v>
      </c>
      <c r="G28" s="41">
        <f>E28*F28</f>
        <v>122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40" t="s">
        <v>238</v>
      </c>
      <c r="D29" s="60" t="s">
        <v>168</v>
      </c>
      <c r="E29" s="41">
        <v>1</v>
      </c>
      <c r="F29" s="41">
        <v>61</v>
      </c>
      <c r="G29" s="41">
        <f t="shared" ref="G29:G30" si="1">E29*F29</f>
        <v>61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65</v>
      </c>
      <c r="G30" s="41">
        <f t="shared" si="1"/>
        <v>130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2</v>
      </c>
      <c r="F31" s="41">
        <v>6</v>
      </c>
      <c r="G31" s="41">
        <f t="shared" ref="G31:G43" si="2">E31*F31</f>
        <v>12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168</v>
      </c>
      <c r="E32" s="41">
        <v>1</v>
      </c>
      <c r="F32" s="41">
        <v>40</v>
      </c>
      <c r="G32" s="41">
        <f t="shared" si="2"/>
        <v>40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204</v>
      </c>
      <c r="D33" s="118" t="s">
        <v>218</v>
      </c>
      <c r="E33" s="41">
        <v>4</v>
      </c>
      <c r="F33" s="41">
        <v>45</v>
      </c>
      <c r="G33" s="41">
        <f t="shared" si="2"/>
        <v>180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169</v>
      </c>
      <c r="D34" s="118" t="s">
        <v>168</v>
      </c>
      <c r="E34" s="41">
        <v>3</v>
      </c>
      <c r="F34" s="41">
        <v>6</v>
      </c>
      <c r="G34" s="41">
        <f t="shared" si="2"/>
        <v>18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50</v>
      </c>
      <c r="F35" s="41">
        <v>3</v>
      </c>
      <c r="G35" s="41">
        <f>E35*F35</f>
        <v>150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206</v>
      </c>
      <c r="D36" s="118" t="s">
        <v>168</v>
      </c>
      <c r="E36" s="41">
        <v>4</v>
      </c>
      <c r="F36" s="41">
        <v>65</v>
      </c>
      <c r="G36" s="41">
        <f t="shared" si="2"/>
        <v>260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211</v>
      </c>
      <c r="D37" s="118" t="s">
        <v>168</v>
      </c>
      <c r="E37" s="41">
        <v>1</v>
      </c>
      <c r="F37" s="41">
        <v>110</v>
      </c>
      <c r="G37" s="41">
        <f t="shared" si="2"/>
        <v>110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210</v>
      </c>
      <c r="G38" s="41">
        <f t="shared" si="2"/>
        <v>210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1</v>
      </c>
      <c r="F39" s="41">
        <v>35</v>
      </c>
      <c r="G39" s="41">
        <f t="shared" si="2"/>
        <v>35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209</v>
      </c>
      <c r="D40" s="118" t="s">
        <v>168</v>
      </c>
      <c r="E40" s="41">
        <v>6</v>
      </c>
      <c r="F40" s="41">
        <v>7</v>
      </c>
      <c r="G40" s="41">
        <f t="shared" si="2"/>
        <v>42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170</v>
      </c>
      <c r="D41" s="118" t="s">
        <v>168</v>
      </c>
      <c r="E41" s="41">
        <v>5</v>
      </c>
      <c r="F41" s="41">
        <v>6</v>
      </c>
      <c r="G41" s="41">
        <f t="shared" si="2"/>
        <v>30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171</v>
      </c>
      <c r="D42" s="118" t="s">
        <v>168</v>
      </c>
      <c r="E42" s="41">
        <v>8</v>
      </c>
      <c r="F42" s="41">
        <v>7</v>
      </c>
      <c r="G42" s="41">
        <f t="shared" si="2"/>
        <v>56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40" t="s">
        <v>237</v>
      </c>
      <c r="D43" s="118" t="s">
        <v>168</v>
      </c>
      <c r="E43" s="41">
        <v>4</v>
      </c>
      <c r="F43" s="41">
        <v>8</v>
      </c>
      <c r="G43" s="41">
        <f t="shared" si="2"/>
        <v>32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212</v>
      </c>
      <c r="D44" s="118" t="s">
        <v>168</v>
      </c>
      <c r="E44" s="41">
        <v>3</v>
      </c>
      <c r="F44" s="41">
        <v>25</v>
      </c>
      <c r="G44" s="41">
        <f>E44*F44</f>
        <v>75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245</v>
      </c>
      <c r="D45" s="118" t="s">
        <v>168</v>
      </c>
      <c r="E45" s="41">
        <v>2</v>
      </c>
      <c r="F45" s="41">
        <v>25</v>
      </c>
      <c r="G45" s="41">
        <f t="shared" ref="G45:G47" si="3">E45*F45</f>
        <v>50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40" t="s">
        <v>239</v>
      </c>
      <c r="D46" s="118" t="s">
        <v>168</v>
      </c>
      <c r="E46" s="41">
        <v>1</v>
      </c>
      <c r="F46" s="41">
        <v>7</v>
      </c>
      <c r="G46" s="41">
        <f t="shared" si="3"/>
        <v>7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216</v>
      </c>
      <c r="D47" s="118" t="s">
        <v>168</v>
      </c>
      <c r="E47" s="41">
        <v>20</v>
      </c>
      <c r="F47" s="41">
        <v>4</v>
      </c>
      <c r="G47" s="41">
        <f t="shared" si="3"/>
        <v>80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225</v>
      </c>
      <c r="D48" s="118" t="s">
        <v>168</v>
      </c>
      <c r="E48" s="41">
        <v>1</v>
      </c>
      <c r="F48" s="41">
        <v>85</v>
      </c>
      <c r="G48" s="41">
        <f t="shared" ref="G48:G53" si="4">E48*F48</f>
        <v>85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226</v>
      </c>
      <c r="D49" s="60" t="s">
        <v>168</v>
      </c>
      <c r="E49" s="41">
        <v>1</v>
      </c>
      <c r="F49" s="41">
        <v>410</v>
      </c>
      <c r="G49" s="41">
        <f t="shared" si="4"/>
        <v>410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227</v>
      </c>
      <c r="D50" s="60" t="s">
        <v>168</v>
      </c>
      <c r="E50" s="41">
        <v>1</v>
      </c>
      <c r="F50" s="41">
        <v>280</v>
      </c>
      <c r="G50" s="41">
        <f t="shared" si="4"/>
        <v>280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228</v>
      </c>
      <c r="D51" s="60" t="s">
        <v>168</v>
      </c>
      <c r="E51" s="41">
        <v>1</v>
      </c>
      <c r="F51" s="41">
        <v>205</v>
      </c>
      <c r="G51" s="41">
        <f t="shared" si="4"/>
        <v>205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229</v>
      </c>
      <c r="D52" s="60" t="s">
        <v>168</v>
      </c>
      <c r="E52" s="41">
        <v>1</v>
      </c>
      <c r="F52" s="41">
        <v>280</v>
      </c>
      <c r="G52" s="41">
        <f t="shared" si="4"/>
        <v>280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233</v>
      </c>
      <c r="D53" s="60" t="s">
        <v>168</v>
      </c>
      <c r="E53" s="41">
        <v>1</v>
      </c>
      <c r="F53" s="41">
        <v>110</v>
      </c>
      <c r="G53" s="41">
        <f t="shared" si="4"/>
        <v>110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234</v>
      </c>
      <c r="D54" s="60" t="s">
        <v>168</v>
      </c>
      <c r="E54" s="41">
        <v>1</v>
      </c>
      <c r="F54" s="41">
        <v>35</v>
      </c>
      <c r="G54" s="41">
        <f t="shared" ref="G54:G57" si="5">E54*F54</f>
        <v>35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243</v>
      </c>
      <c r="D55" s="60" t="s">
        <v>244</v>
      </c>
      <c r="E55" s="41">
        <v>1</v>
      </c>
      <c r="F55" s="41">
        <v>116</v>
      </c>
      <c r="G55" s="41">
        <f t="shared" si="5"/>
        <v>116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 t="s">
        <v>210</v>
      </c>
      <c r="D56" s="60" t="s">
        <v>168</v>
      </c>
      <c r="E56" s="41">
        <v>1</v>
      </c>
      <c r="F56" s="41">
        <v>25</v>
      </c>
      <c r="G56" s="41">
        <f t="shared" ref="G56" si="6">E56*F56</f>
        <v>25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 t="s">
        <v>240</v>
      </c>
      <c r="D57" s="60" t="s">
        <v>168</v>
      </c>
      <c r="E57" s="41">
        <v>1</v>
      </c>
      <c r="F57" s="41">
        <v>30</v>
      </c>
      <c r="G57" s="41">
        <f t="shared" si="5"/>
        <v>30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 t="s">
        <v>241</v>
      </c>
      <c r="D58" s="60" t="s">
        <v>242</v>
      </c>
      <c r="E58" s="41">
        <v>1</v>
      </c>
      <c r="F58" s="41">
        <v>50</v>
      </c>
      <c r="G58" s="41">
        <f t="shared" ref="G58" si="7">E58*F58</f>
        <v>50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3358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