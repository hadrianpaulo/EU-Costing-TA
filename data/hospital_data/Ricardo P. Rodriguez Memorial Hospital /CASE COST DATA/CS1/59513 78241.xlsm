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29" i="9" l="1"/>
  <c r="J23" i="2"/>
  <c r="J24" i="2" l="1"/>
  <c r="J22" i="2"/>
  <c r="J21" i="2"/>
  <c r="G45" i="9" l="1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28" i="9" l="1"/>
  <c r="J28" i="2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<sst xmlns="http://schemas.openxmlformats.org/spreadsheetml/2006/main" count="561" uniqueCount="240">
  <si>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</si>
  <si>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</si>
  <si>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</si>
  <si>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</si>
  <si>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</si>
  <si>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</si>
  <si>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</si>
  <si>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</si>
  <si>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</si>
  <si>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</si>
  <si>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</si>
  <si>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</si>
  <si>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</si>
  <si>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</si>
  <si>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</si>
  <si>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</si>
  <si>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</si>
  <si>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</si>
  <si>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</si>
  <si>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</si>
  <si>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</si>
  <si>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</si>
  <si>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</si>
  <si>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</si>
  <si>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</si>
  <si>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</si>
  <si>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</si>
  <si>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</si>
  <si>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</si>
  <si>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</si>
  <si>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</si>
  <si>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</si>
  <si>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</si>
  <si>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</si>
  <si>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</si>
  <si>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</si>
  <si>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</si>
  <si>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</si>
  <si>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</si>
  <si>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</si>
  <si>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</si>
  <si>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</si>
  <si>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</si>
  <si>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</si>
  <si>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</si>
  <si>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</si>
  <si>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</si>
  <si>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</si>
  <si>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</si>
  <si>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</si>
  <si>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</si>
  <si>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</si>
  <si>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</si>
  <si>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</si>
  <si>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</si>
  <si>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</si>
  <si>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</si>
  <si>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</si>
  <si>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</si>
  <si>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</si>
  <si>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</si>
  <si>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</si>
  <si>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</si>
  <si>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</si>
  <si>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</si>
  <si>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</si>
  <si>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</si>
  <si>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</si>
  <si>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</si>
  <si>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</si>
  <si>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</si>
  <si>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</si>
  <si>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</si>
  <si>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</si>
  <si>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</si>
  <si>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</si>
  <si>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</si>
  <si>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</si>
  <si>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</si>
  <si>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</si>
  <si>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</si>
  <si>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</si>
  <si>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</si>
  <si>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</si>
  <si>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</si>
  <si>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</si>
  <si>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</si>
  <si>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</si>
  <si>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</si>
  <si>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</si>
  <si>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</si>
  <si>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</si>
  <si>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</si>
  <si>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</si>
  <si>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</si>
  <si>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</si>
  <si>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</si>
  <si>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</si>
  <si>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</si>
  <si>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</si>
  <si>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</si>
  <si>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</si>
  <si>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</si>
  <si>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</si>
  <si>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</si>
  <si>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</si>
  <si>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</si>
  <si>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</si>
  <si>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</si>
  <si>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</si>
  <si>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</si>
  <si>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</si>
  <si>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</si>
  <si>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</si>
  <si>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</si>
  <si>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</si>
  <si>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</si>
  <si>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</si>
  <si>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</si>
  <si>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</si>
  <si>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</si>
  <si>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</si>
  <si>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</si>
  <si>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</si>
  <si>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</si>
  <si>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</si>
  <si>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</si>
  <si>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</si>
  <si>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</si>
  <si>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</si>
  <si>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</si>
  <si>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</si>
  <si>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</si>
  <si>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</si>
  <si>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</si>
  <si>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</si>
  <si>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</si>
  <si>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</si>
  <si>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</si>
  <si>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</si>
  <si>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</si>
  <si>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</si>
  <si>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</si>
  <si>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</si>
  <si>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</si>
  <si>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</si>
  <si>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</si>
  <si>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</si>
  <si>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</si>
  <si>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</si>
  <si>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</si>
  <si>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</si>
  <si>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</si>
  <si>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</si>
  <si>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</si>
  <si>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</si>
  <si>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</si>
  <si>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</si>
  <si>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</si>
  <si>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</si>
  <si>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</si>
  <si>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</si>
  <si>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</si>
  <si>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</si>
  <si>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</si>
  <si>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</si>
  <si>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</si>
  <si>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</si>
  <si>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</si>
  <si>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</si>
  <si>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</si>
  <si>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</si>
  <si>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</si>
  <si>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</si>
  <si>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</si>
  <si>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</si>
  <si>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</si>
  <si>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</si>
  <si>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</si>
  <si>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</si>
  <si>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</si>
  <si>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</si>
  <si>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</si>
  <si>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</si>
  <si>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</si>
  <si>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</si>
  <si>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</si>
  <si>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</si>
  <si>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</si>
  <si>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</si>
  <si>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</si>
  <si>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</si>
  <si>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</si>
  <si>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</si>
  <si>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</si>
  <si>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</si>
  <si>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</si>
  <si>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</si>
  <si>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</si>
  <si>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</si>
  <si>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</si>
  <si>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</si>
  <si>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</si>
  <si>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</si>
  <si>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</si>
  <si>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</si>
  <si>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</si>
  <si>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</si>
  <si>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</si>
  <si>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</si>
  <si>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</si>
  <si>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</si>
  <si>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</si>
  <si>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</si>
  <si>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</si>
  <si>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</si>
  <si>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</si>
  <si>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</si>
  <si>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</si>
  <si>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</si>
  <si>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</si>
  <si>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</si>
  <si>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</si>
  <si>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</si>
  <si>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</si>
  <si>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</si>
  <si>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</si>
  <si>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>PROMETHAZINE</t>
  </si>
  <si>
    <t>POVIDONE IODINE</t>
  </si>
  <si>
    <t>BOTTLE/60ML</t>
  </si>
  <si>
    <t>STERILE GLOVES 7.5</t>
  </si>
  <si>
    <t>METHYLERGOMETRINE</t>
  </si>
  <si>
    <t>200MCG/ML</t>
  </si>
  <si>
    <t>CEFALEXIN</t>
  </si>
  <si>
    <t>CHROMIC I</t>
  </si>
  <si>
    <t>CHROMIC 2.0 DOUBLE ARM CUTTING</t>
  </si>
  <si>
    <t>VICRYL I</t>
  </si>
  <si>
    <t>VICRYL 3-0</t>
  </si>
  <si>
    <t>10CC SYRINGE</t>
  </si>
  <si>
    <t>IV CATHETER G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</si>
</sst>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8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1582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3625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/>
      <c r="D75" s="41"/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17497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H25" sqref="H25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2</v>
      </c>
      <c r="I11" s="41">
        <v>80</v>
      </c>
      <c r="J11" s="41">
        <f>H11*I11</f>
        <v>160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1</v>
      </c>
      <c r="I14" s="41">
        <v>40</v>
      </c>
      <c r="J14" s="41">
        <f t="shared" si="1"/>
        <v>40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233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227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231</v>
      </c>
      <c r="D22" s="73" t="s">
        <v>189</v>
      </c>
      <c r="E22" s="73" t="s">
        <v>232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/>
      <c r="D23" s="73"/>
      <c r="E23" s="73"/>
      <c r="F23" s="41">
        <v>0</v>
      </c>
      <c r="G23" s="41">
        <v>0</v>
      </c>
      <c r="H23" s="41"/>
      <c r="I23" s="41"/>
      <c r="J23" s="41">
        <f t="shared" si="2"/>
        <v>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/>
      <c r="D24" s="73"/>
      <c r="E24" s="73"/>
      <c r="F24" s="41">
        <v>0</v>
      </c>
      <c r="G24" s="41">
        <v>0</v>
      </c>
      <c r="H24" s="41"/>
      <c r="I24" s="41"/>
      <c r="J24" s="41">
        <f t="shared" si="2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1582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6" workbookViewId="0">
      <selection activeCell="F57" sqref="F57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2</v>
      </c>
      <c r="F27" s="41">
        <v>32</v>
      </c>
      <c r="G27" s="41">
        <f>E27*F27</f>
        <v>64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239</v>
      </c>
      <c r="D29" s="118" t="s">
        <v>168</v>
      </c>
      <c r="E29" s="41">
        <v>1</v>
      </c>
      <c r="F29" s="41">
        <v>61</v>
      </c>
      <c r="G29" s="41">
        <f>E29*F29</f>
        <v>61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200</v>
      </c>
      <c r="D30" s="118" t="s">
        <v>168</v>
      </c>
      <c r="E30" s="41">
        <v>2</v>
      </c>
      <c r="F30" s="41">
        <v>65</v>
      </c>
      <c r="G30" s="41">
        <f t="shared" ref="G30:G33" si="1">E30*F30</f>
        <v>130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201</v>
      </c>
      <c r="D31" s="118" t="s">
        <v>168</v>
      </c>
      <c r="E31" s="41">
        <v>2</v>
      </c>
      <c r="F31" s="41">
        <v>6</v>
      </c>
      <c r="G31" s="41">
        <f t="shared" si="1"/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202</v>
      </c>
      <c r="D32" s="118" t="s">
        <v>168</v>
      </c>
      <c r="E32" s="41">
        <v>1</v>
      </c>
      <c r="F32" s="41">
        <v>40</v>
      </c>
      <c r="G32" s="41">
        <f t="shared" si="1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203</v>
      </c>
      <c r="D33" s="118" t="s">
        <v>217</v>
      </c>
      <c r="E33" s="41">
        <v>5</v>
      </c>
      <c r="F33" s="41">
        <v>45</v>
      </c>
      <c r="G33" s="41">
        <f t="shared" si="1"/>
        <v>225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8</v>
      </c>
      <c r="F34" s="41">
        <v>6</v>
      </c>
      <c r="G34" s="41">
        <f>E34*F34</f>
        <v>48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204</v>
      </c>
      <c r="D35" s="118" t="s">
        <v>168</v>
      </c>
      <c r="E35" s="41">
        <v>50</v>
      </c>
      <c r="F35" s="41">
        <v>3</v>
      </c>
      <c r="G35" s="41">
        <f t="shared" ref="G35:G42" si="2">E35*F35</f>
        <v>150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205</v>
      </c>
      <c r="D36" s="118" t="s">
        <v>168</v>
      </c>
      <c r="E36" s="41">
        <v>5</v>
      </c>
      <c r="F36" s="41">
        <v>65</v>
      </c>
      <c r="G36" s="41">
        <f t="shared" si="2"/>
        <v>325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210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206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207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208</v>
      </c>
      <c r="D40" s="118" t="s">
        <v>168</v>
      </c>
      <c r="E40" s="41">
        <v>5</v>
      </c>
      <c r="F40" s="41">
        <v>7</v>
      </c>
      <c r="G40" s="41">
        <f t="shared" si="2"/>
        <v>35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7</v>
      </c>
      <c r="F41" s="41">
        <v>6</v>
      </c>
      <c r="G41" s="41">
        <f t="shared" si="2"/>
        <v>42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7</v>
      </c>
      <c r="F42" s="41">
        <v>7</v>
      </c>
      <c r="G42" s="41">
        <f t="shared" si="2"/>
        <v>49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40" t="s">
        <v>238</v>
      </c>
      <c r="D43" s="60" t="s">
        <v>168</v>
      </c>
      <c r="E43" s="41">
        <v>4</v>
      </c>
      <c r="F43" s="41">
        <v>8</v>
      </c>
      <c r="G43" s="41">
        <f>E43*F43</f>
        <v>32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211</v>
      </c>
      <c r="D44" s="118" t="s">
        <v>168</v>
      </c>
      <c r="E44" s="41">
        <v>3</v>
      </c>
      <c r="F44" s="41">
        <v>25</v>
      </c>
      <c r="G44" s="41">
        <f t="shared" ref="G44:G45" si="3">E44*F44</f>
        <v>75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230</v>
      </c>
      <c r="D45" s="118" t="s">
        <v>168</v>
      </c>
      <c r="E45" s="41">
        <v>2</v>
      </c>
      <c r="F45" s="41">
        <v>25</v>
      </c>
      <c r="G45" s="41">
        <f t="shared" si="3"/>
        <v>50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25</v>
      </c>
      <c r="F46" s="41">
        <v>4</v>
      </c>
      <c r="G46" s="41">
        <f t="shared" ref="G46:G54" si="4">E46*F46</f>
        <v>100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4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4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228</v>
      </c>
      <c r="D49" s="60" t="s">
        <v>229</v>
      </c>
      <c r="E49" s="41">
        <v>1</v>
      </c>
      <c r="F49" s="41">
        <v>116</v>
      </c>
      <c r="G49" s="41">
        <f t="shared" si="4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4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234</v>
      </c>
      <c r="D51" s="60" t="s">
        <v>168</v>
      </c>
      <c r="E51" s="41">
        <v>2</v>
      </c>
      <c r="F51" s="41">
        <v>205</v>
      </c>
      <c r="G51" s="41">
        <f t="shared" si="4"/>
        <v>410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235</v>
      </c>
      <c r="D52" s="60" t="s">
        <v>168</v>
      </c>
      <c r="E52" s="41">
        <v>2</v>
      </c>
      <c r="F52" s="41">
        <v>205</v>
      </c>
      <c r="G52" s="41">
        <f t="shared" si="4"/>
        <v>410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236</v>
      </c>
      <c r="D53" s="60" t="s">
        <v>168</v>
      </c>
      <c r="E53" s="41">
        <v>1</v>
      </c>
      <c r="F53" s="41">
        <v>410</v>
      </c>
      <c r="G53" s="41">
        <f t="shared" si="4"/>
        <v>410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237</v>
      </c>
      <c r="D54" s="60" t="s">
        <v>168</v>
      </c>
      <c r="E54" s="41">
        <v>1</v>
      </c>
      <c r="F54" s="41">
        <v>280</v>
      </c>
      <c r="G54" s="41">
        <f t="shared" si="4"/>
        <v>280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/>
      <c r="D55" s="60"/>
      <c r="E55" s="41"/>
      <c r="F55" s="41"/>
      <c r="G55" s="41">
        <f t="shared" ref="G55:G57" si="5">E55*F55</f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/>
      <c r="D56" s="60"/>
      <c r="E56" s="41"/>
      <c r="F56" s="41"/>
      <c r="G56" s="41">
        <f t="shared" ref="G56" si="6">E56*F56</f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3625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