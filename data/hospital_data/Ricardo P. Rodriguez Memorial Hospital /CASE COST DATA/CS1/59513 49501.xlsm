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data_general'!$B$1:$F$75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48" i="9" l="1"/>
  <c r="G49" i="9"/>
  <c r="G50" i="9"/>
  <c r="G51" i="9"/>
  <c r="G52" i="9"/>
  <c r="G53" i="9"/>
  <c r="G47" i="9"/>
  <c r="G28" i="9"/>
  <c r="J28" i="2" l="1"/>
  <c r="G46" i="9" l="1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54" i="9" l="1"/>
  <c r="J23" i="2" l="1"/>
  <c r="J22" i="2"/>
  <c r="G57" i="9" l="1"/>
  <c r="G56" i="9"/>
  <c r="G55" i="9"/>
  <c r="G58" i="9" l="1"/>
  <c r="G59" i="9" l="1"/>
  <c r="G60" i="9"/>
  <c r="G61" i="9"/>
  <c r="G62" i="9"/>
  <c r="G63" i="9"/>
  <c r="J27" i="2"/>
  <c r="J26" i="2"/>
  <c r="J25" i="2"/>
  <c r="J24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J13" i="2"/>
  <c r="J14" i="2"/>
  <c r="J15" i="2"/>
  <c r="J16" i="2"/>
  <c r="J17" i="2"/>
  <c r="J18" i="2"/>
  <c r="J19" i="2"/>
  <c r="J20" i="2"/>
  <c r="J21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5" i="1"/>
  <c r="E75" i="1"/>
  <c r="D75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<sst xmlns="http://schemas.openxmlformats.org/spreadsheetml/2006/main" count="574" uniqueCount="250">
  <si>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</si>
  <si>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</si>
  <si>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</si>
  <si>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</si>
  <si>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</si>
  <si>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</si>
  <si>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</si>
  <si>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</si>
  <si>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</si>
  <si>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</si>
  <si>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</si>
  <si>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</si>
  <si>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</si>
  <si>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</si>
  <si>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</si>
  <si>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</si>
  <si>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</si>
  <si>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</si>
  <si>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</si>
  <si>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</si>
  <si>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</si>
  <si>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</si>
  <si>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</si>
  <si>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</si>
  <si>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</si>
  <si>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</si>
  <si>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</si>
  <si>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</si>
  <si>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</si>
  <si>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</si>
  <si>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</si>
  <si>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</si>
  <si>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</si>
  <si>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</si>
  <si>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</si>
  <si>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</si>
  <si>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</si>
  <si>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</si>
  <si>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</si>
  <si>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</si>
  <si>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</si>
  <si>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</si>
  <si>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</si>
  <si>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</si>
  <si>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</si>
  <si>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</si>
  <si>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</si>
  <si>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</si>
  <si>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</si>
  <si>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</si>
  <si>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</si>
  <si>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</si>
  <si>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</si>
  <si>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</si>
  <si>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</si>
  <si>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</si>
  <si>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</si>
  <si>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</si>
  <si>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</si>
  <si>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</si>
  <si>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</si>
  <si>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</si>
  <si>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</si>
  <si>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</si>
  <si>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</si>
  <si>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</si>
  <si>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</si>
  <si>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</si>
  <si>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</si>
  <si>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</si>
  <si>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</si>
  <si>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</si>
  <si>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</si>
  <si>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</si>
  <si>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</si>
  <si>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</si>
  <si>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</si>
  <si>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</si>
  <si>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</si>
  <si>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</si>
  <si>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</si>
  <si>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</si>
  <si>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</si>
  <si>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</si>
  <si>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</si>
  <si>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</si>
  <si>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</si>
  <si>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</si>
  <si>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</si>
  <si>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</si>
  <si>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</si>
  <si>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</si>
  <si>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</si>
  <si>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</si>
  <si>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</si>
  <si>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</si>
  <si>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</si>
  <si>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</si>
  <si>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</si>
  <si>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</si>
  <si>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</si>
  <si>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</si>
  <si>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</si>
  <si>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</si>
  <si>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</si>
  <si>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</si>
  <si>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</si>
  <si>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</si>
  <si>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</si>
  <si>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</si>
  <si>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</si>
  <si>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</si>
  <si>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</si>
  <si>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</si>
  <si>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</si>
  <si>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</si>
  <si>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</si>
  <si>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</si>
  <si>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</si>
  <si>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</si>
  <si>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</si>
  <si>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</si>
  <si>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</si>
  <si>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</si>
  <si>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</si>
  <si>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</si>
  <si>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</si>
  <si>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</si>
  <si>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</si>
  <si>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</si>
  <si>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</si>
  <si>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</si>
  <si>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</si>
  <si>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</si>
  <si>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</si>
  <si>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</si>
  <si>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</si>
  <si>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</si>
  <si>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</si>
  <si>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</si>
  <si>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</si>
  <si>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</si>
  <si>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</si>
  <si>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</si>
  <si>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</si>
  <si>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</si>
  <si>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</si>
  <si>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</si>
  <si>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</si>
  <si>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</si>
  <si>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</si>
  <si>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</si>
  <si>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</si>
  <si>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</si>
  <si>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</si>
  <si>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</si>
  <si>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</si>
  <si>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</si>
  <si>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</si>
  <si>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</si>
  <si>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</si>
  <si>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</si>
  <si>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</si>
  <si>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</si>
  <si>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</si>
  <si>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</si>
  <si>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</si>
  <si>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</si>
  <si>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</si>
  <si>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</si>
  <si>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</si>
  <si>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</si>
  <si>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</si>
  <si>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</si>
  <si>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</si>
  <si>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</si>
  <si>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</si>
  <si>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</si>
  <si>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</si>
  <si>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CLOTTING TIME - BLEEDING TIME</t>
  </si>
  <si>
    <t>ECG</t>
  </si>
  <si>
    <t>D5LRS</t>
  </si>
  <si>
    <t>BOTTLE/IV</t>
  </si>
  <si>
    <t>1000ML</t>
  </si>
  <si>
    <t>PROMETHAZINE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</si>
  <si>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</si>
  <si>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</si>
  <si>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</si>
  <si>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</si>
  <si>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</si>
  <si>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</si>
  <si>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</si>
  <si>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</si>
  <si>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</si>
  <si>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</si>
  <si>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</si>
  <si>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</si>
  <si>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</si>
  <si>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</si>
  <si>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</si>
  <si>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</si>
  <si>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</si>
  <si>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</si>
  <si>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</si>
  <si>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</si>
  <si>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</si>
  <si>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</si>
  <si>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</si>
  <si>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</si>
  <si>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</si>
  <si>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</si>
  <si>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</si>
  <si>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</si>
  <si>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</si>
  <si>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</si>
  <si>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</si>
  <si>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</si>
  <si>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METHYLERGOMETRINE</t>
  </si>
  <si>
    <t>AMPULE.IV</t>
  </si>
  <si>
    <t>200MCG/ML</t>
  </si>
  <si>
    <t>DICLOFENAC</t>
  </si>
  <si>
    <t>SODIUM CHLORIDE</t>
  </si>
  <si>
    <t>ONDASETRON</t>
  </si>
  <si>
    <t>4MG/2ML</t>
  </si>
  <si>
    <t>BOTTLE/100/5ML</t>
  </si>
  <si>
    <t>STERILE GLOVES 6.5</t>
  </si>
  <si>
    <t>CBC, PLATELET</t>
  </si>
  <si>
    <t>URINALYSIS</t>
  </si>
  <si>
    <t>NICARDIPINE</t>
  </si>
  <si>
    <t>10MG/10ML</t>
  </si>
  <si>
    <t>MAGNESIUM SULFATE</t>
  </si>
  <si>
    <t>500MG/2M;</t>
  </si>
  <si>
    <t>HYDRALAZINE</t>
  </si>
  <si>
    <t>20MG/ML</t>
  </si>
  <si>
    <t>LOSARTAN K</t>
  </si>
  <si>
    <t>TABLET/ORAL</t>
  </si>
  <si>
    <t>50MG</t>
  </si>
  <si>
    <t>AMLODIPINE</t>
  </si>
  <si>
    <t>SOLUSET</t>
  </si>
  <si>
    <t>10CC SYRINGE</t>
  </si>
  <si>
    <t>FOLEY CATH F-16</t>
  </si>
  <si>
    <t>LUBRICATING JELLY</t>
  </si>
  <si>
    <t>SACHET/5GMS</t>
  </si>
  <si>
    <t>20CC SYRINGE</t>
  </si>
  <si>
    <t>CHROMIC I</t>
  </si>
  <si>
    <t>CHROMIC 2.0</t>
  </si>
  <si>
    <t>VICRYL I</t>
  </si>
  <si>
    <t>VICRYL 3-0</t>
  </si>
  <si>
    <t>STERILE GLOBVES 7.5</t>
  </si>
  <si>
    <t>CBC, PLATELET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</si>
</sst>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abSelected="1" topLeftCell="A30" workbookViewId="0">
      <selection activeCell="C35" sqref="C35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14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73" t="s">
        <v>249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73" t="s">
        <v>227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/>
      <c r="D36" s="97"/>
      <c r="E36" s="41"/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/>
      <c r="D37" s="97"/>
      <c r="E37" s="41"/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521.5</v>
      </c>
      <c r="E60" s="41">
        <v>3078.5</v>
      </c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214</v>
      </c>
      <c r="D61" s="41">
        <v>7579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215</v>
      </c>
      <c r="D62" s="41">
        <v>2999.5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226</v>
      </c>
      <c r="D65" s="41">
        <v>250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179</v>
      </c>
      <c r="D66" s="41">
        <v>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227</v>
      </c>
      <c r="D67" s="41">
        <v>50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39</v>
      </c>
      <c r="D68" s="41">
        <v>7600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40</v>
      </c>
      <c r="D69" s="41">
        <v>0</v>
      </c>
      <c r="E69" s="41">
        <v>30</v>
      </c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174</v>
      </c>
      <c r="D70" s="41">
        <v>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180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175</v>
      </c>
      <c r="D72" s="41">
        <v>0</v>
      </c>
      <c r="E72" s="41">
        <v>60</v>
      </c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213</v>
      </c>
      <c r="D73" s="41">
        <v>0</v>
      </c>
      <c r="E73" s="41">
        <v>100</v>
      </c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4.9000000000000004" customHeight="1">
      <c r="A74" s="76"/>
      <c r="B74" s="76"/>
      <c r="C74" s="76"/>
      <c r="D74" s="110"/>
      <c r="E74" s="110"/>
      <c r="F74" s="110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11"/>
      <c r="C75" s="112" t="s">
        <v>41</v>
      </c>
      <c r="D75" s="113">
        <f>SUM(D60:D74)</f>
        <v>19000</v>
      </c>
      <c r="E75" s="113">
        <f>SUM(E60:E74)</f>
        <v>3268.5</v>
      </c>
      <c r="F75" s="113">
        <f>SUM(F60:F74)</f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</sheetData>
  <sheetProtection algorithmName="SHA-512" hashValue="RRTMs9TRkQAEUQJDKbl33Fz6kEfNcXmiLmRd/rg4Nk2oS8WTFQqB20chdH+DeRtY7dEWtvw2G6cRXYrtCa5Zmg==" saltValue="VZYy0Q05gtakq7YZ2uSty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3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12" workbookViewId="0">
      <selection activeCell="H28" sqref="H28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181</v>
      </c>
      <c r="D11" s="116" t="s">
        <v>182</v>
      </c>
      <c r="E11" s="116" t="s">
        <v>183</v>
      </c>
      <c r="F11" s="41">
        <v>0</v>
      </c>
      <c r="G11" s="41">
        <v>0</v>
      </c>
      <c r="H11" s="41">
        <v>6</v>
      </c>
      <c r="I11" s="41">
        <v>80</v>
      </c>
      <c r="J11" s="41">
        <f>H11*I11</f>
        <v>480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228</v>
      </c>
      <c r="D12" s="73" t="s">
        <v>185</v>
      </c>
      <c r="E12" s="73" t="s">
        <v>229</v>
      </c>
      <c r="F12" s="41">
        <v>0</v>
      </c>
      <c r="G12" s="41">
        <v>0</v>
      </c>
      <c r="H12" s="41">
        <v>3</v>
      </c>
      <c r="I12" s="41">
        <v>1350</v>
      </c>
      <c r="J12" s="41">
        <f t="shared" ref="J12:J14" si="0">H12*I12</f>
        <v>4050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184</v>
      </c>
      <c r="D13" s="116" t="s">
        <v>185</v>
      </c>
      <c r="E13" s="116" t="s">
        <v>186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187</v>
      </c>
      <c r="D14" s="116" t="s">
        <v>173</v>
      </c>
      <c r="E14" s="116" t="s">
        <v>188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190</v>
      </c>
      <c r="D15" s="116" t="s">
        <v>189</v>
      </c>
      <c r="E15" s="116" t="s">
        <v>191</v>
      </c>
      <c r="F15" s="41">
        <v>0</v>
      </c>
      <c r="G15" s="41">
        <v>0</v>
      </c>
      <c r="H15" s="41">
        <v>2</v>
      </c>
      <c r="I15" s="41">
        <v>40</v>
      </c>
      <c r="J15" s="41">
        <f t="shared" ref="J15:J28" si="1">H15*I15</f>
        <v>80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220</v>
      </c>
      <c r="D16" s="116" t="s">
        <v>185</v>
      </c>
      <c r="E16" s="116" t="s">
        <v>186</v>
      </c>
      <c r="F16" s="41">
        <v>0</v>
      </c>
      <c r="G16" s="41">
        <v>0</v>
      </c>
      <c r="H16" s="41">
        <v>2</v>
      </c>
      <c r="I16" s="41">
        <v>30</v>
      </c>
      <c r="J16" s="41">
        <f t="shared" si="1"/>
        <v>60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192</v>
      </c>
      <c r="D17" s="116" t="s">
        <v>185</v>
      </c>
      <c r="E17" s="116" t="s">
        <v>193</v>
      </c>
      <c r="F17" s="41">
        <v>0</v>
      </c>
      <c r="G17" s="41">
        <v>0</v>
      </c>
      <c r="H17" s="41">
        <v>1</v>
      </c>
      <c r="I17" s="41">
        <v>125</v>
      </c>
      <c r="J17" s="41">
        <f t="shared" si="1"/>
        <v>125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194</v>
      </c>
      <c r="D18" s="116" t="s">
        <v>185</v>
      </c>
      <c r="E18" s="116" t="s">
        <v>188</v>
      </c>
      <c r="F18" s="41">
        <v>0</v>
      </c>
      <c r="G18" s="41">
        <v>0</v>
      </c>
      <c r="H18" s="41">
        <v>1</v>
      </c>
      <c r="I18" s="41">
        <v>135</v>
      </c>
      <c r="J18" s="41">
        <f t="shared" si="1"/>
        <v>135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195</v>
      </c>
      <c r="D19" s="116" t="s">
        <v>196</v>
      </c>
      <c r="E19" s="116" t="s">
        <v>167</v>
      </c>
      <c r="F19" s="41">
        <v>0</v>
      </c>
      <c r="G19" s="41">
        <v>0</v>
      </c>
      <c r="H19" s="41">
        <v>21</v>
      </c>
      <c r="I19" s="41">
        <v>8</v>
      </c>
      <c r="J19" s="41">
        <f t="shared" si="1"/>
        <v>168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197</v>
      </c>
      <c r="D20" s="116" t="s">
        <v>196</v>
      </c>
      <c r="E20" s="116" t="s">
        <v>167</v>
      </c>
      <c r="F20" s="41">
        <v>0</v>
      </c>
      <c r="G20" s="41">
        <v>0</v>
      </c>
      <c r="H20" s="41">
        <v>9</v>
      </c>
      <c r="I20" s="41">
        <v>4</v>
      </c>
      <c r="J20" s="41">
        <f t="shared" si="1"/>
        <v>36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198</v>
      </c>
      <c r="D21" s="116" t="s">
        <v>199</v>
      </c>
      <c r="E21" s="116" t="s">
        <v>200</v>
      </c>
      <c r="F21" s="41">
        <v>0</v>
      </c>
      <c r="G21" s="41">
        <v>0</v>
      </c>
      <c r="H21" s="41">
        <v>2</v>
      </c>
      <c r="I21" s="41">
        <v>55</v>
      </c>
      <c r="J21" s="41">
        <f t="shared" si="1"/>
        <v>110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217</v>
      </c>
      <c r="D22" s="116" t="s">
        <v>218</v>
      </c>
      <c r="E22" s="116" t="s">
        <v>219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3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221</v>
      </c>
      <c r="D23" s="116" t="s">
        <v>182</v>
      </c>
      <c r="E23" s="116" t="s">
        <v>183</v>
      </c>
      <c r="F23" s="41">
        <v>0</v>
      </c>
      <c r="G23" s="41">
        <v>0</v>
      </c>
      <c r="H23" s="41">
        <v>1</v>
      </c>
      <c r="I23" s="41">
        <v>80</v>
      </c>
      <c r="J23" s="41">
        <f t="shared" si="2"/>
        <v>80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16" t="s">
        <v>222</v>
      </c>
      <c r="D24" s="116" t="s">
        <v>185</v>
      </c>
      <c r="E24" s="116" t="s">
        <v>223</v>
      </c>
      <c r="F24" s="41">
        <v>0</v>
      </c>
      <c r="G24" s="41">
        <v>0</v>
      </c>
      <c r="H24" s="41">
        <v>1</v>
      </c>
      <c r="I24" s="41">
        <v>760</v>
      </c>
      <c r="J24" s="41">
        <f t="shared" si="1"/>
        <v>760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 t="s">
        <v>230</v>
      </c>
      <c r="D25" s="116" t="s">
        <v>185</v>
      </c>
      <c r="E25" s="73" t="s">
        <v>231</v>
      </c>
      <c r="F25" s="41">
        <v>0</v>
      </c>
      <c r="G25" s="41">
        <v>0</v>
      </c>
      <c r="H25" s="41">
        <v>4</v>
      </c>
      <c r="I25" s="41">
        <v>35</v>
      </c>
      <c r="J25" s="41">
        <f t="shared" si="1"/>
        <v>140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 t="s">
        <v>232</v>
      </c>
      <c r="D26" s="116" t="s">
        <v>185</v>
      </c>
      <c r="E26" s="73" t="s">
        <v>233</v>
      </c>
      <c r="F26" s="41">
        <v>0</v>
      </c>
      <c r="G26" s="41">
        <v>0</v>
      </c>
      <c r="H26" s="41">
        <v>1</v>
      </c>
      <c r="I26" s="41">
        <v>330</v>
      </c>
      <c r="J26" s="41">
        <f t="shared" si="1"/>
        <v>330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 t="s">
        <v>234</v>
      </c>
      <c r="D27" s="73" t="s">
        <v>235</v>
      </c>
      <c r="E27" s="73" t="s">
        <v>236</v>
      </c>
      <c r="F27" s="41">
        <v>0</v>
      </c>
      <c r="G27" s="41">
        <v>0</v>
      </c>
      <c r="H27" s="41">
        <v>34</v>
      </c>
      <c r="I27" s="41">
        <v>8</v>
      </c>
      <c r="J27" s="41">
        <f t="shared" si="1"/>
        <v>272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 t="s">
        <v>237</v>
      </c>
      <c r="D28" s="73" t="s">
        <v>235</v>
      </c>
      <c r="E28" s="73" t="s">
        <v>188</v>
      </c>
      <c r="F28" s="41">
        <v>0</v>
      </c>
      <c r="G28" s="41">
        <v>0</v>
      </c>
      <c r="H28" s="41">
        <v>7</v>
      </c>
      <c r="I28" s="41">
        <v>4</v>
      </c>
      <c r="J28" s="41">
        <f t="shared" si="1"/>
        <v>28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7579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opLeftCell="A44" workbookViewId="0">
      <selection activeCell="F47" sqref="F47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238</v>
      </c>
      <c r="D27" s="118" t="s">
        <v>168</v>
      </c>
      <c r="E27" s="41">
        <v>1</v>
      </c>
      <c r="F27" s="41">
        <v>200</v>
      </c>
      <c r="G27" s="41">
        <f>E27*F27</f>
        <v>200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210</v>
      </c>
      <c r="D28" s="118" t="s">
        <v>168</v>
      </c>
      <c r="E28" s="41">
        <v>2</v>
      </c>
      <c r="F28" s="41">
        <v>25</v>
      </c>
      <c r="G28" s="41">
        <f>E28*F28</f>
        <v>50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40" t="s">
        <v>241</v>
      </c>
      <c r="D29" s="60" t="s">
        <v>242</v>
      </c>
      <c r="E29" s="41">
        <v>1</v>
      </c>
      <c r="F29" s="41">
        <v>11.5</v>
      </c>
      <c r="G29" s="41">
        <f t="shared" ref="G29:G46" si="1">E29*F29</f>
        <v>11.5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1</v>
      </c>
      <c r="F30" s="41">
        <v>65</v>
      </c>
      <c r="G30" s="41">
        <f t="shared" si="1"/>
        <v>65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40" t="s">
        <v>240</v>
      </c>
      <c r="D31" s="60" t="s">
        <v>168</v>
      </c>
      <c r="E31" s="41">
        <v>1</v>
      </c>
      <c r="F31" s="41">
        <v>40</v>
      </c>
      <c r="G31" s="41">
        <f t="shared" si="1"/>
        <v>40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202</v>
      </c>
      <c r="D32" s="118" t="s">
        <v>168</v>
      </c>
      <c r="E32" s="41">
        <v>2</v>
      </c>
      <c r="F32" s="41">
        <v>6</v>
      </c>
      <c r="G32" s="41">
        <f t="shared" si="1"/>
        <v>12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203</v>
      </c>
      <c r="D33" s="118" t="s">
        <v>168</v>
      </c>
      <c r="E33" s="41">
        <v>1</v>
      </c>
      <c r="F33" s="41">
        <v>40</v>
      </c>
      <c r="G33" s="41">
        <f t="shared" si="1"/>
        <v>40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204</v>
      </c>
      <c r="D34" s="118" t="s">
        <v>224</v>
      </c>
      <c r="E34" s="41">
        <v>5</v>
      </c>
      <c r="F34" s="41">
        <v>45</v>
      </c>
      <c r="G34" s="41">
        <f t="shared" si="1"/>
        <v>225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169</v>
      </c>
      <c r="D35" s="118" t="s">
        <v>168</v>
      </c>
      <c r="E35" s="41">
        <v>2</v>
      </c>
      <c r="F35" s="41">
        <v>6</v>
      </c>
      <c r="G35" s="41">
        <f t="shared" si="1"/>
        <v>12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205</v>
      </c>
      <c r="D36" s="118" t="s">
        <v>168</v>
      </c>
      <c r="E36" s="41">
        <v>40</v>
      </c>
      <c r="F36" s="41">
        <v>3</v>
      </c>
      <c r="G36" s="41">
        <f t="shared" si="1"/>
        <v>120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206</v>
      </c>
      <c r="D37" s="118" t="s">
        <v>168</v>
      </c>
      <c r="E37" s="41">
        <v>4</v>
      </c>
      <c r="F37" s="41">
        <v>65</v>
      </c>
      <c r="G37" s="41">
        <f t="shared" si="1"/>
        <v>260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211</v>
      </c>
      <c r="D38" s="118" t="s">
        <v>168</v>
      </c>
      <c r="E38" s="41">
        <v>1</v>
      </c>
      <c r="F38" s="41">
        <v>110</v>
      </c>
      <c r="G38" s="41">
        <f t="shared" si="1"/>
        <v>110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207</v>
      </c>
      <c r="D39" s="118" t="s">
        <v>168</v>
      </c>
      <c r="E39" s="41">
        <v>1</v>
      </c>
      <c r="F39" s="41">
        <v>210</v>
      </c>
      <c r="G39" s="41">
        <f t="shared" si="1"/>
        <v>210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208</v>
      </c>
      <c r="D40" s="118" t="s">
        <v>168</v>
      </c>
      <c r="E40" s="41">
        <v>1</v>
      </c>
      <c r="F40" s="41">
        <v>35</v>
      </c>
      <c r="G40" s="41">
        <f t="shared" si="1"/>
        <v>35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209</v>
      </c>
      <c r="D41" s="118" t="s">
        <v>168</v>
      </c>
      <c r="E41" s="41">
        <v>2</v>
      </c>
      <c r="F41" s="41">
        <v>7</v>
      </c>
      <c r="G41" s="41">
        <f t="shared" si="1"/>
        <v>14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170</v>
      </c>
      <c r="D42" s="118" t="s">
        <v>168</v>
      </c>
      <c r="E42" s="41">
        <v>2</v>
      </c>
      <c r="F42" s="41">
        <v>6</v>
      </c>
      <c r="G42" s="41">
        <f t="shared" si="1"/>
        <v>12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171</v>
      </c>
      <c r="D43" s="118" t="s">
        <v>168</v>
      </c>
      <c r="E43" s="41">
        <v>2</v>
      </c>
      <c r="F43" s="41">
        <v>7</v>
      </c>
      <c r="G43" s="41">
        <f t="shared" si="1"/>
        <v>14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239</v>
      </c>
      <c r="D44" s="118" t="s">
        <v>168</v>
      </c>
      <c r="E44" s="41">
        <v>1</v>
      </c>
      <c r="F44" s="41">
        <v>8</v>
      </c>
      <c r="G44" s="41">
        <f t="shared" si="1"/>
        <v>8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40" t="s">
        <v>243</v>
      </c>
      <c r="D45" s="118" t="s">
        <v>168</v>
      </c>
      <c r="E45" s="41">
        <v>6</v>
      </c>
      <c r="F45" s="41">
        <v>22</v>
      </c>
      <c r="G45" s="41">
        <f t="shared" si="1"/>
        <v>132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212</v>
      </c>
      <c r="D46" s="118" t="s">
        <v>168</v>
      </c>
      <c r="E46" s="41">
        <v>3</v>
      </c>
      <c r="F46" s="41">
        <v>25</v>
      </c>
      <c r="G46" s="41">
        <f t="shared" si="1"/>
        <v>75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248</v>
      </c>
      <c r="D47" s="118" t="s">
        <v>168</v>
      </c>
      <c r="E47" s="41">
        <v>2</v>
      </c>
      <c r="F47" s="41">
        <v>25</v>
      </c>
      <c r="G47" s="41">
        <f t="shared" ref="G47" si="2">E47*F47</f>
        <v>50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117" t="s">
        <v>225</v>
      </c>
      <c r="D48" s="118" t="s">
        <v>168</v>
      </c>
      <c r="E48" s="41">
        <v>1</v>
      </c>
      <c r="F48" s="41">
        <v>25</v>
      </c>
      <c r="G48" s="41">
        <f t="shared" ref="G48:G53" si="3">E48*F48</f>
        <v>25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117" t="s">
        <v>216</v>
      </c>
      <c r="D49" s="118" t="s">
        <v>168</v>
      </c>
      <c r="E49" s="41">
        <v>26</v>
      </c>
      <c r="F49" s="41">
        <v>4</v>
      </c>
      <c r="G49" s="41">
        <f t="shared" si="3"/>
        <v>104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244</v>
      </c>
      <c r="D50" s="60" t="s">
        <v>168</v>
      </c>
      <c r="E50" s="41">
        <v>1</v>
      </c>
      <c r="F50" s="41">
        <v>205</v>
      </c>
      <c r="G50" s="41">
        <f t="shared" si="3"/>
        <v>205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245</v>
      </c>
      <c r="D51" s="60" t="s">
        <v>168</v>
      </c>
      <c r="E51" s="41">
        <v>1</v>
      </c>
      <c r="F51" s="41">
        <v>280</v>
      </c>
      <c r="G51" s="41">
        <f t="shared" si="3"/>
        <v>280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246</v>
      </c>
      <c r="D52" s="60" t="s">
        <v>168</v>
      </c>
      <c r="E52" s="41">
        <v>1</v>
      </c>
      <c r="F52" s="41">
        <v>410</v>
      </c>
      <c r="G52" s="41">
        <f t="shared" si="3"/>
        <v>410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247</v>
      </c>
      <c r="D53" s="60" t="s">
        <v>168</v>
      </c>
      <c r="E53" s="41">
        <v>1</v>
      </c>
      <c r="F53" s="41">
        <v>280</v>
      </c>
      <c r="G53" s="41">
        <f t="shared" si="3"/>
        <v>280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117"/>
      <c r="D54" s="118"/>
      <c r="E54" s="41"/>
      <c r="F54" s="41"/>
      <c r="G54" s="41">
        <f t="shared" ref="G54:G57" si="4">E54*F54</f>
        <v>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117"/>
      <c r="D55" s="118"/>
      <c r="E55" s="41"/>
      <c r="F55" s="41"/>
      <c r="G55" s="41">
        <f t="shared" si="4"/>
        <v>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/>
      <c r="D56" s="118"/>
      <c r="E56" s="41"/>
      <c r="F56" s="41"/>
      <c r="G56" s="41">
        <f t="shared" si="4"/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/>
      <c r="D57" s="118"/>
      <c r="E57" s="41"/>
      <c r="F57" s="41"/>
      <c r="G57" s="41">
        <f t="shared" si="4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/>
      <c r="D58" s="118"/>
      <c r="E58" s="41"/>
      <c r="F58" s="41"/>
      <c r="G58" s="41">
        <f t="shared" ref="G58" si="5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6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6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6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6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6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2999.5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