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G57" i="9" l="1"/>
  <c r="G56" i="9" l="1"/>
  <c r="G54" i="9" l="1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J25" i="2" l="1"/>
  <c r="J24" i="2"/>
  <c r="J23" i="2"/>
  <c r="J22" i="2"/>
  <c r="J21" i="2"/>
  <c r="G17" i="9" l="1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J27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<sst xmlns="http://schemas.openxmlformats.org/spreadsheetml/2006/main" count="573" uniqueCount="245">
  <si>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</si>
  <si>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</si>
  <si>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</si>
  <si>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</si>
  <si>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</si>
  <si>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</si>
  <si>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</si>
  <si>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</si>
  <si>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</si>
  <si>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</si>
  <si>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</si>
  <si>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</si>
  <si>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</si>
  <si>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</si>
  <si>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</si>
  <si>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</si>
  <si>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</si>
  <si>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</si>
  <si>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</si>
  <si>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</si>
  <si>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</si>
  <si>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</si>
  <si>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</si>
  <si>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</si>
  <si>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</si>
  <si>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</si>
  <si>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</si>
  <si>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</si>
  <si>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</si>
  <si>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</si>
  <si>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</si>
  <si>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</si>
  <si>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</si>
  <si>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</si>
  <si>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</si>
  <si>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</si>
  <si>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</si>
  <si>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</si>
  <si>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</si>
  <si>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</si>
  <si>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</si>
  <si>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</si>
  <si>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</si>
  <si>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</si>
  <si>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</si>
  <si>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</si>
  <si>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</si>
  <si>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</si>
  <si>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</si>
  <si>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</si>
  <si>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</si>
  <si>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</si>
  <si>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</si>
  <si>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</si>
  <si>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</si>
  <si>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</si>
  <si>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</si>
  <si>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</si>
  <si>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</si>
  <si>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</si>
  <si>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</si>
  <si>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</si>
  <si>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</si>
  <si>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</si>
  <si>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</si>
  <si>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</si>
  <si>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</si>
  <si>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</si>
  <si>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</si>
  <si>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</si>
  <si>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</si>
  <si>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</si>
  <si>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</si>
  <si>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</si>
  <si>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</si>
  <si>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</si>
  <si>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</si>
  <si>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</si>
  <si>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</si>
  <si>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</si>
  <si>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</si>
  <si>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</si>
  <si>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</si>
  <si>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</si>
  <si>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</si>
  <si>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</si>
  <si>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</si>
  <si>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</si>
  <si>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</si>
  <si>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</si>
  <si>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</si>
  <si>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</si>
  <si>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</si>
  <si>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</si>
  <si>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</si>
  <si>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</si>
  <si>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</si>
  <si>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</si>
  <si>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</si>
  <si>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</si>
  <si>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</si>
  <si>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</si>
  <si>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</si>
  <si>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</si>
  <si>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</si>
  <si>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</si>
  <si>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</si>
  <si>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</si>
  <si>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</si>
  <si>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</si>
  <si>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</si>
  <si>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</si>
  <si>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</si>
  <si>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</si>
  <si>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</si>
  <si>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</si>
  <si>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</si>
  <si>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</si>
  <si>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</si>
  <si>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</si>
  <si>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</si>
  <si>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</si>
  <si>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</si>
  <si>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</si>
  <si>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</si>
  <si>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</si>
  <si>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</si>
  <si>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</si>
  <si>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</si>
  <si>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</si>
  <si>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</si>
  <si>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</si>
  <si>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</si>
  <si>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</si>
  <si>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</si>
  <si>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</si>
  <si>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</si>
  <si>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</si>
  <si>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</si>
  <si>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</si>
  <si>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</si>
  <si>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</si>
  <si>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</si>
  <si>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</si>
  <si>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</si>
  <si>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</si>
  <si>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</si>
  <si>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</si>
  <si>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</si>
  <si>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</si>
  <si>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</si>
  <si>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</si>
  <si>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</si>
  <si>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</si>
  <si>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</si>
  <si>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</si>
  <si>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</si>
  <si>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</si>
  <si>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</si>
  <si>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</si>
  <si>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</si>
  <si>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</si>
  <si>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</si>
  <si>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</si>
  <si>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</si>
  <si>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</si>
  <si>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</si>
  <si>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</si>
  <si>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</si>
  <si>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</si>
  <si>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</si>
  <si>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</si>
  <si>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</si>
  <si>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</si>
  <si>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</si>
  <si>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</si>
  <si>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</si>
  <si>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</si>
  <si>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</si>
  <si>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</si>
  <si>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</si>
  <si>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</si>
  <si>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</si>
  <si>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</si>
  <si>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</si>
  <si>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</si>
  <si>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</si>
  <si>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</si>
  <si>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</si>
  <si>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</si>
  <si>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</si>
  <si>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</si>
  <si>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</si>
  <si>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</si>
  <si>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</si>
  <si>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</si>
  <si>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</si>
  <si>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</si>
  <si>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</si>
  <si>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</si>
  <si>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</si>
  <si>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</si>
  <si>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</si>
  <si>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</si>
  <si>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</si>
  <si>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</si>
  <si>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</si>
  <si>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</si>
  <si>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</si>
  <si>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</si>
  <si>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</si>
  <si>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</si>
  <si>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FEATHER SURGICAL BLADE #10</t>
  </si>
  <si>
    <t>SUCTION SET YANKUER F-24</t>
  </si>
  <si>
    <t>CHROMIC 1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</si>
  <si>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</si>
  <si>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</si>
  <si>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</si>
  <si>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</si>
  <si>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</si>
  <si>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</si>
  <si>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</si>
  <si>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</si>
  <si>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</si>
  <si>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</si>
  <si>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</si>
  <si>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</si>
  <si>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</si>
  <si>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</si>
  <si>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</si>
  <si>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</si>
  <si>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</si>
  <si>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</si>
  <si>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1LITER</t>
  </si>
  <si>
    <t>CHROMIC 2-0 DOUBLE ARM CUTTING</t>
  </si>
  <si>
    <t>BALANCED MULTIPLE MAINTENANCE SOLUTION</t>
  </si>
  <si>
    <t>TABLET,ORAL</t>
  </si>
  <si>
    <t>5MG</t>
  </si>
  <si>
    <t>DISPOSABLE RAZOR BLADE</t>
  </si>
  <si>
    <t>CORD CLAMP</t>
  </si>
  <si>
    <t>INSULIN SYRINGE</t>
  </si>
  <si>
    <t>SURGICAL COTTON 2-0</t>
  </si>
  <si>
    <t>ABDOMINAL BINDER</t>
  </si>
  <si>
    <t>3CC SYRINGE</t>
  </si>
  <si>
    <t>5CC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</si>
</sst>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topLeftCell="A60" zoomScaleNormal="100" workbookViewId="0">
      <selection activeCell="D70" sqref="D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221</v>
      </c>
      <c r="D61" s="55">
        <v>1999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222</v>
      </c>
      <c r="D62" s="55">
        <v>3725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223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224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225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226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227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228</v>
      </c>
      <c r="D69" s="55">
        <v>20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229</v>
      </c>
      <c r="D70" s="55">
        <v>800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230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231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17604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8" workbookViewId="0">
      <selection activeCell="I25" sqref="I2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2</v>
      </c>
      <c r="I11" s="55">
        <v>80</v>
      </c>
      <c r="J11" s="55">
        <f>H11*I11</f>
        <v>160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1</v>
      </c>
      <c r="I12" s="55">
        <v>23</v>
      </c>
      <c r="J12" s="55">
        <f t="shared" ref="J12:J20" si="0">H12*I12</f>
        <v>23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28</v>
      </c>
      <c r="I20" s="55">
        <v>8</v>
      </c>
      <c r="J20" s="55">
        <f t="shared" si="0"/>
        <v>224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ref="J21:J26" si="1">H21*I21</f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1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235</v>
      </c>
      <c r="D23" s="27" t="s">
        <v>173</v>
      </c>
      <c r="E23" s="27" t="s">
        <v>233</v>
      </c>
      <c r="F23" s="55">
        <v>0</v>
      </c>
      <c r="G23" s="55">
        <v>0</v>
      </c>
      <c r="H23" s="55">
        <v>3</v>
      </c>
      <c r="I23" s="55">
        <v>105</v>
      </c>
      <c r="J23" s="55">
        <f t="shared" si="1"/>
        <v>315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194</v>
      </c>
      <c r="D24" s="27" t="s">
        <v>236</v>
      </c>
      <c r="E24" s="27" t="s">
        <v>237</v>
      </c>
      <c r="F24" s="55">
        <v>0</v>
      </c>
      <c r="G24" s="55">
        <v>0</v>
      </c>
      <c r="H24" s="55">
        <v>2</v>
      </c>
      <c r="I24" s="55">
        <v>3</v>
      </c>
      <c r="J24" s="55">
        <f t="shared" si="1"/>
        <v>6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>SUM(J11:J26)</f>
        <v>1999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40" activePane="bottomLeft" state="frozen"/>
      <selection pane="bottomLeft" activeCell="B58" sqref="B58:G5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197</v>
      </c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217</v>
      </c>
      <c r="D17" s="70" t="s">
        <v>197</v>
      </c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197</v>
      </c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198</v>
      </c>
      <c r="D28" s="70" t="s">
        <v>197</v>
      </c>
      <c r="E28" s="55">
        <v>1</v>
      </c>
      <c r="F28" s="55">
        <v>32</v>
      </c>
      <c r="G28" s="55">
        <f t="shared" ref="G28:G54" si="1"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200</v>
      </c>
      <c r="D29" s="70" t="s">
        <v>197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199</v>
      </c>
      <c r="D30" s="70" t="s">
        <v>197</v>
      </c>
      <c r="E30" s="55">
        <v>1</v>
      </c>
      <c r="F30" s="55">
        <v>61</v>
      </c>
      <c r="G30" s="55">
        <f t="shared" si="1"/>
        <v>61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201</v>
      </c>
      <c r="D31" s="70" t="s">
        <v>197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197</v>
      </c>
      <c r="E32" s="55">
        <v>2</v>
      </c>
      <c r="F32" s="55">
        <v>6</v>
      </c>
      <c r="G32" s="55">
        <f t="shared" si="1"/>
        <v>12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197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197</v>
      </c>
      <c r="E34" s="55">
        <v>4</v>
      </c>
      <c r="F34" s="55">
        <v>65</v>
      </c>
      <c r="G34" s="55">
        <f t="shared" si="1"/>
        <v>260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197</v>
      </c>
      <c r="E35" s="55">
        <v>20</v>
      </c>
      <c r="F35" s="55">
        <v>4</v>
      </c>
      <c r="G35" s="55">
        <f t="shared" si="1"/>
        <v>80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197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197</v>
      </c>
      <c r="E37" s="55">
        <v>4</v>
      </c>
      <c r="F37" s="55">
        <v>45</v>
      </c>
      <c r="G37" s="55">
        <f t="shared" si="1"/>
        <v>180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197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197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197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197</v>
      </c>
      <c r="E41" s="55">
        <v>4</v>
      </c>
      <c r="F41" s="55">
        <v>7</v>
      </c>
      <c r="G41" s="55">
        <f t="shared" si="1"/>
        <v>28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239</v>
      </c>
      <c r="D42" s="70" t="s">
        <v>197</v>
      </c>
      <c r="E42" s="55">
        <v>1</v>
      </c>
      <c r="F42" s="55">
        <v>6</v>
      </c>
      <c r="G42" s="55">
        <f t="shared" si="1"/>
        <v>6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240</v>
      </c>
      <c r="D43" s="70" t="s">
        <v>197</v>
      </c>
      <c r="E43" s="55">
        <v>1</v>
      </c>
      <c r="F43" s="55">
        <v>17</v>
      </c>
      <c r="G43" s="55">
        <f t="shared" si="1"/>
        <v>17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212</v>
      </c>
      <c r="D44" s="70" t="s">
        <v>197</v>
      </c>
      <c r="E44" s="55">
        <v>1</v>
      </c>
      <c r="F44" s="55">
        <v>35</v>
      </c>
      <c r="G44" s="55">
        <f t="shared" si="1"/>
        <v>35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213</v>
      </c>
      <c r="D45" s="70" t="s">
        <v>197</v>
      </c>
      <c r="E45" s="55">
        <v>1</v>
      </c>
      <c r="F45" s="55">
        <v>210</v>
      </c>
      <c r="G45" s="55">
        <f t="shared" si="1"/>
        <v>210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214</v>
      </c>
      <c r="D46" s="70" t="s">
        <v>197</v>
      </c>
      <c r="E46" s="55">
        <v>1</v>
      </c>
      <c r="F46" s="55">
        <v>205</v>
      </c>
      <c r="G46" s="55">
        <f t="shared" si="1"/>
        <v>205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234</v>
      </c>
      <c r="D47" s="70" t="s">
        <v>197</v>
      </c>
      <c r="E47" s="55">
        <v>1</v>
      </c>
      <c r="F47" s="55">
        <v>280</v>
      </c>
      <c r="G47" s="55">
        <f t="shared" si="1"/>
        <v>280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215</v>
      </c>
      <c r="D48" s="70" t="s">
        <v>197</v>
      </c>
      <c r="E48" s="55">
        <v>1</v>
      </c>
      <c r="F48" s="55">
        <v>410</v>
      </c>
      <c r="G48" s="55">
        <f t="shared" si="1"/>
        <v>410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216</v>
      </c>
      <c r="D49" s="70" t="s">
        <v>197</v>
      </c>
      <c r="E49" s="55">
        <v>1</v>
      </c>
      <c r="F49" s="55">
        <v>280</v>
      </c>
      <c r="G49" s="55">
        <f t="shared" si="1"/>
        <v>280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218</v>
      </c>
      <c r="D50" s="70" t="s">
        <v>197</v>
      </c>
      <c r="E50" s="55">
        <v>2</v>
      </c>
      <c r="F50" s="55">
        <v>6</v>
      </c>
      <c r="G50" s="55">
        <f t="shared" si="1"/>
        <v>12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232</v>
      </c>
      <c r="D51" s="70" t="s">
        <v>197</v>
      </c>
      <c r="E51" s="55">
        <v>3</v>
      </c>
      <c r="F51" s="55">
        <v>25</v>
      </c>
      <c r="G51" s="55">
        <f t="shared" si="1"/>
        <v>75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241</v>
      </c>
      <c r="D52" s="70" t="s">
        <v>197</v>
      </c>
      <c r="E52" s="55">
        <v>1</v>
      </c>
      <c r="F52" s="55">
        <v>235</v>
      </c>
      <c r="G52" s="55">
        <f t="shared" si="1"/>
        <v>235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242</v>
      </c>
      <c r="D53" s="70" t="s">
        <v>197</v>
      </c>
      <c r="E53" s="55">
        <v>1</v>
      </c>
      <c r="F53" s="55">
        <v>510</v>
      </c>
      <c r="G53" s="55">
        <f t="shared" si="1"/>
        <v>510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238</v>
      </c>
      <c r="D54" s="70" t="s">
        <v>197</v>
      </c>
      <c r="E54" s="55">
        <v>1</v>
      </c>
      <c r="F54" s="55">
        <v>35</v>
      </c>
      <c r="G54" s="55">
        <f t="shared" si="1"/>
        <v>35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243</v>
      </c>
      <c r="D55" s="70" t="s">
        <v>197</v>
      </c>
      <c r="E55" s="55">
        <v>2</v>
      </c>
      <c r="F55" s="55">
        <v>6</v>
      </c>
      <c r="G55" s="55">
        <f t="shared" ref="G55:G56" si="2">E55*F55</f>
        <v>12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244</v>
      </c>
      <c r="D56" s="70" t="s">
        <v>197</v>
      </c>
      <c r="E56" s="55">
        <v>2</v>
      </c>
      <c r="F56" s="55">
        <v>7</v>
      </c>
      <c r="G56" s="55">
        <f t="shared" si="2"/>
        <v>14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>SUM(G28:G56)</f>
        <v>3484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29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SltemwsmwUJBIc/ISpCyBjHolmaXz0gdE2mn3LBgwblM1RqqY5K3DVNNXsydIml38X1aL0LFmRxYNY52XO8xmA==" saltValue="QmJsKUcIFX6Z5DWtJR6ndQ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8" sqref="G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219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220</v>
      </c>
      <c r="D14" s="55"/>
      <c r="E14" s="55">
        <v>60</v>
      </c>
      <c r="F14" s="55"/>
      <c r="G14" s="55">
        <v>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110</v>
      </c>
      <c r="F30" s="88">
        <f t="shared" si="1"/>
        <v>0</v>
      </c>
      <c r="G30" s="88">
        <f t="shared" si="1"/>
        <v>110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2018-06-13T02:44:18Z</dcterms:modified>
</cp:coreProperties>
</file>