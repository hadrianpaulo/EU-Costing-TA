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Supplies_Medical'!$C$15:$C$69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Drugs&amp;Med'!$B$2:$J$30</definedName>
  </definedNames>
  <calcPr calcId="162913"/>
</workbook>
</file>

<file path=xl/calcChain.xml><?xml version="1.0" encoding="utf-8"?>
<calcChain xmlns="http://schemas.openxmlformats.org/spreadsheetml/2006/main">
  <c r="G54" i="9" l="1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55" i="9"/>
  <c r="J26" i="2"/>
  <c r="J25" i="2" l="1"/>
  <c r="J24" i="2"/>
  <c r="J23" i="2"/>
  <c r="J22" i="2"/>
  <c r="J21" i="2"/>
  <c r="G56" i="9" l="1"/>
  <c r="G17" i="9"/>
  <c r="G18" i="9"/>
  <c r="G19" i="9"/>
  <c r="G20" i="9"/>
  <c r="G22" i="9"/>
  <c r="G23" i="9"/>
  <c r="G24" i="9"/>
  <c r="G25" i="9"/>
  <c r="G26" i="9"/>
  <c r="G16" i="9"/>
  <c r="J12" i="2"/>
  <c r="J13" i="2"/>
  <c r="J14" i="2"/>
  <c r="J15" i="2"/>
  <c r="J16" i="2"/>
  <c r="J17" i="2"/>
  <c r="J18" i="2"/>
  <c r="J19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J27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<sst xmlns="http://schemas.openxmlformats.org/spreadsheetml/2006/main" count="541" uniqueCount="225">
  <si>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</si>
  <si>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</si>
  <si>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</si>
  <si>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</si>
  <si>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</si>
  <si>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</si>
  <si>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</si>
  <si>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</si>
  <si>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</si>
  <si>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</si>
  <si>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</si>
  <si>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</si>
  <si>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</si>
  <si>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</si>
  <si>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</si>
  <si>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</si>
  <si>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</si>
  <si>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</si>
  <si>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</si>
  <si>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</si>
  <si>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</si>
  <si>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</si>
  <si>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</si>
  <si>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</si>
  <si>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</si>
  <si>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</si>
  <si>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</si>
  <si>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</si>
  <si>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</si>
  <si>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</si>
  <si>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</si>
  <si>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</si>
  <si>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</si>
  <si>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</si>
  <si>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</si>
  <si>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</si>
  <si>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</si>
  <si>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</si>
  <si>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</si>
  <si>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</si>
  <si>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</si>
  <si>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</si>
  <si>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</si>
  <si>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</si>
  <si>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</si>
  <si>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</si>
  <si>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</si>
  <si>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</si>
  <si>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</si>
  <si>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</si>
  <si>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</si>
  <si>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</si>
  <si>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</si>
  <si>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</si>
  <si>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</si>
  <si>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</si>
  <si>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</si>
  <si>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</si>
  <si>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</si>
  <si>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</si>
  <si>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</si>
  <si>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</si>
  <si>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</si>
  <si>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</si>
  <si>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</si>
  <si>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</si>
  <si>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</si>
  <si>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</si>
  <si>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</si>
  <si>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</si>
  <si>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</si>
  <si>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</si>
  <si>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</si>
  <si>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</si>
  <si>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</si>
  <si>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</si>
  <si>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</si>
  <si>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</si>
  <si>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</si>
  <si>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</si>
  <si>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</si>
  <si>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</si>
  <si>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</si>
  <si>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</si>
  <si>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</si>
  <si>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</si>
  <si>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</si>
  <si>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</si>
  <si>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</si>
  <si>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</si>
  <si>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</si>
  <si>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</si>
  <si>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</si>
  <si>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</si>
  <si>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</si>
  <si>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</si>
  <si>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</si>
  <si>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</si>
  <si>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</si>
  <si>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</si>
  <si>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</si>
  <si>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</si>
  <si>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</si>
  <si>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</si>
  <si>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</si>
  <si>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</si>
  <si>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</si>
  <si>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</si>
  <si>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</si>
  <si>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</si>
  <si>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</si>
  <si>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</si>
  <si>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</si>
  <si>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</si>
  <si>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</si>
  <si>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</si>
  <si>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</si>
  <si>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</si>
  <si>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</si>
  <si>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</si>
  <si>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</si>
  <si>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</si>
  <si>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</si>
  <si>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</si>
  <si>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</si>
  <si>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</si>
  <si>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</si>
  <si>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</si>
  <si>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</si>
  <si>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</si>
  <si>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</si>
  <si>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</si>
  <si>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</si>
  <si>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</si>
  <si>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</si>
  <si>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</si>
  <si>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</si>
  <si>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</si>
  <si>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</si>
  <si>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</si>
  <si>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</si>
  <si>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</si>
  <si>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</si>
  <si>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</si>
  <si>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</si>
  <si>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</si>
  <si>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</si>
  <si>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</si>
  <si>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</si>
  <si>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</si>
  <si>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</si>
  <si>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</si>
  <si>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</si>
  <si>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</si>
  <si>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</si>
  <si>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</si>
  <si>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</si>
  <si>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</si>
  <si>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</si>
  <si>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</si>
  <si>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</si>
  <si>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</si>
  <si>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</si>
  <si>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</si>
  <si>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</si>
  <si>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</si>
  <si>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</si>
  <si>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</si>
  <si>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</si>
  <si>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</si>
  <si>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</si>
  <si>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BOTTLE, IV</t>
  </si>
  <si>
    <t>AMPULE, IV</t>
  </si>
  <si>
    <t>5MG/ML</t>
  </si>
  <si>
    <t>OXYTOCIN</t>
  </si>
  <si>
    <t>10IU/ML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</si>
  <si>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</si>
  <si>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</si>
  <si>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</si>
  <si>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</si>
  <si>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</si>
  <si>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</si>
  <si>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</si>
  <si>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</si>
  <si>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</si>
  <si>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</si>
  <si>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</si>
  <si>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</si>
  <si>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</si>
  <si>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</si>
  <si>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</si>
  <si>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</si>
  <si>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</si>
  <si>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</si>
  <si>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</si>
  <si>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</si>
  <si>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</si>
  <si>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</si>
  <si>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3 CC SYRINGE</t>
  </si>
  <si>
    <t>5 CC SYRINGE</t>
  </si>
  <si>
    <t>FEATHER SURGICAL BLADE #10</t>
  </si>
  <si>
    <t>SUCTION SET YANKUER F-24</t>
  </si>
  <si>
    <t>CHROMIC 1</t>
  </si>
  <si>
    <t>VICRYL 1</t>
  </si>
  <si>
    <t>VICRYL 3-0</t>
  </si>
  <si>
    <t>POVIDONE IODINE 60ML</t>
  </si>
  <si>
    <t>DISPOSABLE CAP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</si>
  <si>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</si>
  <si>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</si>
  <si>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</si>
  <si>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</si>
  <si>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</si>
  <si>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</si>
  <si>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</si>
  <si>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</si>
  <si>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</si>
  <si>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</si>
  <si>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</si>
  <si>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</si>
  <si>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</si>
  <si>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STERILE GLOVES 7.0</t>
  </si>
  <si>
    <t>CHROMIC 2-0 DOUBLE ARM CUTTING</t>
  </si>
  <si>
    <t>METOCLOPROMIDE</t>
  </si>
  <si>
    <t xml:space="preserve">DISPOSABLE RAZOR BLADE </t>
  </si>
  <si>
    <t>ABDOMINAL BINDER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</si>
</sst>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64" fontId="2" fillId="0" borderId="0" xfId="0" applyNumberFormat="1" applyFont="1" applyProtection="1"/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59</xdr:row>
          <xdr:rowOff>28575</xdr:rowOff>
        </xdr:from>
        <xdr:to>
          <xdr:col>1</xdr:col>
          <xdr:colOff>771525</xdr:colOff>
          <xdr:row>59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59</xdr:row>
          <xdr:rowOff>28575</xdr:rowOff>
        </xdr:from>
        <xdr:to>
          <xdr:col>1</xdr:col>
          <xdr:colOff>1543050</xdr:colOff>
          <xdr:row>59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57" zoomScaleNormal="100" workbookViewId="0">
      <selection activeCell="D70" sqref="D7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9" t="s">
        <v>19</v>
      </c>
      <c r="C39" s="120"/>
      <c r="D39" s="117"/>
      <c r="E39" s="120"/>
      <c r="F39" s="118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168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9" t="s">
        <v>43</v>
      </c>
      <c r="C44" s="120"/>
      <c r="D44" s="117"/>
      <c r="E44" s="120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44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6" t="s">
        <v>52</v>
      </c>
      <c r="C46" s="117"/>
      <c r="D46" s="117"/>
      <c r="E46" s="117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6" t="s">
        <v>20</v>
      </c>
      <c r="C51" s="117"/>
      <c r="D51" s="117"/>
      <c r="E51" s="117"/>
      <c r="F51" s="118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54</v>
      </c>
      <c r="C60" s="17" t="s">
        <v>50</v>
      </c>
      <c r="D60" s="17" t="s">
        <v>55</v>
      </c>
      <c r="E60" s="18" t="s">
        <v>56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209</v>
      </c>
      <c r="D61" s="55">
        <v>498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210</v>
      </c>
      <c r="D62" s="55">
        <v>3435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211</v>
      </c>
      <c r="D63" s="55">
        <v>60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212</v>
      </c>
      <c r="D64" s="55">
        <v>780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168</v>
      </c>
      <c r="D65" s="55">
        <v>120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213</v>
      </c>
      <c r="D66" s="55">
        <v>100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214</v>
      </c>
      <c r="D67" s="55">
        <v>2200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 t="s">
        <v>215</v>
      </c>
      <c r="D68" s="55">
        <v>200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 t="s">
        <v>216</v>
      </c>
      <c r="D69" s="55">
        <v>20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 t="s">
        <v>217</v>
      </c>
      <c r="D70" s="55">
        <v>800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11</v>
      </c>
      <c r="C71" s="27" t="s">
        <v>218</v>
      </c>
      <c r="D71" s="55">
        <v>5320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12</v>
      </c>
      <c r="C72" s="27" t="s">
        <v>219</v>
      </c>
      <c r="D72" s="55">
        <v>2280</v>
      </c>
      <c r="E72" s="55">
        <v>0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13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SUM(D61:D76)</f>
        <v>15813</v>
      </c>
      <c r="E77" s="59">
        <f>SUM(E61:E76)</f>
        <v>0</v>
      </c>
      <c r="F77" s="59">
        <f>SUM(F61:F76)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algorithmName="SHA-512" hashValue="edt4WL/fgGC+NvbwJ54wJSjNNAsgQCTmgubG3AEU7vQ3qF7prKS38T9QXb7AIYm0DgJyeDaA6oBH5/XPJ9EcfA==" saltValue="JK1S84qm9gKAk6KFfxsWAA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5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0"/>
  <sheetViews>
    <sheetView topLeftCell="A8" workbookViewId="0">
      <selection activeCell="J12" sqref="J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171</v>
      </c>
      <c r="E11" s="27" t="s">
        <v>170</v>
      </c>
      <c r="F11" s="55">
        <v>0</v>
      </c>
      <c r="G11" s="55">
        <v>0</v>
      </c>
      <c r="H11" s="55">
        <v>1</v>
      </c>
      <c r="I11" s="55">
        <v>80</v>
      </c>
      <c r="J11" s="55">
        <f>H11*I11</f>
        <v>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222</v>
      </c>
      <c r="D12" s="27" t="s">
        <v>172</v>
      </c>
      <c r="E12" s="27" t="s">
        <v>173</v>
      </c>
      <c r="F12" s="55">
        <v>0</v>
      </c>
      <c r="G12" s="55">
        <v>0</v>
      </c>
      <c r="H12" s="55">
        <v>20</v>
      </c>
      <c r="I12" s="55">
        <v>23</v>
      </c>
      <c r="J12" s="55">
        <f t="shared" ref="J12:J20" si="0">H12*I12</f>
        <v>460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174</v>
      </c>
      <c r="D13" s="27" t="s">
        <v>172</v>
      </c>
      <c r="E13" s="27" t="s">
        <v>175</v>
      </c>
      <c r="F13" s="55">
        <v>0</v>
      </c>
      <c r="G13" s="55">
        <v>0</v>
      </c>
      <c r="H13" s="55">
        <v>2</v>
      </c>
      <c r="I13" s="55">
        <v>40</v>
      </c>
      <c r="J13" s="55">
        <f t="shared" si="0"/>
        <v>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177</v>
      </c>
      <c r="E14" s="27" t="s">
        <v>178</v>
      </c>
      <c r="F14" s="55">
        <v>0</v>
      </c>
      <c r="G14" s="55">
        <v>0</v>
      </c>
      <c r="H14" s="55">
        <v>21</v>
      </c>
      <c r="I14" s="55">
        <v>8</v>
      </c>
      <c r="J14" s="55">
        <f t="shared" si="0"/>
        <v>168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179</v>
      </c>
      <c r="D15" s="27" t="s">
        <v>177</v>
      </c>
      <c r="E15" s="27" t="s">
        <v>178</v>
      </c>
      <c r="F15" s="55">
        <v>0</v>
      </c>
      <c r="G15" s="55">
        <v>0</v>
      </c>
      <c r="H15" s="55">
        <v>9</v>
      </c>
      <c r="I15" s="55">
        <v>4</v>
      </c>
      <c r="J15" s="55">
        <f t="shared" si="0"/>
        <v>36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180</v>
      </c>
      <c r="D16" s="27" t="s">
        <v>181</v>
      </c>
      <c r="E16" s="27" t="s">
        <v>182</v>
      </c>
      <c r="F16" s="55">
        <v>0</v>
      </c>
      <c r="G16" s="55">
        <v>0</v>
      </c>
      <c r="H16" s="55">
        <v>1</v>
      </c>
      <c r="I16" s="55">
        <v>55</v>
      </c>
      <c r="J16" s="55">
        <f t="shared" si="0"/>
        <v>55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ref="J21:J26" si="1">H21*I21</f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1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1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1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1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1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>SUM(J11:J26)</f>
        <v>879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25">
      <c r="A30" s="33"/>
      <c r="B30" s="34"/>
      <c r="C30" s="34"/>
      <c r="D30" s="34"/>
      <c r="E30" s="34"/>
      <c r="F30" s="34"/>
      <c r="G30" s="34"/>
      <c r="H30" s="34"/>
      <c r="I30" s="34"/>
      <c r="J30" s="115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jWmViDikzTqpz7oQOgW9cCB0XP8CrV3qsYoqfyETdEWBJVFLGl/Ew68CRM+eHsfhS4tWSLmKkMNwCw7OjFRWA==" saltValue="rDp3WIpnLPijzZ9zyJStw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3"/>
  <sheetViews>
    <sheetView workbookViewId="0">
      <pane ySplit="1" topLeftCell="A2" activePane="bottomLeft" state="frozen"/>
      <selection pane="bottomLeft" activeCell="E58" sqref="E5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31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205</v>
      </c>
      <c r="D16" s="70" t="s">
        <v>183</v>
      </c>
      <c r="E16" s="55">
        <v>1</v>
      </c>
      <c r="F16" s="55">
        <v>116</v>
      </c>
      <c r="G16" s="55">
        <f>E16*F16</f>
        <v>116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189</v>
      </c>
      <c r="D17" s="70" t="s">
        <v>183</v>
      </c>
      <c r="E17" s="55">
        <v>10</v>
      </c>
      <c r="F17" s="55">
        <v>3</v>
      </c>
      <c r="G17" s="55">
        <f t="shared" ref="G17:G26" si="0">E17*F17</f>
        <v>30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 t="shared" si="0"/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184</v>
      </c>
      <c r="D28" s="70" t="s">
        <v>183</v>
      </c>
      <c r="E28" s="55">
        <v>1</v>
      </c>
      <c r="F28" s="55">
        <v>32</v>
      </c>
      <c r="G28" s="55">
        <f t="shared" ref="G28:G54" si="1">E28*F28</f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186</v>
      </c>
      <c r="D29" s="70" t="s">
        <v>183</v>
      </c>
      <c r="E29" s="55">
        <v>1</v>
      </c>
      <c r="F29" s="55">
        <v>85</v>
      </c>
      <c r="G29" s="55">
        <f t="shared" si="1"/>
        <v>85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185</v>
      </c>
      <c r="D30" s="70" t="s">
        <v>183</v>
      </c>
      <c r="E30" s="55">
        <v>1</v>
      </c>
      <c r="F30" s="55">
        <v>61</v>
      </c>
      <c r="G30" s="55">
        <f t="shared" si="1"/>
        <v>61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187</v>
      </c>
      <c r="D31" s="70" t="s">
        <v>183</v>
      </c>
      <c r="E31" s="55">
        <v>1</v>
      </c>
      <c r="F31" s="55">
        <v>65</v>
      </c>
      <c r="G31" s="55">
        <f t="shared" si="1"/>
        <v>65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188</v>
      </c>
      <c r="D32" s="70" t="s">
        <v>183</v>
      </c>
      <c r="E32" s="55">
        <v>4</v>
      </c>
      <c r="F32" s="55">
        <v>6</v>
      </c>
      <c r="G32" s="55">
        <f t="shared" si="1"/>
        <v>24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189</v>
      </c>
      <c r="D33" s="70" t="s">
        <v>183</v>
      </c>
      <c r="E33" s="55">
        <v>40</v>
      </c>
      <c r="F33" s="55">
        <v>3</v>
      </c>
      <c r="G33" s="55">
        <f t="shared" si="1"/>
        <v>120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190</v>
      </c>
      <c r="D34" s="70" t="s">
        <v>183</v>
      </c>
      <c r="E34" s="55">
        <v>5</v>
      </c>
      <c r="F34" s="55">
        <v>65</v>
      </c>
      <c r="G34" s="55">
        <f t="shared" si="1"/>
        <v>325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191</v>
      </c>
      <c r="D35" s="70" t="s">
        <v>183</v>
      </c>
      <c r="E35" s="55">
        <v>20</v>
      </c>
      <c r="F35" s="55">
        <v>4</v>
      </c>
      <c r="G35" s="55">
        <f t="shared" si="1"/>
        <v>80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192</v>
      </c>
      <c r="D36" s="70" t="s">
        <v>183</v>
      </c>
      <c r="E36" s="55">
        <v>1</v>
      </c>
      <c r="F36" s="55">
        <v>40</v>
      </c>
      <c r="G36" s="55">
        <f t="shared" si="1"/>
        <v>40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193</v>
      </c>
      <c r="D37" s="70" t="s">
        <v>183</v>
      </c>
      <c r="E37" s="55">
        <v>4</v>
      </c>
      <c r="F37" s="55">
        <v>45</v>
      </c>
      <c r="G37" s="55">
        <f t="shared" si="1"/>
        <v>180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194</v>
      </c>
      <c r="D38" s="70" t="s">
        <v>183</v>
      </c>
      <c r="E38" s="55">
        <v>1</v>
      </c>
      <c r="F38" s="55">
        <v>25</v>
      </c>
      <c r="G38" s="55">
        <f t="shared" si="1"/>
        <v>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195</v>
      </c>
      <c r="D39" s="70" t="s">
        <v>183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196</v>
      </c>
      <c r="D40" s="70" t="s">
        <v>183</v>
      </c>
      <c r="E40" s="55">
        <v>2</v>
      </c>
      <c r="F40" s="55">
        <v>25</v>
      </c>
      <c r="G40" s="55">
        <f t="shared" si="1"/>
        <v>50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197</v>
      </c>
      <c r="D41" s="70" t="s">
        <v>183</v>
      </c>
      <c r="E41" s="55">
        <v>2</v>
      </c>
      <c r="F41" s="55">
        <v>7</v>
      </c>
      <c r="G41" s="55">
        <f t="shared" si="1"/>
        <v>14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198</v>
      </c>
      <c r="D42" s="70" t="s">
        <v>183</v>
      </c>
      <c r="E42" s="55">
        <v>2</v>
      </c>
      <c r="F42" s="55">
        <v>6</v>
      </c>
      <c r="G42" s="55">
        <f t="shared" si="1"/>
        <v>12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199</v>
      </c>
      <c r="D43" s="70" t="s">
        <v>183</v>
      </c>
      <c r="E43" s="55">
        <v>2</v>
      </c>
      <c r="F43" s="55">
        <v>7</v>
      </c>
      <c r="G43" s="55">
        <f t="shared" si="1"/>
        <v>14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200</v>
      </c>
      <c r="D44" s="70" t="s">
        <v>183</v>
      </c>
      <c r="E44" s="55">
        <v>1</v>
      </c>
      <c r="F44" s="55">
        <v>35</v>
      </c>
      <c r="G44" s="55">
        <f t="shared" si="1"/>
        <v>35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201</v>
      </c>
      <c r="D45" s="70" t="s">
        <v>183</v>
      </c>
      <c r="E45" s="55">
        <v>1</v>
      </c>
      <c r="F45" s="55">
        <v>210</v>
      </c>
      <c r="G45" s="55">
        <f t="shared" si="1"/>
        <v>210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202</v>
      </c>
      <c r="D46" s="70" t="s">
        <v>183</v>
      </c>
      <c r="E46" s="55">
        <v>1</v>
      </c>
      <c r="F46" s="55">
        <v>205</v>
      </c>
      <c r="G46" s="55">
        <f t="shared" si="1"/>
        <v>205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221</v>
      </c>
      <c r="D47" s="70" t="s">
        <v>183</v>
      </c>
      <c r="E47" s="55">
        <v>1</v>
      </c>
      <c r="F47" s="55">
        <v>280</v>
      </c>
      <c r="G47" s="55">
        <f t="shared" si="1"/>
        <v>280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203</v>
      </c>
      <c r="D48" s="70" t="s">
        <v>183</v>
      </c>
      <c r="E48" s="55">
        <v>1</v>
      </c>
      <c r="F48" s="55">
        <v>410</v>
      </c>
      <c r="G48" s="55">
        <f t="shared" si="1"/>
        <v>410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204</v>
      </c>
      <c r="D49" s="70" t="s">
        <v>183</v>
      </c>
      <c r="E49" s="55">
        <v>1</v>
      </c>
      <c r="F49" s="55">
        <v>280</v>
      </c>
      <c r="G49" s="55">
        <f t="shared" si="1"/>
        <v>280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206</v>
      </c>
      <c r="D50" s="70" t="s">
        <v>183</v>
      </c>
      <c r="E50" s="55">
        <v>2</v>
      </c>
      <c r="F50" s="55">
        <v>6</v>
      </c>
      <c r="G50" s="55">
        <f t="shared" si="1"/>
        <v>12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220</v>
      </c>
      <c r="D51" s="70" t="s">
        <v>183</v>
      </c>
      <c r="E51" s="55">
        <v>3</v>
      </c>
      <c r="F51" s="55">
        <v>25</v>
      </c>
      <c r="G51" s="55">
        <f t="shared" si="1"/>
        <v>75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224</v>
      </c>
      <c r="D52" s="70" t="s">
        <v>183</v>
      </c>
      <c r="E52" s="55">
        <v>1</v>
      </c>
      <c r="F52" s="55">
        <v>510</v>
      </c>
      <c r="G52" s="55">
        <f t="shared" si="1"/>
        <v>510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223</v>
      </c>
      <c r="D53" s="70" t="s">
        <v>183</v>
      </c>
      <c r="E53" s="55">
        <v>1</v>
      </c>
      <c r="F53" s="55">
        <v>35</v>
      </c>
      <c r="G53" s="55">
        <f t="shared" si="1"/>
        <v>35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/>
      <c r="D54" s="70"/>
      <c r="E54" s="55"/>
      <c r="F54" s="55"/>
      <c r="G54" s="55">
        <f t="shared" si="1"/>
        <v>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>
        <f t="shared" ref="G29:G55" si="2">E55*F55</f>
        <v>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>SUM(G28:G55)</f>
        <v>3289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31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137" t="s">
        <v>29</v>
      </c>
      <c r="C59" s="138"/>
      <c r="D59" s="138"/>
      <c r="E59" s="138"/>
      <c r="F59" s="138"/>
      <c r="G59" s="139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1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2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3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4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5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6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7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8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9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B69" s="68">
        <v>10</v>
      </c>
      <c r="C69" s="69"/>
      <c r="D69" s="70"/>
      <c r="E69" s="55"/>
      <c r="F69" s="55"/>
      <c r="G69" s="55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4.25" customHeight="1" x14ac:dyDescent="0.3">
      <c r="A71" s="44"/>
      <c r="B71" s="39"/>
      <c r="C71" s="44"/>
      <c r="D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</sheetData>
  <sheetProtection algorithmName="SHA-512" hashValue="9eBt2/s4Qc/PSZnkKGSJJ2py8pBHJJtU25PwQ9WvtOzPIDbTLNjRp6va2TRoqBNAxXhoAiJOu5xXtWYCF/6Zcw==" saltValue="vyFJ2bSgxNsEOm8TYzdw8Q==" spinCount="100000" sheet="1" objects="1" scenarios="1" formatColumns="0" formatRows="0" sort="0" autoFilter="0"/>
  <mergeCells count="9">
    <mergeCell ref="B7:G7"/>
    <mergeCell ref="B27:G27"/>
    <mergeCell ref="B59:G5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59</xdr:row>
                    <xdr:rowOff>28575</xdr:rowOff>
                  </from>
                  <to>
                    <xdr:col>1</xdr:col>
                    <xdr:colOff>771525</xdr:colOff>
                    <xdr:row>59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59</xdr:row>
                    <xdr:rowOff>28575</xdr:rowOff>
                  </from>
                  <to>
                    <xdr:col>1</xdr:col>
                    <xdr:colOff>1543050</xdr:colOff>
                    <xdr:row>59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11" workbookViewId="0">
      <selection activeCell="G15" sqref="G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207</v>
      </c>
      <c r="D13" s="55"/>
      <c r="E13" s="55">
        <v>40</v>
      </c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208</v>
      </c>
      <c r="D14" s="55"/>
      <c r="E14" s="55">
        <v>35</v>
      </c>
      <c r="F14" s="55"/>
      <c r="G14" s="55">
        <v>35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70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75</v>
      </c>
      <c r="F30" s="88">
        <f t="shared" si="1"/>
        <v>0</v>
      </c>
      <c r="G30" s="88">
        <f t="shared" si="1"/>
        <v>75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2018-06-13T00:58:22Z</dcterms:modified>
</cp:coreProperties>
</file>