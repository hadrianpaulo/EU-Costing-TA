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56" i="9" l="1"/>
  <c r="G54" i="9" l="1"/>
  <c r="G53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G57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2" i="2"/>
  <c r="J13" i="2"/>
  <c r="J14" i="2"/>
  <c r="J15" i="2"/>
  <c r="J16" i="2"/>
  <c r="J17" i="2"/>
  <c r="J18" i="2"/>
  <c r="J19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J27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<sst xmlns="http://schemas.openxmlformats.org/spreadsheetml/2006/main" count="564" uniqueCount="240">
  <si>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</si>
  <si>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</si>
  <si>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</si>
  <si>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</si>
  <si>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</si>
  <si>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</si>
  <si>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</si>
  <si>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</si>
  <si>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</si>
  <si>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</si>
  <si>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</si>
  <si>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</si>
  <si>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</si>
  <si>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</si>
  <si>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</si>
  <si>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</si>
  <si>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</si>
  <si>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</si>
  <si>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</si>
  <si>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</si>
  <si>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</si>
  <si>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</si>
  <si>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</si>
  <si>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</si>
  <si>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</si>
  <si>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</si>
  <si>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</si>
  <si>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</si>
  <si>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</si>
  <si>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</si>
  <si>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</si>
  <si>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</si>
  <si>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</si>
  <si>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</si>
  <si>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</si>
  <si>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</si>
  <si>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</si>
  <si>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</si>
  <si>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</si>
  <si>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</si>
  <si>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</si>
  <si>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</si>
  <si>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</si>
  <si>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</si>
  <si>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</si>
  <si>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</si>
  <si>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</si>
  <si>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</si>
  <si>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</si>
  <si>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</si>
  <si>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</si>
  <si>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</si>
  <si>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</si>
  <si>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</si>
  <si>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</si>
  <si>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</si>
  <si>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</si>
  <si>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</si>
  <si>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</si>
  <si>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</si>
  <si>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</si>
  <si>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</si>
  <si>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</si>
  <si>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</si>
  <si>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</si>
  <si>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</si>
  <si>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</si>
  <si>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</si>
  <si>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</si>
  <si>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</si>
  <si>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</si>
  <si>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</si>
  <si>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</si>
  <si>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</si>
  <si>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</si>
  <si>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</si>
  <si>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</si>
  <si>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</si>
  <si>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</si>
  <si>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</si>
  <si>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</si>
  <si>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</si>
  <si>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</si>
  <si>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</si>
  <si>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</si>
  <si>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</si>
  <si>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</si>
  <si>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</si>
  <si>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</si>
  <si>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</si>
  <si>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</si>
  <si>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</si>
  <si>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</si>
  <si>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</si>
  <si>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</si>
  <si>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</si>
  <si>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</si>
  <si>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</si>
  <si>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</si>
  <si>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</si>
  <si>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</si>
  <si>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</si>
  <si>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</si>
  <si>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</si>
  <si>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</si>
  <si>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</si>
  <si>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</si>
  <si>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</si>
  <si>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</si>
  <si>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</si>
  <si>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</si>
  <si>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</si>
  <si>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</si>
  <si>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</si>
  <si>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</si>
  <si>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</si>
  <si>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</si>
  <si>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</si>
  <si>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</si>
  <si>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</si>
  <si>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</si>
  <si>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</si>
  <si>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</si>
  <si>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</si>
  <si>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</si>
  <si>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</si>
  <si>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</si>
  <si>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</si>
  <si>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</si>
  <si>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</si>
  <si>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</si>
  <si>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</si>
  <si>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</si>
  <si>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</si>
  <si>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</si>
  <si>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</si>
  <si>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</si>
  <si>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</si>
  <si>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</si>
  <si>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</si>
  <si>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</si>
  <si>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</si>
  <si>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</si>
  <si>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</si>
  <si>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</si>
  <si>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</si>
  <si>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</si>
  <si>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</si>
  <si>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</si>
  <si>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</si>
  <si>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</si>
  <si>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</si>
  <si>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</si>
  <si>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</si>
  <si>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</si>
  <si>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</si>
  <si>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</si>
  <si>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</si>
  <si>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</si>
  <si>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</si>
  <si>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</si>
  <si>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</si>
  <si>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</si>
  <si>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</si>
  <si>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</si>
  <si>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</si>
  <si>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</si>
  <si>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</si>
  <si>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</si>
  <si>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</si>
  <si>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</si>
  <si>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AMPICILLIN</t>
  </si>
  <si>
    <t>500 MG</t>
  </si>
  <si>
    <t>BOTTLE, IV</t>
  </si>
  <si>
    <t>POWDER,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</si>
  <si>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</si>
  <si>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</si>
  <si>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</si>
  <si>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</si>
  <si>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</si>
  <si>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</si>
  <si>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</si>
  <si>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</si>
  <si>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</si>
  <si>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</si>
  <si>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</si>
  <si>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</si>
  <si>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</si>
  <si>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</si>
  <si>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>DIAZEPAM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</si>
  <si>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</si>
  <si>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</si>
  <si>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</si>
  <si>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</si>
  <si>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</si>
  <si>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</si>
  <si>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</si>
  <si>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</si>
  <si>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</si>
  <si>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</si>
  <si>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</si>
  <si>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</si>
  <si>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</si>
  <si>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</si>
  <si>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</si>
  <si>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</si>
  <si>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</si>
  <si>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</si>
  <si>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</si>
  <si>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</si>
  <si>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</si>
  <si>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</si>
  <si>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</si>
  <si>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</si>
  <si>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</si>
  <si>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</si>
  <si>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</si>
  <si>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POVIDONE IODINE 60ML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</si>
  <si>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</si>
  <si>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</si>
  <si>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</si>
  <si>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</si>
  <si>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</si>
  <si>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</si>
  <si>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</si>
  <si>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</si>
  <si>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</si>
  <si>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</si>
  <si>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</si>
  <si>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</si>
  <si>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</si>
  <si>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</si>
  <si>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</si>
  <si>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</si>
  <si>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DISPOSABLE RAZOR BLADE</t>
  </si>
  <si>
    <t>ABDOMINAL BINDER</t>
  </si>
  <si>
    <t>3CC SYRINGE</t>
  </si>
  <si>
    <t>5CC SYRINGE</t>
  </si>
  <si>
    <t>STERILE WATER</t>
  </si>
  <si>
    <t>10ML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</si>
</sst>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60" zoomScaleNormal="100" workbookViewId="0">
      <selection activeCell="D71" sqref="D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221</v>
      </c>
      <c r="D61" s="55">
        <v>1931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222</v>
      </c>
      <c r="D62" s="55">
        <v>3895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223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224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225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226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227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228</v>
      </c>
      <c r="D69" s="55">
        <v>30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229</v>
      </c>
      <c r="D70" s="55">
        <v>1200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230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231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18116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5" workbookViewId="0">
      <selection activeCell="H19" sqref="H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173</v>
      </c>
      <c r="E11" s="27" t="s">
        <v>170</v>
      </c>
      <c r="F11" s="55">
        <v>0</v>
      </c>
      <c r="G11" s="55">
        <v>0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174</v>
      </c>
      <c r="E12" s="27" t="s">
        <v>172</v>
      </c>
      <c r="F12" s="55">
        <v>0</v>
      </c>
      <c r="G12" s="55">
        <v>0</v>
      </c>
      <c r="H12" s="55">
        <v>4</v>
      </c>
      <c r="I12" s="55">
        <v>23</v>
      </c>
      <c r="J12" s="55">
        <f t="shared" ref="J12:J20" si="0">H12*I12</f>
        <v>92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177</v>
      </c>
      <c r="E13" s="27" t="s">
        <v>178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175</v>
      </c>
      <c r="E14" s="27" t="s">
        <v>180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182</v>
      </c>
      <c r="D15" s="27" t="s">
        <v>177</v>
      </c>
      <c r="E15" s="27" t="s">
        <v>183</v>
      </c>
      <c r="F15" s="55">
        <v>0</v>
      </c>
      <c r="G15" s="55">
        <v>0</v>
      </c>
      <c r="H15" s="55">
        <v>1</v>
      </c>
      <c r="I15" s="55">
        <v>40</v>
      </c>
      <c r="J15" s="55">
        <f t="shared" si="0"/>
        <v>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185</v>
      </c>
      <c r="F16" s="55">
        <v>0</v>
      </c>
      <c r="G16" s="55">
        <v>0</v>
      </c>
      <c r="H16" s="55">
        <v>1</v>
      </c>
      <c r="I16" s="55">
        <v>50</v>
      </c>
      <c r="J16" s="55">
        <f t="shared" si="0"/>
        <v>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177</v>
      </c>
      <c r="E17" s="27" t="s">
        <v>187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177</v>
      </c>
      <c r="E18" s="27" t="s">
        <v>181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177</v>
      </c>
      <c r="E19" s="27" t="s">
        <v>180</v>
      </c>
      <c r="F19" s="55">
        <v>0</v>
      </c>
      <c r="G19" s="55">
        <v>0</v>
      </c>
      <c r="H19" s="55">
        <v>1</v>
      </c>
      <c r="I19" s="55">
        <v>135</v>
      </c>
      <c r="J19" s="55">
        <f t="shared" si="0"/>
        <v>135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21</v>
      </c>
      <c r="I20" s="55">
        <v>8</v>
      </c>
      <c r="J20" s="55">
        <f t="shared" si="0"/>
        <v>168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193</v>
      </c>
      <c r="D21" s="27" t="s">
        <v>191</v>
      </c>
      <c r="E21" s="27" t="s">
        <v>192</v>
      </c>
      <c r="F21" s="55">
        <v>0</v>
      </c>
      <c r="G21" s="55">
        <v>0</v>
      </c>
      <c r="H21" s="55">
        <v>9</v>
      </c>
      <c r="I21" s="55">
        <v>4</v>
      </c>
      <c r="J21" s="55">
        <f t="shared" ref="J21:J26" si="1">H21*I21</f>
        <v>36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194</v>
      </c>
      <c r="D22" s="27" t="s">
        <v>195</v>
      </c>
      <c r="E22" s="27" t="s">
        <v>196</v>
      </c>
      <c r="F22" s="55">
        <v>0</v>
      </c>
      <c r="G22" s="55">
        <v>0</v>
      </c>
      <c r="H22" s="55">
        <v>2</v>
      </c>
      <c r="I22" s="55">
        <v>55</v>
      </c>
      <c r="J22" s="55">
        <f t="shared" si="1"/>
        <v>110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238</v>
      </c>
      <c r="D23" s="27" t="s">
        <v>175</v>
      </c>
      <c r="E23" s="27" t="s">
        <v>239</v>
      </c>
      <c r="F23" s="55">
        <v>0</v>
      </c>
      <c r="G23" s="55">
        <v>0</v>
      </c>
      <c r="H23" s="55">
        <v>1</v>
      </c>
      <c r="I23" s="55">
        <v>40</v>
      </c>
      <c r="J23" s="55">
        <f t="shared" si="1"/>
        <v>40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>SUM(J11:J26)</f>
        <v>1931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workbookViewId="0">
      <pane ySplit="1" topLeftCell="A10" activePane="bottomLeft" state="frozen"/>
      <selection pane="bottomLeft"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201</v>
      </c>
      <c r="D16" s="70" t="s">
        <v>197</v>
      </c>
      <c r="E16" s="55">
        <v>1</v>
      </c>
      <c r="F16" s="55">
        <v>65</v>
      </c>
      <c r="G16" s="55">
        <f>E16*F16</f>
        <v>65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217</v>
      </c>
      <c r="D17" s="70" t="s">
        <v>197</v>
      </c>
      <c r="E17" s="55">
        <v>1</v>
      </c>
      <c r="F17" s="55">
        <v>116</v>
      </c>
      <c r="G17" s="55">
        <f t="shared" ref="G17:G26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203</v>
      </c>
      <c r="D18" s="70" t="s">
        <v>197</v>
      </c>
      <c r="E18" s="55">
        <v>20</v>
      </c>
      <c r="F18" s="55">
        <v>3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235</v>
      </c>
      <c r="D19" s="70" t="s">
        <v>197</v>
      </c>
      <c r="E19" s="55">
        <v>1</v>
      </c>
      <c r="F19" s="55">
        <v>510</v>
      </c>
      <c r="G19" s="55">
        <f t="shared" si="0"/>
        <v>510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198</v>
      </c>
      <c r="D28" s="70" t="s">
        <v>197</v>
      </c>
      <c r="E28" s="55">
        <v>2</v>
      </c>
      <c r="F28" s="55">
        <v>32</v>
      </c>
      <c r="G28" s="55">
        <f t="shared" ref="G28:G54" si="1"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200</v>
      </c>
      <c r="D29" s="70" t="s">
        <v>197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199</v>
      </c>
      <c r="D30" s="70" t="s">
        <v>197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201</v>
      </c>
      <c r="D31" s="70" t="s">
        <v>197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202</v>
      </c>
      <c r="D32" s="70" t="s">
        <v>197</v>
      </c>
      <c r="E32" s="55">
        <v>2</v>
      </c>
      <c r="F32" s="55">
        <v>6</v>
      </c>
      <c r="G32" s="55">
        <f t="shared" si="1"/>
        <v>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203</v>
      </c>
      <c r="D33" s="70" t="s">
        <v>197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204</v>
      </c>
      <c r="D34" s="70" t="s">
        <v>197</v>
      </c>
      <c r="E34" s="55">
        <v>5</v>
      </c>
      <c r="F34" s="55">
        <v>65</v>
      </c>
      <c r="G34" s="55">
        <f t="shared" si="1"/>
        <v>325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205</v>
      </c>
      <c r="D35" s="70" t="s">
        <v>197</v>
      </c>
      <c r="E35" s="55">
        <v>25</v>
      </c>
      <c r="F35" s="55">
        <v>4</v>
      </c>
      <c r="G35" s="55">
        <f t="shared" si="1"/>
        <v>100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206</v>
      </c>
      <c r="D36" s="70" t="s">
        <v>197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207</v>
      </c>
      <c r="D37" s="70" t="s">
        <v>197</v>
      </c>
      <c r="E37" s="55">
        <v>5</v>
      </c>
      <c r="F37" s="55">
        <v>45</v>
      </c>
      <c r="G37" s="55">
        <f t="shared" si="1"/>
        <v>225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208</v>
      </c>
      <c r="D38" s="70" t="s">
        <v>197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209</v>
      </c>
      <c r="D39" s="70" t="s">
        <v>197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210</v>
      </c>
      <c r="D40" s="70" t="s">
        <v>197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211</v>
      </c>
      <c r="D41" s="70" t="s">
        <v>197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212</v>
      </c>
      <c r="D42" s="70" t="s">
        <v>197</v>
      </c>
      <c r="E42" s="55">
        <v>1</v>
      </c>
      <c r="F42" s="55">
        <v>35</v>
      </c>
      <c r="G42" s="55">
        <f t="shared" ref="G42:G52" si="2">E42*F42</f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213</v>
      </c>
      <c r="D43" s="70" t="s">
        <v>197</v>
      </c>
      <c r="E43" s="55">
        <v>1</v>
      </c>
      <c r="F43" s="55">
        <v>210</v>
      </c>
      <c r="G43" s="55">
        <f t="shared" si="2"/>
        <v>210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214</v>
      </c>
      <c r="D44" s="70" t="s">
        <v>197</v>
      </c>
      <c r="E44" s="55">
        <v>1</v>
      </c>
      <c r="F44" s="55">
        <v>205</v>
      </c>
      <c r="G44" s="55">
        <f t="shared" si="2"/>
        <v>205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233</v>
      </c>
      <c r="D45" s="70" t="s">
        <v>197</v>
      </c>
      <c r="E45" s="55">
        <v>1</v>
      </c>
      <c r="F45" s="55">
        <v>280</v>
      </c>
      <c r="G45" s="55">
        <f t="shared" si="2"/>
        <v>280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215</v>
      </c>
      <c r="D46" s="70" t="s">
        <v>197</v>
      </c>
      <c r="E46" s="55">
        <v>1</v>
      </c>
      <c r="F46" s="55">
        <v>410</v>
      </c>
      <c r="G46" s="55">
        <f t="shared" si="2"/>
        <v>410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216</v>
      </c>
      <c r="D47" s="70" t="s">
        <v>197</v>
      </c>
      <c r="E47" s="55">
        <v>2</v>
      </c>
      <c r="F47" s="55">
        <v>280</v>
      </c>
      <c r="G47" s="55">
        <f t="shared" si="2"/>
        <v>560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218</v>
      </c>
      <c r="D48" s="70" t="s">
        <v>197</v>
      </c>
      <c r="E48" s="55">
        <v>2</v>
      </c>
      <c r="F48" s="55">
        <v>6</v>
      </c>
      <c r="G48" s="55">
        <f t="shared" si="2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232</v>
      </c>
      <c r="D49" s="70" t="s">
        <v>197</v>
      </c>
      <c r="E49" s="55">
        <v>3</v>
      </c>
      <c r="F49" s="55">
        <v>25</v>
      </c>
      <c r="G49" s="55">
        <f t="shared" si="2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234</v>
      </c>
      <c r="D50" s="70" t="s">
        <v>197</v>
      </c>
      <c r="E50" s="55">
        <v>1</v>
      </c>
      <c r="F50" s="55">
        <v>35</v>
      </c>
      <c r="G50" s="55">
        <f t="shared" si="2"/>
        <v>35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236</v>
      </c>
      <c r="D51" s="70" t="s">
        <v>197</v>
      </c>
      <c r="E51" s="55">
        <v>2</v>
      </c>
      <c r="F51" s="55">
        <v>6</v>
      </c>
      <c r="G51" s="55">
        <f t="shared" si="2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237</v>
      </c>
      <c r="D52" s="70" t="s">
        <v>197</v>
      </c>
      <c r="E52" s="55">
        <v>2</v>
      </c>
      <c r="F52" s="55">
        <v>7</v>
      </c>
      <c r="G52" s="55">
        <f t="shared" si="2"/>
        <v>14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/>
      <c r="D53" s="70"/>
      <c r="E53" s="55"/>
      <c r="F53" s="55"/>
      <c r="G53" s="55">
        <f t="shared" si="1"/>
        <v>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55:G56" si="3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3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3144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9" sqref="G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219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220</v>
      </c>
      <c r="D14" s="55"/>
      <c r="E14" s="55">
        <v>65</v>
      </c>
      <c r="F14" s="55"/>
      <c r="G14" s="55">
        <v>65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130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115</v>
      </c>
      <c r="F30" s="88">
        <f t="shared" si="1"/>
        <v>0</v>
      </c>
      <c r="G30" s="88">
        <f t="shared" si="1"/>
        <v>115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2018-06-13T02:58:55Z</dcterms:modified>
</cp:coreProperties>
</file>