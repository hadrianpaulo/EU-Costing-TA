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345" windowHeight="4575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Drugs&amp;Med'!$C$11:$C$23</definedName>
    <definedName name="_xlnm.Print_Area" localSheetId="0">'1.1 Case data_general'!$B$1:$F$77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G57" i="9" l="1"/>
  <c r="G54" i="9" l="1"/>
  <c r="G53" i="9"/>
  <c r="G52" i="9"/>
  <c r="G51" i="9"/>
  <c r="G50" i="9"/>
  <c r="G49" i="9"/>
  <c r="G48" i="9"/>
  <c r="G47" i="9"/>
  <c r="G46" i="9"/>
  <c r="G29" i="9" l="1"/>
  <c r="J23" i="2"/>
  <c r="J24" i="2" l="1"/>
  <c r="J22" i="2"/>
  <c r="J21" i="2"/>
  <c r="G45" i="9" l="1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56" i="9" l="1"/>
  <c r="J20" i="2"/>
  <c r="J25" i="2" l="1"/>
  <c r="J19" i="2"/>
  <c r="J18" i="2"/>
  <c r="J17" i="2"/>
  <c r="J16" i="2"/>
  <c r="J15" i="2"/>
  <c r="J14" i="2"/>
  <c r="J13" i="2"/>
  <c r="G28" i="9" l="1"/>
  <c r="J28" i="2" l="1"/>
  <c r="G55" i="9" l="1"/>
  <c r="G58" i="9" l="1"/>
  <c r="G59" i="9" l="1"/>
  <c r="G60" i="9"/>
  <c r="G61" i="9"/>
  <c r="G62" i="9"/>
  <c r="G63" i="9"/>
  <c r="J27" i="2"/>
  <c r="J26" i="2"/>
  <c r="G27" i="9" l="1"/>
  <c r="G64" i="9" l="1"/>
  <c r="G16" i="9"/>
  <c r="G17" i="9"/>
  <c r="G18" i="9"/>
  <c r="G19" i="9"/>
  <c r="G20" i="9"/>
  <c r="G21" i="9"/>
  <c r="G22" i="9"/>
  <c r="G23" i="9"/>
  <c r="G24" i="9"/>
  <c r="G25" i="9"/>
  <c r="J12" i="2"/>
  <c r="E4" i="11" a="1"/>
  <c r="E4" i="11" s="1"/>
  <c r="E3" i="11" a="1"/>
  <c r="E3" i="11" s="1"/>
  <c r="G1" i="11"/>
  <c r="F1" i="11"/>
  <c r="F3" i="11" s="1" a="1"/>
  <c r="F3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J11" i="2"/>
  <c r="D2" i="2"/>
  <c r="F77" i="1"/>
  <c r="E77" i="1"/>
  <c r="D77" i="1"/>
  <c r="J30" i="2" l="1"/>
  <c r="G3" i="11" a="1"/>
  <c r="G3" i="11" s="1"/>
  <c r="G4" i="11" s="1" a="1"/>
  <c r="G4" i="11" s="1"/>
  <c r="G5" i="11" s="1" a="1"/>
  <c r="G5" i="11" s="1"/>
  <c r="P30" i="10"/>
  <c r="F4" i="11" a="1"/>
  <c r="F4" i="11" s="1"/>
  <c r="F5" i="11" s="1" a="1"/>
  <c r="F5" i="11" s="1"/>
  <c r="E7" i="11" l="1"/>
  <c r="G6" i="11" a="1"/>
  <c r="G6" i="11" s="1"/>
  <c r="G7" i="11" s="1" a="1"/>
  <c r="G7" i="11" s="1"/>
  <c r="G8" i="11" s="1" a="1"/>
  <c r="G8" i="11" s="1"/>
  <c r="F6" i="11" a="1"/>
  <c r="F6" i="11" s="1"/>
  <c r="F7" i="11" s="1" a="1"/>
  <c r="F7" i="11" s="1"/>
  <c r="F8" i="11" l="1" a="1"/>
  <c r="F8" i="11" s="1"/>
  <c r="F9" i="11" s="1" a="1"/>
  <c r="F9" i="11" s="1"/>
  <c r="G9" i="11" a="1"/>
  <c r="G9" i="11" s="1"/>
  <c r="G10" i="11" s="1" a="1"/>
  <c r="G10" i="11" s="1"/>
  <c r="G11" i="11" l="1" a="1"/>
  <c r="G11" i="11" s="1"/>
  <c r="F10" i="11" a="1"/>
  <c r="F10" i="11" s="1"/>
  <c r="G12" i="11" l="1" a="1"/>
  <c r="G12" i="11" s="1"/>
  <c r="F11" i="11" a="1"/>
  <c r="F11" i="11" s="1"/>
  <c r="F12" i="11" s="1" a="1"/>
  <c r="F12" i="11" s="1"/>
  <c r="F13" i="11" s="1" a="1"/>
  <c r="F13" i="11" s="1"/>
  <c r="F14" i="11" s="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F19" i="11" s="1" a="1"/>
  <c r="F19" i="11" s="1"/>
  <c r="F20" i="11" s="1" a="1"/>
  <c r="F20" i="11" s="1"/>
  <c r="F21" i="11" s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G13" i="11" l="1" a="1"/>
  <c r="G13" i="11" s="1"/>
  <c r="G14" i="11" l="1" a="1"/>
  <c r="G14" i="11" s="1"/>
  <c r="G15" i="11" s="1" a="1"/>
  <c r="G15" i="11" s="1"/>
  <c r="G16" i="11" s="1" a="1"/>
  <c r="G16" i="11" s="1"/>
  <c r="G17" i="11" s="1" a="1"/>
  <c r="G17" i="11" s="1"/>
  <c r="G18" i="11" s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</calcChain>
</file>

<file path=xl/sharedStrings.xml><?xml version="1.0" encoding="utf-8"?>
<sst xmlns="http://schemas.openxmlformats.org/spreadsheetml/2006/main" count="577" uniqueCount="249">
  <si>
    <t>General information on the Case</t>
  </si>
  <si>
    <t># Diagnoses</t>
  </si>
  <si>
    <t># Surgical procedures</t>
  </si>
  <si>
    <t># Lab tests</t>
  </si>
  <si>
    <t># Diagnostic tests</t>
  </si>
  <si>
    <t># Physical therapy sessions</t>
  </si>
  <si>
    <t># Other</t>
  </si>
  <si>
    <t># Paid items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</si>
  <si>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</si>
  <si>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</si>
  <si>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</si>
  <si>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</si>
  <si>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Diagnoses and Services</t>
  </si>
  <si>
    <t>Name  (when applicable)</t>
  </si>
  <si>
    <t>Type (when applicable)</t>
  </si>
  <si>
    <t>Number (when applicable)</t>
  </si>
  <si>
    <t>Hours (when applicable)</t>
  </si>
  <si>
    <t>Discharge Diagnoses in ICD 10:</t>
  </si>
  <si>
    <t>Surgical procedures (name, type, number, hours):</t>
  </si>
  <si>
    <t>Hospitalisation:</t>
  </si>
  <si>
    <t>Level of care:</t>
  </si>
  <si>
    <t>Level I</t>
  </si>
  <si>
    <t>Classification of Departments:</t>
  </si>
  <si>
    <t>Clinical/Medical services</t>
  </si>
  <si>
    <r>
      <rPr>
        <b/>
        <sz val="11"/>
        <color rgb="FF000000"/>
        <rFont val="Arial Narrow"/>
        <family val="2"/>
      </rP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</si>
  <si>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Pediatric Ward</t>
  </si>
  <si>
    <t>Length of stays:</t>
  </si>
  <si>
    <t>Lab tests (names and numbers):</t>
  </si>
  <si>
    <t>Diagnostic imaging examinations (names and numbers):</t>
  </si>
  <si>
    <t>Blood bank:</t>
  </si>
  <si>
    <t>Number of units used:</t>
  </si>
  <si>
    <t>Physical therapy / rehabilitation procedures (names and numbers of sessions):</t>
  </si>
  <si>
    <t>Other procedures and services (names and numbers):</t>
  </si>
  <si>
    <t>Paid / Reimbursed Items</t>
  </si>
  <si>
    <t>Description (diagnostics, drugs, supplies, services, professional fees)</t>
  </si>
  <si>
    <t>Paid / Reimbursed by Philhealth</t>
  </si>
  <si>
    <t>Paid by others (LGU…)</t>
  </si>
  <si>
    <t>Paid by the Patient</t>
  </si>
  <si>
    <t>Room and board</t>
  </si>
  <si>
    <t>PROFESSIONAL FEE</t>
  </si>
  <si>
    <t>BIOHAZARD/GARBAGE FEE</t>
  </si>
  <si>
    <t>Total</t>
  </si>
  <si>
    <t>Drugs and Medicines</t>
  </si>
  <si>
    <t># Drugs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</si>
  <si>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</si>
  <si>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</si>
  <si>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</si>
  <si>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</si>
  <si>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#</t>
  </si>
  <si>
    <t>Generic name of medicines and drugs (Brand name)</t>
  </si>
  <si>
    <t>Dosage form / route of administration</t>
  </si>
  <si>
    <t>Dosage strength and measures</t>
  </si>
  <si>
    <t>Number of times per day</t>
  </si>
  <si>
    <t>Number of days / cycles</t>
  </si>
  <si>
    <t>Quantity taken / Total units</t>
  </si>
  <si>
    <t>Unit Cost</t>
  </si>
  <si>
    <t>Total cost per course of treatment</t>
  </si>
  <si>
    <t>Medical Supplies and Consumables</t>
  </si>
  <si>
    <t># AtWards</t>
  </si>
  <si>
    <t># AtOR</t>
  </si>
  <si>
    <t># AtICU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</si>
  <si>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</si>
  <si>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</si>
  <si>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</si>
  <si>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</si>
  <si>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</si>
  <si>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</si>
  <si>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>Supply and consumable name / Item Description</t>
  </si>
  <si>
    <t>Packaging / Unit of Measure</t>
  </si>
  <si>
    <t xml:space="preserve">Quantity </t>
  </si>
  <si>
    <t>Ward / Dialysis</t>
  </si>
  <si>
    <t>Operating room and Recovery room / Delivery Room</t>
  </si>
  <si>
    <t>ICU</t>
  </si>
  <si>
    <t>Service delivery staff time</t>
  </si>
  <si>
    <t># Time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</si>
  <si>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</si>
  <si>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</si>
  <si>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</si>
  <si>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</si>
  <si>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</si>
  <si>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</si>
  <si>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</si>
  <si>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</si>
  <si>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</si>
  <si>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</si>
  <si>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</si>
  <si>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</si>
  <si>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</si>
  <si>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>Midwife</t>
  </si>
  <si>
    <t>Nut. Dietitian</t>
  </si>
  <si>
    <t xml:space="preserve">Physical Therapist     </t>
  </si>
  <si>
    <t>Pulmonary / Respiratory Therapist</t>
  </si>
  <si>
    <t>(open position 2)</t>
  </si>
  <si>
    <t>Visits in the ward</t>
  </si>
  <si>
    <t>Procedure</t>
  </si>
  <si>
    <t>Total time</t>
  </si>
  <si>
    <t>Level 1</t>
  </si>
  <si>
    <t>Level 2</t>
  </si>
  <si>
    <t>Level 3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</si>
  <si>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</si>
  <si>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</si>
  <si>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</si>
  <si>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</si>
  <si>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</si>
  <si>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</si>
  <si>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</si>
  <si>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</si>
  <si>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</si>
  <si>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</si>
  <si>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</si>
  <si>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</si>
  <si>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</si>
  <si>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</si>
  <si>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</si>
  <si>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</si>
  <si>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</si>
  <si>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</si>
  <si>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</si>
  <si>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</si>
  <si>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</si>
  <si>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</si>
  <si>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</si>
  <si>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</si>
  <si>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</si>
  <si>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</si>
  <si>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</si>
  <si>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</si>
  <si>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</si>
  <si>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</si>
  <si>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</si>
  <si>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</si>
  <si>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</si>
  <si>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</si>
  <si>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</si>
  <si>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</si>
  <si>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</si>
  <si>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</si>
  <si>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</si>
  <si>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</si>
  <si>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</si>
  <si>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</si>
  <si>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</si>
  <si>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</si>
  <si>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</si>
  <si>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</si>
  <si>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</si>
  <si>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</si>
  <si>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</si>
  <si>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</si>
  <si>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</si>
  <si>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Surgical Ward</t>
  </si>
  <si>
    <t>Ob/Gyne Ward</t>
  </si>
  <si>
    <t>Private Ward</t>
  </si>
  <si>
    <t>Level II and III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</si>
  <si>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</si>
  <si>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</si>
  <si>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</si>
  <si>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</si>
  <si>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</si>
  <si>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</si>
  <si>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</si>
  <si>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</si>
  <si>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</si>
  <si>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</si>
  <si>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</si>
  <si>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</si>
  <si>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</si>
  <si>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500MG</t>
  </si>
  <si>
    <t>PC</t>
  </si>
  <si>
    <t>DISPOSABLE MASK</t>
  </si>
  <si>
    <t>3CC SYRINGE</t>
  </si>
  <si>
    <t>5CC SYRINGE</t>
  </si>
  <si>
    <t>MEDICAL TECHNOLOGIST</t>
  </si>
  <si>
    <t>POLYAMPULE/INJECTION</t>
  </si>
  <si>
    <t>XRAY</t>
  </si>
  <si>
    <t>OXYGEN</t>
  </si>
  <si>
    <t>CESARIAN DELIVERY</t>
  </si>
  <si>
    <t>HbsAg (SCREENING)</t>
  </si>
  <si>
    <t>VDRL (SYPHYLLIS)</t>
  </si>
  <si>
    <t>CBC, BLOOD TYPYNG</t>
  </si>
  <si>
    <t>CLOTTING TIME - BLEEDING TIME</t>
  </si>
  <si>
    <t>ECG</t>
  </si>
  <si>
    <t>D5LRS</t>
  </si>
  <si>
    <t>BOTTLE/IV</t>
  </si>
  <si>
    <t>1000ML</t>
  </si>
  <si>
    <t>AMPULE/INJECTION</t>
  </si>
  <si>
    <t>25MG/ML</t>
  </si>
  <si>
    <t>BUPIVACAINE</t>
  </si>
  <si>
    <t>5MG/ML</t>
  </si>
  <si>
    <t>AMPULE/IV</t>
  </si>
  <si>
    <t>OXYTOCIN</t>
  </si>
  <si>
    <t>10IU/ML</t>
  </si>
  <si>
    <t>NALBUPHINE</t>
  </si>
  <si>
    <t>10MG/ML</t>
  </si>
  <si>
    <t>DIAZEPAM</t>
  </si>
  <si>
    <t>CAPSULE/ORAL</t>
  </si>
  <si>
    <t>MEFENAMIC ACID</t>
  </si>
  <si>
    <t>BISACODYL</t>
  </si>
  <si>
    <t>SUPPOSITORY/ANAL</t>
  </si>
  <si>
    <t>10MG</t>
  </si>
  <si>
    <t>ADHESIVE PLASTER</t>
  </si>
  <si>
    <t>DISPOSABLE CAP</t>
  </si>
  <si>
    <t>FOLEY CATH F-18</t>
  </si>
  <si>
    <t>CUTASEPT F</t>
  </si>
  <si>
    <t>OS</t>
  </si>
  <si>
    <t>ABDOMENAL PACK ADULTS</t>
  </si>
  <si>
    <t>SUCTION SET YANKUER F</t>
  </si>
  <si>
    <t>FEATHER SURGERY BLADE</t>
  </si>
  <si>
    <t>1CC SYRINGE</t>
  </si>
  <si>
    <t>URINE BAG</t>
  </si>
  <si>
    <t>SPINAL NEEDLE G - 23</t>
  </si>
  <si>
    <t>STERILE GLOVES 7.0</t>
  </si>
  <si>
    <t>BIRTH CERTIFICATE</t>
  </si>
  <si>
    <t>DRUGS AND MEDS ( C )</t>
  </si>
  <si>
    <t>MEDICAL SUPPLIES ( C )</t>
  </si>
  <si>
    <t>GLOVES UNSTERILE MEDIUM</t>
  </si>
  <si>
    <t>DICLOFENAC</t>
  </si>
  <si>
    <t>BOTTLE/100/5ML</t>
  </si>
  <si>
    <t>URINALYSIS</t>
  </si>
  <si>
    <t>CBC, BLOOD TYPING</t>
  </si>
  <si>
    <t>AMPICILLIN</t>
  </si>
  <si>
    <t>POWDER/INJECTION</t>
  </si>
  <si>
    <t>IV SET ADULT</t>
  </si>
  <si>
    <t>IV CATHETER G 18</t>
  </si>
  <si>
    <t>DIGITAL THERMOMETER</t>
  </si>
  <si>
    <t>RANDOM BLOOD SUGAR</t>
  </si>
  <si>
    <t>DISPOSABLE RAZOR BLADE</t>
  </si>
  <si>
    <t>PROMETHAZINE</t>
  </si>
  <si>
    <t>STERILE GLOVES 7.5</t>
  </si>
  <si>
    <t>METHYLERGOMETRINE</t>
  </si>
  <si>
    <t>200MCG/ML</t>
  </si>
  <si>
    <t>CEFALEXIN</t>
  </si>
  <si>
    <t>CHROMIC I</t>
  </si>
  <si>
    <t>CHROMIC 2.0 DOUBLE ARM CUTTING</t>
  </si>
  <si>
    <t>VICRYL I</t>
  </si>
  <si>
    <t>VICRYL 3-0</t>
  </si>
  <si>
    <t xml:space="preserve">MEDICAL SUPPLIES </t>
  </si>
  <si>
    <t>STERILE WATER</t>
  </si>
  <si>
    <t>10ML</t>
  </si>
  <si>
    <t>METOCLOPRAMIDE</t>
  </si>
  <si>
    <t>5MG/2ML</t>
  </si>
  <si>
    <t>RANITIDINE</t>
  </si>
  <si>
    <t>CYDEX</t>
  </si>
  <si>
    <t>BETADINE 10%</t>
  </si>
  <si>
    <t>BOTTLE</t>
  </si>
  <si>
    <t>ID BRACELET</t>
  </si>
  <si>
    <t>CORD CLAMP</t>
  </si>
  <si>
    <t>INSULIN SYRINGYE</t>
  </si>
  <si>
    <t>10 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</si>
</sst>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>
    <font>
      <sz val="11"/>
      <color rgb="FF000000"/>
      <name val="Calibri"/>
      <charset val="134"/>
    </font>
    <font>
      <sz val="11"/>
      <color rgb="FF000000"/>
      <name val="Calibri"/>
      <family val="2"/>
    </font>
    <font>
      <sz val="11"/>
      <color rgb="FFFA7D00"/>
      <name val="Calibri"/>
      <family val="2"/>
      <scheme val="minor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sz val="11"/>
      <name val="Arial Narrow"/>
      <family val="2"/>
    </font>
    <font>
      <sz val="11"/>
      <color rgb="FF0070C0"/>
      <name val="Arial Narrow"/>
      <family val="2"/>
    </font>
    <font>
      <b/>
      <sz val="11"/>
      <color rgb="FF0070C0"/>
      <name val="Arial Narrow"/>
      <family val="2"/>
    </font>
    <font>
      <b/>
      <sz val="12"/>
      <color rgb="FF000000"/>
      <name val="Arial Narrow"/>
      <family val="2"/>
    </font>
    <font>
      <i/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b/>
      <u/>
      <sz val="11"/>
      <color rgb="FF000000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499984740745262"/>
        <bgColor rgb="FF4A86E8"/>
      </patternFill>
    </fill>
  </fills>
  <borders count="3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double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0" borderId="0"/>
  </cellStyleXfs>
  <cellXfs count="155">
    <xf numFmtId="0" fontId="0" fillId="0" borderId="0" xfId="0" applyFont="1" applyAlignment="1"/>
    <xf numFmtId="0" fontId="0" fillId="0" borderId="0" xfId="0" applyFont="1" applyBorder="1" applyAlignment="1"/>
    <xf numFmtId="0" fontId="1" fillId="0" borderId="0" xfId="0" applyFont="1" applyBorder="1" applyAlignment="1"/>
    <xf numFmtId="0" fontId="2" fillId="0" borderId="1" xfId="2" applyAlignment="1"/>
    <xf numFmtId="0" fontId="2" fillId="0" borderId="1" xfId="2" applyAlignment="1">
      <alignment vertical="center"/>
    </xf>
    <xf numFmtId="0" fontId="3" fillId="0" borderId="0" xfId="3" applyFont="1" applyBorder="1" applyAlignment="1">
      <alignment vertical="center"/>
    </xf>
    <xf numFmtId="0" fontId="3" fillId="0" borderId="0" xfId="3" applyFont="1" applyBorder="1" applyAlignment="1"/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1" fillId="2" borderId="0" xfId="0" applyFont="1" applyFill="1" applyBorder="1" applyAlignment="1"/>
    <xf numFmtId="0" fontId="1" fillId="2" borderId="6" xfId="0" applyFont="1" applyFill="1" applyBorder="1" applyAlignment="1"/>
    <xf numFmtId="0" fontId="0" fillId="2" borderId="5" xfId="0" applyFont="1" applyFill="1" applyBorder="1" applyAlignment="1"/>
    <xf numFmtId="0" fontId="4" fillId="0" borderId="0" xfId="3" applyFont="1" applyBorder="1" applyAlignment="1"/>
    <xf numFmtId="0" fontId="0" fillId="2" borderId="7" xfId="0" applyFont="1" applyFill="1" applyBorder="1" applyAlignment="1"/>
    <xf numFmtId="0" fontId="1" fillId="2" borderId="8" xfId="0" applyFont="1" applyFill="1" applyBorder="1" applyAlignment="1"/>
    <xf numFmtId="0" fontId="1" fillId="2" borderId="9" xfId="0" applyFont="1" applyFill="1" applyBorder="1" applyAlignment="1"/>
    <xf numFmtId="0" fontId="1" fillId="0" borderId="0" xfId="0" applyFont="1" applyAlignment="1"/>
    <xf numFmtId="0" fontId="3" fillId="0" borderId="0" xfId="3" applyFont="1" applyBorder="1"/>
    <xf numFmtId="0" fontId="3" fillId="0" borderId="0" xfId="3" applyFont="1" applyBorder="1" applyAlignment="1">
      <alignment vertical="center" wrapText="1"/>
    </xf>
    <xf numFmtId="0" fontId="5" fillId="0" borderId="0" xfId="3" applyFont="1" applyBorder="1" applyAlignment="1"/>
    <xf numFmtId="0" fontId="3" fillId="0" borderId="0" xfId="0" applyFont="1" applyAlignment="1" applyProtection="1"/>
    <xf numFmtId="0" fontId="3" fillId="0" borderId="0" xfId="0" applyFont="1" applyProtection="1"/>
    <xf numFmtId="0" fontId="6" fillId="3" borderId="0" xfId="0" applyFont="1" applyFill="1" applyProtection="1"/>
    <xf numFmtId="0" fontId="6" fillId="0" borderId="0" xfId="0" applyFont="1" applyAlignment="1" applyProtection="1">
      <alignment horizontal="center"/>
    </xf>
    <xf numFmtId="0" fontId="3" fillId="4" borderId="10" xfId="0" applyFont="1" applyFill="1" applyBorder="1" applyAlignment="1" applyProtection="1"/>
    <xf numFmtId="0" fontId="3" fillId="4" borderId="11" xfId="0" applyFont="1" applyFill="1" applyBorder="1" applyAlignment="1" applyProtection="1"/>
    <xf numFmtId="0" fontId="3" fillId="4" borderId="11" xfId="0" applyFont="1" applyFill="1" applyBorder="1" applyProtection="1"/>
    <xf numFmtId="0" fontId="3" fillId="4" borderId="12" xfId="0" applyFont="1" applyFill="1" applyBorder="1" applyProtection="1"/>
    <xf numFmtId="0" fontId="3" fillId="4" borderId="0" xfId="0" applyFont="1" applyFill="1" applyBorder="1" applyAlignment="1" applyProtection="1"/>
    <xf numFmtId="0" fontId="3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3" fillId="4" borderId="13" xfId="0" applyFont="1" applyFill="1" applyBorder="1" applyAlignment="1" applyProtection="1"/>
    <xf numFmtId="0" fontId="3" fillId="4" borderId="14" xfId="0" applyFont="1" applyFill="1" applyBorder="1" applyAlignment="1" applyProtection="1"/>
    <xf numFmtId="0" fontId="3" fillId="4" borderId="14" xfId="0" applyFont="1" applyFill="1" applyBorder="1" applyProtection="1"/>
    <xf numFmtId="0" fontId="6" fillId="5" borderId="15" xfId="0" applyFont="1" applyFill="1" applyBorder="1" applyProtection="1"/>
    <xf numFmtId="0" fontId="6" fillId="4" borderId="15" xfId="0" applyFont="1" applyFill="1" applyBorder="1" applyAlignment="1" applyProtection="1">
      <alignment horizontal="center" vertical="center" wrapText="1"/>
    </xf>
    <xf numFmtId="0" fontId="7" fillId="6" borderId="15" xfId="0" applyFont="1" applyFill="1" applyBorder="1" applyAlignment="1" applyProtection="1">
      <alignment horizontal="center" vertical="center" wrapText="1"/>
    </xf>
    <xf numFmtId="0" fontId="3" fillId="0" borderId="15" xfId="0" applyFont="1" applyBorder="1" applyProtection="1"/>
    <xf numFmtId="0" fontId="8" fillId="0" borderId="15" xfId="0" applyFont="1" applyBorder="1" applyAlignment="1" applyProtection="1">
      <alignment wrapText="1"/>
      <protection locked="0"/>
    </xf>
    <xf numFmtId="164" fontId="8" fillId="7" borderId="18" xfId="1" applyFont="1" applyFill="1" applyBorder="1" applyProtection="1">
      <protection locked="0"/>
    </xf>
    <xf numFmtId="0" fontId="6" fillId="0" borderId="15" xfId="0" applyFont="1" applyBorder="1" applyAlignment="1" applyProtection="1">
      <alignment horizontal="center" vertical="center" wrapText="1"/>
    </xf>
    <xf numFmtId="164" fontId="3" fillId="0" borderId="15" xfId="1" applyFont="1" applyBorder="1" applyProtection="1"/>
    <xf numFmtId="0" fontId="3" fillId="4" borderId="19" xfId="0" applyFont="1" applyFill="1" applyBorder="1" applyProtection="1"/>
    <xf numFmtId="0" fontId="3" fillId="4" borderId="20" xfId="0" applyFont="1" applyFill="1" applyBorder="1" applyProtection="1"/>
    <xf numFmtId="0" fontId="3" fillId="4" borderId="21" xfId="0" applyFont="1" applyFill="1" applyBorder="1" applyProtection="1"/>
    <xf numFmtId="0" fontId="7" fillId="6" borderId="15" xfId="0" applyFont="1" applyFill="1" applyBorder="1" applyAlignment="1" applyProtection="1">
      <alignment horizontal="center" vertical="center"/>
    </xf>
    <xf numFmtId="0" fontId="9" fillId="4" borderId="15" xfId="0" applyFont="1" applyFill="1" applyBorder="1" applyAlignment="1" applyProtection="1">
      <alignment horizontal="center" vertical="center" wrapText="1"/>
      <protection locked="0"/>
    </xf>
    <xf numFmtId="164" fontId="6" fillId="0" borderId="15" xfId="1" applyFont="1" applyBorder="1" applyProtection="1"/>
    <xf numFmtId="0" fontId="3" fillId="0" borderId="0" xfId="0" applyFont="1" applyAlignment="1" applyProtection="1">
      <alignment vertical="center" wrapText="1"/>
    </xf>
    <xf numFmtId="0" fontId="0" fillId="0" borderId="0" xfId="0" applyFont="1" applyAlignment="1" applyProtection="1"/>
    <xf numFmtId="0" fontId="3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Protection="1"/>
    <xf numFmtId="0" fontId="6" fillId="3" borderId="15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left" vertical="center"/>
    </xf>
    <xf numFmtId="0" fontId="6" fillId="3" borderId="15" xfId="0" applyFont="1" applyFill="1" applyBorder="1" applyAlignment="1" applyProtection="1">
      <alignment horizontal="center" vertical="center" wrapText="1"/>
    </xf>
    <xf numFmtId="0" fontId="3" fillId="8" borderId="0" xfId="0" applyFont="1" applyFill="1" applyBorder="1" applyProtection="1"/>
    <xf numFmtId="0" fontId="3" fillId="0" borderId="15" xfId="0" applyFont="1" applyBorder="1" applyAlignment="1" applyProtection="1">
      <alignment horizontal="right"/>
    </xf>
    <xf numFmtId="0" fontId="8" fillId="0" borderId="15" xfId="0" applyFont="1" applyBorder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/>
    </xf>
    <xf numFmtId="0" fontId="12" fillId="0" borderId="0" xfId="0" applyFont="1" applyProtection="1"/>
    <xf numFmtId="0" fontId="3" fillId="3" borderId="0" xfId="0" applyFont="1" applyFill="1" applyProtection="1"/>
    <xf numFmtId="0" fontId="6" fillId="0" borderId="0" xfId="0" applyFont="1" applyAlignment="1" applyProtection="1">
      <alignment horizontal="center"/>
      <protection locked="0"/>
    </xf>
    <xf numFmtId="0" fontId="13" fillId="0" borderId="0" xfId="0" applyFont="1" applyProtection="1"/>
    <xf numFmtId="0" fontId="3" fillId="4" borderId="10" xfId="0" applyFont="1" applyFill="1" applyBorder="1" applyProtection="1"/>
    <xf numFmtId="0" fontId="12" fillId="4" borderId="11" xfId="0" applyFont="1" applyFill="1" applyBorder="1" applyProtection="1"/>
    <xf numFmtId="0" fontId="12" fillId="4" borderId="0" xfId="0" applyFont="1" applyFill="1" applyBorder="1" applyProtection="1"/>
    <xf numFmtId="0" fontId="3" fillId="4" borderId="12" xfId="0" applyFont="1" applyFill="1" applyBorder="1" applyAlignment="1" applyProtection="1"/>
    <xf numFmtId="0" fontId="13" fillId="4" borderId="15" xfId="0" applyFont="1" applyFill="1" applyBorder="1" applyAlignment="1" applyProtection="1">
      <alignment horizontal="center" vertical="center"/>
    </xf>
    <xf numFmtId="0" fontId="6" fillId="4" borderId="15" xfId="0" applyFont="1" applyFill="1" applyBorder="1" applyAlignment="1" applyProtection="1">
      <alignment horizontal="left" vertical="center" wrapText="1"/>
    </xf>
    <xf numFmtId="0" fontId="12" fillId="0" borderId="15" xfId="0" applyFont="1" applyBorder="1" applyProtection="1"/>
    <xf numFmtId="0" fontId="8" fillId="7" borderId="18" xfId="0" applyFont="1" applyFill="1" applyBorder="1" applyAlignment="1" applyProtection="1">
      <alignment wrapText="1"/>
      <protection locked="0"/>
    </xf>
    <xf numFmtId="0" fontId="12" fillId="4" borderId="19" xfId="0" applyFont="1" applyFill="1" applyBorder="1" applyProtection="1"/>
    <xf numFmtId="0" fontId="12" fillId="4" borderId="20" xfId="0" applyFont="1" applyFill="1" applyBorder="1" applyProtection="1"/>
    <xf numFmtId="0" fontId="3" fillId="0" borderId="0" xfId="0" applyFont="1"/>
    <xf numFmtId="0" fontId="10" fillId="3" borderId="0" xfId="0" applyFont="1" applyFill="1"/>
    <xf numFmtId="0" fontId="3" fillId="3" borderId="0" xfId="0" applyFont="1" applyFill="1"/>
    <xf numFmtId="0" fontId="11" fillId="0" borderId="0" xfId="0" applyFont="1"/>
    <xf numFmtId="0" fontId="3" fillId="0" borderId="0" xfId="0" applyFont="1" applyAlignment="1">
      <alignment horizontal="center"/>
    </xf>
    <xf numFmtId="0" fontId="14" fillId="5" borderId="15" xfId="0" applyFont="1" applyFill="1" applyBorder="1" applyAlignment="1"/>
    <xf numFmtId="0" fontId="10" fillId="5" borderId="15" xfId="0" applyFont="1" applyFill="1" applyBorder="1" applyAlignment="1">
      <alignment horizontal="center"/>
    </xf>
    <xf numFmtId="0" fontId="3" fillId="7" borderId="31" xfId="0" applyFont="1" applyFill="1" applyBorder="1" applyAlignment="1">
      <alignment horizontal="right" vertical="center"/>
    </xf>
    <xf numFmtId="0" fontId="8" fillId="7" borderId="31" xfId="0" applyFont="1" applyFill="1" applyBorder="1" applyAlignment="1" applyProtection="1">
      <alignment wrapText="1"/>
      <protection locked="0"/>
    </xf>
    <xf numFmtId="0" fontId="15" fillId="9" borderId="0" xfId="0" applyFont="1" applyFill="1" applyBorder="1"/>
    <xf numFmtId="0" fontId="15" fillId="9" borderId="32" xfId="0" applyFont="1" applyFill="1" applyBorder="1"/>
    <xf numFmtId="0" fontId="3" fillId="7" borderId="18" xfId="0" applyFont="1" applyFill="1" applyBorder="1" applyAlignment="1">
      <alignment horizontal="right" vertical="center"/>
    </xf>
    <xf numFmtId="0" fontId="8" fillId="7" borderId="18" xfId="0" applyFont="1" applyFill="1" applyBorder="1" applyProtection="1">
      <protection locked="0"/>
    </xf>
    <xf numFmtId="0" fontId="3" fillId="4" borderId="24" xfId="0" applyFont="1" applyFill="1" applyBorder="1" applyAlignment="1">
      <alignment horizontal="left" vertical="center"/>
    </xf>
    <xf numFmtId="0" fontId="8" fillId="2" borderId="18" xfId="0" applyFont="1" applyFill="1" applyBorder="1" applyProtection="1">
      <protection locked="0"/>
    </xf>
    <xf numFmtId="0" fontId="3" fillId="9" borderId="24" xfId="0" applyFont="1" applyFill="1" applyBorder="1"/>
    <xf numFmtId="0" fontId="8" fillId="2" borderId="0" xfId="0" applyFont="1" applyFill="1" applyBorder="1" applyProtection="1">
      <protection locked="0"/>
    </xf>
    <xf numFmtId="0" fontId="6" fillId="4" borderId="24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0" fontId="3" fillId="9" borderId="15" xfId="0" applyFont="1" applyFill="1" applyBorder="1"/>
    <xf numFmtId="164" fontId="8" fillId="7" borderId="15" xfId="1" applyFont="1" applyFill="1" applyBorder="1" applyProtection="1">
      <protection locked="0"/>
    </xf>
    <xf numFmtId="0" fontId="3" fillId="9" borderId="0" xfId="0" applyFont="1" applyFill="1" applyBorder="1"/>
    <xf numFmtId="164" fontId="8" fillId="7" borderId="31" xfId="1" applyFont="1" applyFill="1" applyBorder="1" applyProtection="1">
      <protection locked="0"/>
    </xf>
    <xf numFmtId="0" fontId="3" fillId="9" borderId="32" xfId="0" applyFont="1" applyFill="1" applyBorder="1"/>
    <xf numFmtId="0" fontId="3" fillId="0" borderId="24" xfId="0" applyFont="1" applyBorder="1" applyProtection="1">
      <protection locked="0"/>
    </xf>
    <xf numFmtId="0" fontId="3" fillId="0" borderId="0" xfId="0" applyFont="1" applyFill="1"/>
    <xf numFmtId="0" fontId="3" fillId="9" borderId="31" xfId="0" applyFont="1" applyFill="1" applyBorder="1"/>
    <xf numFmtId="0" fontId="3" fillId="9" borderId="18" xfId="0" applyFont="1" applyFill="1" applyBorder="1"/>
    <xf numFmtId="0" fontId="3" fillId="0" borderId="11" xfId="0" applyFont="1" applyBorder="1"/>
    <xf numFmtId="0" fontId="10" fillId="4" borderId="35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right" vertical="center"/>
    </xf>
    <xf numFmtId="0" fontId="3" fillId="7" borderId="15" xfId="0" applyFont="1" applyFill="1" applyBorder="1" applyAlignment="1">
      <alignment horizontal="right" vertical="center"/>
    </xf>
    <xf numFmtId="164" fontId="3" fillId="0" borderId="36" xfId="1" applyFont="1" applyBorder="1"/>
    <xf numFmtId="0" fontId="3" fillId="4" borderId="15" xfId="0" applyFont="1" applyFill="1" applyBorder="1" applyAlignment="1">
      <alignment horizontal="right" vertical="center"/>
    </xf>
    <xf numFmtId="0" fontId="10" fillId="4" borderId="15" xfId="0" applyFont="1" applyFill="1" applyBorder="1" applyAlignment="1">
      <alignment horizontal="center"/>
    </xf>
    <xf numFmtId="164" fontId="10" fillId="4" borderId="24" xfId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0" fontId="21" fillId="7" borderId="31" xfId="0" applyFont="1" applyFill="1" applyBorder="1" applyAlignment="1" applyProtection="1">
      <alignment wrapText="1"/>
      <protection locked="0"/>
    </xf>
    <xf numFmtId="0" fontId="21" fillId="7" borderId="18" xfId="0" applyFont="1" applyFill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horizontal="center" wrapText="1"/>
      <protection locked="0"/>
    </xf>
    <xf numFmtId="0" fontId="20" fillId="4" borderId="15" xfId="0" applyFont="1" applyFill="1" applyBorder="1" applyAlignment="1" applyProtection="1">
      <alignment horizontal="center" vertical="center" wrapText="1"/>
      <protection locked="0"/>
    </xf>
    <xf numFmtId="0" fontId="6" fillId="4" borderId="28" xfId="0" applyFont="1" applyFill="1" applyBorder="1" applyAlignment="1">
      <alignment horizontal="left" vertical="center"/>
    </xf>
    <xf numFmtId="0" fontId="6" fillId="4" borderId="29" xfId="0" applyFont="1" applyFill="1" applyBorder="1" applyAlignment="1">
      <alignment horizontal="left" vertical="center"/>
    </xf>
    <xf numFmtId="0" fontId="6" fillId="4" borderId="30" xfId="0" applyFont="1" applyFill="1" applyBorder="1" applyAlignment="1">
      <alignment horizontal="left" vertical="center"/>
    </xf>
    <xf numFmtId="0" fontId="6" fillId="4" borderId="33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6" fillId="4" borderId="34" xfId="0" applyFont="1" applyFill="1" applyBorder="1" applyAlignment="1">
      <alignment horizontal="left" vertical="center"/>
    </xf>
    <xf numFmtId="0" fontId="3" fillId="4" borderId="10" xfId="0" applyFont="1" applyFill="1" applyBorder="1" applyAlignment="1">
      <alignment horizontal="left" wrapText="1"/>
    </xf>
    <xf numFmtId="0" fontId="3" fillId="4" borderId="11" xfId="0" applyFont="1" applyFill="1" applyBorder="1" applyAlignment="1">
      <alignment horizontal="left" wrapText="1"/>
    </xf>
    <xf numFmtId="0" fontId="3" fillId="4" borderId="19" xfId="0" applyFont="1" applyFill="1" applyBorder="1" applyAlignment="1">
      <alignment horizontal="left" wrapText="1"/>
    </xf>
    <xf numFmtId="0" fontId="3" fillId="4" borderId="12" xfId="0" applyFont="1" applyFill="1" applyBorder="1" applyAlignment="1">
      <alignment horizontal="left" wrapText="1"/>
    </xf>
    <xf numFmtId="0" fontId="3" fillId="4" borderId="0" xfId="0" applyFont="1" applyFill="1" applyBorder="1" applyAlignment="1">
      <alignment horizontal="left" wrapText="1"/>
    </xf>
    <xf numFmtId="0" fontId="3" fillId="4" borderId="20" xfId="0" applyFont="1" applyFill="1" applyBorder="1" applyAlignment="1">
      <alignment horizontal="left" wrapText="1"/>
    </xf>
    <xf numFmtId="0" fontId="3" fillId="4" borderId="13" xfId="0" applyFont="1" applyFill="1" applyBorder="1" applyAlignment="1">
      <alignment horizontal="left" wrapText="1"/>
    </xf>
    <xf numFmtId="0" fontId="3" fillId="4" borderId="14" xfId="0" applyFont="1" applyFill="1" applyBorder="1" applyAlignment="1">
      <alignment horizontal="left" wrapText="1"/>
    </xf>
    <xf numFmtId="0" fontId="3" fillId="4" borderId="21" xfId="0" applyFont="1" applyFill="1" applyBorder="1" applyAlignment="1">
      <alignment horizontal="left" wrapText="1"/>
    </xf>
    <xf numFmtId="0" fontId="3" fillId="4" borderId="13" xfId="0" applyFont="1" applyFill="1" applyBorder="1" applyAlignment="1" applyProtection="1">
      <alignment horizontal="left" wrapText="1"/>
    </xf>
    <xf numFmtId="0" fontId="3" fillId="4" borderId="14" xfId="0" applyFont="1" applyFill="1" applyBorder="1" applyAlignment="1" applyProtection="1">
      <alignment horizontal="left" wrapText="1"/>
    </xf>
    <xf numFmtId="0" fontId="3" fillId="4" borderId="21" xfId="0" applyFont="1" applyFill="1" applyBorder="1" applyAlignment="1" applyProtection="1">
      <alignment horizontal="left" wrapText="1"/>
    </xf>
    <xf numFmtId="0" fontId="3" fillId="4" borderId="13" xfId="0" applyFont="1" applyFill="1" applyBorder="1" applyAlignment="1" applyProtection="1">
      <alignment horizontal="left"/>
    </xf>
    <xf numFmtId="0" fontId="3" fillId="4" borderId="14" xfId="0" applyFont="1" applyFill="1" applyBorder="1" applyAlignment="1" applyProtection="1">
      <alignment horizontal="left"/>
    </xf>
    <xf numFmtId="0" fontId="3" fillId="4" borderId="21" xfId="0" applyFont="1" applyFill="1" applyBorder="1" applyAlignment="1" applyProtection="1">
      <alignment horizontal="left"/>
    </xf>
    <xf numFmtId="0" fontId="6" fillId="4" borderId="25" xfId="0" applyFont="1" applyFill="1" applyBorder="1" applyAlignment="1" applyProtection="1">
      <alignment horizontal="left"/>
    </xf>
    <xf numFmtId="0" fontId="6" fillId="4" borderId="26" xfId="0" applyFont="1" applyFill="1" applyBorder="1" applyAlignment="1" applyProtection="1">
      <alignment horizontal="left"/>
    </xf>
    <xf numFmtId="0" fontId="6" fillId="4" borderId="27" xfId="0" applyFont="1" applyFill="1" applyBorder="1" applyAlignment="1" applyProtection="1">
      <alignment horizontal="left"/>
    </xf>
    <xf numFmtId="0" fontId="3" fillId="4" borderId="10" xfId="0" applyFont="1" applyFill="1" applyBorder="1" applyAlignment="1" applyProtection="1">
      <alignment horizontal="left"/>
    </xf>
    <xf numFmtId="0" fontId="3" fillId="4" borderId="11" xfId="0" applyFont="1" applyFill="1" applyBorder="1" applyAlignment="1" applyProtection="1">
      <alignment horizontal="left"/>
    </xf>
    <xf numFmtId="0" fontId="3" fillId="4" borderId="19" xfId="0" applyFont="1" applyFill="1" applyBorder="1" applyAlignment="1" applyProtection="1">
      <alignment horizontal="left"/>
    </xf>
    <xf numFmtId="0" fontId="3" fillId="4" borderId="12" xfId="0" applyFont="1" applyFill="1" applyBorder="1" applyAlignment="1" applyProtection="1">
      <alignment horizontal="left"/>
    </xf>
    <xf numFmtId="0" fontId="3" fillId="4" borderId="0" xfId="0" applyFont="1" applyFill="1" applyBorder="1" applyAlignment="1" applyProtection="1">
      <alignment horizontal="left"/>
    </xf>
    <xf numFmtId="0" fontId="3" fillId="4" borderId="20" xfId="0" applyFont="1" applyFill="1" applyBorder="1" applyAlignment="1" applyProtection="1">
      <alignment horizontal="left"/>
    </xf>
    <xf numFmtId="0" fontId="6" fillId="5" borderId="16" xfId="0" applyFont="1" applyFill="1" applyBorder="1" applyAlignment="1" applyProtection="1">
      <alignment horizontal="center" vertical="center"/>
    </xf>
    <xf numFmtId="0" fontId="4" fillId="5" borderId="17" xfId="0" applyFont="1" applyFill="1" applyBorder="1" applyProtection="1"/>
    <xf numFmtId="0" fontId="4" fillId="5" borderId="22" xfId="0" applyFont="1" applyFill="1" applyBorder="1" applyProtection="1"/>
    <xf numFmtId="0" fontId="6" fillId="5" borderId="23" xfId="0" applyFont="1" applyFill="1" applyBorder="1" applyAlignment="1" applyProtection="1">
      <alignment horizontal="center" vertical="center" wrapText="1"/>
    </xf>
    <xf numFmtId="0" fontId="4" fillId="5" borderId="24" xfId="0" applyFont="1" applyFill="1" applyBorder="1" applyProtection="1"/>
  </cellXfs>
  <cellStyles count="4">
    <cellStyle name="Comma" xfId="1" builtinId="3"/>
    <cellStyle name="Linked Cell" xfId="2" builtinId="24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56" workbookViewId="0">
      <selection activeCell="D62" sqref="D62"/>
    </sheetView>
  </sheetViews>
  <sheetFormatPr defaultColWidth="14.42578125" defaultRowHeight="15" customHeight="1" outlineLevelRow="1"/>
  <cols>
    <col min="1" max="1" width="3.140625" customWidth="1"/>
    <col min="2" max="2" width="32.140625" customWidth="1"/>
    <col min="3" max="3" width="32.42578125" customWidth="1"/>
    <col min="4" max="4" width="29.85546875" customWidth="1"/>
    <col min="5" max="5" width="31.140625" customWidth="1"/>
    <col min="6" max="6" width="26.85546875" customWidth="1"/>
    <col min="7" max="25" width="9.140625" customWidth="1"/>
  </cols>
  <sheetData>
    <row r="1" spans="1:25" ht="13.5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ht="13.5" customHeight="1">
      <c r="A2" s="76"/>
      <c r="B2" s="77" t="s">
        <v>0</v>
      </c>
      <c r="C2" s="78"/>
      <c r="D2" s="114" t="s">
        <v>176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</row>
    <row r="3" spans="1:25" ht="13.5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</row>
    <row r="4" spans="1:25" ht="13.5" hidden="1" customHeight="1" outlineLevel="1">
      <c r="A4" s="76"/>
      <c r="B4" s="79" t="s">
        <v>1</v>
      </c>
      <c r="C4" s="80">
        <v>3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</row>
    <row r="5" spans="1:25" ht="13.5" hidden="1" customHeight="1" outlineLevel="1">
      <c r="A5" s="76"/>
      <c r="B5" s="76" t="s">
        <v>2</v>
      </c>
      <c r="C5" s="80">
        <v>5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</row>
    <row r="6" spans="1:25" ht="13.5" hidden="1" customHeight="1" outlineLevel="1">
      <c r="A6" s="76"/>
      <c r="B6" s="76" t="s">
        <v>3</v>
      </c>
      <c r="C6" s="80">
        <v>4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</row>
    <row r="7" spans="1:25" ht="13.5" hidden="1" customHeight="1" outlineLevel="1">
      <c r="A7" s="76"/>
      <c r="B7" s="76" t="s">
        <v>4</v>
      </c>
      <c r="C7" s="80">
        <v>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</row>
    <row r="8" spans="1:25" ht="13.5" hidden="1" customHeight="1" outlineLevel="1">
      <c r="A8" s="76"/>
      <c r="B8" s="76" t="s">
        <v>5</v>
      </c>
      <c r="C8" s="80">
        <v>4</v>
      </c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</row>
    <row r="9" spans="1:25" ht="13.5" hidden="1" customHeight="1" outlineLevel="1">
      <c r="A9" s="76"/>
      <c r="B9" s="76" t="s">
        <v>6</v>
      </c>
      <c r="C9" s="80">
        <v>6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</row>
    <row r="10" spans="1:25" ht="13.5" hidden="1" customHeight="1" outlineLevel="1">
      <c r="A10" s="76"/>
      <c r="B10" s="76" t="s">
        <v>7</v>
      </c>
      <c r="C10" s="80">
        <v>16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</row>
    <row r="11" spans="1:25" ht="13.5" hidden="1" customHeight="1" outlineLevel="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</row>
    <row r="12" spans="1:25" ht="27" customHeight="1" collapsed="1">
      <c r="A12" s="76"/>
      <c r="B12" s="126" t="s">
        <v>8</v>
      </c>
      <c r="C12" s="127"/>
      <c r="D12" s="127"/>
      <c r="E12" s="127"/>
      <c r="F12" s="128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</row>
    <row r="13" spans="1:25" ht="13.5" customHeight="1">
      <c r="A13" s="76"/>
      <c r="B13" s="129" t="s">
        <v>9</v>
      </c>
      <c r="C13" s="130"/>
      <c r="D13" s="130"/>
      <c r="E13" s="130"/>
      <c r="F13" s="131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</row>
    <row r="14" spans="1:25" ht="13.5" customHeight="1">
      <c r="A14" s="76"/>
      <c r="B14" s="129" t="s">
        <v>10</v>
      </c>
      <c r="C14" s="130"/>
      <c r="D14" s="130"/>
      <c r="E14" s="130"/>
      <c r="F14" s="131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</row>
    <row r="15" spans="1:25" ht="13.5" customHeight="1">
      <c r="A15" s="76"/>
      <c r="B15" s="132" t="s">
        <v>11</v>
      </c>
      <c r="C15" s="133"/>
      <c r="D15" s="133"/>
      <c r="E15" s="133"/>
      <c r="F15" s="134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</row>
    <row r="16" spans="1:25" ht="13.5" customHeight="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</row>
    <row r="17" spans="1:25" ht="13.5" customHeight="1">
      <c r="A17" s="76"/>
      <c r="B17" s="81" t="s">
        <v>12</v>
      </c>
      <c r="C17" s="82" t="s">
        <v>13</v>
      </c>
      <c r="D17" s="82" t="s">
        <v>14</v>
      </c>
      <c r="E17" s="82" t="s">
        <v>15</v>
      </c>
      <c r="F17" s="82" t="s">
        <v>16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</row>
    <row r="18" spans="1:25" ht="13.5" customHeight="1">
      <c r="A18" s="76"/>
      <c r="B18" s="120" t="s">
        <v>17</v>
      </c>
      <c r="C18" s="121"/>
      <c r="D18" s="121"/>
      <c r="E18" s="121"/>
      <c r="F18" s="122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</row>
    <row r="19" spans="1:25" ht="13.5" customHeight="1">
      <c r="A19" s="76"/>
      <c r="B19" s="83">
        <v>1</v>
      </c>
      <c r="C19" s="115"/>
      <c r="D19" s="85"/>
      <c r="E19" s="85"/>
      <c r="F19" s="8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</row>
    <row r="20" spans="1:25" ht="13.5" customHeight="1">
      <c r="A20" s="76"/>
      <c r="B20" s="83">
        <v>2</v>
      </c>
      <c r="C20" s="84"/>
      <c r="D20" s="85"/>
      <c r="E20" s="85"/>
      <c r="F20" s="8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</row>
    <row r="21" spans="1:25" ht="13.5" customHeight="1">
      <c r="A21" s="76"/>
      <c r="B21" s="83">
        <v>3</v>
      </c>
      <c r="C21" s="84"/>
      <c r="D21" s="85"/>
      <c r="E21" s="85"/>
      <c r="F21" s="8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</row>
    <row r="22" spans="1:25" ht="13.5" customHeight="1">
      <c r="A22" s="76"/>
      <c r="B22" s="120" t="s">
        <v>18</v>
      </c>
      <c r="C22" s="121"/>
      <c r="D22" s="121"/>
      <c r="E22" s="121"/>
      <c r="F22" s="122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</row>
    <row r="23" spans="1:25" ht="13.5" customHeight="1">
      <c r="A23" s="76"/>
      <c r="B23" s="87">
        <v>1</v>
      </c>
      <c r="C23" s="116">
        <v>59513</v>
      </c>
      <c r="D23" s="88"/>
      <c r="E23" s="41"/>
      <c r="F23" s="41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</row>
    <row r="24" spans="1:25" ht="13.5" customHeight="1">
      <c r="A24" s="76"/>
      <c r="B24" s="87">
        <v>2</v>
      </c>
      <c r="C24" s="73"/>
      <c r="D24" s="88"/>
      <c r="E24" s="41"/>
      <c r="F24" s="41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</row>
    <row r="25" spans="1:25" ht="13.5" customHeight="1">
      <c r="A25" s="76"/>
      <c r="B25" s="87">
        <v>3</v>
      </c>
      <c r="C25" s="73"/>
      <c r="D25" s="88"/>
      <c r="E25" s="41"/>
      <c r="F25" s="41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</row>
    <row r="26" spans="1:25" ht="13.5" customHeight="1">
      <c r="A26" s="76"/>
      <c r="B26" s="87">
        <v>4</v>
      </c>
      <c r="C26" s="73"/>
      <c r="D26" s="88"/>
      <c r="E26" s="41"/>
      <c r="F26" s="41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</row>
    <row r="27" spans="1:25" ht="13.5" customHeight="1">
      <c r="A27" s="76"/>
      <c r="B27" s="87">
        <v>5</v>
      </c>
      <c r="C27" s="73"/>
      <c r="D27" s="88"/>
      <c r="E27" s="41"/>
      <c r="F27" s="41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</row>
    <row r="28" spans="1:25" ht="13.5" customHeight="1">
      <c r="A28" s="76"/>
      <c r="B28" s="123" t="s">
        <v>19</v>
      </c>
      <c r="C28" s="124"/>
      <c r="D28" s="124"/>
      <c r="E28" s="124"/>
      <c r="F28" s="125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</row>
    <row r="29" spans="1:25" ht="13.5" customHeight="1">
      <c r="A29" s="76"/>
      <c r="B29" s="89" t="s">
        <v>20</v>
      </c>
      <c r="C29" s="90" t="s">
        <v>21</v>
      </c>
      <c r="D29" s="91"/>
      <c r="E29" s="91"/>
      <c r="F29" s="91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</row>
    <row r="30" spans="1:25" ht="13.5" customHeight="1">
      <c r="A30" s="76"/>
      <c r="B30" s="89" t="s">
        <v>22</v>
      </c>
      <c r="C30" s="92" t="s">
        <v>23</v>
      </c>
      <c r="D30" s="91"/>
      <c r="E30" s="91"/>
      <c r="F30" s="91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</row>
    <row r="31" spans="1:25" ht="13.5" customHeight="1">
      <c r="A31" s="76"/>
      <c r="B31" s="93" t="s">
        <v>24</v>
      </c>
      <c r="C31" s="92" t="s">
        <v>150</v>
      </c>
      <c r="D31" s="91"/>
      <c r="E31" s="91"/>
      <c r="F31" s="91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</row>
    <row r="32" spans="1:25" ht="13.5" customHeight="1">
      <c r="A32" s="76"/>
      <c r="B32" s="94" t="s">
        <v>26</v>
      </c>
      <c r="C32" s="95"/>
      <c r="D32" s="95"/>
      <c r="E32" s="96">
        <v>2</v>
      </c>
      <c r="F32" s="95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</row>
    <row r="33" spans="1:25" ht="13.5" customHeight="1">
      <c r="A33" s="76"/>
      <c r="B33" s="120" t="s">
        <v>27</v>
      </c>
      <c r="C33" s="121"/>
      <c r="D33" s="121"/>
      <c r="E33" s="121"/>
      <c r="F33" s="122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13.5" customHeight="1">
      <c r="A34" s="76"/>
      <c r="B34" s="83">
        <v>1</v>
      </c>
      <c r="C34" s="116" t="s">
        <v>177</v>
      </c>
      <c r="D34" s="97"/>
      <c r="E34" s="98">
        <v>1</v>
      </c>
      <c r="F34" s="99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</row>
    <row r="35" spans="1:25" ht="13.5" customHeight="1">
      <c r="A35" s="76"/>
      <c r="B35" s="87">
        <v>2</v>
      </c>
      <c r="C35" s="116" t="s">
        <v>178</v>
      </c>
      <c r="D35" s="97"/>
      <c r="E35" s="41">
        <v>1</v>
      </c>
      <c r="F35" s="99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</row>
    <row r="36" spans="1:25" ht="13.5" customHeight="1">
      <c r="A36" s="76"/>
      <c r="B36" s="87">
        <v>3</v>
      </c>
      <c r="C36" s="116" t="s">
        <v>179</v>
      </c>
      <c r="D36" s="97"/>
      <c r="E36" s="41">
        <v>1</v>
      </c>
      <c r="F36" s="99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</row>
    <row r="37" spans="1:25" ht="13.5" customHeight="1">
      <c r="A37" s="76"/>
      <c r="B37" s="87">
        <v>4</v>
      </c>
      <c r="C37" s="116" t="s">
        <v>180</v>
      </c>
      <c r="D37" s="97"/>
      <c r="E37" s="41">
        <v>1</v>
      </c>
      <c r="F37" s="99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</row>
    <row r="38" spans="1:25" ht="13.5" customHeight="1">
      <c r="A38" s="76"/>
      <c r="B38" s="123" t="s">
        <v>28</v>
      </c>
      <c r="C38" s="124"/>
      <c r="D38" s="121"/>
      <c r="E38" s="124"/>
      <c r="F38" s="122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</row>
    <row r="39" spans="1:25" ht="13.5" customHeight="1">
      <c r="A39" s="76"/>
      <c r="B39" s="87">
        <v>1</v>
      </c>
      <c r="C39" s="116"/>
      <c r="D39" s="97"/>
      <c r="E39" s="41"/>
      <c r="F39" s="99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</row>
    <row r="40" spans="1:25" ht="13.5" customHeight="1">
      <c r="A40" s="76"/>
      <c r="B40" s="87">
        <v>2</v>
      </c>
      <c r="C40" s="73"/>
      <c r="D40" s="97"/>
      <c r="E40" s="41"/>
      <c r="F40" s="99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</row>
    <row r="41" spans="1:25" ht="13.5" customHeight="1">
      <c r="A41" s="76"/>
      <c r="B41" s="87">
        <v>3</v>
      </c>
      <c r="C41" s="73"/>
      <c r="D41" s="97"/>
      <c r="E41" s="41"/>
      <c r="F41" s="99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</row>
    <row r="42" spans="1:25" ht="13.5" customHeight="1">
      <c r="A42" s="76"/>
      <c r="B42" s="87">
        <v>4</v>
      </c>
      <c r="C42" s="73"/>
      <c r="D42" s="97"/>
      <c r="E42" s="41"/>
      <c r="F42" s="99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</row>
    <row r="43" spans="1:25" ht="13.5" customHeight="1">
      <c r="A43" s="76"/>
      <c r="B43" s="123" t="s">
        <v>29</v>
      </c>
      <c r="C43" s="124"/>
      <c r="D43" s="121"/>
      <c r="E43" s="124"/>
      <c r="F43" s="122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</row>
    <row r="44" spans="1:25" ht="13.5" customHeight="1">
      <c r="A44" s="76"/>
      <c r="B44" s="93" t="s">
        <v>30</v>
      </c>
      <c r="C44" s="91"/>
      <c r="D44" s="91"/>
      <c r="E44" s="100"/>
      <c r="F44" s="91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</row>
    <row r="45" spans="1:25" ht="13.5" customHeight="1">
      <c r="A45" s="76"/>
      <c r="B45" s="120" t="s">
        <v>31</v>
      </c>
      <c r="C45" s="121"/>
      <c r="D45" s="121"/>
      <c r="E45" s="121"/>
      <c r="F45" s="122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</row>
    <row r="46" spans="1:25" ht="13.5" customHeight="1">
      <c r="A46" s="101"/>
      <c r="B46" s="83">
        <v>1</v>
      </c>
      <c r="C46" s="84"/>
      <c r="D46" s="102"/>
      <c r="E46" s="98"/>
      <c r="F46" s="98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</row>
    <row r="47" spans="1:25" ht="13.5" customHeight="1">
      <c r="A47" s="101"/>
      <c r="B47" s="83">
        <v>2</v>
      </c>
      <c r="C47" s="84"/>
      <c r="D47" s="102"/>
      <c r="E47" s="98"/>
      <c r="F47" s="98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25" ht="13.5" customHeight="1">
      <c r="A48" s="101"/>
      <c r="B48" s="87">
        <v>3</v>
      </c>
      <c r="C48" s="73"/>
      <c r="D48" s="103"/>
      <c r="E48" s="41"/>
      <c r="F48" s="41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</row>
    <row r="49" spans="1:25" ht="13.5" customHeight="1">
      <c r="A49" s="101"/>
      <c r="B49" s="87">
        <v>4</v>
      </c>
      <c r="C49" s="73"/>
      <c r="D49" s="103"/>
      <c r="E49" s="41"/>
      <c r="F49" s="41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</row>
    <row r="50" spans="1:25" ht="13.5" customHeight="1">
      <c r="A50" s="76"/>
      <c r="B50" s="120" t="s">
        <v>32</v>
      </c>
      <c r="C50" s="121"/>
      <c r="D50" s="121"/>
      <c r="E50" s="121"/>
      <c r="F50" s="122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</row>
    <row r="51" spans="1:25" ht="13.5" customHeight="1">
      <c r="A51" s="76"/>
      <c r="B51" s="87">
        <v>1</v>
      </c>
      <c r="C51" s="73"/>
      <c r="D51" s="103"/>
      <c r="E51" s="41"/>
      <c r="F51" s="41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</row>
    <row r="52" spans="1:25" ht="13.5" customHeight="1">
      <c r="A52" s="76"/>
      <c r="B52" s="87">
        <v>2</v>
      </c>
      <c r="C52" s="73"/>
      <c r="D52" s="103"/>
      <c r="E52" s="41"/>
      <c r="F52" s="41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</row>
    <row r="53" spans="1:25" ht="13.5" customHeight="1">
      <c r="A53" s="76"/>
      <c r="B53" s="87">
        <v>3</v>
      </c>
      <c r="C53" s="73"/>
      <c r="D53" s="103"/>
      <c r="E53" s="41"/>
      <c r="F53" s="41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</row>
    <row r="54" spans="1:25" ht="13.5" customHeight="1">
      <c r="A54" s="76"/>
      <c r="B54" s="87">
        <v>4</v>
      </c>
      <c r="C54" s="73"/>
      <c r="D54" s="103"/>
      <c r="E54" s="41"/>
      <c r="F54" s="41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</row>
    <row r="55" spans="1:25" ht="13.5" customHeight="1">
      <c r="A55" s="76"/>
      <c r="B55" s="87">
        <v>5</v>
      </c>
      <c r="C55" s="73"/>
      <c r="D55" s="103"/>
      <c r="E55" s="41"/>
      <c r="F55" s="41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</row>
    <row r="56" spans="1:25" ht="13.5" customHeight="1">
      <c r="A56" s="76"/>
      <c r="B56" s="87">
        <v>6</v>
      </c>
      <c r="C56" s="73"/>
      <c r="D56" s="103"/>
      <c r="E56" s="41"/>
      <c r="F56" s="41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</row>
    <row r="57" spans="1:25" ht="13.5" customHeight="1">
      <c r="A57" s="76"/>
      <c r="B57" s="104"/>
      <c r="C57" s="104"/>
      <c r="D57" s="104"/>
      <c r="E57" s="104"/>
      <c r="F57" s="104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1:25" ht="13.5" customHeight="1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</row>
    <row r="59" spans="1:25" ht="57.75" customHeight="1">
      <c r="A59" s="76"/>
      <c r="B59" s="105" t="s">
        <v>33</v>
      </c>
      <c r="C59" s="105" t="s">
        <v>34</v>
      </c>
      <c r="D59" s="105" t="s">
        <v>35</v>
      </c>
      <c r="E59" s="106" t="s">
        <v>36</v>
      </c>
      <c r="F59" s="107" t="s">
        <v>37</v>
      </c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</row>
    <row r="60" spans="1:25" ht="13.5" customHeight="1">
      <c r="A60" s="76"/>
      <c r="B60" s="108">
        <v>1</v>
      </c>
      <c r="C60" s="73" t="s">
        <v>38</v>
      </c>
      <c r="D60" s="41">
        <v>3200</v>
      </c>
      <c r="E60" s="41"/>
      <c r="F60" s="41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</row>
    <row r="61" spans="1:25" ht="13.5" customHeight="1">
      <c r="A61" s="76"/>
      <c r="B61" s="109">
        <v>2</v>
      </c>
      <c r="C61" s="116" t="s">
        <v>213</v>
      </c>
      <c r="D61" s="41">
        <v>2074</v>
      </c>
      <c r="E61" s="41"/>
      <c r="F61" s="41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</row>
    <row r="62" spans="1:25" ht="13.5" customHeight="1">
      <c r="A62" s="76"/>
      <c r="B62" s="109">
        <v>3</v>
      </c>
      <c r="C62" s="116" t="s">
        <v>214</v>
      </c>
      <c r="D62" s="41">
        <v>2859</v>
      </c>
      <c r="E62" s="41"/>
      <c r="F62" s="41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</row>
    <row r="63" spans="1:25" ht="13.5" customHeight="1">
      <c r="A63" s="76"/>
      <c r="B63" s="109">
        <v>4</v>
      </c>
      <c r="C63" s="116" t="s">
        <v>177</v>
      </c>
      <c r="D63" s="41">
        <v>150</v>
      </c>
      <c r="E63" s="41"/>
      <c r="F63" s="41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</row>
    <row r="64" spans="1:25" ht="13.5" customHeight="1">
      <c r="A64" s="76"/>
      <c r="B64" s="109">
        <v>5</v>
      </c>
      <c r="C64" s="116" t="s">
        <v>178</v>
      </c>
      <c r="D64" s="41">
        <v>150</v>
      </c>
      <c r="E64" s="41"/>
      <c r="F64" s="41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</row>
    <row r="65" spans="1:25" ht="13.5" customHeight="1">
      <c r="A65" s="76"/>
      <c r="B65" s="109">
        <v>6</v>
      </c>
      <c r="C65" s="73" t="s">
        <v>219</v>
      </c>
      <c r="D65" s="41">
        <v>400</v>
      </c>
      <c r="E65" s="41"/>
      <c r="F65" s="41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13.5" customHeight="1">
      <c r="A66" s="76"/>
      <c r="B66" s="109">
        <v>7</v>
      </c>
      <c r="C66" s="116" t="s">
        <v>180</v>
      </c>
      <c r="D66" s="41">
        <v>80</v>
      </c>
      <c r="E66" s="41"/>
      <c r="F66" s="41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25" ht="13.5" customHeight="1">
      <c r="A67" s="76"/>
      <c r="B67" s="109">
        <v>8</v>
      </c>
      <c r="C67" s="73" t="s">
        <v>218</v>
      </c>
      <c r="D67" s="41">
        <v>0</v>
      </c>
      <c r="E67" s="41"/>
      <c r="F67" s="41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</row>
    <row r="68" spans="1:25" ht="13.5" customHeight="1">
      <c r="A68" s="76"/>
      <c r="B68" s="109">
        <v>9</v>
      </c>
      <c r="C68" s="73" t="s">
        <v>225</v>
      </c>
      <c r="D68" s="41">
        <v>0</v>
      </c>
      <c r="E68" s="41"/>
      <c r="F68" s="41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</row>
    <row r="69" spans="1:25" ht="13.5" customHeight="1">
      <c r="A69" s="76"/>
      <c r="B69" s="109">
        <v>10</v>
      </c>
      <c r="C69" s="73" t="s">
        <v>39</v>
      </c>
      <c r="D69" s="41">
        <v>7600</v>
      </c>
      <c r="E69" s="41"/>
      <c r="F69" s="41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</row>
    <row r="70" spans="1:25" ht="13.5" customHeight="1">
      <c r="A70" s="76"/>
      <c r="B70" s="109">
        <v>11</v>
      </c>
      <c r="C70" s="73" t="s">
        <v>40</v>
      </c>
      <c r="D70" s="41">
        <v>20</v>
      </c>
      <c r="E70" s="41"/>
      <c r="F70" s="41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</row>
    <row r="71" spans="1:25" ht="13.5" customHeight="1">
      <c r="A71" s="76"/>
      <c r="B71" s="109">
        <v>12</v>
      </c>
      <c r="C71" s="116" t="s">
        <v>174</v>
      </c>
      <c r="D71" s="41">
        <v>0</v>
      </c>
      <c r="E71" s="41"/>
      <c r="F71" s="41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</row>
    <row r="72" spans="1:25" ht="13.5" customHeight="1">
      <c r="A72" s="76"/>
      <c r="B72" s="109">
        <v>13</v>
      </c>
      <c r="C72" s="116" t="s">
        <v>181</v>
      </c>
      <c r="D72" s="41">
        <v>120</v>
      </c>
      <c r="E72" s="41"/>
      <c r="F72" s="41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</row>
    <row r="73" spans="1:25" ht="13.5" customHeight="1">
      <c r="A73" s="76"/>
      <c r="B73" s="109">
        <v>14</v>
      </c>
      <c r="C73" s="116" t="s">
        <v>175</v>
      </c>
      <c r="D73" s="41">
        <v>0</v>
      </c>
      <c r="E73" s="41"/>
      <c r="F73" s="41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</row>
    <row r="74" spans="1:25" ht="13.5" customHeight="1">
      <c r="A74" s="76"/>
      <c r="B74" s="109">
        <v>15</v>
      </c>
      <c r="C74" s="116" t="s">
        <v>212</v>
      </c>
      <c r="D74" s="41">
        <v>100</v>
      </c>
      <c r="E74" s="41"/>
      <c r="F74" s="41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</row>
    <row r="75" spans="1:25" ht="13.5" customHeight="1">
      <c r="A75" s="76"/>
      <c r="B75" s="109">
        <v>16</v>
      </c>
      <c r="C75" s="73" t="s">
        <v>236</v>
      </c>
      <c r="D75" s="41">
        <v>80</v>
      </c>
      <c r="E75" s="41"/>
      <c r="F75" s="41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</row>
    <row r="76" spans="1:25" ht="4.9000000000000004" customHeight="1">
      <c r="A76" s="76"/>
      <c r="B76" s="76"/>
      <c r="C76" s="76"/>
      <c r="D76" s="110"/>
      <c r="E76" s="110"/>
      <c r="F76" s="110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</row>
    <row r="77" spans="1:25" ht="13.5" customHeight="1">
      <c r="A77" s="76"/>
      <c r="B77" s="111"/>
      <c r="C77" s="112" t="s">
        <v>41</v>
      </c>
      <c r="D77" s="113">
        <f>SUM(D60:D76)</f>
        <v>16833</v>
      </c>
      <c r="E77" s="113">
        <f>SUM(E60:E76)</f>
        <v>0</v>
      </c>
      <c r="F77" s="113">
        <f>SUM(F60:F76)</f>
        <v>0</v>
      </c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</row>
    <row r="78" spans="1:25" ht="13.5" customHeight="1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</row>
    <row r="79" spans="1:25" ht="13.5" customHeight="1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</row>
    <row r="80" spans="1:25" ht="13.5" customHeight="1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</row>
    <row r="81" spans="1:25" ht="13.5" customHeight="1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</row>
    <row r="82" spans="1:25" ht="13.5" customHeight="1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</row>
    <row r="83" spans="1:25" ht="13.5" customHeight="1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</row>
    <row r="84" spans="1:25" ht="13.5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</row>
    <row r="85" spans="1:25" ht="13.5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</row>
    <row r="86" spans="1:25" ht="13.5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</row>
    <row r="87" spans="1:25" ht="13.5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</row>
    <row r="88" spans="1:25" ht="13.5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</row>
    <row r="89" spans="1:25" ht="13.5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</row>
    <row r="90" spans="1:25" ht="13.5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</row>
    <row r="91" spans="1:25" ht="13.5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</row>
    <row r="92" spans="1:25" ht="13.5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</row>
    <row r="93" spans="1:25" ht="13.5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</row>
    <row r="94" spans="1:25" ht="13.5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</row>
    <row r="95" spans="1:25" ht="13.5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</row>
    <row r="96" spans="1:25" ht="13.5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</row>
    <row r="97" spans="1:25" ht="13.5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13.5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</row>
    <row r="99" spans="1:25" ht="13.5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</row>
    <row r="100" spans="1:25" ht="13.5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</row>
    <row r="101" spans="1:25" ht="13.5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</row>
    <row r="102" spans="1:25" ht="13.5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</row>
    <row r="103" spans="1:25" ht="13.5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</row>
    <row r="104" spans="1:25" ht="13.5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</row>
    <row r="105" spans="1:25" ht="13.5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</row>
    <row r="106" spans="1:25" ht="13.5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</row>
    <row r="107" spans="1:25" ht="13.5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</row>
    <row r="108" spans="1:25" ht="13.5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</row>
    <row r="109" spans="1:25" ht="13.5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</row>
    <row r="110" spans="1:25" ht="13.5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</row>
    <row r="111" spans="1:25" ht="13.5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</row>
    <row r="112" spans="1:25" ht="13.5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</row>
    <row r="113" spans="1:25" ht="13.5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</row>
    <row r="114" spans="1:25" ht="13.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</row>
    <row r="115" spans="1:25" ht="13.5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</row>
    <row r="116" spans="1:25" ht="13.5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</row>
    <row r="117" spans="1:25" ht="13.5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</row>
    <row r="118" spans="1:25" ht="13.5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</row>
    <row r="119" spans="1:25" ht="13.5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</row>
    <row r="120" spans="1:25" ht="13.5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</row>
    <row r="121" spans="1:25" ht="13.5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</row>
    <row r="122" spans="1:25" ht="13.5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</row>
    <row r="123" spans="1:25" ht="13.5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</row>
    <row r="124" spans="1:25" ht="13.5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</row>
    <row r="125" spans="1:25" ht="13.5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</row>
    <row r="126" spans="1:25" ht="13.5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</row>
    <row r="127" spans="1:25" ht="13.5" customHeigh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</row>
    <row r="128" spans="1:25" ht="13.5" customHeigh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</row>
    <row r="129" spans="1:25" ht="13.5" customHeigh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13.5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</row>
    <row r="131" spans="1:25" ht="13.5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</row>
    <row r="132" spans="1:25" ht="13.5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</row>
    <row r="133" spans="1:25" ht="13.5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</row>
    <row r="134" spans="1:25" ht="13.5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</row>
    <row r="135" spans="1:25" ht="13.5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</row>
    <row r="136" spans="1:25" ht="13.5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</row>
    <row r="137" spans="1:25" ht="13.5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</row>
    <row r="138" spans="1:25" ht="13.5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</row>
    <row r="139" spans="1:25" ht="13.5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</row>
    <row r="140" spans="1:25" ht="13.5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</row>
    <row r="141" spans="1:25" ht="13.5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</row>
    <row r="142" spans="1:25" ht="13.5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</row>
    <row r="143" spans="1:25" ht="13.5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</row>
    <row r="144" spans="1:25" ht="13.5" customHeight="1">
      <c r="A144" s="76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</row>
    <row r="145" spans="1:25" ht="13.5" customHeight="1">
      <c r="A145" s="76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</row>
    <row r="146" spans="1:25" ht="13.5" customHeight="1">
      <c r="A146" s="76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</row>
    <row r="147" spans="1:25" ht="13.5" customHeight="1">
      <c r="A147" s="76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</row>
    <row r="148" spans="1:25" ht="13.5" customHeight="1">
      <c r="A148" s="76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</row>
    <row r="149" spans="1:25" ht="13.5" customHeight="1">
      <c r="A149" s="76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 ht="13.5" customHeight="1">
      <c r="A150" s="76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 ht="13.5" customHeight="1">
      <c r="A151" s="76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 ht="13.5" customHeight="1">
      <c r="A152" s="76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 ht="13.5" customHeight="1">
      <c r="A153" s="76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 ht="13.5" customHeight="1">
      <c r="A154" s="76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  <row r="155" spans="1:25" ht="13.5" customHeight="1">
      <c r="A155" s="76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</row>
    <row r="156" spans="1:25" ht="13.5" customHeight="1">
      <c r="A156" s="76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</row>
    <row r="157" spans="1:25" ht="13.5" customHeight="1">
      <c r="A157" s="76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</row>
    <row r="158" spans="1:25" ht="13.5" customHeight="1">
      <c r="A158" s="76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</row>
    <row r="159" spans="1:25" ht="13.5" customHeight="1">
      <c r="A159" s="76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</row>
    <row r="160" spans="1:25" ht="13.5" customHeight="1">
      <c r="A160" s="76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</row>
    <row r="161" spans="1:25" ht="13.5" customHeight="1">
      <c r="A161" s="76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13.5" customHeight="1">
      <c r="A162" s="76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</row>
    <row r="163" spans="1:25" ht="13.5" customHeight="1">
      <c r="A163" s="76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</row>
    <row r="164" spans="1:25" ht="13.5" customHeight="1">
      <c r="A164" s="76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</row>
    <row r="165" spans="1:25" ht="13.5" customHeight="1">
      <c r="A165" s="76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</row>
    <row r="166" spans="1:25" ht="13.5" customHeight="1">
      <c r="A166" s="76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</row>
    <row r="167" spans="1:25" ht="13.5" customHeight="1">
      <c r="A167" s="76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</row>
    <row r="168" spans="1:25" ht="13.5" customHeight="1">
      <c r="A168" s="76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</row>
    <row r="169" spans="1:25" ht="13.5" customHeight="1">
      <c r="A169" s="76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</row>
    <row r="170" spans="1:25" ht="13.5" customHeight="1">
      <c r="A170" s="76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</row>
    <row r="171" spans="1:25" ht="13.5" customHeight="1">
      <c r="A171" s="76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</row>
    <row r="172" spans="1:25" ht="13.5" customHeight="1">
      <c r="A172" s="76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</row>
    <row r="173" spans="1:25" ht="13.5" customHeight="1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</row>
    <row r="174" spans="1:25" ht="13.5" customHeight="1">
      <c r="A174" s="76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</row>
    <row r="175" spans="1:25" ht="13.5" customHeight="1">
      <c r="A175" s="76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</row>
    <row r="176" spans="1:25" ht="13.5" customHeight="1">
      <c r="A176" s="76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</row>
    <row r="177" spans="1:25" ht="13.5" customHeight="1">
      <c r="A177" s="76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</row>
    <row r="178" spans="1:25" ht="13.5" customHeight="1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</row>
    <row r="179" spans="1:25" ht="13.5" customHeight="1">
      <c r="A179" s="76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</row>
    <row r="180" spans="1:25" ht="13.5" customHeight="1">
      <c r="A180" s="76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</row>
    <row r="181" spans="1:25" ht="13.5" customHeight="1">
      <c r="A181" s="76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</row>
    <row r="182" spans="1:25" ht="13.5" customHeight="1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</row>
    <row r="183" spans="1:25" ht="13.5" customHeight="1">
      <c r="A183" s="76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</row>
    <row r="184" spans="1:25" ht="13.5" customHeight="1">
      <c r="A184" s="76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</row>
    <row r="185" spans="1:25" ht="13.5" customHeight="1">
      <c r="A185" s="76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</row>
    <row r="186" spans="1:25" ht="13.5" customHeight="1">
      <c r="A186" s="76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</row>
    <row r="187" spans="1:25" ht="13.5" customHeight="1">
      <c r="A187" s="76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</row>
    <row r="188" spans="1:25" ht="13.5" customHeight="1">
      <c r="A188" s="76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</row>
    <row r="189" spans="1:25" ht="13.5" customHeight="1">
      <c r="A189" s="76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</row>
    <row r="190" spans="1:25" ht="13.5" customHeight="1">
      <c r="A190" s="76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</row>
    <row r="191" spans="1:25" ht="13.5" customHeight="1">
      <c r="A191" s="76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</row>
    <row r="192" spans="1:25" ht="13.5" customHeight="1">
      <c r="A192" s="76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</row>
    <row r="193" spans="1:25" ht="13.5" customHeight="1">
      <c r="A193" s="76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ht="13.5" customHeight="1">
      <c r="A194" s="76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</row>
    <row r="195" spans="1:25" ht="13.5" customHeight="1">
      <c r="A195" s="76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</row>
    <row r="196" spans="1:25" ht="13.5" customHeight="1">
      <c r="A196" s="76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</row>
    <row r="197" spans="1:25" ht="13.5" customHeight="1">
      <c r="A197" s="76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</row>
    <row r="198" spans="1:25" ht="13.5" customHeight="1">
      <c r="A198" s="76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</row>
    <row r="199" spans="1:25" ht="13.5" customHeight="1">
      <c r="A199" s="76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</row>
    <row r="200" spans="1:25" ht="13.5" customHeight="1">
      <c r="A200" s="76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</row>
    <row r="201" spans="1:25" ht="13.5" customHeight="1">
      <c r="A201" s="76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</row>
    <row r="202" spans="1:25" ht="13.5" customHeight="1">
      <c r="A202" s="76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</row>
    <row r="203" spans="1:25" ht="13.5" customHeight="1">
      <c r="A203" s="76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</row>
    <row r="204" spans="1:25" ht="13.5" customHeight="1">
      <c r="A204" s="76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</row>
    <row r="205" spans="1:25" ht="13.5" customHeight="1">
      <c r="A205" s="76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</row>
    <row r="206" spans="1:25" ht="13.5" customHeight="1">
      <c r="A206" s="76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</row>
    <row r="207" spans="1:25" ht="13.5" customHeight="1">
      <c r="A207" s="76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</row>
    <row r="208" spans="1:25" ht="13.5" customHeight="1">
      <c r="A208" s="76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</row>
    <row r="209" spans="1:25" ht="13.5" customHeight="1">
      <c r="A209" s="76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</row>
    <row r="210" spans="1:25" ht="13.5" customHeight="1">
      <c r="A210" s="76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</row>
    <row r="211" spans="1:25" ht="13.5" customHeight="1">
      <c r="A211" s="76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</row>
    <row r="212" spans="1:25" ht="13.5" customHeight="1">
      <c r="A212" s="76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</row>
    <row r="213" spans="1:25" ht="13.5" customHeight="1">
      <c r="A213" s="76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</row>
    <row r="214" spans="1:25" ht="13.5" customHeight="1">
      <c r="A214" s="76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</row>
    <row r="215" spans="1:25" ht="13.5" customHeight="1">
      <c r="A215" s="76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</row>
    <row r="216" spans="1:25" ht="13.5" customHeight="1">
      <c r="A216" s="76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</row>
    <row r="217" spans="1:25" ht="13.5" customHeight="1">
      <c r="A217" s="76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</row>
    <row r="218" spans="1:25" ht="13.5" customHeight="1">
      <c r="A218" s="76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</row>
    <row r="219" spans="1:25" ht="13.5" customHeight="1">
      <c r="A219" s="76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</row>
    <row r="220" spans="1:25" ht="13.5" customHeight="1">
      <c r="A220" s="76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</row>
    <row r="221" spans="1:25" ht="13.5" customHeight="1">
      <c r="A221" s="76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</row>
    <row r="222" spans="1:25" ht="13.5" customHeight="1">
      <c r="A222" s="76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</row>
    <row r="223" spans="1:25" ht="13.5" customHeight="1">
      <c r="A223" s="76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</row>
    <row r="224" spans="1:25" ht="13.5" customHeight="1">
      <c r="A224" s="76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</row>
    <row r="225" spans="1:25" ht="13.5" customHeight="1">
      <c r="A225" s="76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ht="13.5" customHeight="1">
      <c r="A226" s="76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</row>
    <row r="227" spans="1:25" ht="13.5" customHeight="1">
      <c r="A227" s="76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</row>
    <row r="228" spans="1:25" ht="13.5" customHeight="1">
      <c r="A228" s="76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</row>
    <row r="229" spans="1:25" ht="13.5" customHeight="1">
      <c r="A229" s="76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</row>
    <row r="230" spans="1:25" ht="13.5" customHeight="1">
      <c r="A230" s="76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</row>
    <row r="231" spans="1:25" ht="13.5" customHeight="1">
      <c r="A231" s="76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</row>
    <row r="232" spans="1:25" ht="13.5" customHeight="1">
      <c r="A232" s="76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</row>
    <row r="233" spans="1:25" ht="13.5" customHeight="1">
      <c r="A233" s="76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</row>
    <row r="234" spans="1:25" ht="13.5" customHeight="1">
      <c r="A234" s="76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</row>
    <row r="235" spans="1:25" ht="13.5" customHeight="1">
      <c r="A235" s="76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</row>
    <row r="236" spans="1:25" ht="13.5" customHeight="1">
      <c r="A236" s="76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</row>
    <row r="237" spans="1:25" ht="13.5" customHeight="1">
      <c r="A237" s="76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</row>
    <row r="238" spans="1:25" ht="13.5" customHeight="1">
      <c r="A238" s="76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</row>
    <row r="239" spans="1:25" ht="13.5" customHeight="1">
      <c r="A239" s="76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</row>
    <row r="240" spans="1:25" ht="13.5" customHeight="1">
      <c r="A240" s="76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</row>
    <row r="241" spans="1:25" ht="13.5" customHeight="1">
      <c r="A241" s="76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</row>
    <row r="242" spans="1:25" ht="13.5" customHeight="1">
      <c r="A242" s="76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</row>
    <row r="243" spans="1:25" ht="13.5" customHeight="1">
      <c r="A243" s="76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</row>
    <row r="244" spans="1:25" ht="13.5" customHeight="1">
      <c r="A244" s="76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</row>
    <row r="245" spans="1:25" ht="13.5" customHeight="1">
      <c r="A245" s="76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</row>
    <row r="246" spans="1:25" ht="13.5" customHeight="1">
      <c r="A246" s="76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</row>
    <row r="247" spans="1:25" ht="13.5" customHeight="1">
      <c r="A247" s="76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</row>
    <row r="248" spans="1:25" ht="13.5" customHeight="1">
      <c r="A248" s="76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</row>
    <row r="249" spans="1:25" ht="13.5" customHeight="1">
      <c r="A249" s="76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</row>
    <row r="250" spans="1:25" ht="13.5" customHeight="1">
      <c r="A250" s="76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</row>
    <row r="251" spans="1:25" ht="13.5" customHeight="1">
      <c r="A251" s="76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</row>
    <row r="252" spans="1:25" ht="13.5" customHeight="1">
      <c r="A252" s="76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</row>
    <row r="253" spans="1:25" ht="13.5" customHeight="1">
      <c r="A253" s="76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</row>
    <row r="254" spans="1:25" ht="13.5" customHeight="1">
      <c r="A254" s="76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</row>
    <row r="255" spans="1:25" ht="13.5" customHeight="1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</row>
    <row r="256" spans="1:25" ht="13.5" customHeight="1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</row>
    <row r="257" spans="1:25" ht="13.5" customHeight="1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</row>
    <row r="258" spans="1:25" ht="13.5" customHeight="1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</row>
    <row r="259" spans="1:25" ht="13.5" customHeight="1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</row>
    <row r="260" spans="1:25" ht="13.5" customHeight="1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</row>
    <row r="261" spans="1:25" ht="13.5" customHeight="1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</row>
    <row r="262" spans="1:25" ht="13.5" customHeight="1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</row>
    <row r="263" spans="1:25" ht="13.5" customHeight="1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</row>
    <row r="264" spans="1:25" ht="13.5" customHeight="1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</row>
    <row r="265" spans="1:25" ht="13.5" customHeight="1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</row>
    <row r="266" spans="1:25" ht="13.5" customHeight="1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</row>
    <row r="267" spans="1:25" ht="13.5" customHeight="1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</row>
    <row r="268" spans="1:25" ht="13.5" customHeight="1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</row>
    <row r="269" spans="1:25" ht="13.5" customHeight="1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</row>
    <row r="270" spans="1:25" ht="13.5" customHeight="1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</row>
    <row r="271" spans="1:25" ht="13.5" customHeight="1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</row>
    <row r="272" spans="1:25" ht="13.5" customHeight="1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</row>
    <row r="273" spans="1:25" ht="13.5" customHeight="1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</row>
    <row r="274" spans="1:25" ht="13.5" customHeight="1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</row>
    <row r="275" spans="1:25" ht="13.5" customHeight="1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</row>
    <row r="276" spans="1:25" ht="13.5" customHeight="1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</row>
    <row r="277" spans="1:25" ht="13.5" customHeight="1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</row>
    <row r="278" spans="1:25" ht="13.5" customHeight="1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</row>
    <row r="279" spans="1:25" ht="13.5" customHeight="1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</row>
    <row r="280" spans="1:25" ht="13.5" customHeight="1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</row>
    <row r="281" spans="1:25" ht="13.5" customHeight="1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</row>
    <row r="282" spans="1:25" ht="13.5" customHeight="1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</row>
    <row r="283" spans="1:25" ht="13.5" customHeight="1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</row>
    <row r="284" spans="1:25" ht="13.5" customHeight="1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</row>
    <row r="285" spans="1:25" ht="13.5" customHeight="1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</row>
    <row r="286" spans="1:25" ht="13.5" customHeight="1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</row>
    <row r="287" spans="1:25" ht="13.5" customHeight="1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</row>
    <row r="288" spans="1:25" ht="13.5" customHeight="1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</row>
    <row r="289" spans="1:25" ht="13.5" customHeight="1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</row>
    <row r="290" spans="1:25" ht="13.5" customHeight="1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</row>
    <row r="291" spans="1:25" ht="13.5" customHeight="1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</row>
    <row r="292" spans="1:25" ht="13.5" customHeight="1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</row>
    <row r="293" spans="1:25" ht="13.5" customHeight="1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</row>
    <row r="294" spans="1:25" ht="13.5" customHeight="1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</row>
    <row r="295" spans="1:25" ht="13.5" customHeight="1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</row>
    <row r="296" spans="1:25" ht="13.5" customHeight="1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</row>
    <row r="297" spans="1:25" ht="13.5" customHeight="1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</row>
    <row r="298" spans="1:25" ht="13.5" customHeight="1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</row>
    <row r="299" spans="1:25" ht="13.5" customHeight="1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</row>
    <row r="300" spans="1:25" ht="13.5" customHeight="1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</row>
    <row r="301" spans="1:25" ht="13.5" customHeight="1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</row>
    <row r="302" spans="1:25" ht="13.5" customHeight="1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</row>
    <row r="303" spans="1:25" ht="13.5" customHeight="1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</row>
    <row r="304" spans="1:25" ht="13.5" customHeight="1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</row>
    <row r="305" spans="1:25" ht="13.5" customHeight="1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</row>
    <row r="306" spans="1:25" ht="13.5" customHeight="1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</row>
    <row r="307" spans="1:25" ht="13.5" customHeight="1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</row>
    <row r="308" spans="1:25" ht="13.5" customHeight="1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</row>
    <row r="309" spans="1:25" ht="13.5" customHeight="1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</row>
    <row r="310" spans="1:25" ht="13.5" customHeight="1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</row>
    <row r="311" spans="1:25" ht="13.5" customHeight="1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</row>
    <row r="312" spans="1:25" ht="13.5" customHeight="1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</row>
    <row r="313" spans="1:25" ht="13.5" customHeight="1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</row>
    <row r="314" spans="1:25" ht="13.5" customHeight="1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</row>
    <row r="315" spans="1:25" ht="13.5" customHeight="1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</row>
    <row r="316" spans="1:25" ht="13.5" customHeight="1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</row>
    <row r="317" spans="1:25" ht="13.5" customHeight="1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</row>
    <row r="318" spans="1:25" ht="13.5" customHeight="1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</row>
    <row r="319" spans="1:25" ht="13.5" customHeight="1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</row>
    <row r="320" spans="1:25" ht="13.5" customHeight="1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</row>
    <row r="321" spans="1:25" ht="13.5" customHeight="1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</row>
    <row r="322" spans="1:25" ht="13.5" customHeight="1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</row>
    <row r="323" spans="1:25" ht="13.5" customHeight="1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</row>
    <row r="324" spans="1:25" ht="13.5" customHeight="1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</row>
    <row r="325" spans="1:25" ht="13.5" customHeight="1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</row>
    <row r="326" spans="1:25" ht="13.5" customHeight="1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</row>
    <row r="327" spans="1:25" ht="13.5" customHeight="1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</row>
    <row r="328" spans="1:25" ht="13.5" customHeight="1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</row>
    <row r="329" spans="1:25" ht="13.5" customHeight="1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</row>
    <row r="330" spans="1:25" ht="13.5" customHeight="1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</row>
    <row r="331" spans="1:25" ht="13.5" customHeight="1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</row>
    <row r="332" spans="1:25" ht="13.5" customHeight="1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</row>
    <row r="333" spans="1:25" ht="13.5" customHeight="1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</row>
    <row r="334" spans="1:25" ht="13.5" customHeight="1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</row>
    <row r="335" spans="1:25" ht="13.5" customHeight="1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</row>
    <row r="336" spans="1:25" ht="13.5" customHeight="1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</row>
    <row r="337" spans="1:25" ht="13.5" customHeight="1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</row>
    <row r="338" spans="1:25" ht="13.5" customHeight="1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</row>
    <row r="339" spans="1:25" ht="13.5" customHeight="1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</row>
    <row r="340" spans="1:25" ht="13.5" customHeight="1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</row>
    <row r="341" spans="1:25" ht="13.5" customHeight="1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</row>
    <row r="342" spans="1:25" ht="13.5" customHeight="1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</row>
    <row r="343" spans="1:25" ht="13.5" customHeight="1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</row>
    <row r="344" spans="1:25" ht="13.5" customHeight="1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</row>
    <row r="345" spans="1:25" ht="13.5" customHeight="1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</row>
    <row r="346" spans="1:25" ht="13.5" customHeight="1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</row>
    <row r="347" spans="1:25" ht="13.5" customHeight="1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</row>
    <row r="348" spans="1:25" ht="13.5" customHeight="1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</row>
    <row r="349" spans="1:25" ht="13.5" customHeight="1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</row>
    <row r="350" spans="1:25" ht="13.5" customHeight="1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</row>
    <row r="351" spans="1:25" ht="13.5" customHeight="1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</row>
    <row r="352" spans="1:25" ht="13.5" customHeight="1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</row>
    <row r="353" spans="1:25" ht="13.5" customHeight="1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</row>
    <row r="354" spans="1:25" ht="13.5" customHeight="1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</row>
    <row r="355" spans="1:25" ht="13.5" customHeight="1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</row>
    <row r="356" spans="1:25" ht="13.5" customHeight="1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</row>
    <row r="357" spans="1:25" ht="13.5" customHeight="1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</row>
    <row r="358" spans="1:25" ht="13.5" customHeight="1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</row>
    <row r="359" spans="1:25" ht="13.5" customHeight="1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</row>
    <row r="360" spans="1:25" ht="13.5" customHeight="1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</row>
    <row r="361" spans="1:25" ht="13.5" customHeight="1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</row>
    <row r="362" spans="1:25" ht="13.5" customHeight="1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</row>
    <row r="363" spans="1:25" ht="13.5" customHeight="1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</row>
    <row r="364" spans="1:25" ht="13.5" customHeight="1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</row>
    <row r="365" spans="1:25" ht="13.5" customHeight="1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</row>
    <row r="366" spans="1:25" ht="13.5" customHeight="1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</row>
    <row r="367" spans="1:25" ht="13.5" customHeight="1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</row>
    <row r="368" spans="1:25" ht="13.5" customHeight="1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</row>
    <row r="369" spans="1:25" ht="13.5" customHeight="1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</row>
    <row r="370" spans="1:25" ht="13.5" customHeight="1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</row>
    <row r="371" spans="1:25" ht="13.5" customHeight="1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</row>
    <row r="372" spans="1:25" ht="13.5" customHeight="1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</row>
    <row r="373" spans="1:25" ht="13.5" customHeight="1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</row>
    <row r="374" spans="1:25" ht="13.5" customHeight="1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</row>
    <row r="375" spans="1:25" ht="13.5" customHeight="1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</row>
    <row r="376" spans="1:25" ht="13.5" customHeight="1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</row>
    <row r="377" spans="1:25" ht="13.5" customHeight="1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</row>
    <row r="378" spans="1:25" ht="13.5" customHeight="1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</row>
    <row r="379" spans="1:25" ht="13.5" customHeight="1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</row>
    <row r="380" spans="1:25" ht="13.5" customHeight="1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</row>
    <row r="381" spans="1:25" ht="13.5" customHeight="1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</row>
    <row r="382" spans="1:25" ht="13.5" customHeight="1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</row>
    <row r="383" spans="1:25" ht="13.5" customHeight="1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</row>
    <row r="384" spans="1:25" ht="13.5" customHeight="1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</row>
    <row r="385" spans="1:25" ht="13.5" customHeight="1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</row>
    <row r="386" spans="1:25" ht="13.5" customHeight="1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</row>
    <row r="387" spans="1:25" ht="13.5" customHeight="1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</row>
    <row r="388" spans="1:25" ht="13.5" customHeight="1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</row>
    <row r="389" spans="1:25" ht="13.5" customHeight="1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</row>
    <row r="390" spans="1:25" ht="13.5" customHeight="1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</row>
    <row r="391" spans="1:25" ht="13.5" customHeight="1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</row>
    <row r="392" spans="1:25" ht="13.5" customHeight="1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</row>
    <row r="393" spans="1:25" ht="13.5" customHeight="1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</row>
    <row r="394" spans="1:25" ht="13.5" customHeight="1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</row>
    <row r="395" spans="1:25" ht="13.5" customHeight="1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</row>
    <row r="396" spans="1:25" ht="13.5" customHeight="1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</row>
    <row r="397" spans="1:25" ht="13.5" customHeight="1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</row>
    <row r="398" spans="1:25" ht="13.5" customHeight="1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</row>
    <row r="399" spans="1:25" ht="13.5" customHeight="1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</row>
    <row r="400" spans="1:25" ht="13.5" customHeight="1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</row>
    <row r="401" spans="1:25" ht="13.5" customHeight="1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</row>
    <row r="402" spans="1:25" ht="13.5" customHeight="1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</row>
    <row r="403" spans="1:25" ht="13.5" customHeight="1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</row>
    <row r="404" spans="1:25" ht="13.5" customHeight="1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</row>
    <row r="405" spans="1:25" ht="13.5" customHeight="1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</row>
    <row r="406" spans="1:25" ht="13.5" customHeight="1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</row>
    <row r="407" spans="1:25" ht="13.5" customHeight="1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</row>
    <row r="408" spans="1:25" ht="13.5" customHeight="1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</row>
    <row r="409" spans="1:25" ht="13.5" customHeight="1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</row>
    <row r="410" spans="1:25" ht="13.5" customHeight="1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</row>
    <row r="411" spans="1:25" ht="13.5" customHeight="1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</row>
    <row r="412" spans="1:25" ht="13.5" customHeight="1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</row>
    <row r="413" spans="1:25" ht="13.5" customHeight="1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</row>
    <row r="414" spans="1:25" ht="13.5" customHeight="1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</row>
    <row r="415" spans="1:25" ht="13.5" customHeight="1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</row>
    <row r="416" spans="1:25" ht="13.5" customHeight="1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</row>
    <row r="417" spans="1:25" ht="13.5" customHeight="1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</row>
    <row r="418" spans="1:25" ht="13.5" customHeight="1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</row>
    <row r="419" spans="1:25" ht="13.5" customHeight="1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</row>
    <row r="420" spans="1:25" ht="13.5" customHeight="1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</row>
    <row r="421" spans="1:25" ht="13.5" customHeight="1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</row>
    <row r="422" spans="1:25" ht="13.5" customHeight="1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</row>
    <row r="423" spans="1:25" ht="13.5" customHeight="1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</row>
    <row r="424" spans="1:25" ht="13.5" customHeight="1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</row>
    <row r="425" spans="1:25" ht="13.5" customHeight="1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</row>
    <row r="426" spans="1:25" ht="13.5" customHeight="1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</row>
    <row r="427" spans="1:25" ht="13.5" customHeight="1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</row>
    <row r="428" spans="1:25" ht="13.5" customHeight="1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</row>
    <row r="429" spans="1:25" ht="13.5" customHeight="1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</row>
    <row r="430" spans="1:25" ht="13.5" customHeight="1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</row>
    <row r="431" spans="1:25" ht="13.5" customHeight="1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</row>
    <row r="432" spans="1:25" ht="13.5" customHeight="1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</row>
    <row r="433" spans="1:25" ht="13.5" customHeight="1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</row>
    <row r="434" spans="1:25" ht="13.5" customHeight="1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</row>
    <row r="435" spans="1:25" ht="13.5" customHeight="1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</row>
    <row r="436" spans="1:25" ht="13.5" customHeight="1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</row>
    <row r="437" spans="1:25" ht="13.5" customHeight="1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</row>
    <row r="438" spans="1:25" ht="13.5" customHeight="1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</row>
    <row r="439" spans="1:25" ht="13.5" customHeight="1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</row>
    <row r="440" spans="1:25" ht="13.5" customHeight="1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</row>
    <row r="441" spans="1:25" ht="13.5" customHeight="1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</row>
    <row r="442" spans="1:25" ht="13.5" customHeight="1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</row>
    <row r="443" spans="1:25" ht="13.5" customHeight="1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</row>
    <row r="444" spans="1:25" ht="13.5" customHeight="1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</row>
    <row r="445" spans="1:25" ht="13.5" customHeight="1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</row>
    <row r="446" spans="1:25" ht="13.5" customHeight="1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</row>
    <row r="447" spans="1:25" ht="13.5" customHeight="1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</row>
    <row r="448" spans="1:25" ht="13.5" customHeight="1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</row>
    <row r="449" spans="1:25" ht="13.5" customHeight="1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</row>
    <row r="450" spans="1:25" ht="13.5" customHeight="1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</row>
    <row r="451" spans="1:25" ht="13.5" customHeight="1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</row>
    <row r="452" spans="1:25" ht="13.5" customHeight="1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</row>
    <row r="453" spans="1:25" ht="13.5" customHeight="1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</row>
    <row r="454" spans="1:25" ht="13.5" customHeight="1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</row>
    <row r="455" spans="1:25" ht="13.5" customHeight="1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</row>
    <row r="456" spans="1:25" ht="13.5" customHeight="1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</row>
    <row r="457" spans="1:25" ht="13.5" customHeight="1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</row>
    <row r="458" spans="1:25" ht="13.5" customHeight="1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</row>
    <row r="459" spans="1:25" ht="13.5" customHeight="1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</row>
    <row r="460" spans="1:25" ht="13.5" customHeight="1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</row>
    <row r="461" spans="1:25" ht="13.5" customHeight="1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</row>
    <row r="462" spans="1:25" ht="13.5" customHeight="1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</row>
    <row r="463" spans="1:25" ht="13.5" customHeight="1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</row>
    <row r="464" spans="1:25" ht="13.5" customHeight="1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</row>
    <row r="465" spans="1:25" ht="13.5" customHeight="1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</row>
    <row r="466" spans="1:25" ht="13.5" customHeight="1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</row>
    <row r="467" spans="1:25" ht="13.5" customHeight="1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</row>
    <row r="468" spans="1:25" ht="13.5" customHeight="1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</row>
    <row r="469" spans="1:25" ht="13.5" customHeight="1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</row>
    <row r="470" spans="1:25" ht="13.5" customHeight="1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</row>
    <row r="471" spans="1:25" ht="13.5" customHeight="1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</row>
    <row r="472" spans="1:25" ht="13.5" customHeight="1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</row>
    <row r="473" spans="1:25" ht="13.5" customHeight="1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</row>
    <row r="474" spans="1:25" ht="13.5" customHeight="1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</row>
    <row r="475" spans="1:25" ht="13.5" customHeight="1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</row>
    <row r="476" spans="1:25" ht="13.5" customHeight="1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</row>
    <row r="477" spans="1:25" ht="13.5" customHeight="1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</row>
    <row r="478" spans="1:25" ht="13.5" customHeight="1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</row>
    <row r="479" spans="1:25" ht="13.5" customHeight="1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</row>
    <row r="480" spans="1:25" ht="13.5" customHeight="1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</row>
    <row r="481" spans="1:25" ht="13.5" customHeight="1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</row>
    <row r="482" spans="1:25" ht="13.5" customHeight="1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</row>
    <row r="483" spans="1:25" ht="13.5" customHeight="1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</row>
    <row r="484" spans="1:25" ht="13.5" customHeight="1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</row>
    <row r="485" spans="1:25" ht="13.5" customHeight="1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</row>
    <row r="486" spans="1:25" ht="13.5" customHeight="1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</row>
    <row r="487" spans="1:25" ht="13.5" customHeight="1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</row>
    <row r="488" spans="1:25" ht="13.5" customHeight="1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</row>
    <row r="489" spans="1:25" ht="13.5" customHeight="1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</row>
    <row r="490" spans="1:25" ht="13.5" customHeight="1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</row>
    <row r="491" spans="1:25" ht="13.5" customHeight="1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</row>
    <row r="492" spans="1:25" ht="13.5" customHeight="1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</row>
    <row r="493" spans="1:25" ht="13.5" customHeight="1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</row>
    <row r="494" spans="1:25" ht="13.5" customHeight="1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</row>
    <row r="495" spans="1:25" ht="13.5" customHeight="1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</row>
    <row r="496" spans="1:25" ht="13.5" customHeight="1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</row>
    <row r="497" spans="1:25" ht="13.5" customHeight="1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</row>
    <row r="498" spans="1:25" ht="13.5" customHeight="1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</row>
    <row r="499" spans="1:25" ht="13.5" customHeight="1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</row>
    <row r="500" spans="1:25" ht="13.5" customHeight="1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</row>
    <row r="501" spans="1:25" ht="13.5" customHeight="1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</row>
    <row r="502" spans="1:25" ht="13.5" customHeight="1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</row>
    <row r="503" spans="1:25" ht="13.5" customHeight="1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</row>
    <row r="504" spans="1:25" ht="13.5" customHeight="1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</row>
    <row r="505" spans="1:25" ht="13.5" customHeight="1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</row>
    <row r="506" spans="1:25" ht="13.5" customHeight="1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</row>
    <row r="507" spans="1:25" ht="13.5" customHeight="1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</row>
    <row r="508" spans="1:25" ht="13.5" customHeight="1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</row>
    <row r="509" spans="1:25" ht="13.5" customHeight="1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</row>
    <row r="510" spans="1:25" ht="13.5" customHeight="1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</row>
    <row r="511" spans="1:25" ht="13.5" customHeight="1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</row>
    <row r="512" spans="1:25" ht="13.5" customHeight="1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</row>
    <row r="513" spans="1:25" ht="13.5" customHeight="1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</row>
    <row r="514" spans="1:25" ht="13.5" customHeight="1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</row>
    <row r="515" spans="1:25" ht="13.5" customHeight="1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</row>
    <row r="516" spans="1:25" ht="13.5" customHeight="1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</row>
    <row r="517" spans="1:25" ht="13.5" customHeight="1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</row>
    <row r="518" spans="1:25" ht="13.5" customHeight="1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</row>
    <row r="519" spans="1:25" ht="13.5" customHeight="1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</row>
    <row r="520" spans="1:25" ht="13.5" customHeight="1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</row>
    <row r="521" spans="1:25" ht="13.5" customHeight="1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</row>
    <row r="522" spans="1:25" ht="13.5" customHeight="1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</row>
    <row r="523" spans="1:25" ht="13.5" customHeight="1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</row>
    <row r="524" spans="1:25" ht="13.5" customHeight="1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</row>
    <row r="525" spans="1:25" ht="13.5" customHeight="1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</row>
    <row r="526" spans="1:25" ht="13.5" customHeight="1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</row>
    <row r="527" spans="1:25" ht="13.5" customHeight="1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</row>
    <row r="528" spans="1:25" ht="13.5" customHeight="1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</row>
    <row r="529" spans="1:25" ht="13.5" customHeight="1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</row>
    <row r="530" spans="1:25" ht="13.5" customHeight="1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</row>
    <row r="531" spans="1:25" ht="13.5" customHeight="1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</row>
    <row r="532" spans="1:25" ht="13.5" customHeight="1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</row>
    <row r="533" spans="1:25" ht="13.5" customHeight="1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</row>
    <row r="534" spans="1:25" ht="13.5" customHeight="1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</row>
    <row r="535" spans="1:25" ht="13.5" customHeight="1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</row>
    <row r="536" spans="1:25" ht="13.5" customHeight="1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</row>
    <row r="537" spans="1:25" ht="13.5" customHeight="1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</row>
    <row r="538" spans="1:25" ht="13.5" customHeight="1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</row>
    <row r="539" spans="1:25" ht="13.5" customHeight="1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</row>
    <row r="540" spans="1:25" ht="13.5" customHeight="1">
      <c r="A540" s="76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</row>
    <row r="541" spans="1:25" ht="13.5" customHeight="1">
      <c r="A541" s="76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</row>
    <row r="542" spans="1:25" ht="13.5" customHeight="1">
      <c r="A542" s="76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</row>
    <row r="543" spans="1:25" ht="13.5" customHeight="1">
      <c r="A543" s="76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</row>
    <row r="544" spans="1:25" ht="13.5" customHeight="1">
      <c r="A544" s="76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</row>
    <row r="545" spans="1:25" ht="13.5" customHeight="1">
      <c r="A545" s="76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</row>
    <row r="546" spans="1:25" ht="13.5" customHeight="1">
      <c r="A546" s="76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</row>
    <row r="547" spans="1:25" ht="13.5" customHeight="1">
      <c r="A547" s="76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</row>
    <row r="548" spans="1:25" ht="13.5" customHeight="1">
      <c r="A548" s="76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</row>
    <row r="549" spans="1:25" ht="13.5" customHeight="1">
      <c r="A549" s="76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</row>
    <row r="550" spans="1:25" ht="13.5" customHeight="1">
      <c r="A550" s="76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</row>
    <row r="551" spans="1:25" ht="13.5" customHeight="1">
      <c r="A551" s="76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</row>
    <row r="552" spans="1:25" ht="13.5" customHeight="1">
      <c r="A552" s="76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</row>
    <row r="553" spans="1:25" ht="13.5" customHeight="1">
      <c r="A553" s="76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</row>
    <row r="554" spans="1:25" ht="13.5" customHeight="1">
      <c r="A554" s="76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</row>
    <row r="555" spans="1:25" ht="13.5" customHeight="1">
      <c r="A555" s="76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</row>
    <row r="556" spans="1:25" ht="13.5" customHeight="1">
      <c r="A556" s="76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</row>
    <row r="557" spans="1:25" ht="13.5" customHeight="1">
      <c r="A557" s="76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</row>
    <row r="558" spans="1:25" ht="13.5" customHeight="1">
      <c r="A558" s="76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</row>
    <row r="559" spans="1:25" ht="13.5" customHeight="1">
      <c r="A559" s="76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</row>
    <row r="560" spans="1:25" ht="13.5" customHeight="1">
      <c r="A560" s="76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</row>
    <row r="561" spans="1:25" ht="13.5" customHeight="1">
      <c r="A561" s="76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</row>
    <row r="562" spans="1:25" ht="13.5" customHeight="1">
      <c r="A562" s="76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</row>
    <row r="563" spans="1:25" ht="13.5" customHeight="1">
      <c r="A563" s="76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</row>
    <row r="564" spans="1:25" ht="13.5" customHeight="1">
      <c r="A564" s="76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</row>
    <row r="565" spans="1:25" ht="13.5" customHeight="1">
      <c r="A565" s="76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</row>
    <row r="566" spans="1:25" ht="13.5" customHeight="1">
      <c r="A566" s="76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</row>
    <row r="567" spans="1:25" ht="13.5" customHeight="1">
      <c r="A567" s="76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</row>
    <row r="568" spans="1:25" ht="13.5" customHeight="1">
      <c r="A568" s="76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</row>
    <row r="569" spans="1:25" ht="13.5" customHeight="1">
      <c r="A569" s="76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</row>
    <row r="570" spans="1:25" ht="13.5" customHeight="1">
      <c r="A570" s="76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</row>
    <row r="571" spans="1:25" ht="13.5" customHeight="1">
      <c r="A571" s="76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</row>
    <row r="572" spans="1:25" ht="13.5" customHeight="1">
      <c r="A572" s="76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</row>
    <row r="573" spans="1:25" ht="13.5" customHeight="1">
      <c r="A573" s="76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</row>
    <row r="574" spans="1:25" ht="13.5" customHeight="1">
      <c r="A574" s="76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</row>
    <row r="575" spans="1:25" ht="13.5" customHeight="1">
      <c r="A575" s="76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</row>
    <row r="576" spans="1:25" ht="13.5" customHeight="1">
      <c r="A576" s="76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</row>
    <row r="577" spans="1:25" ht="13.5" customHeight="1">
      <c r="A577" s="76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</row>
    <row r="578" spans="1:25" ht="13.5" customHeight="1">
      <c r="A578" s="76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</row>
    <row r="579" spans="1:25" ht="13.5" customHeight="1">
      <c r="A579" s="76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</row>
    <row r="580" spans="1:25" ht="13.5" customHeight="1">
      <c r="A580" s="76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</row>
    <row r="581" spans="1:25" ht="13.5" customHeight="1">
      <c r="A581" s="76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</row>
    <row r="582" spans="1:25" ht="13.5" customHeight="1">
      <c r="A582" s="76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</row>
    <row r="583" spans="1:25" ht="13.5" customHeight="1">
      <c r="A583" s="76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</row>
    <row r="584" spans="1:25" ht="13.5" customHeight="1">
      <c r="A584" s="76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</row>
    <row r="585" spans="1:25" ht="13.5" customHeight="1">
      <c r="A585" s="76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</row>
    <row r="586" spans="1:25" ht="13.5" customHeight="1">
      <c r="A586" s="76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</row>
    <row r="587" spans="1:25" ht="13.5" customHeight="1">
      <c r="A587" s="76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</row>
    <row r="588" spans="1:25" ht="13.5" customHeight="1">
      <c r="A588" s="76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</row>
    <row r="589" spans="1:25" ht="13.5" customHeight="1">
      <c r="A589" s="76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</row>
    <row r="590" spans="1:25" ht="13.5" customHeight="1">
      <c r="A590" s="76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</row>
    <row r="591" spans="1:25" ht="13.5" customHeight="1">
      <c r="A591" s="76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</row>
    <row r="592" spans="1:25" ht="13.5" customHeight="1">
      <c r="A592" s="76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</row>
    <row r="593" spans="1:25" ht="13.5" customHeight="1">
      <c r="A593" s="76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</row>
    <row r="594" spans="1:25" ht="13.5" customHeight="1">
      <c r="A594" s="76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</row>
    <row r="595" spans="1:25" ht="13.5" customHeight="1">
      <c r="A595" s="76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</row>
    <row r="596" spans="1:25" ht="13.5" customHeight="1">
      <c r="A596" s="76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</row>
    <row r="597" spans="1:25" ht="13.5" customHeight="1">
      <c r="A597" s="76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</row>
    <row r="598" spans="1:25" ht="13.5" customHeight="1">
      <c r="A598" s="76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</row>
    <row r="599" spans="1:25" ht="13.5" customHeight="1">
      <c r="A599" s="76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</row>
    <row r="600" spans="1:25" ht="13.5" customHeight="1">
      <c r="A600" s="76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</row>
    <row r="601" spans="1:25" ht="13.5" customHeight="1">
      <c r="A601" s="76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</row>
    <row r="602" spans="1:25" ht="13.5" customHeight="1">
      <c r="A602" s="76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</row>
    <row r="603" spans="1:25" ht="13.5" customHeight="1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</row>
    <row r="604" spans="1:25" ht="13.5" customHeight="1">
      <c r="A604" s="76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</row>
    <row r="605" spans="1:25" ht="13.5" customHeight="1">
      <c r="A605" s="76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</row>
    <row r="606" spans="1:25" ht="13.5" customHeight="1">
      <c r="A606" s="76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</row>
    <row r="607" spans="1:25" ht="13.5" customHeight="1">
      <c r="A607" s="76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</row>
    <row r="608" spans="1:25" ht="13.5" customHeight="1">
      <c r="A608" s="76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</row>
    <row r="609" spans="1:25" ht="13.5" customHeight="1">
      <c r="A609" s="76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</row>
    <row r="610" spans="1:25" ht="13.5" customHeight="1">
      <c r="A610" s="76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</row>
    <row r="611" spans="1:25" ht="13.5" customHeight="1">
      <c r="A611" s="76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</row>
    <row r="612" spans="1:25" ht="13.5" customHeight="1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</row>
    <row r="613" spans="1:25" ht="13.5" customHeight="1">
      <c r="A613" s="76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</row>
    <row r="614" spans="1:25" ht="13.5" customHeight="1">
      <c r="A614" s="76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</row>
    <row r="615" spans="1:25" ht="13.5" customHeight="1">
      <c r="A615" s="76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</row>
    <row r="616" spans="1:25" ht="13.5" customHeight="1">
      <c r="A616" s="76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</row>
    <row r="617" spans="1:25" ht="13.5" customHeight="1">
      <c r="A617" s="76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</row>
    <row r="618" spans="1:25" ht="13.5" customHeight="1">
      <c r="A618" s="76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</row>
    <row r="619" spans="1:25" ht="13.5" customHeight="1">
      <c r="A619" s="76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</row>
    <row r="620" spans="1:25" ht="13.5" customHeight="1">
      <c r="A620" s="76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</row>
    <row r="621" spans="1:25" ht="13.5" customHeight="1">
      <c r="A621" s="76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</row>
    <row r="622" spans="1:25" ht="13.5" customHeight="1">
      <c r="A622" s="76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</row>
    <row r="623" spans="1:25" ht="13.5" customHeight="1">
      <c r="A623" s="76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</row>
    <row r="624" spans="1:25" ht="13.5" customHeight="1">
      <c r="A624" s="76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</row>
    <row r="625" spans="1:25" ht="13.5" customHeight="1">
      <c r="A625" s="76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</row>
    <row r="626" spans="1:25" ht="13.5" customHeight="1">
      <c r="A626" s="76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</row>
    <row r="627" spans="1:25" ht="13.5" customHeight="1">
      <c r="A627" s="76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</row>
    <row r="628" spans="1:25" ht="13.5" customHeight="1">
      <c r="A628" s="76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</row>
    <row r="629" spans="1:25" ht="13.5" customHeight="1">
      <c r="A629" s="76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</row>
    <row r="630" spans="1:25" ht="13.5" customHeight="1">
      <c r="A630" s="76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</row>
    <row r="631" spans="1:25" ht="13.5" customHeight="1">
      <c r="A631" s="76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</row>
    <row r="632" spans="1:25" ht="13.5" customHeight="1">
      <c r="A632" s="76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</row>
    <row r="633" spans="1:25" ht="13.5" customHeight="1">
      <c r="A633" s="76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</row>
    <row r="634" spans="1:25" ht="13.5" customHeight="1">
      <c r="A634" s="76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</row>
    <row r="635" spans="1:25" ht="13.5" customHeight="1">
      <c r="A635" s="76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</row>
    <row r="636" spans="1:25" ht="13.5" customHeight="1">
      <c r="A636" s="76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</row>
    <row r="637" spans="1:25" ht="13.5" customHeight="1">
      <c r="A637" s="76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</row>
    <row r="638" spans="1:25" ht="13.5" customHeight="1">
      <c r="A638" s="76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</row>
    <row r="639" spans="1:25" ht="13.5" customHeight="1">
      <c r="A639" s="76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</row>
    <row r="640" spans="1:25" ht="13.5" customHeight="1">
      <c r="A640" s="76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</row>
    <row r="641" spans="1:25" ht="13.5" customHeight="1">
      <c r="A641" s="76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</row>
    <row r="642" spans="1:25" ht="13.5" customHeight="1">
      <c r="A642" s="76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</row>
    <row r="643" spans="1:25" ht="13.5" customHeight="1">
      <c r="A643" s="76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</row>
    <row r="644" spans="1:25" ht="13.5" customHeight="1">
      <c r="A644" s="76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</row>
    <row r="645" spans="1:25" ht="13.5" customHeight="1">
      <c r="A645" s="76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</row>
    <row r="646" spans="1:25" ht="13.5" customHeight="1">
      <c r="A646" s="76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</row>
    <row r="647" spans="1:25" ht="13.5" customHeight="1">
      <c r="A647" s="76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</row>
    <row r="648" spans="1:25" ht="13.5" customHeight="1">
      <c r="A648" s="76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</row>
    <row r="649" spans="1:25" ht="13.5" customHeight="1">
      <c r="A649" s="76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</row>
    <row r="650" spans="1:25" ht="13.5" customHeight="1">
      <c r="A650" s="76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</row>
    <row r="651" spans="1:25" ht="13.5" customHeight="1">
      <c r="A651" s="76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</row>
    <row r="652" spans="1:25" ht="13.5" customHeight="1">
      <c r="A652" s="76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</row>
    <row r="653" spans="1:25" ht="13.5" customHeight="1">
      <c r="A653" s="76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</row>
    <row r="654" spans="1:25" ht="13.5" customHeight="1">
      <c r="A654" s="76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</row>
    <row r="655" spans="1:25" ht="13.5" customHeight="1">
      <c r="A655" s="76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</row>
    <row r="656" spans="1:25" ht="13.5" customHeight="1">
      <c r="A656" s="76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</row>
    <row r="657" spans="1:25" ht="13.5" customHeight="1">
      <c r="A657" s="76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</row>
    <row r="658" spans="1:25" ht="13.5" customHeight="1">
      <c r="A658" s="76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</row>
    <row r="659" spans="1:25" ht="13.5" customHeight="1">
      <c r="A659" s="76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</row>
    <row r="660" spans="1:25" ht="13.5" customHeight="1">
      <c r="A660" s="76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</row>
    <row r="661" spans="1:25" ht="13.5" customHeight="1">
      <c r="A661" s="76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</row>
    <row r="662" spans="1:25" ht="13.5" customHeight="1">
      <c r="A662" s="76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</row>
    <row r="663" spans="1:25" ht="13.5" customHeight="1">
      <c r="A663" s="76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</row>
    <row r="664" spans="1:25" ht="13.5" customHeight="1">
      <c r="A664" s="76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</row>
    <row r="665" spans="1:25" ht="13.5" customHeight="1">
      <c r="A665" s="76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</row>
    <row r="666" spans="1:25" ht="13.5" customHeight="1">
      <c r="A666" s="76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</row>
    <row r="667" spans="1:25" ht="13.5" customHeight="1">
      <c r="A667" s="76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</row>
    <row r="668" spans="1:25" ht="13.5" customHeight="1">
      <c r="A668" s="76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</row>
    <row r="669" spans="1:25" ht="13.5" customHeight="1">
      <c r="A669" s="76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</row>
    <row r="670" spans="1:25" ht="13.5" customHeight="1">
      <c r="A670" s="76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</row>
    <row r="671" spans="1:25" ht="13.5" customHeight="1">
      <c r="A671" s="76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</row>
    <row r="672" spans="1:25" ht="13.5" customHeight="1">
      <c r="A672" s="76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</row>
    <row r="673" spans="1:25" ht="13.5" customHeight="1">
      <c r="A673" s="76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</row>
    <row r="674" spans="1:25" ht="13.5" customHeight="1">
      <c r="A674" s="76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</row>
    <row r="675" spans="1:25" ht="13.5" customHeight="1">
      <c r="A675" s="76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</row>
    <row r="676" spans="1:25" ht="13.5" customHeight="1">
      <c r="A676" s="76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</row>
    <row r="677" spans="1:25" ht="13.5" customHeight="1">
      <c r="A677" s="76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</row>
    <row r="678" spans="1:25" ht="13.5" customHeight="1">
      <c r="A678" s="76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</row>
    <row r="679" spans="1:25" ht="13.5" customHeight="1">
      <c r="A679" s="76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</row>
    <row r="680" spans="1:25" ht="13.5" customHeight="1">
      <c r="A680" s="76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</row>
    <row r="681" spans="1:25" ht="13.5" customHeight="1">
      <c r="A681" s="76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</row>
    <row r="682" spans="1:25" ht="13.5" customHeight="1">
      <c r="A682" s="76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</row>
    <row r="683" spans="1:25" ht="13.5" customHeight="1">
      <c r="A683" s="76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</row>
    <row r="684" spans="1:25" ht="13.5" customHeight="1">
      <c r="A684" s="76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</row>
    <row r="685" spans="1:25" ht="13.5" customHeight="1">
      <c r="A685" s="76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</row>
    <row r="686" spans="1:25" ht="13.5" customHeight="1">
      <c r="A686" s="76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</row>
    <row r="687" spans="1:25" ht="13.5" customHeight="1">
      <c r="A687" s="76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</row>
    <row r="688" spans="1:25" ht="13.5" customHeight="1">
      <c r="A688" s="76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</row>
    <row r="689" spans="1:25" ht="13.5" customHeight="1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</row>
    <row r="690" spans="1:25" ht="13.5" customHeight="1">
      <c r="A690" s="76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</row>
    <row r="691" spans="1:25" ht="13.5" customHeight="1">
      <c r="A691" s="76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</row>
    <row r="692" spans="1:25" ht="13.5" customHeight="1">
      <c r="A692" s="76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</row>
    <row r="693" spans="1:25" ht="13.5" customHeight="1">
      <c r="A693" s="76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</row>
    <row r="694" spans="1:25" ht="13.5" customHeight="1">
      <c r="A694" s="76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</row>
    <row r="695" spans="1:25" ht="13.5" customHeight="1">
      <c r="A695" s="76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</row>
    <row r="696" spans="1:25" ht="13.5" customHeight="1">
      <c r="A696" s="76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</row>
    <row r="697" spans="1:25" ht="13.5" customHeight="1">
      <c r="A697" s="76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</row>
    <row r="698" spans="1:25" ht="13.5" customHeight="1">
      <c r="A698" s="76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</row>
    <row r="699" spans="1:25" ht="13.5" customHeight="1">
      <c r="A699" s="76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</row>
    <row r="700" spans="1:25" ht="13.5" customHeight="1">
      <c r="A700" s="76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</row>
    <row r="701" spans="1:25" ht="13.5" customHeight="1">
      <c r="A701" s="76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</row>
    <row r="702" spans="1:25" ht="13.5" customHeight="1">
      <c r="A702" s="76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</row>
    <row r="703" spans="1:25" ht="13.5" customHeight="1">
      <c r="A703" s="76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</row>
    <row r="704" spans="1:25" ht="13.5" customHeight="1">
      <c r="A704" s="76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</row>
    <row r="705" spans="1:25" ht="13.5" customHeight="1">
      <c r="A705" s="76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</row>
    <row r="706" spans="1:25" ht="13.5" customHeight="1">
      <c r="A706" s="76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</row>
    <row r="707" spans="1:25" ht="13.5" customHeight="1">
      <c r="A707" s="76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</row>
    <row r="708" spans="1:25" ht="13.5" customHeight="1">
      <c r="A708" s="76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</row>
    <row r="709" spans="1:25" ht="13.5" customHeight="1">
      <c r="A709" s="76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</row>
    <row r="710" spans="1:25" ht="13.5" customHeight="1">
      <c r="A710" s="76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</row>
    <row r="711" spans="1:25" ht="13.5" customHeight="1">
      <c r="A711" s="76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</row>
    <row r="712" spans="1:25" ht="13.5" customHeight="1">
      <c r="A712" s="76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</row>
    <row r="713" spans="1:25" ht="13.5" customHeight="1">
      <c r="A713" s="76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</row>
    <row r="714" spans="1:25" ht="13.5" customHeight="1">
      <c r="A714" s="76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</row>
    <row r="715" spans="1:25" ht="13.5" customHeight="1">
      <c r="A715" s="76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</row>
    <row r="716" spans="1:25" ht="13.5" customHeight="1">
      <c r="A716" s="76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</row>
    <row r="717" spans="1:25" ht="13.5" customHeight="1">
      <c r="A717" s="76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</row>
    <row r="718" spans="1:25" ht="13.5" customHeight="1">
      <c r="A718" s="76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</row>
    <row r="719" spans="1:25" ht="13.5" customHeight="1">
      <c r="A719" s="76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</row>
    <row r="720" spans="1:25" ht="13.5" customHeight="1">
      <c r="A720" s="76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</row>
    <row r="721" spans="1:25" ht="13.5" customHeight="1">
      <c r="A721" s="76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</row>
    <row r="722" spans="1:25" ht="13.5" customHeight="1">
      <c r="A722" s="76"/>
      <c r="B722" s="76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</row>
    <row r="723" spans="1:25" ht="13.5" customHeight="1">
      <c r="A723" s="76"/>
      <c r="B723" s="76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</row>
    <row r="724" spans="1:25" ht="13.5" customHeight="1">
      <c r="A724" s="76"/>
      <c r="B724" s="76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</row>
    <row r="725" spans="1:25" ht="13.5" customHeight="1">
      <c r="A725" s="76"/>
      <c r="B725" s="76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</row>
    <row r="726" spans="1:25" ht="13.5" customHeight="1">
      <c r="A726" s="76"/>
      <c r="B726" s="76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/>
      <c r="U726" s="76"/>
      <c r="V726" s="76"/>
      <c r="W726" s="76"/>
      <c r="X726" s="76"/>
      <c r="Y726" s="76"/>
    </row>
    <row r="727" spans="1:25" ht="13.5" customHeight="1">
      <c r="A727" s="76"/>
      <c r="B727" s="76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</row>
    <row r="728" spans="1:25" ht="13.5" customHeight="1">
      <c r="A728" s="76"/>
      <c r="B728" s="76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</row>
    <row r="729" spans="1:25" ht="13.5" customHeight="1">
      <c r="A729" s="76"/>
      <c r="B729" s="76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/>
      <c r="Y729" s="76"/>
    </row>
    <row r="730" spans="1:25" ht="13.5" customHeight="1">
      <c r="A730" s="76"/>
      <c r="B730" s="76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</row>
    <row r="731" spans="1:25" ht="13.5" customHeight="1">
      <c r="A731" s="76"/>
      <c r="B731" s="76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</row>
    <row r="732" spans="1:25" ht="13.5" customHeight="1">
      <c r="A732" s="76"/>
      <c r="B732" s="76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  <c r="R732" s="76"/>
      <c r="S732" s="76"/>
      <c r="T732" s="76"/>
      <c r="U732" s="76"/>
      <c r="V732" s="76"/>
      <c r="W732" s="76"/>
      <c r="X732" s="76"/>
      <c r="Y732" s="76"/>
    </row>
    <row r="733" spans="1:25" ht="13.5" customHeight="1">
      <c r="A733" s="76"/>
      <c r="B733" s="76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  <c r="R733" s="76"/>
      <c r="S733" s="76"/>
      <c r="T733" s="76"/>
      <c r="U733" s="76"/>
      <c r="V733" s="76"/>
      <c r="W733" s="76"/>
      <c r="X733" s="76"/>
      <c r="Y733" s="76"/>
    </row>
    <row r="734" spans="1:25" ht="13.5" customHeight="1">
      <c r="A734" s="76"/>
      <c r="B734" s="76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76"/>
      <c r="P734" s="76"/>
      <c r="Q734" s="76"/>
      <c r="R734" s="76"/>
      <c r="S734" s="76"/>
      <c r="T734" s="76"/>
      <c r="U734" s="76"/>
      <c r="V734" s="76"/>
      <c r="W734" s="76"/>
      <c r="X734" s="76"/>
      <c r="Y734" s="76"/>
    </row>
    <row r="735" spans="1:25" ht="13.5" customHeight="1">
      <c r="A735" s="76"/>
      <c r="B735" s="76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</row>
    <row r="736" spans="1:25" ht="13.5" customHeight="1">
      <c r="A736" s="76"/>
      <c r="B736" s="76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</row>
    <row r="737" spans="1:25" ht="13.5" customHeight="1">
      <c r="A737" s="76"/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</row>
    <row r="738" spans="1:25" ht="13.5" customHeight="1">
      <c r="A738" s="76"/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</row>
    <row r="739" spans="1:25" ht="13.5" customHeight="1">
      <c r="A739" s="76"/>
      <c r="B739" s="76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/>
      <c r="U739" s="76"/>
      <c r="V739" s="76"/>
      <c r="W739" s="76"/>
      <c r="X739" s="76"/>
      <c r="Y739" s="76"/>
    </row>
    <row r="740" spans="1:25" ht="13.5" customHeight="1">
      <c r="A740" s="76"/>
      <c r="B740" s="76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/>
      <c r="W740" s="76"/>
      <c r="X740" s="76"/>
      <c r="Y740" s="76"/>
    </row>
    <row r="741" spans="1:25" ht="13.5" customHeight="1">
      <c r="A741" s="76"/>
      <c r="B741" s="76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/>
      <c r="U741" s="76"/>
      <c r="V741" s="76"/>
      <c r="W741" s="76"/>
      <c r="X741" s="76"/>
      <c r="Y741" s="76"/>
    </row>
    <row r="742" spans="1:25" ht="13.5" customHeight="1">
      <c r="A742" s="76"/>
      <c r="B742" s="76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76"/>
      <c r="P742" s="76"/>
      <c r="Q742" s="76"/>
      <c r="R742" s="76"/>
      <c r="S742" s="76"/>
      <c r="T742" s="76"/>
      <c r="U742" s="76"/>
      <c r="V742" s="76"/>
      <c r="W742" s="76"/>
      <c r="X742" s="76"/>
      <c r="Y742" s="76"/>
    </row>
    <row r="743" spans="1:25" ht="13.5" customHeight="1">
      <c r="A743" s="76"/>
      <c r="B743" s="76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/>
      <c r="U743" s="76"/>
      <c r="V743" s="76"/>
      <c r="W743" s="76"/>
      <c r="X743" s="76"/>
      <c r="Y743" s="76"/>
    </row>
    <row r="744" spans="1:25" ht="13.5" customHeight="1">
      <c r="A744" s="76"/>
      <c r="B744" s="76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76"/>
      <c r="P744" s="76"/>
      <c r="Q744" s="76"/>
      <c r="R744" s="76"/>
      <c r="S744" s="76"/>
      <c r="T744" s="76"/>
      <c r="U744" s="76"/>
      <c r="V744" s="76"/>
      <c r="W744" s="76"/>
      <c r="X744" s="76"/>
      <c r="Y744" s="76"/>
    </row>
    <row r="745" spans="1:25" ht="13.5" customHeight="1">
      <c r="A745" s="76"/>
      <c r="B745" s="76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76"/>
      <c r="P745" s="76"/>
      <c r="Q745" s="76"/>
      <c r="R745" s="76"/>
      <c r="S745" s="76"/>
      <c r="T745" s="76"/>
      <c r="U745" s="76"/>
      <c r="V745" s="76"/>
      <c r="W745" s="76"/>
      <c r="X745" s="76"/>
      <c r="Y745" s="76"/>
    </row>
    <row r="746" spans="1:25" ht="13.5" customHeight="1">
      <c r="A746" s="76"/>
      <c r="B746" s="76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76"/>
      <c r="P746" s="76"/>
      <c r="Q746" s="76"/>
      <c r="R746" s="76"/>
      <c r="S746" s="76"/>
      <c r="T746" s="76"/>
      <c r="U746" s="76"/>
      <c r="V746" s="76"/>
      <c r="W746" s="76"/>
      <c r="X746" s="76"/>
      <c r="Y746" s="76"/>
    </row>
    <row r="747" spans="1:25" ht="13.5" customHeight="1">
      <c r="A747" s="76"/>
      <c r="B747" s="76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</row>
    <row r="748" spans="1:25" ht="13.5" customHeight="1">
      <c r="A748" s="76"/>
      <c r="B748" s="76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</row>
    <row r="749" spans="1:25" ht="13.5" customHeight="1">
      <c r="A749" s="76"/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76"/>
      <c r="P749" s="76"/>
      <c r="Q749" s="76"/>
      <c r="R749" s="76"/>
      <c r="S749" s="76"/>
      <c r="T749" s="76"/>
      <c r="U749" s="76"/>
      <c r="V749" s="76"/>
      <c r="W749" s="76"/>
      <c r="X749" s="76"/>
      <c r="Y749" s="76"/>
    </row>
    <row r="750" spans="1:25" ht="13.5" customHeight="1">
      <c r="A750" s="76"/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</row>
    <row r="751" spans="1:25" ht="13.5" customHeight="1">
      <c r="A751" s="76"/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</row>
    <row r="752" spans="1:25" ht="13.5" customHeight="1">
      <c r="A752" s="76"/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</row>
    <row r="753" spans="1:25" ht="13.5" customHeight="1">
      <c r="A753" s="76"/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</row>
    <row r="754" spans="1:25" ht="13.5" customHeight="1">
      <c r="A754" s="76"/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</row>
    <row r="755" spans="1:25" ht="13.5" customHeight="1">
      <c r="A755" s="76"/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</row>
    <row r="756" spans="1:25" ht="13.5" customHeight="1">
      <c r="A756" s="76"/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</row>
    <row r="757" spans="1:25" ht="13.5" customHeight="1">
      <c r="A757" s="76"/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</row>
    <row r="758" spans="1:25" ht="13.5" customHeight="1">
      <c r="A758" s="76"/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</row>
    <row r="759" spans="1:25" ht="13.5" customHeight="1">
      <c r="A759" s="76"/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</row>
    <row r="760" spans="1:25" ht="13.5" customHeight="1">
      <c r="A760" s="76"/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</row>
    <row r="761" spans="1:25" ht="13.5" customHeight="1">
      <c r="A761" s="76"/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</row>
    <row r="762" spans="1:25" ht="13.5" customHeight="1">
      <c r="A762" s="76"/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</row>
    <row r="763" spans="1:25" ht="13.5" customHeight="1">
      <c r="A763" s="76"/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</row>
    <row r="764" spans="1:25" ht="13.5" customHeight="1">
      <c r="A764" s="76"/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</row>
    <row r="765" spans="1:25" ht="13.5" customHeight="1">
      <c r="A765" s="76"/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</row>
    <row r="766" spans="1:25" ht="13.5" customHeight="1">
      <c r="A766" s="76"/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</row>
    <row r="767" spans="1:25" ht="13.5" customHeight="1">
      <c r="A767" s="76"/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</row>
    <row r="768" spans="1:25" ht="13.5" customHeight="1">
      <c r="A768" s="76"/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</row>
    <row r="769" spans="1:25" ht="13.5" customHeight="1">
      <c r="A769" s="76"/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</row>
    <row r="770" spans="1:25" ht="13.5" customHeight="1">
      <c r="A770" s="76"/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</row>
    <row r="771" spans="1:25" ht="13.5" customHeight="1">
      <c r="A771" s="76"/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</row>
    <row r="772" spans="1:25" ht="13.5" customHeight="1">
      <c r="A772" s="76"/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</row>
    <row r="773" spans="1:25" ht="13.5" customHeight="1">
      <c r="A773" s="76"/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</row>
    <row r="774" spans="1:25" ht="13.5" customHeight="1">
      <c r="A774" s="76"/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</row>
    <row r="775" spans="1:25" ht="13.5" customHeight="1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</row>
    <row r="776" spans="1:25" ht="13.5" customHeight="1">
      <c r="A776" s="76"/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</row>
    <row r="777" spans="1:25" ht="13.5" customHeight="1">
      <c r="A777" s="76"/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</row>
    <row r="778" spans="1:25" ht="13.5" customHeight="1">
      <c r="A778" s="76"/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</row>
    <row r="779" spans="1:25" ht="13.5" customHeight="1">
      <c r="A779" s="76"/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</row>
    <row r="780" spans="1:25" ht="13.5" customHeight="1">
      <c r="A780" s="76"/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</row>
    <row r="781" spans="1:25" ht="13.5" customHeight="1">
      <c r="A781" s="76"/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</row>
    <row r="782" spans="1:25" ht="13.5" customHeight="1">
      <c r="A782" s="76"/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</row>
    <row r="783" spans="1:25" ht="13.5" customHeight="1">
      <c r="A783" s="76"/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</row>
    <row r="784" spans="1:25" ht="13.5" customHeight="1">
      <c r="A784" s="76"/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</row>
    <row r="785" spans="1:25" ht="13.5" customHeight="1">
      <c r="A785" s="76"/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</row>
    <row r="786" spans="1:25" ht="13.5" customHeight="1">
      <c r="A786" s="76"/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</row>
    <row r="787" spans="1:25" ht="13.5" customHeight="1">
      <c r="A787" s="76"/>
      <c r="B787" s="76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  <c r="R787" s="76"/>
      <c r="S787" s="76"/>
      <c r="T787" s="76"/>
      <c r="U787" s="76"/>
      <c r="V787" s="76"/>
      <c r="W787" s="76"/>
      <c r="X787" s="76"/>
      <c r="Y787" s="76"/>
    </row>
    <row r="788" spans="1:25" ht="13.5" customHeight="1">
      <c r="A788" s="76"/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/>
      <c r="Y788" s="76"/>
    </row>
    <row r="789" spans="1:25" ht="13.5" customHeight="1">
      <c r="A789" s="76"/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6"/>
      <c r="X789" s="76"/>
      <c r="Y789" s="76"/>
    </row>
    <row r="790" spans="1:25" ht="13.5" customHeight="1">
      <c r="A790" s="76"/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</row>
    <row r="791" spans="1:25" ht="13.5" customHeight="1">
      <c r="A791" s="76"/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</row>
    <row r="792" spans="1:25" ht="13.5" customHeight="1">
      <c r="A792" s="76"/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</row>
    <row r="793" spans="1:25" ht="13.5" customHeight="1">
      <c r="A793" s="76"/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</row>
    <row r="794" spans="1:25" ht="13.5" customHeight="1">
      <c r="A794" s="76"/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</row>
    <row r="795" spans="1:25" ht="13.5" customHeight="1">
      <c r="A795" s="76"/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6"/>
      <c r="X795" s="76"/>
      <c r="Y795" s="76"/>
    </row>
    <row r="796" spans="1:25" ht="13.5" customHeight="1">
      <c r="A796" s="76"/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6"/>
      <c r="X796" s="76"/>
      <c r="Y796" s="76"/>
    </row>
    <row r="797" spans="1:25" ht="13.5" customHeight="1">
      <c r="A797" s="76"/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6"/>
      <c r="X797" s="76"/>
      <c r="Y797" s="76"/>
    </row>
    <row r="798" spans="1:25" ht="13.5" customHeight="1">
      <c r="A798" s="76"/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6"/>
      <c r="X798" s="76"/>
      <c r="Y798" s="76"/>
    </row>
    <row r="799" spans="1:25" ht="13.5" customHeight="1">
      <c r="A799" s="76"/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</row>
    <row r="800" spans="1:25" ht="13.5" customHeight="1">
      <c r="A800" s="76"/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</row>
    <row r="801" spans="1:25" ht="13.5" customHeight="1">
      <c r="A801" s="76"/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</row>
    <row r="802" spans="1:25" ht="13.5" customHeight="1">
      <c r="A802" s="76"/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6"/>
      <c r="X802" s="76"/>
      <c r="Y802" s="76"/>
    </row>
    <row r="803" spans="1:25" ht="13.5" customHeight="1">
      <c r="A803" s="76"/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</row>
    <row r="804" spans="1:25" ht="13.5" customHeight="1">
      <c r="A804" s="76"/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</row>
    <row r="805" spans="1:25" ht="13.5" customHeight="1">
      <c r="A805" s="76"/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</row>
    <row r="806" spans="1:25" ht="13.5" customHeight="1">
      <c r="A806" s="76"/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</row>
    <row r="807" spans="1:25" ht="13.5" customHeight="1">
      <c r="A807" s="76"/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</row>
    <row r="808" spans="1:25" ht="13.5" customHeight="1">
      <c r="A808" s="76"/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</row>
    <row r="809" spans="1:25" ht="13.5" customHeight="1">
      <c r="A809" s="76"/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</row>
    <row r="810" spans="1:25" ht="13.5" customHeight="1">
      <c r="A810" s="76"/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</row>
    <row r="811" spans="1:25" ht="13.5" customHeight="1">
      <c r="A811" s="76"/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</row>
    <row r="812" spans="1:25" ht="13.5" customHeight="1">
      <c r="A812" s="76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</row>
    <row r="813" spans="1:25" ht="13.5" customHeight="1">
      <c r="A813" s="76"/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6"/>
      <c r="X813" s="76"/>
      <c r="Y813" s="76"/>
    </row>
    <row r="814" spans="1:25" ht="13.5" customHeight="1">
      <c r="A814" s="76"/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</row>
    <row r="815" spans="1:25" ht="13.5" customHeight="1">
      <c r="A815" s="76"/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6"/>
      <c r="X815" s="76"/>
      <c r="Y815" s="76"/>
    </row>
    <row r="816" spans="1:25" ht="13.5" customHeight="1">
      <c r="A816" s="76"/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6"/>
      <c r="X816" s="76"/>
      <c r="Y816" s="76"/>
    </row>
    <row r="817" spans="1:25" ht="13.5" customHeight="1">
      <c r="A817" s="76"/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</row>
    <row r="818" spans="1:25" ht="13.5" customHeight="1">
      <c r="A818" s="76"/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6"/>
      <c r="X818" s="76"/>
      <c r="Y818" s="76"/>
    </row>
    <row r="819" spans="1:25" ht="13.5" customHeight="1">
      <c r="A819" s="76"/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6"/>
      <c r="X819" s="76"/>
      <c r="Y819" s="76"/>
    </row>
    <row r="820" spans="1:25" ht="13.5" customHeight="1">
      <c r="A820" s="76"/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/>
      <c r="Y820" s="76"/>
    </row>
    <row r="821" spans="1:25" ht="13.5" customHeight="1">
      <c r="A821" s="76"/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</row>
    <row r="822" spans="1:25" ht="13.5" customHeight="1">
      <c r="A822" s="76"/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</row>
    <row r="823" spans="1:25" ht="13.5" customHeight="1">
      <c r="A823" s="76"/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</row>
    <row r="824" spans="1:25" ht="13.5" customHeight="1">
      <c r="A824" s="76"/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</row>
    <row r="825" spans="1:25" ht="13.5" customHeight="1">
      <c r="A825" s="76"/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6"/>
      <c r="X825" s="76"/>
      <c r="Y825" s="76"/>
    </row>
    <row r="826" spans="1:25" ht="13.5" customHeight="1">
      <c r="A826" s="76"/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</row>
    <row r="827" spans="1:25" ht="13.5" customHeight="1">
      <c r="A827" s="76"/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</row>
    <row r="828" spans="1:25" ht="13.5" customHeight="1">
      <c r="A828" s="76"/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6"/>
      <c r="X828" s="76"/>
      <c r="Y828" s="76"/>
    </row>
    <row r="829" spans="1:25" ht="13.5" customHeight="1">
      <c r="A829" s="76"/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6"/>
      <c r="X829" s="76"/>
      <c r="Y829" s="76"/>
    </row>
    <row r="830" spans="1:25" ht="13.5" customHeight="1">
      <c r="A830" s="76"/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6"/>
      <c r="X830" s="76"/>
      <c r="Y830" s="76"/>
    </row>
    <row r="831" spans="1:25" ht="13.5" customHeight="1">
      <c r="A831" s="76"/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</row>
    <row r="832" spans="1:25" ht="13.5" customHeight="1">
      <c r="A832" s="76"/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</row>
    <row r="833" spans="1:25" ht="13.5" customHeight="1">
      <c r="A833" s="76"/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6"/>
      <c r="X833" s="76"/>
      <c r="Y833" s="76"/>
    </row>
    <row r="834" spans="1:25" ht="13.5" customHeight="1">
      <c r="A834" s="76"/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</row>
    <row r="835" spans="1:25" ht="13.5" customHeight="1">
      <c r="A835" s="76"/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6"/>
      <c r="X835" s="76"/>
      <c r="Y835" s="76"/>
    </row>
    <row r="836" spans="1:25" ht="13.5" customHeight="1">
      <c r="A836" s="76"/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</row>
    <row r="837" spans="1:25" ht="13.5" customHeight="1">
      <c r="A837" s="76"/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</row>
    <row r="838" spans="1:25" ht="13.5" customHeight="1">
      <c r="A838" s="76"/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</row>
    <row r="839" spans="1:25" ht="13.5" customHeight="1">
      <c r="A839" s="76"/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</row>
    <row r="840" spans="1:25" ht="13.5" customHeight="1">
      <c r="A840" s="76"/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</row>
    <row r="841" spans="1:25" ht="13.5" customHeight="1">
      <c r="A841" s="76"/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</row>
    <row r="842" spans="1:25" ht="13.5" customHeight="1">
      <c r="A842" s="76"/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</row>
    <row r="843" spans="1:25" ht="13.5" customHeight="1">
      <c r="A843" s="76"/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</row>
    <row r="844" spans="1:25" ht="13.5" customHeight="1">
      <c r="A844" s="76"/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</row>
    <row r="845" spans="1:25" ht="13.5" customHeight="1">
      <c r="A845" s="76"/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</row>
    <row r="846" spans="1:25" ht="13.5" customHeight="1">
      <c r="A846" s="76"/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</row>
    <row r="847" spans="1:25" ht="13.5" customHeight="1">
      <c r="A847" s="76"/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</row>
    <row r="848" spans="1:25" ht="13.5" customHeight="1">
      <c r="A848" s="76"/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</row>
    <row r="849" spans="1:25" ht="13.5" customHeight="1">
      <c r="A849" s="76"/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</row>
    <row r="850" spans="1:25" ht="13.5" customHeight="1">
      <c r="A850" s="76"/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</row>
    <row r="851" spans="1:25" ht="13.5" customHeight="1">
      <c r="A851" s="76"/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</row>
    <row r="852" spans="1:25" ht="13.5" customHeight="1">
      <c r="A852" s="76"/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</row>
    <row r="853" spans="1:25" ht="13.5" customHeight="1">
      <c r="A853" s="76"/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</row>
    <row r="854" spans="1:25" ht="13.5" customHeight="1">
      <c r="A854" s="76"/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</row>
    <row r="855" spans="1:25" ht="13.5" customHeight="1">
      <c r="A855" s="76"/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</row>
    <row r="856" spans="1:25" ht="13.5" customHeight="1">
      <c r="A856" s="76"/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</row>
    <row r="857" spans="1:25" ht="13.5" customHeight="1">
      <c r="A857" s="76"/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</row>
    <row r="858" spans="1:25" ht="13.5" customHeight="1">
      <c r="A858" s="76"/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</row>
    <row r="859" spans="1:25" ht="13.5" customHeight="1">
      <c r="A859" s="76"/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</row>
    <row r="860" spans="1:25" ht="13.5" customHeight="1">
      <c r="A860" s="76"/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</row>
    <row r="861" spans="1:25" ht="13.5" customHeight="1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</row>
    <row r="862" spans="1:25" ht="13.5" customHeight="1">
      <c r="A862" s="76"/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</row>
    <row r="863" spans="1:25" ht="13.5" customHeight="1">
      <c r="A863" s="76"/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</row>
    <row r="864" spans="1:25" ht="13.5" customHeight="1">
      <c r="A864" s="76"/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</row>
    <row r="865" spans="1:25" ht="13.5" customHeight="1">
      <c r="A865" s="76"/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</row>
    <row r="866" spans="1:25" ht="13.5" customHeight="1">
      <c r="A866" s="76"/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</row>
    <row r="867" spans="1:25" ht="13.5" customHeight="1">
      <c r="A867" s="76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</row>
    <row r="868" spans="1:25" ht="13.5" customHeight="1">
      <c r="A868" s="76"/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</row>
    <row r="869" spans="1:25" ht="13.5" customHeight="1">
      <c r="A869" s="76"/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</row>
    <row r="870" spans="1:25" ht="13.5" customHeight="1">
      <c r="A870" s="76"/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</row>
    <row r="871" spans="1:25" ht="13.5" customHeight="1">
      <c r="A871" s="76"/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</row>
    <row r="872" spans="1:25" ht="13.5" customHeight="1">
      <c r="A872" s="76"/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</row>
    <row r="873" spans="1:25" ht="13.5" customHeight="1">
      <c r="A873" s="76"/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/>
      <c r="Y873" s="76"/>
    </row>
    <row r="874" spans="1:25" ht="13.5" customHeight="1">
      <c r="A874" s="76"/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6"/>
      <c r="X874" s="76"/>
      <c r="Y874" s="76"/>
    </row>
    <row r="875" spans="1:25" ht="13.5" customHeight="1">
      <c r="A875" s="76"/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</row>
    <row r="876" spans="1:25" ht="13.5" customHeight="1">
      <c r="A876" s="76"/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</row>
    <row r="877" spans="1:25" ht="13.5" customHeight="1">
      <c r="A877" s="76"/>
      <c r="B877" s="76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</row>
    <row r="878" spans="1:25" ht="13.5" customHeight="1">
      <c r="A878" s="76"/>
      <c r="B878" s="76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6"/>
      <c r="X878" s="76"/>
      <c r="Y878" s="76"/>
    </row>
    <row r="879" spans="1:25" ht="13.5" customHeight="1">
      <c r="A879" s="76"/>
      <c r="B879" s="76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6"/>
      <c r="X879" s="76"/>
      <c r="Y879" s="76"/>
    </row>
    <row r="880" spans="1:25" ht="13.5" customHeight="1">
      <c r="A880" s="76"/>
      <c r="B880" s="76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6"/>
      <c r="X880" s="76"/>
      <c r="Y880" s="76"/>
    </row>
    <row r="881" spans="1:25" ht="13.5" customHeight="1">
      <c r="A881" s="76"/>
      <c r="B881" s="76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6"/>
      <c r="X881" s="76"/>
      <c r="Y881" s="76"/>
    </row>
    <row r="882" spans="1:25" ht="13.5" customHeight="1">
      <c r="A882" s="76"/>
      <c r="B882" s="76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</row>
    <row r="883" spans="1:25" ht="13.5" customHeight="1">
      <c r="A883" s="76"/>
      <c r="B883" s="76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6"/>
      <c r="X883" s="76"/>
      <c r="Y883" s="76"/>
    </row>
    <row r="884" spans="1:25" ht="13.5" customHeight="1">
      <c r="A884" s="76"/>
      <c r="B884" s="76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6"/>
      <c r="X884" s="76"/>
      <c r="Y884" s="76"/>
    </row>
    <row r="885" spans="1:25" ht="13.5" customHeight="1">
      <c r="A885" s="76"/>
      <c r="B885" s="76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6"/>
      <c r="X885" s="76"/>
      <c r="Y885" s="76"/>
    </row>
    <row r="886" spans="1:25" ht="13.5" customHeight="1">
      <c r="A886" s="76"/>
      <c r="B886" s="76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</row>
    <row r="887" spans="1:25" ht="13.5" customHeight="1">
      <c r="A887" s="76"/>
      <c r="B887" s="76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</row>
    <row r="888" spans="1:25" ht="13.5" customHeight="1">
      <c r="A888" s="76"/>
      <c r="B888" s="76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</row>
    <row r="889" spans="1:25" ht="13.5" customHeight="1">
      <c r="A889" s="76"/>
      <c r="B889" s="76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/>
      <c r="Y889" s="76"/>
    </row>
    <row r="890" spans="1:25" ht="13.5" customHeight="1">
      <c r="A890" s="76"/>
      <c r="B890" s="76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6"/>
      <c r="X890" s="76"/>
      <c r="Y890" s="76"/>
    </row>
    <row r="891" spans="1:25" ht="13.5" customHeight="1">
      <c r="A891" s="76"/>
      <c r="B891" s="76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</row>
    <row r="892" spans="1:25" ht="13.5" customHeight="1">
      <c r="A892" s="76"/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</row>
    <row r="893" spans="1:25" ht="13.5" customHeight="1">
      <c r="A893" s="76"/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</row>
    <row r="894" spans="1:25" ht="13.5" customHeight="1">
      <c r="A894" s="76"/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</row>
    <row r="895" spans="1:25" ht="13.5" customHeight="1">
      <c r="A895" s="76"/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</row>
    <row r="896" spans="1:25" ht="13.5" customHeight="1">
      <c r="A896" s="76"/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</row>
    <row r="897" spans="1:25" ht="13.5" customHeight="1">
      <c r="A897" s="76"/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</row>
    <row r="898" spans="1:25" ht="13.5" customHeight="1">
      <c r="A898" s="76"/>
      <c r="B898" s="76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6"/>
      <c r="X898" s="76"/>
      <c r="Y898" s="76"/>
    </row>
    <row r="899" spans="1:25" ht="13.5" customHeight="1">
      <c r="A899" s="76"/>
      <c r="B899" s="76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6"/>
      <c r="X899" s="76"/>
      <c r="Y899" s="76"/>
    </row>
    <row r="900" spans="1:25" ht="13.5" customHeight="1">
      <c r="A900" s="76"/>
      <c r="B900" s="76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</row>
    <row r="901" spans="1:25" ht="13.5" customHeight="1">
      <c r="A901" s="76"/>
      <c r="B901" s="76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</row>
    <row r="902" spans="1:25" ht="13.5" customHeight="1">
      <c r="A902" s="76"/>
      <c r="B902" s="76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</row>
    <row r="903" spans="1:25" ht="13.5" customHeight="1">
      <c r="A903" s="76"/>
      <c r="B903" s="76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</row>
    <row r="904" spans="1:25" ht="13.5" customHeight="1">
      <c r="A904" s="76"/>
      <c r="B904" s="76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/>
      <c r="Y904" s="76"/>
    </row>
    <row r="905" spans="1:25" ht="13.5" customHeight="1">
      <c r="A905" s="76"/>
      <c r="B905" s="76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</row>
    <row r="906" spans="1:25" ht="13.5" customHeight="1">
      <c r="A906" s="76"/>
      <c r="B906" s="76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6"/>
      <c r="X906" s="76"/>
      <c r="Y906" s="76"/>
    </row>
    <row r="907" spans="1:25" ht="13.5" customHeight="1">
      <c r="A907" s="76"/>
      <c r="B907" s="76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</row>
    <row r="908" spans="1:25" ht="13.5" customHeight="1">
      <c r="A908" s="76"/>
      <c r="B908" s="76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6"/>
      <c r="X908" s="76"/>
      <c r="Y908" s="76"/>
    </row>
    <row r="909" spans="1:25" ht="13.5" customHeight="1">
      <c r="A909" s="76"/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6"/>
      <c r="X909" s="76"/>
      <c r="Y909" s="76"/>
    </row>
    <row r="910" spans="1:25" ht="13.5" customHeight="1">
      <c r="A910" s="76"/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6"/>
      <c r="X910" s="76"/>
      <c r="Y910" s="76"/>
    </row>
    <row r="911" spans="1:25" ht="13.5" customHeight="1">
      <c r="A911" s="76"/>
      <c r="B911" s="76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</row>
    <row r="912" spans="1:25" ht="13.5" customHeight="1">
      <c r="A912" s="76"/>
      <c r="B912" s="76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6"/>
      <c r="X912" s="76"/>
      <c r="Y912" s="76"/>
    </row>
    <row r="913" spans="1:25" ht="13.5" customHeight="1">
      <c r="A913" s="76"/>
      <c r="B913" s="76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</row>
    <row r="914" spans="1:25" ht="13.5" customHeight="1">
      <c r="A914" s="76"/>
      <c r="B914" s="76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6"/>
      <c r="X914" s="76"/>
      <c r="Y914" s="76"/>
    </row>
    <row r="915" spans="1:25" ht="13.5" customHeight="1">
      <c r="A915" s="76"/>
      <c r="B915" s="76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6"/>
      <c r="X915" s="76"/>
      <c r="Y915" s="76"/>
    </row>
    <row r="916" spans="1:25" ht="13.5" customHeight="1">
      <c r="A916" s="76"/>
      <c r="B916" s="76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</row>
    <row r="917" spans="1:25" ht="13.5" customHeight="1">
      <c r="A917" s="76"/>
      <c r="B917" s="76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6"/>
      <c r="X917" s="76"/>
      <c r="Y917" s="76"/>
    </row>
    <row r="918" spans="1:25" ht="13.5" customHeight="1">
      <c r="A918" s="76"/>
      <c r="B918" s="76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6"/>
      <c r="X918" s="76"/>
      <c r="Y918" s="76"/>
    </row>
    <row r="919" spans="1:25" ht="13.5" customHeight="1">
      <c r="A919" s="76"/>
      <c r="B919" s="76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</row>
    <row r="920" spans="1:25" ht="13.5" customHeight="1">
      <c r="A920" s="76"/>
      <c r="B920" s="76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6"/>
      <c r="X920" s="76"/>
      <c r="Y920" s="76"/>
    </row>
    <row r="921" spans="1:25" ht="13.5" customHeight="1">
      <c r="A921" s="76"/>
      <c r="B921" s="76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6"/>
      <c r="X921" s="76"/>
      <c r="Y921" s="76"/>
    </row>
    <row r="922" spans="1:25" ht="13.5" customHeight="1">
      <c r="A922" s="76"/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</row>
    <row r="923" spans="1:25" ht="13.5" customHeight="1">
      <c r="A923" s="76"/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</row>
    <row r="924" spans="1:25" ht="13.5" customHeight="1">
      <c r="A924" s="76"/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</row>
    <row r="925" spans="1:25" ht="13.5" customHeight="1">
      <c r="A925" s="76"/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</row>
    <row r="926" spans="1:25" ht="13.5" customHeight="1">
      <c r="A926" s="76"/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</row>
    <row r="927" spans="1:25" ht="13.5" customHeight="1">
      <c r="A927" s="76"/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</row>
    <row r="928" spans="1:25" ht="13.5" customHeight="1">
      <c r="A928" s="76"/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</row>
    <row r="929" spans="1:25" ht="13.5" customHeight="1">
      <c r="A929" s="76"/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</row>
    <row r="930" spans="1:25" ht="13.5" customHeight="1">
      <c r="A930" s="76"/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</row>
    <row r="931" spans="1:25" ht="13.5" customHeight="1">
      <c r="A931" s="76"/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</row>
    <row r="932" spans="1:25" ht="13.5" customHeight="1">
      <c r="A932" s="76"/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</row>
    <row r="933" spans="1:25" ht="13.5" customHeight="1">
      <c r="A933" s="76"/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</row>
    <row r="934" spans="1:25" ht="13.5" customHeight="1">
      <c r="A934" s="76"/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</row>
    <row r="935" spans="1:25" ht="13.5" customHeight="1">
      <c r="A935" s="76"/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</row>
    <row r="936" spans="1:25" ht="13.5" customHeight="1">
      <c r="A936" s="76"/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</row>
    <row r="937" spans="1:25" ht="13.5" customHeight="1">
      <c r="A937" s="76"/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</row>
    <row r="938" spans="1:25" ht="13.5" customHeight="1">
      <c r="A938" s="76"/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</row>
    <row r="939" spans="1:25" ht="13.5" customHeight="1">
      <c r="A939" s="76"/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</row>
    <row r="940" spans="1:25" ht="13.5" customHeight="1">
      <c r="A940" s="76"/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</row>
    <row r="941" spans="1:25" ht="13.5" customHeight="1">
      <c r="A941" s="76"/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</row>
    <row r="942" spans="1:25" ht="13.5" customHeight="1">
      <c r="A942" s="76"/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</row>
    <row r="943" spans="1:25" ht="13.5" customHeight="1">
      <c r="A943" s="76"/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</row>
    <row r="944" spans="1:25" ht="13.5" customHeight="1">
      <c r="A944" s="76"/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</row>
    <row r="945" spans="1:25" ht="13.5" customHeight="1">
      <c r="A945" s="76"/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</row>
    <row r="946" spans="1:25" ht="13.5" customHeight="1">
      <c r="A946" s="76"/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</row>
    <row r="947" spans="1:25" ht="13.5" customHeight="1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</row>
    <row r="948" spans="1:25" ht="13.5" customHeight="1">
      <c r="A948" s="76"/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</row>
    <row r="949" spans="1:25" ht="13.5" customHeight="1">
      <c r="A949" s="76"/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</row>
    <row r="950" spans="1:25" ht="13.5" customHeight="1">
      <c r="A950" s="76"/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</row>
    <row r="951" spans="1:25" ht="13.5" customHeight="1">
      <c r="A951" s="76"/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</row>
    <row r="952" spans="1:25" ht="13.5" customHeight="1">
      <c r="A952" s="76"/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</row>
    <row r="953" spans="1:25" ht="13.5" customHeight="1">
      <c r="A953" s="76"/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</row>
    <row r="954" spans="1:25" ht="13.5" customHeight="1">
      <c r="A954" s="76"/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</row>
    <row r="955" spans="1:25" ht="13.5" customHeight="1">
      <c r="A955" s="76"/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</row>
    <row r="956" spans="1:25" ht="13.5" customHeight="1">
      <c r="A956" s="76"/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</row>
    <row r="957" spans="1:25" ht="13.5" customHeight="1">
      <c r="A957" s="76"/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</row>
    <row r="958" spans="1:25" ht="13.5" customHeight="1">
      <c r="A958" s="76"/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</row>
    <row r="959" spans="1:25" ht="13.5" customHeight="1">
      <c r="A959" s="76"/>
      <c r="B959" s="76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</row>
    <row r="960" spans="1:25" ht="13.5" customHeight="1">
      <c r="A960" s="76"/>
      <c r="B960" s="76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</row>
    <row r="961" spans="1:25" ht="13.5" customHeight="1">
      <c r="A961" s="76"/>
      <c r="B961" s="76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6"/>
      <c r="X961" s="76"/>
      <c r="Y961" s="76"/>
    </row>
    <row r="962" spans="1:25" ht="13.5" customHeight="1">
      <c r="A962" s="76"/>
      <c r="B962" s="76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6"/>
      <c r="X962" s="76"/>
      <c r="Y962" s="76"/>
    </row>
    <row r="963" spans="1:25" ht="13.5" customHeight="1">
      <c r="A963" s="76"/>
      <c r="B963" s="76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6"/>
      <c r="X963" s="76"/>
      <c r="Y963" s="76"/>
    </row>
    <row r="964" spans="1:25" ht="13.5" customHeight="1">
      <c r="A964" s="76"/>
      <c r="B964" s="76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6"/>
      <c r="X964" s="76"/>
      <c r="Y964" s="76"/>
    </row>
    <row r="965" spans="1:25" ht="13.5" customHeight="1">
      <c r="A965" s="76"/>
      <c r="B965" s="76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</row>
    <row r="966" spans="1:25" ht="13.5" customHeight="1">
      <c r="A966" s="76"/>
      <c r="B966" s="76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6"/>
      <c r="X966" s="76"/>
      <c r="Y966" s="76"/>
    </row>
    <row r="967" spans="1:25" ht="13.5" customHeight="1">
      <c r="A967" s="76"/>
      <c r="B967" s="76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6"/>
      <c r="X967" s="76"/>
      <c r="Y967" s="76"/>
    </row>
    <row r="968" spans="1:25" ht="13.5" customHeight="1">
      <c r="A968" s="76"/>
      <c r="B968" s="76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</row>
    <row r="969" spans="1:25" ht="13.5" customHeight="1">
      <c r="A969" s="76"/>
      <c r="B969" s="76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6"/>
      <c r="X969" s="76"/>
      <c r="Y969" s="76"/>
    </row>
    <row r="970" spans="1:25" ht="13.5" customHeight="1">
      <c r="A970" s="76"/>
      <c r="B970" s="76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</row>
    <row r="971" spans="1:25" ht="13.5" customHeight="1">
      <c r="A971" s="76"/>
      <c r="B971" s="76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</row>
    <row r="972" spans="1:25" ht="13.5" customHeight="1">
      <c r="A972" s="76"/>
      <c r="B972" s="76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/>
      <c r="Y972" s="76"/>
    </row>
    <row r="973" spans="1:25" ht="13.5" customHeight="1">
      <c r="A973" s="76"/>
      <c r="B973" s="76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6"/>
      <c r="X973" s="76"/>
      <c r="Y973" s="76"/>
    </row>
    <row r="974" spans="1:25" ht="13.5" customHeight="1">
      <c r="A974" s="76"/>
      <c r="B974" s="76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6"/>
      <c r="X974" s="76"/>
      <c r="Y974" s="76"/>
    </row>
    <row r="975" spans="1:25" ht="13.5" customHeight="1">
      <c r="A975" s="76"/>
      <c r="B975" s="76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6"/>
      <c r="X975" s="76"/>
      <c r="Y975" s="76"/>
    </row>
    <row r="976" spans="1:25" ht="13.5" customHeight="1">
      <c r="A976" s="76"/>
      <c r="B976" s="76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6"/>
      <c r="X976" s="76"/>
      <c r="Y976" s="76"/>
    </row>
    <row r="977" spans="1:25" ht="13.5" customHeight="1">
      <c r="A977" s="76"/>
      <c r="B977" s="76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6"/>
      <c r="X977" s="76"/>
      <c r="Y977" s="76"/>
    </row>
    <row r="978" spans="1:25" ht="13.5" customHeight="1">
      <c r="A978" s="76"/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</row>
    <row r="979" spans="1:25" ht="13.5" customHeight="1">
      <c r="A979" s="76"/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</row>
    <row r="980" spans="1:25" ht="13.5" customHeight="1">
      <c r="A980" s="76"/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</row>
    <row r="981" spans="1:25" ht="13.5" customHeight="1">
      <c r="A981" s="76"/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</row>
    <row r="982" spans="1:25" ht="13.5" customHeight="1">
      <c r="A982" s="76"/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</row>
    <row r="983" spans="1:25" ht="13.5" customHeight="1">
      <c r="A983" s="76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</row>
    <row r="984" spans="1:25" ht="13.5" customHeight="1">
      <c r="A984" s="76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</row>
    <row r="985" spans="1:25" ht="13.5" customHeight="1">
      <c r="A985" s="76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6"/>
      <c r="X985" s="76"/>
      <c r="Y985" s="76"/>
    </row>
    <row r="986" spans="1:25" ht="13.5" customHeight="1">
      <c r="A986" s="76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6"/>
      <c r="X986" s="76"/>
      <c r="Y986" s="76"/>
    </row>
    <row r="987" spans="1:25" ht="13.5" customHeight="1">
      <c r="A987" s="76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</row>
    <row r="988" spans="1:25" ht="13.5" customHeight="1">
      <c r="A988" s="76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6"/>
      <c r="X988" s="76"/>
      <c r="Y988" s="76"/>
    </row>
    <row r="989" spans="1:25" ht="13.5" customHeight="1">
      <c r="A989" s="76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6"/>
      <c r="X989" s="76"/>
      <c r="Y989" s="76"/>
    </row>
    <row r="990" spans="1:25" ht="13.5" customHeight="1">
      <c r="A990" s="76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6"/>
      <c r="X990" s="76"/>
      <c r="Y990" s="76"/>
    </row>
    <row r="991" spans="1:25" ht="13.5" customHeight="1">
      <c r="A991" s="76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6"/>
      <c r="X991" s="76"/>
      <c r="Y991" s="76"/>
    </row>
    <row r="992" spans="1:25" ht="13.5" customHeight="1">
      <c r="A992" s="76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/>
      <c r="Y992" s="76"/>
    </row>
    <row r="993" spans="1:25" ht="13.5" customHeight="1">
      <c r="A993" s="76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</row>
    <row r="994" spans="1:25" ht="13.5" customHeight="1">
      <c r="A994" s="76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6"/>
      <c r="X994" s="76"/>
      <c r="Y994" s="76"/>
    </row>
    <row r="995" spans="1:25" ht="13.5" customHeight="1">
      <c r="A995" s="76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</row>
    <row r="996" spans="1:25" ht="13.5" customHeight="1">
      <c r="A996" s="76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</row>
    <row r="997" spans="1:25" ht="13.5" customHeight="1">
      <c r="A997" s="76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6"/>
      <c r="X997" s="76"/>
      <c r="Y997" s="76"/>
    </row>
    <row r="998" spans="1:25" ht="13.5" customHeight="1">
      <c r="A998" s="76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</row>
    <row r="999" spans="1:25" ht="13.5" customHeight="1">
      <c r="A999" s="76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</row>
    <row r="1000" spans="1:25" ht="13.5" customHeight="1">
      <c r="A1000" s="76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</row>
    <row r="1001" spans="1:25" ht="13.5" customHeight="1">
      <c r="A1001" s="76"/>
      <c r="B1001" s="76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</row>
    <row r="1002" spans="1:25" ht="13.5" customHeight="1">
      <c r="A1002" s="76"/>
      <c r="B1002" s="76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</row>
    <row r="1003" spans="1:25" ht="13.5" customHeight="1">
      <c r="A1003" s="76"/>
      <c r="B1003" s="76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  <c r="S1003" s="76"/>
      <c r="T1003" s="76"/>
      <c r="U1003" s="76"/>
      <c r="V1003" s="76"/>
      <c r="W1003" s="76"/>
      <c r="X1003" s="76"/>
      <c r="Y1003" s="76"/>
    </row>
    <row r="1004" spans="1:25" ht="13.5" customHeight="1">
      <c r="A1004" s="76"/>
      <c r="B1004" s="76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</row>
    <row r="1005" spans="1:25" ht="13.5" customHeight="1">
      <c r="A1005" s="76"/>
      <c r="B1005" s="76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/>
      <c r="U1005" s="76"/>
      <c r="V1005" s="76"/>
      <c r="W1005" s="76"/>
      <c r="X1005" s="76"/>
      <c r="Y1005" s="76"/>
    </row>
    <row r="1006" spans="1:25" ht="13.5" customHeight="1">
      <c r="A1006" s="76"/>
      <c r="B1006" s="76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</row>
    <row r="1007" spans="1:25" ht="13.5" customHeight="1">
      <c r="A1007" s="76"/>
      <c r="B1007" s="76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  <c r="S1007" s="76"/>
      <c r="T1007" s="76"/>
      <c r="U1007" s="76"/>
      <c r="V1007" s="76"/>
      <c r="W1007" s="76"/>
      <c r="X1007" s="76"/>
      <c r="Y1007" s="76"/>
    </row>
    <row r="1008" spans="1:25" ht="13.5" customHeight="1">
      <c r="A1008" s="76"/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</row>
    <row r="1009" spans="1:25" ht="13.5" customHeight="1">
      <c r="A1009" s="76"/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</row>
    <row r="1010" spans="1:25" ht="13.5" customHeight="1">
      <c r="A1010" s="76"/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</row>
    <row r="1011" spans="1:25" ht="13.5" customHeight="1">
      <c r="A1011" s="76"/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</row>
    <row r="1012" spans="1:25" ht="13.5" customHeight="1">
      <c r="A1012" s="76"/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  <c r="X1012" s="76"/>
      <c r="Y1012" s="76"/>
    </row>
    <row r="1013" spans="1:25" ht="13.5" customHeight="1">
      <c r="A1013" s="76"/>
      <c r="B1013" s="76"/>
      <c r="C1013" s="76"/>
      <c r="D1013" s="76"/>
      <c r="E1013" s="76"/>
      <c r="F1013" s="76"/>
      <c r="G1013" s="76"/>
      <c r="H1013" s="76"/>
      <c r="I1013" s="76"/>
      <c r="J1013" s="76"/>
      <c r="K1013" s="76"/>
      <c r="L1013" s="76"/>
      <c r="M1013" s="76"/>
      <c r="N1013" s="76"/>
      <c r="O1013" s="76"/>
      <c r="P1013" s="76"/>
      <c r="Q1013" s="76"/>
      <c r="R1013" s="76"/>
      <c r="S1013" s="76"/>
      <c r="T1013" s="76"/>
      <c r="U1013" s="76"/>
      <c r="V1013" s="76"/>
      <c r="W1013" s="76"/>
      <c r="X1013" s="76"/>
      <c r="Y1013" s="76"/>
    </row>
    <row r="1014" spans="1:25" ht="13.5" customHeight="1">
      <c r="A1014" s="76"/>
      <c r="B1014" s="76"/>
      <c r="C1014" s="76"/>
      <c r="D1014" s="76"/>
      <c r="E1014" s="76"/>
      <c r="F1014" s="76"/>
      <c r="G1014" s="76"/>
      <c r="H1014" s="76"/>
      <c r="I1014" s="76"/>
      <c r="J1014" s="76"/>
      <c r="K1014" s="76"/>
      <c r="L1014" s="76"/>
      <c r="M1014" s="76"/>
      <c r="N1014" s="76"/>
      <c r="O1014" s="76"/>
      <c r="P1014" s="76"/>
      <c r="Q1014" s="76"/>
      <c r="R1014" s="76"/>
      <c r="S1014" s="76"/>
      <c r="T1014" s="76"/>
      <c r="U1014" s="76"/>
      <c r="V1014" s="76"/>
      <c r="W1014" s="76"/>
      <c r="X1014" s="76"/>
      <c r="Y1014" s="76"/>
    </row>
  </sheetData>
  <sheetProtection algorithmName="SHA-512" hashValue="s8aAqZth/vENax+EVgEveb6K4zL8ESa2GH1CHIo37G+Fcy8zcEUlctzXV1ZoZoQxFXdbiBrVMUkzAbRPfdP4sg==" saltValue="CJt0GUL0hXNfL8Y8CP7bHA==" spinCount="100000" sheet="1" objects="1" scenarios="1" formatColumns="0" formatRows="0" sort="0" autoFilter="0"/>
  <mergeCells count="12">
    <mergeCell ref="B12:F12"/>
    <mergeCell ref="B13:F13"/>
    <mergeCell ref="B14:F14"/>
    <mergeCell ref="B15:F15"/>
    <mergeCell ref="B18:F18"/>
    <mergeCell ref="B45:F45"/>
    <mergeCell ref="B50:F50"/>
    <mergeCell ref="B22:F22"/>
    <mergeCell ref="B28:F28"/>
    <mergeCell ref="B33:F33"/>
    <mergeCell ref="B38:F38"/>
    <mergeCell ref="B43:F43"/>
  </mergeCells>
  <dataValidations count="1">
    <dataValidation type="decimal" operator="greaterThanOrEqual" allowBlank="1" showInputMessage="1" showErrorMessage="1" sqref="E32 E37 E44 E34:E36 E39:E42 E23:F27 E46:F49 E51:F56 D60:F75">
      <formula1>0</formula1>
    </dataValidation>
  </dataValidations>
  <pageMargins left="0.69930555555555596" right="0.69930555555555596" top="0.75" bottom="0.75" header="0" footer="0"/>
  <pageSetup scale="98" orientation="landscape" r:id="rId1"/>
  <rowBreaks count="1" manualBreakCount="1">
    <brk id="58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A6" workbookViewId="0">
      <selection activeCell="G25" sqref="G25"/>
    </sheetView>
  </sheetViews>
  <sheetFormatPr defaultColWidth="14.42578125" defaultRowHeight="15" customHeight="1" outlineLevelRow="1"/>
  <cols>
    <col min="1" max="1" width="4.140625" style="51" customWidth="1"/>
    <col min="2" max="2" width="23.5703125" style="51" customWidth="1"/>
    <col min="3" max="3" width="33.42578125" style="51" customWidth="1"/>
    <col min="4" max="4" width="20.5703125" style="51" customWidth="1"/>
    <col min="5" max="7" width="18.140625" style="51" customWidth="1"/>
    <col min="8" max="8" width="14.140625" style="51" customWidth="1"/>
    <col min="9" max="9" width="13.5703125" style="51" customWidth="1"/>
    <col min="10" max="10" width="9.85546875" style="51" customWidth="1"/>
    <col min="11" max="19" width="8.7109375" style="51" customWidth="1"/>
    <col min="20" max="16384" width="14.42578125" style="51"/>
  </cols>
  <sheetData>
    <row r="1" spans="1:20" ht="12.75" customHeight="1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20" ht="12.75" customHeight="1">
      <c r="A2" s="61"/>
      <c r="B2" s="53" t="s">
        <v>42</v>
      </c>
      <c r="C2" s="63"/>
      <c r="D2" s="64" t="str">
        <f>'1.1 Case data_general'!D2</f>
        <v>CESARIAN DELIVERY</v>
      </c>
      <c r="E2" s="65"/>
      <c r="F2" s="65"/>
      <c r="G2" s="65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</row>
    <row r="3" spans="1:20" ht="12.75" customHeight="1" collapsed="1">
      <c r="A3" s="61"/>
      <c r="B3" s="23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</row>
    <row r="4" spans="1:20" ht="12.75" hidden="1" customHeight="1" outlineLevel="1">
      <c r="A4" s="61"/>
      <c r="B4" s="23" t="s">
        <v>43</v>
      </c>
      <c r="C4" s="62">
        <v>20</v>
      </c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</row>
    <row r="5" spans="1:20" ht="12.75" customHeight="1">
      <c r="A5" s="61"/>
      <c r="B5" s="66" t="s">
        <v>44</v>
      </c>
      <c r="C5" s="67"/>
      <c r="D5" s="67"/>
      <c r="E5" s="67"/>
      <c r="F5" s="67"/>
      <c r="G5" s="67"/>
      <c r="H5" s="67"/>
      <c r="I5" s="67"/>
      <c r="J5" s="74"/>
      <c r="K5" s="62"/>
      <c r="L5" s="62"/>
      <c r="M5" s="62"/>
      <c r="N5" s="62"/>
      <c r="O5" s="62"/>
      <c r="P5" s="62"/>
      <c r="Q5" s="62"/>
      <c r="R5" s="62"/>
      <c r="S5" s="62"/>
    </row>
    <row r="6" spans="1:20" ht="12.75" customHeight="1">
      <c r="A6" s="61"/>
      <c r="B6" s="29" t="s">
        <v>45</v>
      </c>
      <c r="C6" s="68"/>
      <c r="D6" s="68"/>
      <c r="E6" s="68"/>
      <c r="F6" s="68"/>
      <c r="G6" s="68"/>
      <c r="H6" s="68"/>
      <c r="I6" s="68"/>
      <c r="J6" s="75"/>
      <c r="K6" s="62"/>
      <c r="L6" s="62"/>
      <c r="M6" s="62"/>
      <c r="N6" s="62"/>
      <c r="O6" s="62"/>
      <c r="P6" s="62"/>
      <c r="Q6" s="62"/>
      <c r="R6" s="62"/>
      <c r="S6" s="62"/>
    </row>
    <row r="7" spans="1:20" ht="12.75" customHeight="1">
      <c r="A7" s="61"/>
      <c r="B7" s="69" t="s">
        <v>46</v>
      </c>
      <c r="C7" s="68"/>
      <c r="D7" s="68"/>
      <c r="E7" s="68"/>
      <c r="F7" s="68"/>
      <c r="G7" s="68"/>
      <c r="H7" s="68"/>
      <c r="I7" s="68"/>
      <c r="J7" s="75"/>
      <c r="K7" s="62"/>
      <c r="L7" s="62"/>
      <c r="M7" s="62"/>
      <c r="N7" s="62"/>
      <c r="O7" s="62"/>
      <c r="P7" s="62"/>
      <c r="Q7" s="62"/>
      <c r="R7" s="62"/>
      <c r="S7" s="62"/>
    </row>
    <row r="8" spans="1:20" ht="30.4" customHeight="1">
      <c r="A8" s="61"/>
      <c r="B8" s="135" t="s">
        <v>47</v>
      </c>
      <c r="C8" s="136"/>
      <c r="D8" s="136"/>
      <c r="E8" s="136"/>
      <c r="F8" s="136"/>
      <c r="G8" s="136"/>
      <c r="H8" s="136"/>
      <c r="I8" s="136"/>
      <c r="J8" s="137"/>
      <c r="K8" s="62"/>
      <c r="L8" s="62"/>
      <c r="M8" s="62"/>
      <c r="N8" s="62"/>
      <c r="O8" s="62"/>
      <c r="P8" s="62"/>
      <c r="Q8" s="62"/>
      <c r="R8" s="62"/>
      <c r="S8" s="62"/>
    </row>
    <row r="9" spans="1:20" ht="12.75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</row>
    <row r="10" spans="1:20" ht="42.75" customHeight="1">
      <c r="B10" s="70" t="s">
        <v>48</v>
      </c>
      <c r="C10" s="71" t="s">
        <v>49</v>
      </c>
      <c r="D10" s="71" t="s">
        <v>50</v>
      </c>
      <c r="E10" s="71" t="s">
        <v>51</v>
      </c>
      <c r="F10" s="71" t="s">
        <v>52</v>
      </c>
      <c r="G10" s="71" t="s">
        <v>53</v>
      </c>
      <c r="H10" s="71" t="s">
        <v>54</v>
      </c>
      <c r="I10" s="71" t="s">
        <v>55</v>
      </c>
      <c r="J10" s="71" t="s">
        <v>56</v>
      </c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2.75" customHeight="1">
      <c r="B11" s="72">
        <v>1</v>
      </c>
      <c r="C11" s="116" t="s">
        <v>182</v>
      </c>
      <c r="D11" s="116" t="s">
        <v>183</v>
      </c>
      <c r="E11" s="116" t="s">
        <v>184</v>
      </c>
      <c r="F11" s="41">
        <v>0</v>
      </c>
      <c r="G11" s="41">
        <v>0</v>
      </c>
      <c r="H11" s="41">
        <v>4</v>
      </c>
      <c r="I11" s="41">
        <v>80</v>
      </c>
      <c r="J11" s="41">
        <f>H11*I11</f>
        <v>320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0" ht="12.75" customHeight="1">
      <c r="B12" s="72">
        <v>2</v>
      </c>
      <c r="C12" s="73" t="s">
        <v>220</v>
      </c>
      <c r="D12" s="73" t="s">
        <v>221</v>
      </c>
      <c r="E12" s="73" t="s">
        <v>167</v>
      </c>
      <c r="F12" s="41">
        <v>0</v>
      </c>
      <c r="G12" s="41">
        <v>0</v>
      </c>
      <c r="H12" s="41">
        <v>5</v>
      </c>
      <c r="I12" s="41">
        <v>23</v>
      </c>
      <c r="J12" s="41">
        <f t="shared" ref="J12" si="0">H12*I12</f>
        <v>115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12.75" customHeight="1">
      <c r="B13" s="72">
        <v>3</v>
      </c>
      <c r="C13" s="116" t="s">
        <v>187</v>
      </c>
      <c r="D13" s="116" t="s">
        <v>173</v>
      </c>
      <c r="E13" s="116" t="s">
        <v>188</v>
      </c>
      <c r="F13" s="41">
        <v>0</v>
      </c>
      <c r="G13" s="41">
        <v>0</v>
      </c>
      <c r="H13" s="41">
        <v>1</v>
      </c>
      <c r="I13" s="41">
        <v>650</v>
      </c>
      <c r="J13" s="41">
        <f t="shared" ref="J13:J25" si="1">H13*I13</f>
        <v>650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2.75" customHeight="1">
      <c r="B14" s="72">
        <v>4</v>
      </c>
      <c r="C14" s="116" t="s">
        <v>190</v>
      </c>
      <c r="D14" s="116" t="s">
        <v>189</v>
      </c>
      <c r="E14" s="116" t="s">
        <v>191</v>
      </c>
      <c r="F14" s="41">
        <v>0</v>
      </c>
      <c r="G14" s="41">
        <v>0</v>
      </c>
      <c r="H14" s="41">
        <v>2</v>
      </c>
      <c r="I14" s="41">
        <v>40</v>
      </c>
      <c r="J14" s="41">
        <f t="shared" si="1"/>
        <v>80</v>
      </c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20" ht="12.75" customHeight="1">
      <c r="B15" s="72">
        <v>5</v>
      </c>
      <c r="C15" s="116" t="s">
        <v>216</v>
      </c>
      <c r="D15" s="116" t="s">
        <v>185</v>
      </c>
      <c r="E15" s="116" t="s">
        <v>186</v>
      </c>
      <c r="F15" s="41">
        <v>0</v>
      </c>
      <c r="G15" s="41">
        <v>0</v>
      </c>
      <c r="H15" s="41">
        <v>2</v>
      </c>
      <c r="I15" s="41">
        <v>30</v>
      </c>
      <c r="J15" s="41">
        <f t="shared" si="1"/>
        <v>60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20" ht="12.75" customHeight="1">
      <c r="B16" s="72">
        <v>6</v>
      </c>
      <c r="C16" s="116" t="s">
        <v>192</v>
      </c>
      <c r="D16" s="116" t="s">
        <v>185</v>
      </c>
      <c r="E16" s="116" t="s">
        <v>193</v>
      </c>
      <c r="F16" s="41">
        <v>0</v>
      </c>
      <c r="G16" s="41">
        <v>0</v>
      </c>
      <c r="H16" s="41">
        <v>1</v>
      </c>
      <c r="I16" s="41">
        <v>125</v>
      </c>
      <c r="J16" s="41">
        <f t="shared" si="1"/>
        <v>125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ht="12.75" customHeight="1">
      <c r="B17" s="72">
        <v>7</v>
      </c>
      <c r="C17" s="116" t="s">
        <v>194</v>
      </c>
      <c r="D17" s="116" t="s">
        <v>185</v>
      </c>
      <c r="E17" s="116" t="s">
        <v>188</v>
      </c>
      <c r="F17" s="41">
        <v>0</v>
      </c>
      <c r="G17" s="41">
        <v>0</v>
      </c>
      <c r="H17" s="41">
        <v>1</v>
      </c>
      <c r="I17" s="41">
        <v>135</v>
      </c>
      <c r="J17" s="41">
        <f t="shared" si="1"/>
        <v>135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ht="12.75" customHeight="1">
      <c r="B18" s="72">
        <v>8</v>
      </c>
      <c r="C18" s="73" t="s">
        <v>231</v>
      </c>
      <c r="D18" s="116" t="s">
        <v>195</v>
      </c>
      <c r="E18" s="116" t="s">
        <v>167</v>
      </c>
      <c r="F18" s="41">
        <v>0</v>
      </c>
      <c r="G18" s="41">
        <v>0</v>
      </c>
      <c r="H18" s="41">
        <v>21</v>
      </c>
      <c r="I18" s="41">
        <v>8</v>
      </c>
      <c r="J18" s="41">
        <f t="shared" si="1"/>
        <v>168</v>
      </c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ht="12.75" customHeight="1">
      <c r="B19" s="72">
        <v>9</v>
      </c>
      <c r="C19" s="116" t="s">
        <v>196</v>
      </c>
      <c r="D19" s="116" t="s">
        <v>195</v>
      </c>
      <c r="E19" s="116" t="s">
        <v>167</v>
      </c>
      <c r="F19" s="41">
        <v>0</v>
      </c>
      <c r="G19" s="41">
        <v>0</v>
      </c>
      <c r="H19" s="41">
        <v>9</v>
      </c>
      <c r="I19" s="41">
        <v>4</v>
      </c>
      <c r="J19" s="41">
        <f t="shared" si="1"/>
        <v>36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ht="12.75" customHeight="1">
      <c r="B20" s="72">
        <v>10</v>
      </c>
      <c r="C20" s="116" t="s">
        <v>197</v>
      </c>
      <c r="D20" s="116" t="s">
        <v>198</v>
      </c>
      <c r="E20" s="116" t="s">
        <v>199</v>
      </c>
      <c r="F20" s="41">
        <v>0</v>
      </c>
      <c r="G20" s="41">
        <v>0</v>
      </c>
      <c r="H20" s="41">
        <v>2</v>
      </c>
      <c r="I20" s="41">
        <v>55</v>
      </c>
      <c r="J20" s="41">
        <f t="shared" si="1"/>
        <v>110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2.75" customHeight="1">
      <c r="B21" s="72">
        <v>11</v>
      </c>
      <c r="C21" s="73" t="s">
        <v>227</v>
      </c>
      <c r="D21" s="73" t="s">
        <v>185</v>
      </c>
      <c r="E21" s="73" t="s">
        <v>186</v>
      </c>
      <c r="F21" s="41">
        <v>0</v>
      </c>
      <c r="G21" s="41">
        <v>0</v>
      </c>
      <c r="H21" s="41">
        <v>1</v>
      </c>
      <c r="I21" s="41">
        <v>25</v>
      </c>
      <c r="J21" s="41">
        <f t="shared" si="1"/>
        <v>25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ht="12.75" customHeight="1">
      <c r="B22" s="72">
        <v>12</v>
      </c>
      <c r="C22" s="73" t="s">
        <v>229</v>
      </c>
      <c r="D22" s="73" t="s">
        <v>189</v>
      </c>
      <c r="E22" s="73" t="s">
        <v>230</v>
      </c>
      <c r="F22" s="41">
        <v>0</v>
      </c>
      <c r="G22" s="41">
        <v>0</v>
      </c>
      <c r="H22" s="41">
        <v>1</v>
      </c>
      <c r="I22" s="41">
        <v>50</v>
      </c>
      <c r="J22" s="41">
        <f t="shared" ref="J22:J24" si="2">H22*I22</f>
        <v>50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1:20" ht="12.75" customHeight="1">
      <c r="B23" s="72">
        <v>13</v>
      </c>
      <c r="C23" s="73" t="s">
        <v>237</v>
      </c>
      <c r="D23" s="73" t="s">
        <v>173</v>
      </c>
      <c r="E23" s="73" t="s">
        <v>238</v>
      </c>
      <c r="F23" s="41">
        <v>0</v>
      </c>
      <c r="G23" s="41">
        <v>0</v>
      </c>
      <c r="H23" s="41">
        <v>1</v>
      </c>
      <c r="I23" s="41">
        <v>40</v>
      </c>
      <c r="J23" s="41">
        <f t="shared" si="2"/>
        <v>40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</row>
    <row r="24" spans="1:20" ht="12.75" customHeight="1">
      <c r="B24" s="72">
        <v>14</v>
      </c>
      <c r="C24" s="73" t="s">
        <v>239</v>
      </c>
      <c r="D24" s="73" t="s">
        <v>185</v>
      </c>
      <c r="E24" s="73" t="s">
        <v>240</v>
      </c>
      <c r="F24" s="41">
        <v>0</v>
      </c>
      <c r="G24" s="41">
        <v>0</v>
      </c>
      <c r="H24" s="41">
        <v>1</v>
      </c>
      <c r="I24" s="41">
        <v>20</v>
      </c>
      <c r="J24" s="41">
        <f t="shared" si="2"/>
        <v>20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</row>
    <row r="25" spans="1:20" ht="12.75" customHeight="1">
      <c r="B25" s="72">
        <v>15</v>
      </c>
      <c r="C25" s="73" t="s">
        <v>241</v>
      </c>
      <c r="D25" s="73" t="s">
        <v>185</v>
      </c>
      <c r="E25" s="73" t="s">
        <v>186</v>
      </c>
      <c r="F25" s="41">
        <v>0</v>
      </c>
      <c r="G25" s="41">
        <v>0</v>
      </c>
      <c r="H25" s="41">
        <v>4</v>
      </c>
      <c r="I25" s="41">
        <v>35</v>
      </c>
      <c r="J25" s="41">
        <f t="shared" si="1"/>
        <v>140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1:20" ht="12.75" customHeight="1">
      <c r="B26" s="72">
        <v>16</v>
      </c>
      <c r="C26" s="73"/>
      <c r="D26" s="73"/>
      <c r="E26" s="73"/>
      <c r="F26" s="41">
        <v>0</v>
      </c>
      <c r="G26" s="41">
        <v>0</v>
      </c>
      <c r="H26" s="41"/>
      <c r="I26" s="41"/>
      <c r="J26" s="41">
        <f t="shared" ref="J26:J28" si="3">H26*I26</f>
        <v>0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ht="12.75" customHeight="1">
      <c r="B27" s="72">
        <v>17</v>
      </c>
      <c r="C27" s="73"/>
      <c r="D27" s="73"/>
      <c r="E27" s="73"/>
      <c r="F27" s="41">
        <v>0</v>
      </c>
      <c r="G27" s="41">
        <v>0</v>
      </c>
      <c r="H27" s="41"/>
      <c r="I27" s="41"/>
      <c r="J27" s="41">
        <f t="shared" si="3"/>
        <v>0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</row>
    <row r="28" spans="1:20" ht="12.75" customHeight="1">
      <c r="B28" s="72">
        <v>18</v>
      </c>
      <c r="C28" s="73"/>
      <c r="D28" s="73"/>
      <c r="E28" s="73"/>
      <c r="F28" s="41">
        <v>0</v>
      </c>
      <c r="G28" s="41">
        <v>0</v>
      </c>
      <c r="H28" s="41"/>
      <c r="I28" s="41"/>
      <c r="J28" s="41">
        <f t="shared" si="3"/>
        <v>0</v>
      </c>
      <c r="K28" s="62"/>
      <c r="L28" s="62"/>
      <c r="M28" s="62"/>
      <c r="N28" s="62"/>
      <c r="O28" s="62"/>
      <c r="P28" s="62"/>
      <c r="Q28" s="62"/>
      <c r="R28" s="62"/>
      <c r="S28" s="62"/>
      <c r="T28" s="62"/>
    </row>
    <row r="29" spans="1:20" ht="12.75" customHeight="1">
      <c r="B29" s="72">
        <v>19</v>
      </c>
      <c r="C29" s="116"/>
      <c r="D29" s="116"/>
      <c r="E29" s="116"/>
      <c r="F29" s="41"/>
      <c r="G29" s="41"/>
      <c r="H29" s="41"/>
      <c r="I29" s="41"/>
      <c r="J29" s="41"/>
      <c r="K29" s="62"/>
      <c r="L29" s="62"/>
      <c r="M29" s="62"/>
      <c r="N29" s="62"/>
      <c r="O29" s="62"/>
      <c r="P29" s="62"/>
      <c r="Q29" s="62"/>
      <c r="R29" s="62"/>
      <c r="S29" s="62"/>
      <c r="T29" s="62"/>
    </row>
    <row r="30" spans="1:20" ht="12.75" customHeight="1">
      <c r="B30" s="72">
        <v>20</v>
      </c>
      <c r="C30" s="116"/>
      <c r="D30" s="116"/>
      <c r="E30" s="116"/>
      <c r="F30" s="41"/>
      <c r="G30" s="41"/>
      <c r="H30" s="41"/>
      <c r="I30" s="41"/>
      <c r="J30" s="41">
        <f>SUM(J11:J29)</f>
        <v>2074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</row>
    <row r="31" spans="1:20" ht="12.75" customHeight="1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</row>
    <row r="32" spans="1:2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6yGMmxsUULoltmrskGz7UmDOlvlR6WzkbkUu2uPvVDPGLV3+kxr78RHr1wTuJl244j/jGWa8mcYvqWF4BgNS1w==" saltValue="n7TBDm5E0vYOmAiLpHeGU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tabSelected="1" topLeftCell="A48" workbookViewId="0">
      <selection activeCell="F62" sqref="F62"/>
    </sheetView>
  </sheetViews>
  <sheetFormatPr defaultColWidth="14.42578125" defaultRowHeight="15" customHeight="1" outlineLevelRow="1"/>
  <cols>
    <col min="1" max="1" width="2.42578125" style="51" customWidth="1"/>
    <col min="2" max="2" width="27" style="51" customWidth="1"/>
    <col min="3" max="3" width="40.5703125" style="51" customWidth="1"/>
    <col min="4" max="4" width="27.7109375" style="51" customWidth="1"/>
    <col min="5" max="5" width="10.42578125" style="51" customWidth="1"/>
    <col min="6" max="6" width="18.28515625" style="51" customWidth="1"/>
    <col min="7" max="7" width="26.85546875" style="51" customWidth="1"/>
    <col min="8" max="16" width="8.7109375" style="51" customWidth="1"/>
    <col min="17" max="16384" width="14.42578125" style="51"/>
  </cols>
  <sheetData>
    <row r="1" spans="1:16" ht="14.25" customHeight="1">
      <c r="A1" s="52"/>
      <c r="B1" s="23"/>
      <c r="C1" s="52"/>
      <c r="D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4.25" customHeight="1">
      <c r="A2" s="52"/>
      <c r="B2" s="53" t="s">
        <v>57</v>
      </c>
      <c r="C2" s="53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14.25" customHeight="1" collapsed="1">
      <c r="A3" s="52"/>
      <c r="B3" s="23"/>
      <c r="C3" s="52"/>
      <c r="D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</row>
    <row r="4" spans="1:16" ht="14.25" hidden="1" customHeight="1" outlineLevel="1">
      <c r="A4" s="52"/>
      <c r="B4" s="23" t="s">
        <v>58</v>
      </c>
      <c r="C4" s="52">
        <v>10</v>
      </c>
      <c r="D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</row>
    <row r="5" spans="1:16" ht="14.25" hidden="1" customHeight="1" outlineLevel="1">
      <c r="A5" s="52"/>
      <c r="B5" s="23" t="s">
        <v>59</v>
      </c>
      <c r="C5" s="52">
        <v>38</v>
      </c>
      <c r="D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ht="14.25" hidden="1" customHeight="1" outlineLevel="1">
      <c r="A6" s="52"/>
      <c r="B6" s="23" t="s">
        <v>60</v>
      </c>
      <c r="C6" s="52">
        <v>10</v>
      </c>
      <c r="D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16" ht="14.25" customHeight="1">
      <c r="A7" s="52"/>
      <c r="B7" s="144" t="s">
        <v>61</v>
      </c>
      <c r="C7" s="145"/>
      <c r="D7" s="145"/>
      <c r="E7" s="145"/>
      <c r="F7" s="145"/>
      <c r="G7" s="146"/>
      <c r="H7" s="23"/>
      <c r="I7" s="23"/>
      <c r="J7" s="23"/>
      <c r="K7" s="23"/>
      <c r="L7" s="23"/>
      <c r="M7" s="23"/>
      <c r="N7" s="23"/>
      <c r="O7" s="23"/>
      <c r="P7" s="23"/>
    </row>
    <row r="8" spans="1:16" ht="14.25" customHeight="1">
      <c r="A8" s="52"/>
      <c r="B8" s="147" t="s">
        <v>62</v>
      </c>
      <c r="C8" s="148"/>
      <c r="D8" s="148"/>
      <c r="E8" s="148"/>
      <c r="F8" s="148"/>
      <c r="G8" s="149"/>
      <c r="H8" s="23"/>
      <c r="I8" s="23"/>
      <c r="J8" s="23"/>
      <c r="K8" s="23"/>
      <c r="L8" s="23"/>
      <c r="M8" s="23"/>
      <c r="N8" s="23"/>
      <c r="O8" s="23"/>
      <c r="P8" s="23"/>
    </row>
    <row r="9" spans="1:16" ht="14.25" customHeight="1">
      <c r="A9" s="52"/>
      <c r="B9" s="147" t="s">
        <v>63</v>
      </c>
      <c r="C9" s="148"/>
      <c r="D9" s="148"/>
      <c r="E9" s="148"/>
      <c r="F9" s="148"/>
      <c r="G9" s="149"/>
      <c r="H9" s="23"/>
      <c r="I9" s="23"/>
      <c r="J9" s="23"/>
      <c r="K9" s="23"/>
      <c r="L9" s="23"/>
      <c r="M9" s="23"/>
      <c r="N9" s="23"/>
      <c r="O9" s="23"/>
      <c r="P9" s="23"/>
    </row>
    <row r="10" spans="1:16" ht="14.25" customHeight="1">
      <c r="A10" s="52"/>
      <c r="B10" s="147" t="s">
        <v>64</v>
      </c>
      <c r="C10" s="148"/>
      <c r="D10" s="148"/>
      <c r="E10" s="148"/>
      <c r="F10" s="148"/>
      <c r="G10" s="149"/>
      <c r="H10" s="23"/>
      <c r="I10" s="23"/>
      <c r="J10" s="23"/>
      <c r="K10" s="23"/>
      <c r="L10" s="23"/>
      <c r="M10" s="23"/>
      <c r="N10" s="23"/>
      <c r="O10" s="23"/>
      <c r="P10" s="23"/>
    </row>
    <row r="11" spans="1:16" ht="13.5" customHeight="1">
      <c r="A11" s="54"/>
      <c r="B11" s="147" t="s">
        <v>65</v>
      </c>
      <c r="C11" s="148"/>
      <c r="D11" s="148"/>
      <c r="E11" s="148"/>
      <c r="F11" s="148"/>
      <c r="G11" s="149"/>
      <c r="H11" s="23"/>
      <c r="I11" s="23"/>
      <c r="J11" s="23"/>
      <c r="K11" s="23"/>
      <c r="L11" s="23"/>
      <c r="M11" s="23"/>
      <c r="N11" s="23"/>
      <c r="O11" s="23"/>
      <c r="P11" s="23"/>
    </row>
    <row r="12" spans="1:16" ht="14.25" customHeight="1">
      <c r="A12" s="52"/>
      <c r="B12" s="138" t="s">
        <v>66</v>
      </c>
      <c r="C12" s="139"/>
      <c r="D12" s="139"/>
      <c r="E12" s="139"/>
      <c r="F12" s="139"/>
      <c r="G12" s="140"/>
      <c r="H12" s="23"/>
      <c r="I12" s="23"/>
      <c r="J12" s="23"/>
      <c r="K12" s="23"/>
      <c r="L12" s="23"/>
      <c r="M12" s="23"/>
      <c r="N12" s="23"/>
      <c r="O12" s="23"/>
      <c r="P12" s="23"/>
    </row>
    <row r="13" spans="1:16" ht="14.25" customHeight="1">
      <c r="A13" s="52"/>
      <c r="B13" s="23"/>
      <c r="C13" s="52"/>
      <c r="D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16" ht="14.25" customHeight="1">
      <c r="B14" s="55" t="s">
        <v>48</v>
      </c>
      <c r="C14" s="56" t="s">
        <v>67</v>
      </c>
      <c r="D14" s="57" t="s">
        <v>68</v>
      </c>
      <c r="E14" s="57" t="s">
        <v>69</v>
      </c>
      <c r="F14" s="57" t="s">
        <v>55</v>
      </c>
      <c r="G14" s="57" t="s">
        <v>56</v>
      </c>
      <c r="H14" s="58"/>
      <c r="I14" s="23"/>
      <c r="J14" s="23"/>
      <c r="K14" s="23"/>
      <c r="L14" s="23"/>
      <c r="M14" s="23"/>
      <c r="N14" s="23"/>
      <c r="O14" s="23"/>
      <c r="P14" s="23"/>
    </row>
    <row r="15" spans="1:16" ht="14.25" customHeight="1">
      <c r="B15" s="141" t="s">
        <v>70</v>
      </c>
      <c r="C15" s="142"/>
      <c r="D15" s="142"/>
      <c r="E15" s="142"/>
      <c r="F15" s="142"/>
      <c r="G15" s="143"/>
      <c r="H15" s="23"/>
      <c r="I15" s="23"/>
      <c r="J15" s="23"/>
      <c r="K15" s="23"/>
      <c r="L15" s="23"/>
      <c r="M15" s="23"/>
      <c r="N15" s="23"/>
      <c r="O15" s="23"/>
      <c r="P15" s="23"/>
    </row>
    <row r="16" spans="1:16" ht="14.25" customHeight="1">
      <c r="B16" s="59">
        <v>1</v>
      </c>
      <c r="C16" s="117"/>
      <c r="D16" s="118"/>
      <c r="E16" s="41"/>
      <c r="F16" s="41"/>
      <c r="G16" s="41">
        <f>E16*F16</f>
        <v>0</v>
      </c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14.25" customHeight="1">
      <c r="B17" s="59">
        <v>2</v>
      </c>
      <c r="C17" s="117"/>
      <c r="D17" s="118"/>
      <c r="E17" s="41"/>
      <c r="F17" s="41"/>
      <c r="G17" s="41">
        <f t="shared" ref="G17:G25" si="0">E17*F17</f>
        <v>0</v>
      </c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14.25" customHeight="1">
      <c r="B18" s="59">
        <v>3</v>
      </c>
      <c r="C18" s="117"/>
      <c r="D18" s="118"/>
      <c r="E18" s="41"/>
      <c r="F18" s="41"/>
      <c r="G18" s="41">
        <f t="shared" si="0"/>
        <v>0</v>
      </c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14.25" customHeight="1">
      <c r="B19" s="59">
        <v>4</v>
      </c>
      <c r="C19" s="117"/>
      <c r="D19" s="118"/>
      <c r="E19" s="41"/>
      <c r="F19" s="41"/>
      <c r="G19" s="41">
        <f t="shared" si="0"/>
        <v>0</v>
      </c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14.25" customHeight="1">
      <c r="B20" s="59">
        <v>5</v>
      </c>
      <c r="C20" s="117"/>
      <c r="D20" s="118"/>
      <c r="E20" s="41"/>
      <c r="F20" s="41"/>
      <c r="G20" s="41">
        <f t="shared" si="0"/>
        <v>0</v>
      </c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14.25" customHeight="1">
      <c r="B21" s="59">
        <v>6</v>
      </c>
      <c r="C21" s="117"/>
      <c r="D21" s="118"/>
      <c r="E21" s="41"/>
      <c r="F21" s="41"/>
      <c r="G21" s="41">
        <f t="shared" si="0"/>
        <v>0</v>
      </c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14.25" customHeight="1">
      <c r="B22" s="59">
        <v>7</v>
      </c>
      <c r="C22" s="117"/>
      <c r="D22" s="118"/>
      <c r="E22" s="41"/>
      <c r="F22" s="41"/>
      <c r="G22" s="41">
        <f t="shared" si="0"/>
        <v>0</v>
      </c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14.25" customHeight="1">
      <c r="B23" s="59">
        <v>8</v>
      </c>
      <c r="C23" s="117"/>
      <c r="D23" s="118"/>
      <c r="E23" s="41"/>
      <c r="F23" s="41"/>
      <c r="G23" s="41">
        <f t="shared" si="0"/>
        <v>0</v>
      </c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14.25" customHeight="1">
      <c r="B24" s="59">
        <v>9</v>
      </c>
      <c r="C24" s="117"/>
      <c r="D24" s="118"/>
      <c r="E24" s="41"/>
      <c r="F24" s="41"/>
      <c r="G24" s="41">
        <f t="shared" si="0"/>
        <v>0</v>
      </c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14.25" customHeight="1">
      <c r="B25" s="59">
        <v>10</v>
      </c>
      <c r="C25" s="117"/>
      <c r="D25" s="118"/>
      <c r="E25" s="41"/>
      <c r="F25" s="41"/>
      <c r="G25" s="41">
        <f t="shared" si="0"/>
        <v>0</v>
      </c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14.25" customHeight="1">
      <c r="B26" s="141" t="s">
        <v>71</v>
      </c>
      <c r="C26" s="142"/>
      <c r="D26" s="142"/>
      <c r="E26" s="142"/>
      <c r="F26" s="142"/>
      <c r="G26" s="143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14.25" customHeight="1">
      <c r="B27" s="59">
        <v>1</v>
      </c>
      <c r="C27" s="40" t="s">
        <v>222</v>
      </c>
      <c r="D27" s="118" t="s">
        <v>168</v>
      </c>
      <c r="E27" s="41">
        <v>1</v>
      </c>
      <c r="F27" s="41">
        <v>32</v>
      </c>
      <c r="G27" s="41">
        <f>E27*F27</f>
        <v>32</v>
      </c>
      <c r="H27" s="23"/>
      <c r="I27" s="23"/>
      <c r="J27" s="23"/>
      <c r="K27" s="23"/>
      <c r="L27" s="23"/>
      <c r="M27" s="23"/>
      <c r="N27" s="23"/>
      <c r="O27" s="23"/>
      <c r="P27" s="23"/>
    </row>
    <row r="28" spans="2:16" ht="14.25" customHeight="1">
      <c r="B28" s="59">
        <v>2</v>
      </c>
      <c r="C28" s="40" t="s">
        <v>223</v>
      </c>
      <c r="D28" s="118" t="s">
        <v>168</v>
      </c>
      <c r="E28" s="41">
        <v>1</v>
      </c>
      <c r="F28" s="41">
        <v>61</v>
      </c>
      <c r="G28" s="41">
        <f>E28*F28</f>
        <v>61</v>
      </c>
      <c r="H28" s="23"/>
      <c r="I28" s="23"/>
      <c r="J28" s="23"/>
      <c r="K28" s="23"/>
      <c r="L28" s="23"/>
      <c r="M28" s="23"/>
      <c r="N28" s="23"/>
      <c r="O28" s="23"/>
      <c r="P28" s="23"/>
    </row>
    <row r="29" spans="2:16" ht="14.25" customHeight="1">
      <c r="B29" s="59">
        <v>3</v>
      </c>
      <c r="C29" s="117" t="s">
        <v>200</v>
      </c>
      <c r="D29" s="118" t="s">
        <v>168</v>
      </c>
      <c r="E29" s="41">
        <v>1</v>
      </c>
      <c r="F29" s="41">
        <v>65</v>
      </c>
      <c r="G29" s="41">
        <f>E29*F29</f>
        <v>65</v>
      </c>
      <c r="H29" s="23"/>
      <c r="I29" s="23"/>
      <c r="J29" s="23"/>
      <c r="K29" s="23"/>
      <c r="L29" s="23"/>
      <c r="M29" s="23"/>
      <c r="N29" s="23"/>
      <c r="O29" s="23"/>
      <c r="P29" s="23"/>
    </row>
    <row r="30" spans="2:16" ht="14.25" customHeight="1">
      <c r="B30" s="59">
        <v>4</v>
      </c>
      <c r="C30" s="117" t="s">
        <v>201</v>
      </c>
      <c r="D30" s="118" t="s">
        <v>168</v>
      </c>
      <c r="E30" s="41">
        <v>2</v>
      </c>
      <c r="F30" s="41">
        <v>6</v>
      </c>
      <c r="G30" s="41">
        <f t="shared" ref="G30:G33" si="1">E30*F30</f>
        <v>12</v>
      </c>
      <c r="H30" s="23"/>
      <c r="I30" s="23"/>
      <c r="J30" s="23"/>
      <c r="K30" s="23"/>
      <c r="L30" s="23"/>
      <c r="M30" s="23"/>
      <c r="N30" s="23"/>
      <c r="O30" s="23"/>
      <c r="P30" s="23"/>
    </row>
    <row r="31" spans="2:16" ht="14.25" customHeight="1">
      <c r="B31" s="59">
        <v>5</v>
      </c>
      <c r="C31" s="117" t="s">
        <v>202</v>
      </c>
      <c r="D31" s="118" t="s">
        <v>168</v>
      </c>
      <c r="E31" s="41">
        <v>1</v>
      </c>
      <c r="F31" s="41">
        <v>40</v>
      </c>
      <c r="G31" s="41">
        <f t="shared" si="1"/>
        <v>40</v>
      </c>
      <c r="H31" s="23"/>
      <c r="I31" s="23"/>
      <c r="J31" s="23"/>
      <c r="K31" s="23"/>
      <c r="L31" s="23"/>
      <c r="M31" s="23"/>
      <c r="N31" s="23"/>
      <c r="O31" s="23"/>
      <c r="P31" s="23"/>
    </row>
    <row r="32" spans="2:16" ht="14.25" customHeight="1">
      <c r="B32" s="59">
        <v>6</v>
      </c>
      <c r="C32" s="117" t="s">
        <v>203</v>
      </c>
      <c r="D32" s="118" t="s">
        <v>217</v>
      </c>
      <c r="E32" s="41">
        <v>1</v>
      </c>
      <c r="F32" s="41">
        <v>45</v>
      </c>
      <c r="G32" s="41">
        <f t="shared" si="1"/>
        <v>45</v>
      </c>
      <c r="H32" s="23"/>
      <c r="I32" s="23"/>
      <c r="J32" s="23"/>
      <c r="K32" s="23"/>
      <c r="L32" s="23"/>
      <c r="M32" s="23"/>
      <c r="N32" s="23"/>
      <c r="O32" s="23"/>
      <c r="P32" s="23"/>
    </row>
    <row r="33" spans="2:16" ht="14.25" customHeight="1">
      <c r="B33" s="59">
        <v>7</v>
      </c>
      <c r="C33" s="117" t="s">
        <v>169</v>
      </c>
      <c r="D33" s="118" t="s">
        <v>168</v>
      </c>
      <c r="E33" s="41">
        <v>9</v>
      </c>
      <c r="F33" s="41">
        <v>6</v>
      </c>
      <c r="G33" s="41">
        <f t="shared" si="1"/>
        <v>54</v>
      </c>
      <c r="H33" s="23"/>
      <c r="I33" s="23"/>
      <c r="J33" s="23"/>
      <c r="K33" s="23"/>
      <c r="L33" s="23"/>
      <c r="M33" s="23"/>
      <c r="N33" s="23"/>
      <c r="O33" s="23"/>
      <c r="P33" s="23"/>
    </row>
    <row r="34" spans="2:16" ht="14.25" customHeight="1">
      <c r="B34" s="59">
        <v>8</v>
      </c>
      <c r="C34" s="117" t="s">
        <v>204</v>
      </c>
      <c r="D34" s="118" t="s">
        <v>168</v>
      </c>
      <c r="E34" s="41">
        <v>34</v>
      </c>
      <c r="F34" s="41">
        <v>3</v>
      </c>
      <c r="G34" s="41">
        <f>E34*F34</f>
        <v>102</v>
      </c>
      <c r="H34" s="23"/>
      <c r="I34" s="23"/>
      <c r="J34" s="23"/>
      <c r="K34" s="23"/>
      <c r="L34" s="23"/>
      <c r="M34" s="23"/>
      <c r="N34" s="23"/>
      <c r="O34" s="23"/>
      <c r="P34" s="23"/>
    </row>
    <row r="35" spans="2:16" ht="14.25" customHeight="1">
      <c r="B35" s="59">
        <v>9</v>
      </c>
      <c r="C35" s="117" t="s">
        <v>205</v>
      </c>
      <c r="D35" s="118" t="s">
        <v>168</v>
      </c>
      <c r="E35" s="41">
        <v>5</v>
      </c>
      <c r="F35" s="41">
        <v>65</v>
      </c>
      <c r="G35" s="41">
        <f t="shared" ref="G35:G42" si="2">E35*F35</f>
        <v>325</v>
      </c>
      <c r="H35" s="23"/>
      <c r="I35" s="23"/>
      <c r="J35" s="23"/>
      <c r="K35" s="23"/>
      <c r="L35" s="23"/>
      <c r="M35" s="23"/>
      <c r="N35" s="23"/>
      <c r="O35" s="23"/>
      <c r="P35" s="23"/>
    </row>
    <row r="36" spans="2:16" ht="14.25" customHeight="1">
      <c r="B36" s="59">
        <v>10</v>
      </c>
      <c r="C36" s="117" t="s">
        <v>210</v>
      </c>
      <c r="D36" s="118" t="s">
        <v>168</v>
      </c>
      <c r="E36" s="41">
        <v>1</v>
      </c>
      <c r="F36" s="41">
        <v>110</v>
      </c>
      <c r="G36" s="41">
        <f t="shared" si="2"/>
        <v>110</v>
      </c>
      <c r="H36" s="23"/>
      <c r="I36" s="23"/>
      <c r="J36" s="23"/>
      <c r="K36" s="23"/>
      <c r="L36" s="23"/>
      <c r="M36" s="23"/>
      <c r="N36" s="23"/>
      <c r="O36" s="23"/>
      <c r="P36" s="23"/>
    </row>
    <row r="37" spans="2:16" ht="14.25" customHeight="1">
      <c r="B37" s="59">
        <v>11</v>
      </c>
      <c r="C37" s="117" t="s">
        <v>206</v>
      </c>
      <c r="D37" s="118" t="s">
        <v>168</v>
      </c>
      <c r="E37" s="41">
        <v>1</v>
      </c>
      <c r="F37" s="41">
        <v>210</v>
      </c>
      <c r="G37" s="41">
        <f t="shared" si="2"/>
        <v>210</v>
      </c>
      <c r="H37" s="23"/>
      <c r="I37" s="23"/>
      <c r="J37" s="23"/>
      <c r="K37" s="23"/>
      <c r="L37" s="23"/>
      <c r="M37" s="23"/>
      <c r="N37" s="23"/>
      <c r="O37" s="23"/>
      <c r="P37" s="23"/>
    </row>
    <row r="38" spans="2:16" ht="14.25" customHeight="1">
      <c r="B38" s="59">
        <v>12</v>
      </c>
      <c r="C38" s="117" t="s">
        <v>207</v>
      </c>
      <c r="D38" s="118" t="s">
        <v>168</v>
      </c>
      <c r="E38" s="41">
        <v>1</v>
      </c>
      <c r="F38" s="41">
        <v>35</v>
      </c>
      <c r="G38" s="41">
        <f t="shared" si="2"/>
        <v>35</v>
      </c>
      <c r="H38" s="23"/>
      <c r="I38" s="23"/>
      <c r="J38" s="23"/>
      <c r="K38" s="23"/>
      <c r="L38" s="23"/>
      <c r="M38" s="23"/>
      <c r="N38" s="23"/>
      <c r="O38" s="23"/>
      <c r="P38" s="23"/>
    </row>
    <row r="39" spans="2:16" ht="14.25" customHeight="1">
      <c r="B39" s="59">
        <v>13</v>
      </c>
      <c r="C39" s="117" t="s">
        <v>208</v>
      </c>
      <c r="D39" s="118" t="s">
        <v>168</v>
      </c>
      <c r="E39" s="41">
        <v>4</v>
      </c>
      <c r="F39" s="41">
        <v>7</v>
      </c>
      <c r="G39" s="41">
        <f t="shared" si="2"/>
        <v>28</v>
      </c>
      <c r="H39" s="23"/>
      <c r="I39" s="23"/>
      <c r="J39" s="23"/>
      <c r="K39" s="23"/>
      <c r="L39" s="23"/>
      <c r="M39" s="23"/>
      <c r="N39" s="23"/>
      <c r="O39" s="23"/>
      <c r="P39" s="23"/>
    </row>
    <row r="40" spans="2:16" ht="14.25" customHeight="1">
      <c r="B40" s="59">
        <v>14</v>
      </c>
      <c r="C40" s="117" t="s">
        <v>170</v>
      </c>
      <c r="D40" s="118" t="s">
        <v>168</v>
      </c>
      <c r="E40" s="41">
        <v>3</v>
      </c>
      <c r="F40" s="41">
        <v>6</v>
      </c>
      <c r="G40" s="41">
        <f t="shared" si="2"/>
        <v>18</v>
      </c>
      <c r="H40" s="23"/>
      <c r="I40" s="23"/>
      <c r="J40" s="23"/>
      <c r="K40" s="23"/>
      <c r="L40" s="23"/>
      <c r="M40" s="23"/>
      <c r="N40" s="23"/>
      <c r="O40" s="23"/>
      <c r="P40" s="23"/>
    </row>
    <row r="41" spans="2:16" ht="14.25" customHeight="1">
      <c r="B41" s="59">
        <v>15</v>
      </c>
      <c r="C41" s="117" t="s">
        <v>171</v>
      </c>
      <c r="D41" s="118" t="s">
        <v>168</v>
      </c>
      <c r="E41" s="41">
        <v>2</v>
      </c>
      <c r="F41" s="41">
        <v>7</v>
      </c>
      <c r="G41" s="41">
        <f t="shared" si="2"/>
        <v>14</v>
      </c>
      <c r="H41" s="23"/>
      <c r="I41" s="23"/>
      <c r="J41" s="23"/>
      <c r="K41" s="23"/>
      <c r="L41" s="23"/>
      <c r="M41" s="23"/>
      <c r="N41" s="23"/>
      <c r="O41" s="23"/>
      <c r="P41" s="23"/>
    </row>
    <row r="42" spans="2:16" ht="14.25" customHeight="1">
      <c r="B42" s="59">
        <v>16</v>
      </c>
      <c r="C42" s="40" t="s">
        <v>248</v>
      </c>
      <c r="D42" s="60" t="s">
        <v>168</v>
      </c>
      <c r="E42" s="41">
        <v>3</v>
      </c>
      <c r="F42" s="41">
        <v>8</v>
      </c>
      <c r="G42" s="41">
        <f t="shared" si="2"/>
        <v>24</v>
      </c>
      <c r="H42" s="23"/>
      <c r="I42" s="23"/>
      <c r="J42" s="23"/>
      <c r="K42" s="23"/>
      <c r="L42" s="23"/>
      <c r="M42" s="23"/>
      <c r="N42" s="23"/>
      <c r="O42" s="23"/>
      <c r="P42" s="23"/>
    </row>
    <row r="43" spans="2:16" ht="14.25" customHeight="1">
      <c r="B43" s="59">
        <v>17</v>
      </c>
      <c r="C43" s="117" t="s">
        <v>211</v>
      </c>
      <c r="D43" s="118" t="s">
        <v>168</v>
      </c>
      <c r="E43" s="41">
        <v>2</v>
      </c>
      <c r="F43" s="41">
        <v>25</v>
      </c>
      <c r="G43" s="41">
        <f>E43*F43</f>
        <v>50</v>
      </c>
      <c r="H43" s="23"/>
      <c r="I43" s="23"/>
      <c r="J43" s="23"/>
      <c r="K43" s="23"/>
      <c r="L43" s="23"/>
      <c r="M43" s="23"/>
      <c r="N43" s="23"/>
      <c r="O43" s="23"/>
      <c r="P43" s="23"/>
    </row>
    <row r="44" spans="2:16" ht="14.25" customHeight="1">
      <c r="B44" s="59">
        <v>18</v>
      </c>
      <c r="C44" s="40" t="s">
        <v>228</v>
      </c>
      <c r="D44" s="118" t="s">
        <v>168</v>
      </c>
      <c r="E44" s="41">
        <v>3</v>
      </c>
      <c r="F44" s="41">
        <v>25</v>
      </c>
      <c r="G44" s="41">
        <f t="shared" ref="G44:G45" si="3">E44*F44</f>
        <v>75</v>
      </c>
      <c r="H44" s="23"/>
      <c r="I44" s="23"/>
      <c r="J44" s="23"/>
      <c r="K44" s="23"/>
      <c r="L44" s="23"/>
      <c r="M44" s="23"/>
      <c r="N44" s="23"/>
      <c r="O44" s="23"/>
      <c r="P44" s="23"/>
    </row>
    <row r="45" spans="2:16" ht="14.25" customHeight="1">
      <c r="B45" s="59">
        <v>19</v>
      </c>
      <c r="C45" s="117" t="s">
        <v>215</v>
      </c>
      <c r="D45" s="118" t="s">
        <v>168</v>
      </c>
      <c r="E45" s="41">
        <v>20</v>
      </c>
      <c r="F45" s="41">
        <v>4</v>
      </c>
      <c r="G45" s="41">
        <f t="shared" si="3"/>
        <v>80</v>
      </c>
      <c r="H45" s="23"/>
      <c r="I45" s="23"/>
      <c r="J45" s="23"/>
      <c r="K45" s="23"/>
      <c r="L45" s="23"/>
      <c r="M45" s="23"/>
      <c r="N45" s="23"/>
      <c r="O45" s="23"/>
      <c r="P45" s="23"/>
    </row>
    <row r="46" spans="2:16" ht="14.25" customHeight="1">
      <c r="B46" s="59">
        <v>20</v>
      </c>
      <c r="C46" s="40" t="s">
        <v>224</v>
      </c>
      <c r="D46" s="118" t="s">
        <v>168</v>
      </c>
      <c r="E46" s="41">
        <v>1</v>
      </c>
      <c r="F46" s="41">
        <v>85</v>
      </c>
      <c r="G46" s="41">
        <f t="shared" ref="G46:G54" si="4">E46*F46</f>
        <v>85</v>
      </c>
      <c r="H46" s="23"/>
      <c r="I46" s="23"/>
      <c r="J46" s="23"/>
      <c r="K46" s="23"/>
      <c r="L46" s="23"/>
      <c r="M46" s="23"/>
      <c r="N46" s="23"/>
      <c r="O46" s="23"/>
      <c r="P46" s="23"/>
    </row>
    <row r="47" spans="2:16" ht="14.25" customHeight="1">
      <c r="B47" s="59">
        <v>21</v>
      </c>
      <c r="C47" s="40" t="s">
        <v>226</v>
      </c>
      <c r="D47" s="60" t="s">
        <v>168</v>
      </c>
      <c r="E47" s="41">
        <v>1</v>
      </c>
      <c r="F47" s="41">
        <v>35</v>
      </c>
      <c r="G47" s="41">
        <f t="shared" si="4"/>
        <v>35</v>
      </c>
      <c r="H47" s="23"/>
      <c r="I47" s="23"/>
      <c r="J47" s="23"/>
      <c r="K47" s="23"/>
      <c r="L47" s="23"/>
      <c r="M47" s="23"/>
      <c r="N47" s="23"/>
      <c r="O47" s="23"/>
      <c r="P47" s="23"/>
    </row>
    <row r="48" spans="2:16" ht="14.25" customHeight="1">
      <c r="B48" s="59">
        <v>22</v>
      </c>
      <c r="C48" s="40" t="s">
        <v>242</v>
      </c>
      <c r="D48" s="60" t="s">
        <v>168</v>
      </c>
      <c r="E48" s="41">
        <v>1</v>
      </c>
      <c r="F48" s="41">
        <v>30</v>
      </c>
      <c r="G48" s="41">
        <f t="shared" si="4"/>
        <v>30</v>
      </c>
      <c r="H48" s="23"/>
      <c r="I48" s="23"/>
      <c r="J48" s="23"/>
      <c r="K48" s="23"/>
      <c r="L48" s="23"/>
      <c r="M48" s="23"/>
      <c r="N48" s="23"/>
      <c r="O48" s="23"/>
      <c r="P48" s="23"/>
    </row>
    <row r="49" spans="2:16" ht="14.25" customHeight="1">
      <c r="B49" s="59">
        <v>23</v>
      </c>
      <c r="C49" s="40" t="s">
        <v>209</v>
      </c>
      <c r="D49" s="60" t="s">
        <v>168</v>
      </c>
      <c r="E49" s="41">
        <v>2</v>
      </c>
      <c r="F49" s="41">
        <v>25</v>
      </c>
      <c r="G49" s="41">
        <f t="shared" si="4"/>
        <v>50</v>
      </c>
      <c r="H49" s="23"/>
      <c r="I49" s="23"/>
      <c r="J49" s="23"/>
      <c r="K49" s="23"/>
      <c r="L49" s="23"/>
      <c r="M49" s="23"/>
      <c r="N49" s="23"/>
      <c r="O49" s="23"/>
      <c r="P49" s="23"/>
    </row>
    <row r="50" spans="2:16" ht="14.25" customHeight="1">
      <c r="B50" s="59">
        <v>24</v>
      </c>
      <c r="C50" s="40" t="s">
        <v>232</v>
      </c>
      <c r="D50" s="60" t="s">
        <v>168</v>
      </c>
      <c r="E50" s="41">
        <v>1</v>
      </c>
      <c r="F50" s="41">
        <v>205</v>
      </c>
      <c r="G50" s="41">
        <f t="shared" si="4"/>
        <v>205</v>
      </c>
      <c r="H50" s="23"/>
      <c r="I50" s="23"/>
      <c r="J50" s="23"/>
      <c r="K50" s="23"/>
      <c r="L50" s="23"/>
      <c r="M50" s="23"/>
      <c r="N50" s="23"/>
      <c r="O50" s="23"/>
      <c r="P50" s="23"/>
    </row>
    <row r="51" spans="2:16" ht="14.25" customHeight="1">
      <c r="B51" s="59">
        <v>25</v>
      </c>
      <c r="C51" s="40" t="s">
        <v>233</v>
      </c>
      <c r="D51" s="60" t="s">
        <v>168</v>
      </c>
      <c r="E51" s="41">
        <v>1</v>
      </c>
      <c r="F51" s="41">
        <v>280</v>
      </c>
      <c r="G51" s="41">
        <f t="shared" si="4"/>
        <v>280</v>
      </c>
      <c r="H51" s="23"/>
      <c r="I51" s="23"/>
      <c r="J51" s="23"/>
      <c r="K51" s="23"/>
      <c r="L51" s="23"/>
      <c r="M51" s="23"/>
      <c r="N51" s="23"/>
      <c r="O51" s="23"/>
      <c r="P51" s="23"/>
    </row>
    <row r="52" spans="2:16" ht="14.25" customHeight="1">
      <c r="B52" s="59">
        <v>26</v>
      </c>
      <c r="C52" s="40" t="s">
        <v>234</v>
      </c>
      <c r="D52" s="60" t="s">
        <v>168</v>
      </c>
      <c r="E52" s="41">
        <v>1</v>
      </c>
      <c r="F52" s="41">
        <v>410</v>
      </c>
      <c r="G52" s="41">
        <f t="shared" si="4"/>
        <v>410</v>
      </c>
      <c r="H52" s="23"/>
      <c r="I52" s="23"/>
      <c r="J52" s="23"/>
      <c r="K52" s="23"/>
      <c r="L52" s="23"/>
      <c r="M52" s="23"/>
      <c r="N52" s="23"/>
      <c r="O52" s="23"/>
      <c r="P52" s="23"/>
    </row>
    <row r="53" spans="2:16" ht="14.25" customHeight="1">
      <c r="B53" s="59">
        <v>27</v>
      </c>
      <c r="C53" s="40" t="s">
        <v>235</v>
      </c>
      <c r="D53" s="60" t="s">
        <v>168</v>
      </c>
      <c r="E53" s="41">
        <v>1</v>
      </c>
      <c r="F53" s="41">
        <v>280</v>
      </c>
      <c r="G53" s="41">
        <f t="shared" si="4"/>
        <v>280</v>
      </c>
      <c r="H53" s="23"/>
      <c r="I53" s="23"/>
      <c r="J53" s="23"/>
      <c r="K53" s="23"/>
      <c r="L53" s="23"/>
      <c r="M53" s="23"/>
      <c r="N53" s="23"/>
      <c r="O53" s="23"/>
      <c r="P53" s="23"/>
    </row>
    <row r="54" spans="2:16" ht="14.25" customHeight="1">
      <c r="B54" s="59">
        <v>28</v>
      </c>
      <c r="C54" s="40" t="s">
        <v>243</v>
      </c>
      <c r="D54" s="60" t="s">
        <v>244</v>
      </c>
      <c r="E54" s="41">
        <v>1</v>
      </c>
      <c r="F54" s="41">
        <v>50</v>
      </c>
      <c r="G54" s="41">
        <f t="shared" si="4"/>
        <v>50</v>
      </c>
      <c r="H54" s="23"/>
      <c r="I54" s="23"/>
      <c r="J54" s="23"/>
      <c r="K54" s="23"/>
      <c r="L54" s="23"/>
      <c r="M54" s="23"/>
      <c r="N54" s="23"/>
      <c r="O54" s="23"/>
      <c r="P54" s="23"/>
    </row>
    <row r="55" spans="2:16" ht="14.25" customHeight="1">
      <c r="B55" s="59">
        <v>29</v>
      </c>
      <c r="C55" s="40" t="s">
        <v>245</v>
      </c>
      <c r="D55" s="60" t="s">
        <v>168</v>
      </c>
      <c r="E55" s="41">
        <v>2</v>
      </c>
      <c r="F55" s="41">
        <v>7</v>
      </c>
      <c r="G55" s="41">
        <f t="shared" ref="G55" si="5">E55*F55</f>
        <v>14</v>
      </c>
      <c r="H55" s="23"/>
      <c r="I55" s="23"/>
      <c r="J55" s="23"/>
      <c r="K55" s="23"/>
      <c r="L55" s="23"/>
      <c r="M55" s="23"/>
      <c r="N55" s="23"/>
      <c r="O55" s="23"/>
      <c r="P55" s="23"/>
    </row>
    <row r="56" spans="2:16" ht="14.25" customHeight="1">
      <c r="B56" s="59">
        <v>30</v>
      </c>
      <c r="C56" s="40" t="s">
        <v>246</v>
      </c>
      <c r="D56" s="60" t="s">
        <v>168</v>
      </c>
      <c r="E56" s="41">
        <v>1</v>
      </c>
      <c r="F56" s="41">
        <v>6</v>
      </c>
      <c r="G56" s="41">
        <f t="shared" ref="G56:G57" si="6">E56*F56</f>
        <v>6</v>
      </c>
      <c r="H56" s="23"/>
      <c r="I56" s="23"/>
      <c r="J56" s="23"/>
      <c r="K56" s="23"/>
      <c r="L56" s="23"/>
      <c r="M56" s="23"/>
      <c r="N56" s="23"/>
      <c r="O56" s="23"/>
      <c r="P56" s="23"/>
    </row>
    <row r="57" spans="2:16" ht="14.25" customHeight="1">
      <c r="B57" s="59">
        <v>31</v>
      </c>
      <c r="C57" s="40" t="s">
        <v>247</v>
      </c>
      <c r="D57" s="60" t="s">
        <v>168</v>
      </c>
      <c r="E57" s="41">
        <v>2</v>
      </c>
      <c r="F57" s="41">
        <v>17</v>
      </c>
      <c r="G57" s="41">
        <f t="shared" si="6"/>
        <v>34</v>
      </c>
      <c r="H57" s="23"/>
      <c r="I57" s="23"/>
      <c r="J57" s="23"/>
      <c r="K57" s="23"/>
      <c r="L57" s="23"/>
      <c r="M57" s="23"/>
      <c r="N57" s="23"/>
      <c r="O57" s="23"/>
      <c r="P57" s="23"/>
    </row>
    <row r="58" spans="2:16" ht="14.25" customHeight="1">
      <c r="B58" s="59">
        <v>32</v>
      </c>
      <c r="C58" s="40"/>
      <c r="D58" s="60"/>
      <c r="E58" s="41"/>
      <c r="F58" s="41"/>
      <c r="G58" s="41">
        <f t="shared" ref="G58" si="7">E58*F58</f>
        <v>0</v>
      </c>
      <c r="H58" s="23"/>
      <c r="I58" s="23"/>
      <c r="J58" s="23"/>
      <c r="K58" s="23"/>
      <c r="L58" s="23"/>
      <c r="M58" s="23"/>
      <c r="N58" s="23"/>
      <c r="O58" s="23"/>
      <c r="P58" s="23"/>
    </row>
    <row r="59" spans="2:16" ht="14.25" customHeight="1">
      <c r="B59" s="59">
        <v>33</v>
      </c>
      <c r="C59" s="117"/>
      <c r="D59" s="118"/>
      <c r="E59" s="41"/>
      <c r="F59" s="41"/>
      <c r="G59" s="41">
        <f t="shared" ref="G59:G63" si="8">E59*F59</f>
        <v>0</v>
      </c>
      <c r="H59" s="23"/>
      <c r="I59" s="23"/>
      <c r="J59" s="23"/>
      <c r="K59" s="23"/>
      <c r="L59" s="23"/>
      <c r="M59" s="23"/>
      <c r="N59" s="23"/>
      <c r="O59" s="23"/>
      <c r="P59" s="23"/>
    </row>
    <row r="60" spans="2:16" ht="14.25" customHeight="1">
      <c r="B60" s="59">
        <v>34</v>
      </c>
      <c r="C60" s="117"/>
      <c r="D60" s="118"/>
      <c r="E60" s="41"/>
      <c r="F60" s="41"/>
      <c r="G60" s="41">
        <f t="shared" si="8"/>
        <v>0</v>
      </c>
      <c r="H60" s="23"/>
      <c r="I60" s="23"/>
      <c r="J60" s="23"/>
      <c r="K60" s="23"/>
      <c r="L60" s="23"/>
      <c r="M60" s="23"/>
      <c r="N60" s="23"/>
      <c r="O60" s="23"/>
      <c r="P60" s="23"/>
    </row>
    <row r="61" spans="2:16" ht="14.25" customHeight="1">
      <c r="B61" s="59">
        <v>35</v>
      </c>
      <c r="C61" s="117"/>
      <c r="D61" s="118"/>
      <c r="E61" s="41"/>
      <c r="F61" s="41"/>
      <c r="G61" s="41">
        <f t="shared" si="8"/>
        <v>0</v>
      </c>
      <c r="H61" s="23"/>
      <c r="I61" s="23"/>
      <c r="J61" s="23"/>
      <c r="K61" s="23"/>
      <c r="L61" s="23"/>
      <c r="M61" s="23"/>
      <c r="N61" s="23"/>
      <c r="O61" s="23"/>
      <c r="P61" s="23"/>
    </row>
    <row r="62" spans="2:16" ht="14.25" customHeight="1">
      <c r="B62" s="59">
        <v>36</v>
      </c>
      <c r="C62" s="117"/>
      <c r="D62" s="118"/>
      <c r="E62" s="41"/>
      <c r="F62" s="41"/>
      <c r="G62" s="41">
        <f t="shared" si="8"/>
        <v>0</v>
      </c>
      <c r="H62" s="23"/>
      <c r="I62" s="23"/>
      <c r="J62" s="23"/>
      <c r="K62" s="23"/>
      <c r="L62" s="23"/>
      <c r="M62" s="23"/>
      <c r="N62" s="23"/>
      <c r="O62" s="23"/>
      <c r="P62" s="23"/>
    </row>
    <row r="63" spans="2:16" ht="14.25" customHeight="1">
      <c r="B63" s="59">
        <v>37</v>
      </c>
      <c r="C63" s="40"/>
      <c r="D63" s="118"/>
      <c r="E63" s="41"/>
      <c r="F63" s="41"/>
      <c r="G63" s="41">
        <f t="shared" si="8"/>
        <v>0</v>
      </c>
      <c r="H63" s="23"/>
      <c r="I63" s="23"/>
      <c r="J63" s="23"/>
      <c r="K63" s="23"/>
      <c r="L63" s="23"/>
      <c r="M63" s="23"/>
      <c r="N63" s="23"/>
      <c r="O63" s="23"/>
      <c r="P63" s="23"/>
    </row>
    <row r="64" spans="2:16" ht="14.25" customHeight="1">
      <c r="B64" s="59">
        <v>38</v>
      </c>
      <c r="C64" s="40"/>
      <c r="D64" s="118"/>
      <c r="E64" s="41"/>
      <c r="F64" s="41"/>
      <c r="G64" s="41">
        <f>SUM(G27:G63)</f>
        <v>2859</v>
      </c>
      <c r="H64" s="23"/>
      <c r="I64" s="23"/>
      <c r="J64" s="23"/>
      <c r="K64" s="23"/>
      <c r="L64" s="23"/>
      <c r="M64" s="23"/>
      <c r="N64" s="23"/>
      <c r="O64" s="23"/>
      <c r="P64" s="23"/>
    </row>
    <row r="65" spans="1:16" ht="14.25" customHeight="1">
      <c r="B65" s="141" t="s">
        <v>72</v>
      </c>
      <c r="C65" s="142"/>
      <c r="D65" s="142"/>
      <c r="E65" s="142"/>
      <c r="F65" s="142"/>
      <c r="G65" s="143"/>
      <c r="H65" s="23"/>
      <c r="I65" s="23"/>
      <c r="J65" s="23"/>
      <c r="K65" s="23"/>
      <c r="L65" s="23"/>
      <c r="M65" s="23"/>
      <c r="N65" s="23"/>
      <c r="O65" s="23"/>
      <c r="P65" s="23"/>
    </row>
    <row r="66" spans="1:16" ht="14.25" customHeight="1">
      <c r="B66" s="59">
        <v>1</v>
      </c>
      <c r="C66" s="40"/>
      <c r="D66" s="60"/>
      <c r="E66" s="41"/>
      <c r="F66" s="41"/>
      <c r="G66" s="41"/>
      <c r="H66" s="23"/>
      <c r="I66" s="23"/>
      <c r="J66" s="23"/>
      <c r="K66" s="23"/>
      <c r="L66" s="23"/>
      <c r="M66" s="23"/>
      <c r="N66" s="23"/>
      <c r="O66" s="23"/>
      <c r="P66" s="23"/>
    </row>
    <row r="67" spans="1:16" ht="14.25" customHeight="1">
      <c r="B67" s="59">
        <v>2</v>
      </c>
      <c r="C67" s="40"/>
      <c r="D67" s="60"/>
      <c r="E67" s="41"/>
      <c r="F67" s="41"/>
      <c r="G67" s="41"/>
      <c r="H67" s="23"/>
      <c r="I67" s="23"/>
      <c r="J67" s="23"/>
      <c r="K67" s="23"/>
      <c r="L67" s="23"/>
      <c r="M67" s="23"/>
      <c r="N67" s="23"/>
      <c r="O67" s="23"/>
      <c r="P67" s="23"/>
    </row>
    <row r="68" spans="1:16" ht="14.25" customHeight="1">
      <c r="B68" s="59">
        <v>3</v>
      </c>
      <c r="C68" s="40"/>
      <c r="D68" s="60"/>
      <c r="E68" s="41"/>
      <c r="F68" s="41"/>
      <c r="G68" s="41"/>
      <c r="H68" s="23"/>
      <c r="I68" s="23"/>
      <c r="J68" s="23"/>
      <c r="K68" s="23"/>
      <c r="L68" s="23"/>
      <c r="M68" s="23"/>
      <c r="N68" s="23"/>
      <c r="O68" s="23"/>
      <c r="P68" s="23"/>
    </row>
    <row r="69" spans="1:16" ht="14.25" customHeight="1">
      <c r="B69" s="59">
        <v>4</v>
      </c>
      <c r="C69" s="40"/>
      <c r="D69" s="60"/>
      <c r="E69" s="41"/>
      <c r="F69" s="41"/>
      <c r="G69" s="41"/>
      <c r="H69" s="23"/>
      <c r="I69" s="23"/>
      <c r="J69" s="23"/>
      <c r="K69" s="23"/>
      <c r="L69" s="23"/>
      <c r="M69" s="23"/>
      <c r="N69" s="23"/>
      <c r="O69" s="23"/>
      <c r="P69" s="23"/>
    </row>
    <row r="70" spans="1:16" ht="14.25" customHeight="1">
      <c r="B70" s="59">
        <v>5</v>
      </c>
      <c r="C70" s="40"/>
      <c r="D70" s="60"/>
      <c r="E70" s="41"/>
      <c r="F70" s="41"/>
      <c r="G70" s="41"/>
      <c r="H70" s="23"/>
      <c r="I70" s="23"/>
      <c r="J70" s="23"/>
      <c r="K70" s="23"/>
      <c r="L70" s="23"/>
      <c r="M70" s="23"/>
      <c r="N70" s="23"/>
      <c r="O70" s="23"/>
      <c r="P70" s="23"/>
    </row>
    <row r="71" spans="1:16" ht="14.25" customHeight="1">
      <c r="B71" s="59">
        <v>6</v>
      </c>
      <c r="C71" s="40"/>
      <c r="D71" s="60"/>
      <c r="E71" s="41"/>
      <c r="F71" s="41"/>
      <c r="G71" s="41"/>
      <c r="H71" s="23"/>
      <c r="I71" s="23"/>
      <c r="J71" s="23"/>
      <c r="K71" s="23"/>
      <c r="L71" s="23"/>
      <c r="M71" s="23"/>
      <c r="N71" s="23"/>
      <c r="O71" s="23"/>
      <c r="P71" s="23"/>
    </row>
    <row r="72" spans="1:16" ht="14.25" customHeight="1">
      <c r="B72" s="59">
        <v>7</v>
      </c>
      <c r="C72" s="40"/>
      <c r="D72" s="60"/>
      <c r="E72" s="41"/>
      <c r="F72" s="41"/>
      <c r="G72" s="41"/>
      <c r="H72" s="23"/>
      <c r="I72" s="23"/>
      <c r="J72" s="23"/>
      <c r="K72" s="23"/>
      <c r="L72" s="23"/>
      <c r="M72" s="23"/>
      <c r="N72" s="23"/>
      <c r="O72" s="23"/>
      <c r="P72" s="23"/>
    </row>
    <row r="73" spans="1:16" ht="14.25" customHeight="1">
      <c r="B73" s="59">
        <v>8</v>
      </c>
      <c r="C73" s="40"/>
      <c r="D73" s="60"/>
      <c r="E73" s="41"/>
      <c r="F73" s="41"/>
      <c r="G73" s="41"/>
      <c r="H73" s="23"/>
      <c r="I73" s="23"/>
      <c r="J73" s="23"/>
      <c r="K73" s="23"/>
      <c r="L73" s="23"/>
      <c r="M73" s="23"/>
      <c r="N73" s="23"/>
      <c r="O73" s="23"/>
      <c r="P73" s="23"/>
    </row>
    <row r="74" spans="1:16" ht="14.25" customHeight="1">
      <c r="B74" s="59">
        <v>9</v>
      </c>
      <c r="C74" s="40"/>
      <c r="D74" s="60"/>
      <c r="E74" s="41"/>
      <c r="F74" s="41"/>
      <c r="G74" s="41"/>
      <c r="H74" s="23"/>
      <c r="I74" s="23"/>
      <c r="J74" s="23"/>
      <c r="K74" s="23"/>
      <c r="L74" s="23"/>
      <c r="M74" s="23"/>
      <c r="N74" s="23"/>
      <c r="O74" s="23"/>
      <c r="P74" s="23"/>
    </row>
    <row r="75" spans="1:16" ht="14.25" customHeight="1">
      <c r="B75" s="59">
        <v>10</v>
      </c>
      <c r="C75" s="40"/>
      <c r="D75" s="60"/>
      <c r="E75" s="41"/>
      <c r="F75" s="41"/>
      <c r="G75" s="41"/>
      <c r="H75" s="23"/>
      <c r="I75" s="23"/>
      <c r="J75" s="23"/>
      <c r="K75" s="23"/>
      <c r="L75" s="23"/>
      <c r="M75" s="23"/>
      <c r="N75" s="23"/>
      <c r="O75" s="23"/>
      <c r="P75" s="23"/>
    </row>
    <row r="76" spans="1:16" ht="14.25" customHeight="1">
      <c r="A76" s="52"/>
      <c r="B76" s="23"/>
      <c r="C76" s="52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4.25" customHeight="1">
      <c r="A77" s="52"/>
      <c r="B77" s="23"/>
      <c r="C77" s="52"/>
      <c r="D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15.75" customHeight="1"/>
    <row r="79" spans="1:16" ht="15.75" customHeight="1"/>
    <row r="80" spans="1:1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heetProtection algorithmName="SHA-512" hashValue="IZXJ9MeAOEpBhD6bc5nc0CLonZfjW7A3TcwEiTx2q+RjdynhrtAIenKYaFKIFBhEDwpbdTS3okQFH8K+bGJBKw==" saltValue="Xh1dMX38saMAvvS4MB/xeg==" spinCount="100000" sheet="1" objects="1" scenarios="1" formatColumns="0" formatRows="0" sort="0" autoFilter="0"/>
  <mergeCells count="9">
    <mergeCell ref="B12:G12"/>
    <mergeCell ref="B15:G15"/>
    <mergeCell ref="B26:G26"/>
    <mergeCell ref="B65:G65"/>
    <mergeCell ref="B7:G7"/>
    <mergeCell ref="B8:G8"/>
    <mergeCell ref="B9:G9"/>
    <mergeCell ref="B10:G10"/>
    <mergeCell ref="B11:G11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7" workbookViewId="0">
      <selection activeCell="M14" sqref="M14"/>
    </sheetView>
  </sheetViews>
  <sheetFormatPr defaultColWidth="14.42578125" defaultRowHeight="15" customHeight="1" outlineLevelRow="1"/>
  <cols>
    <col min="1" max="1" width="2.85546875" style="22" customWidth="1"/>
    <col min="2" max="2" width="26" style="22" customWidth="1"/>
    <col min="3" max="3" width="26.42578125" style="22" customWidth="1"/>
    <col min="4" max="7" width="12.140625" style="22" customWidth="1"/>
    <col min="8" max="8" width="13.42578125" style="22" customWidth="1"/>
    <col min="9" max="14" width="12.140625" style="22" customWidth="1"/>
    <col min="15" max="15" width="1.140625" style="22" customWidth="1"/>
    <col min="16" max="16" width="12.140625" style="22" customWidth="1"/>
    <col min="17" max="26" width="8.7109375" style="22" customWidth="1"/>
    <col min="27" max="16384" width="14.42578125" style="22"/>
  </cols>
  <sheetData>
    <row r="1" spans="2:26" ht="12.75" customHeight="1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2:26" ht="12.75" customHeight="1">
      <c r="B2" s="24" t="s">
        <v>73</v>
      </c>
      <c r="C2" s="24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2:26" ht="12.75" customHeight="1" collapsed="1">
      <c r="B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2:26" ht="12.75" hidden="1" customHeight="1" outlineLevel="1">
      <c r="B4" s="23" t="s">
        <v>74</v>
      </c>
      <c r="C4" s="23">
        <v>16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2:26" ht="12.75" customHeight="1">
      <c r="B5" s="26" t="s">
        <v>75</v>
      </c>
      <c r="C5" s="27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44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2:26" ht="12.75" customHeight="1">
      <c r="B6" s="29" t="s">
        <v>76</v>
      </c>
      <c r="C6" s="30"/>
      <c r="D6" s="31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45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2:26" ht="12.75" customHeight="1">
      <c r="B7" s="29" t="s">
        <v>77</v>
      </c>
      <c r="C7" s="30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45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2:26" ht="12.75" customHeight="1">
      <c r="B8" s="29" t="s">
        <v>78</v>
      </c>
      <c r="C8" s="30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45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2:26" ht="12.75" customHeight="1">
      <c r="B9" s="33" t="s">
        <v>79</v>
      </c>
      <c r="C9" s="34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46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2:26" ht="12.75" customHeight="1">
      <c r="B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2:26" ht="23.25" customHeight="1">
      <c r="B11" s="36"/>
      <c r="C11" s="36"/>
      <c r="D11" s="150" t="s">
        <v>80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81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2:26" ht="53.25" customHeight="1">
      <c r="B12" s="37" t="s">
        <v>48</v>
      </c>
      <c r="C12" s="37" t="s">
        <v>82</v>
      </c>
      <c r="D12" s="37" t="s">
        <v>83</v>
      </c>
      <c r="E12" s="37" t="s">
        <v>84</v>
      </c>
      <c r="F12" s="37" t="s">
        <v>85</v>
      </c>
      <c r="G12" s="37" t="s">
        <v>86</v>
      </c>
      <c r="H12" s="38" t="s">
        <v>87</v>
      </c>
      <c r="I12" s="47" t="s">
        <v>88</v>
      </c>
      <c r="J12" s="47" t="s">
        <v>89</v>
      </c>
      <c r="K12" s="38" t="s">
        <v>90</v>
      </c>
      <c r="L12" s="38" t="s">
        <v>91</v>
      </c>
      <c r="M12" s="119" t="s">
        <v>172</v>
      </c>
      <c r="N12" s="48" t="s">
        <v>92</v>
      </c>
      <c r="P12" s="154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2:26" ht="12.75" customHeight="1">
      <c r="B13" s="39">
        <v>1</v>
      </c>
      <c r="C13" s="40" t="s">
        <v>93</v>
      </c>
      <c r="D13" s="41"/>
      <c r="E13" s="41">
        <v>50</v>
      </c>
      <c r="F13" s="41"/>
      <c r="G13" s="41">
        <v>50</v>
      </c>
      <c r="H13" s="41"/>
      <c r="I13" s="41"/>
      <c r="J13" s="41"/>
      <c r="K13" s="41"/>
      <c r="L13" s="41"/>
      <c r="M13" s="41"/>
      <c r="N13" s="41"/>
      <c r="P13" s="43">
        <f>SUM(D13:N13)</f>
        <v>100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2:26" ht="12.75" customHeight="1">
      <c r="B14" s="39">
        <v>2</v>
      </c>
      <c r="C14" s="117" t="s">
        <v>94</v>
      </c>
      <c r="D14" s="41"/>
      <c r="E14" s="41">
        <v>40</v>
      </c>
      <c r="F14" s="41"/>
      <c r="G14" s="41">
        <v>40</v>
      </c>
      <c r="H14" s="41"/>
      <c r="I14" s="41"/>
      <c r="J14" s="41"/>
      <c r="K14" s="41"/>
      <c r="L14" s="41"/>
      <c r="M14" s="41"/>
      <c r="N14" s="41"/>
      <c r="P14" s="43">
        <f t="shared" ref="P14:P22" si="0">SUM(D14:N14)</f>
        <v>80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2:26" ht="12.75" customHeight="1">
      <c r="B15" s="39">
        <v>3</v>
      </c>
      <c r="C15" s="40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P15" s="43">
        <f t="shared" si="0"/>
        <v>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2:26" ht="12.75" customHeight="1">
      <c r="B16" s="39">
        <v>4</v>
      </c>
      <c r="C16" s="40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P16" s="43">
        <f t="shared" si="0"/>
        <v>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2:26" ht="12.75" customHeight="1">
      <c r="B17" s="39">
        <v>5</v>
      </c>
      <c r="C17" s="40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P17" s="43">
        <f t="shared" si="0"/>
        <v>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2:26" ht="12.75" customHeight="1">
      <c r="B18" s="39">
        <v>6</v>
      </c>
      <c r="C18" s="40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P18" s="43">
        <f t="shared" si="0"/>
        <v>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2:26" ht="12.75" customHeight="1">
      <c r="B19" s="39">
        <v>7</v>
      </c>
      <c r="C19" s="40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P19" s="43">
        <f t="shared" si="0"/>
        <v>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2:26" ht="12.75" customHeight="1">
      <c r="B20" s="39">
        <v>8</v>
      </c>
      <c r="C20" s="40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P20" s="43">
        <f t="shared" si="0"/>
        <v>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2:26" ht="12.75" customHeight="1">
      <c r="B21" s="39">
        <v>9</v>
      </c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P21" s="43">
        <f t="shared" si="0"/>
        <v>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2:26" ht="12.75" customHeight="1">
      <c r="B22" s="39">
        <v>10</v>
      </c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P22" s="43">
        <f t="shared" si="0"/>
        <v>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2:26" ht="12.75" customHeight="1">
      <c r="B23" s="39">
        <v>11</v>
      </c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P23" s="4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2:26" ht="12.75" customHeight="1">
      <c r="B24" s="39">
        <v>12</v>
      </c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P24" s="4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2:26" ht="12.75" customHeight="1">
      <c r="B25" s="39">
        <v>13</v>
      </c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P25" s="4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2:26" ht="12.75" customHeight="1">
      <c r="B26" s="39">
        <v>14</v>
      </c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P26" s="4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2:26" ht="12.75" customHeight="1">
      <c r="B27" s="39">
        <v>15</v>
      </c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P27" s="4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2:26" ht="12.75" customHeight="1">
      <c r="B28" s="39">
        <v>16</v>
      </c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P28" s="4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2:26" ht="4.3499999999999996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2:26" ht="12.75" customHeight="1">
      <c r="B30" s="39"/>
      <c r="C30" s="42" t="s">
        <v>95</v>
      </c>
      <c r="D30" s="43">
        <f t="shared" ref="D30:N30" si="1">SUM(D13:D22)</f>
        <v>0</v>
      </c>
      <c r="E30" s="43">
        <f t="shared" si="1"/>
        <v>90</v>
      </c>
      <c r="F30" s="43">
        <f t="shared" si="1"/>
        <v>0</v>
      </c>
      <c r="G30" s="43">
        <f t="shared" si="1"/>
        <v>90</v>
      </c>
      <c r="H30" s="43">
        <f t="shared" si="1"/>
        <v>0</v>
      </c>
      <c r="I30" s="43">
        <f t="shared" si="1"/>
        <v>0</v>
      </c>
      <c r="J30" s="43">
        <f t="shared" si="1"/>
        <v>0</v>
      </c>
      <c r="K30" s="43">
        <f t="shared" si="1"/>
        <v>0</v>
      </c>
      <c r="L30" s="43">
        <f t="shared" si="1"/>
        <v>0</v>
      </c>
      <c r="M30" s="43">
        <f t="shared" si="1"/>
        <v>0</v>
      </c>
      <c r="N30" s="43">
        <f t="shared" si="1"/>
        <v>0</v>
      </c>
      <c r="P30" s="49">
        <f>SUM(P13:P22)</f>
        <v>180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2:26" ht="12.7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2:2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69930555555555596" right="0.69930555555555596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/>
  <cols>
    <col min="1" max="1" width="15.85546875" style="1" customWidth="1"/>
    <col min="2" max="2" width="36.140625" style="1" customWidth="1"/>
    <col min="3" max="3" width="59.5703125" style="1" customWidth="1"/>
    <col min="4" max="4" width="13.5703125" style="1" customWidth="1"/>
    <col min="5" max="5" width="14.7109375" style="1" customWidth="1"/>
    <col min="6" max="6" width="27.85546875" style="1" customWidth="1"/>
    <col min="7" max="7" width="38.42578125" style="1" customWidth="1"/>
    <col min="8" max="9" width="14.7109375" style="1" customWidth="1"/>
    <col min="10" max="16384" width="9.140625" style="1"/>
  </cols>
  <sheetData>
    <row r="1" spans="1:9">
      <c r="E1" s="2"/>
      <c r="F1" s="3" t="str">
        <f>'1.1 Case data_general'!$C$29</f>
        <v>Level I</v>
      </c>
      <c r="G1" s="4" t="str">
        <f>'1.1 Case data_general'!$C$30</f>
        <v>Clinical/Medical services</v>
      </c>
      <c r="H1" s="2"/>
      <c r="I1" s="2"/>
    </row>
    <row r="2" spans="1:9">
      <c r="A2" s="2" t="s">
        <v>96</v>
      </c>
      <c r="B2" s="2" t="s">
        <v>97</v>
      </c>
      <c r="C2" s="2" t="s">
        <v>98</v>
      </c>
      <c r="E2" s="2" t="s">
        <v>96</v>
      </c>
      <c r="F2" s="2" t="s">
        <v>97</v>
      </c>
      <c r="G2" s="2" t="s">
        <v>98</v>
      </c>
      <c r="H2"/>
      <c r="I2"/>
    </row>
    <row r="3" spans="1:9" ht="16.5">
      <c r="A3" s="2" t="s">
        <v>21</v>
      </c>
      <c r="B3" s="5" t="s">
        <v>99</v>
      </c>
      <c r="C3" s="6" t="s">
        <v>100</v>
      </c>
      <c r="E3" s="7" t="str">
        <f t="array" ref="E3">IFERROR(INDEX($A$3:$A$117,MATCH(0,COUNTIF(E$2:$E2,$A$3:$A$117),0)),"")</f>
        <v>Level I</v>
      </c>
      <c r="F3" s="8" t="str">
        <f t="array" ref="F3">IFERROR(INDEX($B$3:$B$117,MATCH(0,IF(($A$3:$A$117=$F$1),COUNTIF($F$2:F2,$B$3:$B$117),1),0)),"")</f>
        <v>Administrative/Overhead services</v>
      </c>
      <c r="G3" s="9" t="str">
        <f t="array" ref="G3">IFERROR(INDEX($C$3:$C$117,MATCH(0,IF(($A$3:$A$117=$F$1)*($B$3:$B$117=$G$1),COUNTIF($G$2:G2,$C$3:$C$117),1),0)),"")</f>
        <v>Outpatient Department (general)</v>
      </c>
      <c r="H3"/>
      <c r="I3"/>
    </row>
    <row r="4" spans="1:9" ht="16.5">
      <c r="A4" s="2" t="s">
        <v>21</v>
      </c>
      <c r="B4" s="5" t="s">
        <v>99</v>
      </c>
      <c r="C4" s="6" t="s">
        <v>101</v>
      </c>
      <c r="E4" s="10" t="str">
        <f t="array" ref="E4">IFERROR(INDEX($A$3:$A$117,MATCH(0,COUNTIF(E$2:$E3,$A$3:$A$117),0)),"")</f>
        <v>Level II and III</v>
      </c>
      <c r="F4" s="11" t="str">
        <f t="array" ref="F4">IFERROR(INDEX($B$3:$B$117,MATCH(0,IF(($A$3:$A$117=$F$1),COUNTIF($F$2:F3,$B$3:$B$117),1),0)),"")</f>
        <v>Ancillary services/Support services</v>
      </c>
      <c r="G4" s="12" t="str">
        <f t="array" ref="G4">IFERROR(INDEX($C$3:$C$117,MATCH(0,IF(($A$3:$A$117=$F$1)*($B$3:$B$117=$G$1),COUNTIF($G$2:G3,$C$3:$C$117),1),0)),"")</f>
        <v>Animal Bite Center</v>
      </c>
      <c r="H4"/>
      <c r="I4"/>
    </row>
    <row r="5" spans="1:9" ht="16.5">
      <c r="A5" s="2" t="s">
        <v>21</v>
      </c>
      <c r="B5" s="5" t="s">
        <v>99</v>
      </c>
      <c r="C5" s="6" t="s">
        <v>102</v>
      </c>
      <c r="E5" s="13"/>
      <c r="F5" s="11" t="str">
        <f t="array" ref="F5">IFERROR(INDEX($B$3:$B$117,MATCH(0,IF(($A$3:$A$117=$F$1),COUNTIF($F$2:F4,$B$3:$B$117),1),0)),"")</f>
        <v>Clinical/Medical services</v>
      </c>
      <c r="G5" s="12" t="str">
        <f t="array" ref="G5">IFERROR(INDEX($C$3:$C$117,MATCH(0,IF(($A$3:$A$117=$F$1)*($B$3:$B$117=$G$1),COUNTIF($G$2:G4,$C$3:$C$117),1),0)),"")</f>
        <v>TB Dots</v>
      </c>
      <c r="H5"/>
      <c r="I5"/>
    </row>
    <row r="6" spans="1:9" ht="16.5">
      <c r="A6" s="2" t="s">
        <v>21</v>
      </c>
      <c r="B6" s="5" t="s">
        <v>99</v>
      </c>
      <c r="C6" s="6" t="s">
        <v>103</v>
      </c>
      <c r="E6" s="10"/>
      <c r="F6" s="11" t="str">
        <f t="array" ref="F6">IFERROR(INDEX($B$3:$B$117,MATCH(0,IF(($A$3:$A$117=$F$1),COUNTIF($F$2:F5,$B$3:$B$117),1),0)),"")</f>
        <v/>
      </c>
      <c r="G6" s="12" t="str">
        <f t="array" ref="G6">IFERROR(INDEX($C$3:$C$117,MATCH(0,IF(($A$3:$A$117=$F$1)*($B$3:$B$117=$G$1),COUNTIF($G$2:G5,$C$3:$C$117),1),0)),"")</f>
        <v>HIV Aids</v>
      </c>
      <c r="H6"/>
      <c r="I6"/>
    </row>
    <row r="7" spans="1:9" ht="16.5">
      <c r="A7" s="2" t="s">
        <v>21</v>
      </c>
      <c r="B7" s="5" t="s">
        <v>99</v>
      </c>
      <c r="C7" s="6" t="s">
        <v>104</v>
      </c>
      <c r="E7" s="10" t="str">
        <f>IFERROR(INDEX($B$3:$B$117,MATCH(0,IF($A$3:$A$117=F$1,COUNTIF(F$1:F4,$B$3:$B$117),1),0)),"")</f>
        <v/>
      </c>
      <c r="F7" s="11" t="str">
        <f t="array" ref="F7">IFERROR(INDEX($B$3:$B$117,MATCH(0,IF(($A$3:$A$117=$F$1),COUNTIF($F$2:F6,$B$3:$B$117),1),0)),"")</f>
        <v/>
      </c>
      <c r="G7" s="12" t="str">
        <f t="array" ref="G7">IFERROR(INDEX($C$3:$C$117,MATCH(0,IF(($A$3:$A$117=$F$1)*($B$3:$B$117=$G$1),COUNTIF($G$2:G6,$C$3:$C$117),1),0)),"")</f>
        <v>Family Planning Unit</v>
      </c>
      <c r="H7"/>
      <c r="I7"/>
    </row>
    <row r="8" spans="1:9" ht="16.5">
      <c r="A8" s="2" t="s">
        <v>21</v>
      </c>
      <c r="B8" s="5" t="s">
        <v>99</v>
      </c>
      <c r="C8" s="6" t="s">
        <v>105</v>
      </c>
      <c r="E8" s="10"/>
      <c r="F8" s="11" t="str">
        <f t="array" ref="F8">IFERROR(INDEX($B$3:$B$117,MATCH(0,IF(($A$3:$A$117=$F$1),COUNTIF($F$2:F7,$B$3:$B$117),1),0)),"")</f>
        <v/>
      </c>
      <c r="G8" s="12" t="str">
        <f t="array" ref="G8">IFERROR(INDEX($C$3:$C$117,MATCH(0,IF(($A$3:$A$117=$F$1)*($B$3:$B$117=$G$1),COUNTIF($G$2:G7,$C$3:$C$117),1),0)),"")</f>
        <v>Smoking Cessation</v>
      </c>
      <c r="H8"/>
      <c r="I8"/>
    </row>
    <row r="9" spans="1:9" ht="16.5">
      <c r="A9" s="2" t="s">
        <v>21</v>
      </c>
      <c r="B9" s="5" t="s">
        <v>99</v>
      </c>
      <c r="C9" s="6" t="s">
        <v>106</v>
      </c>
      <c r="E9" s="10"/>
      <c r="F9" s="11" t="str">
        <f t="array" ref="F9">IFERROR(INDEX($B$3:$B$117,MATCH(0,IF(($A$3:$A$117=$F$1),COUNTIF($F$2:F8,$B$3:$B$117),1),0)),"")</f>
        <v/>
      </c>
      <c r="G9" s="12" t="str">
        <f t="array" ref="G9">IFERROR(INDEX($C$3:$C$117,MATCH(0,IF(($A$3:$A$117=$F$1)*($B$3:$B$117=$G$1),COUNTIF($G$2:G8,$C$3:$C$117),1),0)),"")</f>
        <v>Malaria</v>
      </c>
      <c r="H9"/>
      <c r="I9"/>
    </row>
    <row r="10" spans="1:9" ht="16.5">
      <c r="A10" s="2" t="s">
        <v>21</v>
      </c>
      <c r="B10" s="5" t="s">
        <v>99</v>
      </c>
      <c r="C10" s="6" t="s">
        <v>107</v>
      </c>
      <c r="E10" s="10"/>
      <c r="F10" s="11" t="str">
        <f t="array" ref="F10">IFERROR(INDEX($B$3:$B$117,MATCH(0,IF(($A$3:$A$117=$F$1),COUNTIF($F$2:F9,$B$3:$B$117),1),0)),"")</f>
        <v/>
      </c>
      <c r="G10" s="12" t="str">
        <f t="array" ref="G10">IFERROR(INDEX($C$3:$C$117,MATCH(0,IF(($A$3:$A$117=$F$1)*($B$3:$B$117=$G$1),COUNTIF($G$2:G9,$C$3:$C$117),1),0)),"")</f>
        <v xml:space="preserve">Diabetes </v>
      </c>
      <c r="H10"/>
      <c r="I10"/>
    </row>
    <row r="11" spans="1:9" ht="16.5">
      <c r="A11" s="2" t="s">
        <v>21</v>
      </c>
      <c r="B11" s="5" t="s">
        <v>99</v>
      </c>
      <c r="C11" s="6" t="s">
        <v>108</v>
      </c>
      <c r="E11" s="10"/>
      <c r="F11" s="11" t="str">
        <f t="array" ref="F11">IFERROR(INDEX($B$3:$B$117,MATCH(0,IF(($A$3:$A$117=$F$1),COUNTIF($F$2:F10,$B$3:$B$117),1),0)),"")</f>
        <v/>
      </c>
      <c r="G11" s="12" t="str">
        <f t="array" ref="G11">IFERROR(INDEX($C$3:$C$117,MATCH(0,IF(($A$3:$A$117=$F$1)*($B$3:$B$117=$G$1),COUNTIF($G$2:G10,$C$3:$C$117),1),0)),"")</f>
        <v>Hypertension</v>
      </c>
      <c r="H11"/>
      <c r="I11"/>
    </row>
    <row r="12" spans="1:9" ht="16.5">
      <c r="A12" s="2" t="s">
        <v>21</v>
      </c>
      <c r="B12" s="5" t="s">
        <v>99</v>
      </c>
      <c r="C12" s="6" t="s">
        <v>109</v>
      </c>
      <c r="E12" s="10"/>
      <c r="F12" s="11" t="str">
        <f t="array" ref="F12">IFERROR(INDEX($B$3:$B$117,MATCH(0,IF(($A$3:$A$117=$F$1),COUNTIF($F$2:F11,$B$3:$B$117),1),0)),"")</f>
        <v/>
      </c>
      <c r="G12" s="12" t="str">
        <f t="array" ref="G12">IFERROR(INDEX($C$3:$C$117,MATCH(0,IF(($A$3:$A$117=$F$1)*($B$3:$B$117=$G$1),COUNTIF($G$2:G11,$C$3:$C$117),1),0)),"")</f>
        <v>Emergency Medicine Department</v>
      </c>
      <c r="H12"/>
      <c r="I12"/>
    </row>
    <row r="13" spans="1:9" ht="16.5">
      <c r="A13" s="2" t="s">
        <v>21</v>
      </c>
      <c r="B13" s="5" t="s">
        <v>99</v>
      </c>
      <c r="C13" s="6" t="s">
        <v>110</v>
      </c>
      <c r="E13" s="10"/>
      <c r="F13" s="11" t="str">
        <f t="array" ref="F13">IFERROR(INDEX($B$3:$B$117,MATCH(0,IF(($A$3:$A$117=$F$1),COUNTIF($F$2:F12,$B$3:$B$117),1),0)),"")</f>
        <v/>
      </c>
      <c r="G13" s="12" t="str">
        <f t="array" ref="G13">IFERROR(INDEX($C$3:$C$117,MATCH(0,IF(($A$3:$A$117=$F$1)*($B$3:$B$117=$G$1),COUNTIF($G$2:G12,$C$3:$C$117),1),0)),"")</f>
        <v>Dialysis Unit</v>
      </c>
      <c r="H13"/>
      <c r="I13"/>
    </row>
    <row r="14" spans="1:9" ht="16.5">
      <c r="A14" s="2" t="s">
        <v>21</v>
      </c>
      <c r="B14" s="5" t="s">
        <v>99</v>
      </c>
      <c r="C14" s="6" t="s">
        <v>111</v>
      </c>
      <c r="E14" s="10"/>
      <c r="F14" s="11" t="str">
        <f t="array" ref="F14">IFERROR(INDEX($B$3:$B$117,MATCH(0,IF(($A$3:$A$117=$F$1),COUNTIF($F$2:F13,$B$3:$B$117),1),0)),"")</f>
        <v/>
      </c>
      <c r="G14" s="12" t="str">
        <f t="array" ref="G14">IFERROR(INDEX($C$3:$C$117,MATCH(0,IF(($A$3:$A$117=$F$1)*($B$3:$B$117=$G$1),COUNTIF($G$2:G13,$C$3:$C$117),1),0)),"")</f>
        <v>Radiation Oncology Unit*</v>
      </c>
      <c r="H14"/>
      <c r="I14"/>
    </row>
    <row r="15" spans="1:9" ht="16.5">
      <c r="A15" s="2" t="s">
        <v>21</v>
      </c>
      <c r="B15" s="5" t="s">
        <v>99</v>
      </c>
      <c r="C15" s="6" t="s">
        <v>112</v>
      </c>
      <c r="E15" s="10"/>
      <c r="F15" s="11" t="str">
        <f t="array" ref="F15">IFERROR(INDEX($B$3:$B$117,MATCH(0,IF(($A$3:$A$117=$F$1),COUNTIF($F$2:F14,$B$3:$B$117),1),0)),"")</f>
        <v/>
      </c>
      <c r="G15" s="12" t="str">
        <f t="array" ref="G15">IFERROR(INDEX($C$3:$C$117,MATCH(0,IF(($A$3:$A$117=$F$1)*($B$3:$B$117=$G$1),COUNTIF($G$2:G14,$C$3:$C$117),1),0)),"")</f>
        <v>Dental</v>
      </c>
      <c r="H15"/>
      <c r="I15"/>
    </row>
    <row r="16" spans="1:9" ht="16.5">
      <c r="A16" s="2" t="s">
        <v>21</v>
      </c>
      <c r="B16" s="5" t="s">
        <v>99</v>
      </c>
      <c r="C16" s="6" t="s">
        <v>113</v>
      </c>
      <c r="E16" s="10"/>
      <c r="F16" s="11" t="str">
        <f t="array" ref="F16">IFERROR(INDEX($B$3:$B$117,MATCH(0,IF(($A$3:$A$117=$F$1),COUNTIF($F$2:F15,$B$3:$B$117),1),0)),"")</f>
        <v/>
      </c>
      <c r="G16" s="12" t="str">
        <f t="array" ref="G16">IFERROR(INDEX($C$3:$C$117,MATCH(0,IF(($A$3:$A$117=$F$1)*($B$3:$B$117=$G$1),COUNTIF($G$2:G15,$C$3:$C$117),1),0)),"")</f>
        <v>Internal Medicine Ward</v>
      </c>
      <c r="H16"/>
      <c r="I16"/>
    </row>
    <row r="17" spans="1:9" ht="16.5">
      <c r="A17" s="2" t="s">
        <v>21</v>
      </c>
      <c r="B17" s="5" t="s">
        <v>99</v>
      </c>
      <c r="C17" s="6" t="s">
        <v>114</v>
      </c>
      <c r="E17" s="13"/>
      <c r="F17" s="11" t="str">
        <f t="array" ref="F17">IFERROR(INDEX($B$3:$B$117,MATCH(0,IF(($A$3:$A$117=$F$1),COUNTIF($F$2:F16,$B$3:$B$117),1),0)),"")</f>
        <v/>
      </c>
      <c r="G17" s="12" t="str">
        <f t="array" ref="G17">IFERROR(INDEX($C$3:$C$117,MATCH(0,IF(($A$3:$A$117=$F$1)*($B$3:$B$117=$G$1),COUNTIF($G$2:G16,$C$3:$C$117),1),0)),"")</f>
        <v>Pediatric Ward</v>
      </c>
      <c r="H17"/>
      <c r="I17"/>
    </row>
    <row r="18" spans="1:9" ht="16.5">
      <c r="A18" s="2" t="s">
        <v>21</v>
      </c>
      <c r="B18" s="5" t="s">
        <v>99</v>
      </c>
      <c r="C18" s="6" t="s">
        <v>115</v>
      </c>
      <c r="E18" s="13"/>
      <c r="F18" s="11" t="str">
        <f t="array" ref="F18">IFERROR(INDEX($B$3:$B$117,MATCH(0,IF(($A$3:$A$117=$F$1),COUNTIF($F$2:F17,$B$3:$B$117),1),0)),"")</f>
        <v/>
      </c>
      <c r="G18" s="12" t="str">
        <f t="array" ref="G18">IFERROR(INDEX($C$3:$C$117,MATCH(0,IF(($A$3:$A$117=$F$1)*($B$3:$B$117=$G$1),COUNTIF($G$2:G17,$C$3:$C$117),1),0)),"")</f>
        <v>Surgical Ward</v>
      </c>
      <c r="H18"/>
      <c r="I18"/>
    </row>
    <row r="19" spans="1:9" ht="16.5">
      <c r="A19" s="2" t="s">
        <v>21</v>
      </c>
      <c r="B19" s="5" t="s">
        <v>99</v>
      </c>
      <c r="C19" s="6" t="s">
        <v>116</v>
      </c>
      <c r="E19" s="13"/>
      <c r="F19" s="11" t="str">
        <f t="array" ref="F19">IFERROR(INDEX($B$3:$B$117,MATCH(0,IF(($A$3:$A$117=$F$1),COUNTIF($F$2:F18,$B$3:$B$117),1),0)),"")</f>
        <v/>
      </c>
      <c r="G19" s="12" t="str">
        <f t="array" ref="G19">IFERROR(INDEX($C$3:$C$117,MATCH(0,IF(($A$3:$A$117=$F$1)*($B$3:$B$117=$G$1),COUNTIF($G$2:G18,$C$3:$C$117),1),0)),"")</f>
        <v>Ob/Gyne Ward</v>
      </c>
      <c r="H19"/>
      <c r="I19"/>
    </row>
    <row r="20" spans="1:9" ht="16.5">
      <c r="A20" s="2" t="s">
        <v>21</v>
      </c>
      <c r="B20" s="5" t="s">
        <v>99</v>
      </c>
      <c r="C20" s="6" t="s">
        <v>117</v>
      </c>
      <c r="E20" s="13"/>
      <c r="F20" s="11" t="str">
        <f t="array" ref="F20">IFERROR(INDEX($B$3:$B$117,MATCH(0,IF(($A$3:$A$117=$F$1),COUNTIF($F$2:F19,$B$3:$B$117),1),0)),"")</f>
        <v/>
      </c>
      <c r="G20" s="12" t="str">
        <f t="array" ref="G20">IFERROR(INDEX($C$3:$C$117,MATCH(0,IF(($A$3:$A$117=$F$1)*($B$3:$B$117=$G$1),COUNTIF($G$2:G19,$C$3:$C$117),1),0)),"")</f>
        <v>Private Ward</v>
      </c>
      <c r="H20"/>
      <c r="I20"/>
    </row>
    <row r="21" spans="1:9" ht="16.5">
      <c r="A21" s="2" t="s">
        <v>21</v>
      </c>
      <c r="B21" s="5" t="s">
        <v>118</v>
      </c>
      <c r="C21" s="6" t="s">
        <v>119</v>
      </c>
      <c r="E21" s="13"/>
      <c r="F21" s="11" t="str">
        <f t="array" ref="F21">IFERROR(INDEX($B$3:$B$117,MATCH(0,IF(($A$3:$A$117=$F$1),COUNTIF($F$2:F20,$B$3:$B$117),1),0)),"")</f>
        <v/>
      </c>
      <c r="G21" s="12" t="str">
        <f t="array" ref="G21">IFERROR(INDEX($C$3:$C$117,MATCH(0,IF(($A$3:$A$117=$F$1)*($B$3:$B$117=$G$1),COUNTIF($G$2:G20,$C$3:$C$117),1),0)),"")</f>
        <v/>
      </c>
      <c r="H21"/>
      <c r="I21"/>
    </row>
    <row r="22" spans="1:9" ht="16.5">
      <c r="A22" s="2" t="s">
        <v>21</v>
      </c>
      <c r="B22" s="5" t="s">
        <v>118</v>
      </c>
      <c r="C22" s="6" t="s">
        <v>120</v>
      </c>
      <c r="E22" s="13"/>
      <c r="F22" s="11" t="str">
        <f t="array" ref="F22">IFERROR(INDEX($B$3:$B$117,MATCH(0,IF(($A$3:$A$117=$F$1),COUNTIF($F$2:F21,$B$3:$B$117),1),0)),"")</f>
        <v/>
      </c>
      <c r="G22" s="12" t="str">
        <f t="array" ref="G22">IFERROR(INDEX($C$3:$C$117,MATCH(0,IF(($A$3:$A$117=$F$1)*($B$3:$B$117=$G$1),COUNTIF($G$2:G21,$C$3:$C$117),1),0)),"")</f>
        <v/>
      </c>
      <c r="H22"/>
      <c r="I22"/>
    </row>
    <row r="23" spans="1:9" ht="16.5">
      <c r="A23" s="2" t="s">
        <v>21</v>
      </c>
      <c r="B23" s="5" t="s">
        <v>118</v>
      </c>
      <c r="C23" s="14" t="s">
        <v>121</v>
      </c>
      <c r="E23" s="13"/>
      <c r="F23" s="11" t="str">
        <f t="array" ref="F23">IFERROR(INDEX($B$3:$B$117,MATCH(0,IF(($A$3:$A$117=$F$1),COUNTIF($F$2:F22,$B$3:$B$117),1),0)),"")</f>
        <v/>
      </c>
      <c r="G23" s="12" t="str">
        <f t="array" ref="G23">IFERROR(INDEX($C$3:$C$117,MATCH(0,IF(($A$3:$A$117=$F$1)*($B$3:$B$117=$G$1),COUNTIF($G$2:G22,$C$3:$C$117),1),0)),"")</f>
        <v/>
      </c>
      <c r="H23"/>
      <c r="I23"/>
    </row>
    <row r="24" spans="1:9" ht="16.5">
      <c r="A24" s="2" t="s">
        <v>21</v>
      </c>
      <c r="B24" s="5" t="s">
        <v>118</v>
      </c>
      <c r="C24" s="6" t="s">
        <v>122</v>
      </c>
      <c r="E24" s="13"/>
      <c r="F24" s="11" t="str">
        <f t="array" ref="F24">IFERROR(INDEX($B$3:$B$117,MATCH(0,IF(($A$3:$A$117=$F$1),COUNTIF($F$2:F23,$B$3:$B$117),1),0)),"")</f>
        <v/>
      </c>
      <c r="G24" s="12" t="str">
        <f t="array" ref="G24">IFERROR(INDEX($C$3:$C$117,MATCH(0,IF(($A$3:$A$117=$F$1)*($B$3:$B$117=$G$1),COUNTIF($G$2:G23,$C$3:$C$117),1),0)),"")</f>
        <v/>
      </c>
      <c r="H24"/>
      <c r="I24"/>
    </row>
    <row r="25" spans="1:9" ht="16.5">
      <c r="A25" s="2" t="s">
        <v>21</v>
      </c>
      <c r="B25" s="5" t="s">
        <v>118</v>
      </c>
      <c r="C25" s="14" t="s">
        <v>123</v>
      </c>
      <c r="E25" s="13"/>
      <c r="F25" s="11" t="str">
        <f t="array" ref="F25">IFERROR(INDEX($B$3:$B$117,MATCH(0,IF(($A$3:$A$117=$F$1),COUNTIF($F$2:F24,$B$3:$B$117),1),0)),"")</f>
        <v/>
      </c>
      <c r="G25" s="12" t="str">
        <f t="array" ref="G25">IFERROR(INDEX($C$3:$C$117,MATCH(0,IF(($A$3:$A$117=$F$1)*($B$3:$B$117=$G$1),COUNTIF($G$2:G24,$C$3:$C$117),1),0)),"")</f>
        <v/>
      </c>
      <c r="H25"/>
      <c r="I25"/>
    </row>
    <row r="26" spans="1:9" ht="16.5">
      <c r="A26" s="2" t="s">
        <v>21</v>
      </c>
      <c r="B26" s="5" t="s">
        <v>118</v>
      </c>
      <c r="C26" s="6" t="s">
        <v>124</v>
      </c>
      <c r="E26" s="13"/>
      <c r="F26" s="11" t="str">
        <f t="array" ref="F26">IFERROR(INDEX($B$3:$B$117,MATCH(0,IF(($A$3:$A$117=$F$1),COUNTIF($F$2:F25,$B$3:$B$117),1),0)),"")</f>
        <v/>
      </c>
      <c r="G26" s="12" t="str">
        <f t="array" ref="G26">IFERROR(INDEX($C$3:$C$117,MATCH(0,IF(($A$3:$A$117=$F$1)*($B$3:$B$117=$G$1),COUNTIF($G$2:G25,$C$3:$C$117),1),0)),"")</f>
        <v/>
      </c>
      <c r="H26"/>
      <c r="I26"/>
    </row>
    <row r="27" spans="1:9" ht="16.5">
      <c r="A27" s="2" t="s">
        <v>21</v>
      </c>
      <c r="B27" s="5" t="s">
        <v>118</v>
      </c>
      <c r="C27" s="6" t="s">
        <v>125</v>
      </c>
      <c r="E27" s="15"/>
      <c r="F27" s="16" t="str">
        <f t="array" ref="F27">IFERROR(INDEX($B$3:$B$117,MATCH(0,IF(($A$3:$A$117=$F$1),COUNTIF($F$2:F26,$B$3:$B$117),1),0)),"")</f>
        <v/>
      </c>
      <c r="G27" s="17" t="str">
        <f t="array" ref="G27">IFERROR(INDEX($C$3:$C$117,MATCH(0,IF(($A$3:$A$117=$F$1)*($B$3:$B$117=$G$1),COUNTIF($G$2:G26,$C$3:$C$117),1),0)),"")</f>
        <v/>
      </c>
      <c r="H27"/>
      <c r="I27"/>
    </row>
    <row r="28" spans="1:9" ht="16.5">
      <c r="A28" s="2" t="s">
        <v>21</v>
      </c>
      <c r="B28" s="5" t="s">
        <v>118</v>
      </c>
      <c r="C28" s="6" t="s">
        <v>126</v>
      </c>
      <c r="E28"/>
      <c r="F28" s="18"/>
      <c r="G28" s="18"/>
      <c r="H28"/>
      <c r="I28"/>
    </row>
    <row r="29" spans="1:9" ht="16.5">
      <c r="A29" s="2" t="s">
        <v>21</v>
      </c>
      <c r="B29" s="5" t="s">
        <v>118</v>
      </c>
      <c r="C29" s="6" t="s">
        <v>127</v>
      </c>
      <c r="E29"/>
      <c r="F29" s="18"/>
      <c r="G29" s="18"/>
      <c r="H29"/>
      <c r="I29"/>
    </row>
    <row r="30" spans="1:9" ht="16.5">
      <c r="A30" s="2" t="s">
        <v>21</v>
      </c>
      <c r="B30" s="5" t="s">
        <v>118</v>
      </c>
      <c r="C30" s="19" t="s">
        <v>128</v>
      </c>
      <c r="E30"/>
      <c r="F30" s="18"/>
      <c r="G30" s="18"/>
      <c r="H30"/>
      <c r="I30"/>
    </row>
    <row r="31" spans="1:9" ht="16.5">
      <c r="A31" s="2" t="s">
        <v>21</v>
      </c>
      <c r="B31" s="5" t="s">
        <v>118</v>
      </c>
      <c r="C31" s="6" t="s">
        <v>129</v>
      </c>
      <c r="E31"/>
      <c r="F31" s="18"/>
      <c r="G31" s="18"/>
      <c r="H31"/>
      <c r="I31"/>
    </row>
    <row r="32" spans="1:9" ht="16.5">
      <c r="A32" s="2" t="s">
        <v>21</v>
      </c>
      <c r="B32" s="5" t="s">
        <v>118</v>
      </c>
      <c r="C32" s="19" t="s">
        <v>130</v>
      </c>
      <c r="E32"/>
      <c r="F32" s="18"/>
      <c r="G32" s="18"/>
      <c r="H32"/>
      <c r="I32"/>
    </row>
    <row r="33" spans="1:9" ht="16.5">
      <c r="A33" s="2" t="s">
        <v>21</v>
      </c>
      <c r="B33" s="5" t="s">
        <v>118</v>
      </c>
      <c r="C33" s="19" t="s">
        <v>131</v>
      </c>
      <c r="E33"/>
      <c r="F33" s="18"/>
      <c r="G33" s="18"/>
      <c r="H33"/>
      <c r="I33"/>
    </row>
    <row r="34" spans="1:9" ht="16.5">
      <c r="A34" s="2" t="s">
        <v>21</v>
      </c>
      <c r="B34" s="5" t="s">
        <v>118</v>
      </c>
      <c r="C34" s="19" t="s">
        <v>132</v>
      </c>
      <c r="E34"/>
      <c r="F34" s="18"/>
      <c r="G34" s="18"/>
      <c r="H34"/>
      <c r="I34"/>
    </row>
    <row r="35" spans="1:9" ht="16.5">
      <c r="A35" s="2" t="s">
        <v>21</v>
      </c>
      <c r="B35" s="5" t="s">
        <v>118</v>
      </c>
      <c r="C35" s="19" t="s">
        <v>133</v>
      </c>
      <c r="E35"/>
      <c r="F35" s="18"/>
      <c r="G35" s="18"/>
      <c r="H35"/>
      <c r="I35"/>
    </row>
    <row r="36" spans="1:9" ht="16.5">
      <c r="A36" s="2" t="s">
        <v>21</v>
      </c>
      <c r="B36" s="5" t="s">
        <v>118</v>
      </c>
      <c r="C36" s="14" t="s">
        <v>134</v>
      </c>
      <c r="E36"/>
      <c r="F36" s="18"/>
      <c r="G36" s="18"/>
      <c r="H36"/>
      <c r="I36"/>
    </row>
    <row r="37" spans="1:9" ht="16.5">
      <c r="A37" s="2" t="s">
        <v>21</v>
      </c>
      <c r="B37" s="5" t="s">
        <v>118</v>
      </c>
      <c r="C37" s="14" t="s">
        <v>135</v>
      </c>
      <c r="E37"/>
      <c r="F37" s="18"/>
      <c r="G37" s="18"/>
      <c r="H37"/>
      <c r="I37"/>
    </row>
    <row r="38" spans="1:9" ht="16.5">
      <c r="A38" s="2" t="s">
        <v>21</v>
      </c>
      <c r="B38" s="5" t="s">
        <v>118</v>
      </c>
      <c r="C38" s="6" t="s">
        <v>117</v>
      </c>
      <c r="E38"/>
      <c r="F38" s="18"/>
      <c r="G38" s="18"/>
      <c r="H38"/>
      <c r="I38"/>
    </row>
    <row r="39" spans="1:9" ht="16.5">
      <c r="A39" s="2" t="s">
        <v>21</v>
      </c>
      <c r="B39" s="5" t="s">
        <v>23</v>
      </c>
      <c r="C39" s="6" t="s">
        <v>136</v>
      </c>
      <c r="E39"/>
      <c r="F39" s="18"/>
      <c r="G39" s="18"/>
      <c r="H39"/>
      <c r="I39"/>
    </row>
    <row r="40" spans="1:9" ht="16.5">
      <c r="A40" s="2" t="s">
        <v>21</v>
      </c>
      <c r="B40" s="5" t="s">
        <v>23</v>
      </c>
      <c r="C40" s="6" t="s">
        <v>137</v>
      </c>
      <c r="E40"/>
      <c r="F40" s="18"/>
      <c r="G40" s="18"/>
      <c r="H40"/>
      <c r="I40"/>
    </row>
    <row r="41" spans="1:9" ht="16.5">
      <c r="A41" s="2" t="s">
        <v>21</v>
      </c>
      <c r="B41" s="5" t="s">
        <v>23</v>
      </c>
      <c r="C41" s="6" t="s">
        <v>138</v>
      </c>
      <c r="E41"/>
      <c r="F41" s="18"/>
      <c r="G41" s="18"/>
      <c r="H41"/>
      <c r="I41"/>
    </row>
    <row r="42" spans="1:9" ht="16.5">
      <c r="A42" s="2" t="s">
        <v>21</v>
      </c>
      <c r="B42" s="5" t="s">
        <v>23</v>
      </c>
      <c r="C42" s="6" t="s">
        <v>139</v>
      </c>
      <c r="E42"/>
      <c r="F42" s="18"/>
      <c r="G42" s="18"/>
      <c r="H42"/>
      <c r="I42"/>
    </row>
    <row r="43" spans="1:9" ht="16.5">
      <c r="A43" s="2" t="s">
        <v>21</v>
      </c>
      <c r="B43" s="5" t="s">
        <v>23</v>
      </c>
      <c r="C43" s="6" t="s">
        <v>140</v>
      </c>
      <c r="E43"/>
      <c r="F43" s="18"/>
      <c r="G43" s="18"/>
      <c r="H43"/>
      <c r="I43"/>
    </row>
    <row r="44" spans="1:9" ht="16.5">
      <c r="A44" s="2" t="s">
        <v>21</v>
      </c>
      <c r="B44" s="5" t="s">
        <v>23</v>
      </c>
      <c r="C44" s="6" t="s">
        <v>141</v>
      </c>
      <c r="E44"/>
      <c r="F44" s="18"/>
      <c r="G44" s="18"/>
      <c r="H44"/>
      <c r="I44"/>
    </row>
    <row r="45" spans="1:9" ht="16.5">
      <c r="A45" s="2" t="s">
        <v>21</v>
      </c>
      <c r="B45" s="5" t="s">
        <v>23</v>
      </c>
      <c r="C45" s="6" t="s">
        <v>142</v>
      </c>
      <c r="E45"/>
      <c r="F45" s="18"/>
      <c r="G45" s="18"/>
      <c r="H45"/>
      <c r="I45"/>
    </row>
    <row r="46" spans="1:9" ht="16.5">
      <c r="A46" s="2" t="s">
        <v>21</v>
      </c>
      <c r="B46" s="5" t="s">
        <v>23</v>
      </c>
      <c r="C46" s="14" t="s">
        <v>143</v>
      </c>
      <c r="E46"/>
      <c r="F46" s="18"/>
      <c r="G46" s="18"/>
      <c r="H46"/>
      <c r="I46"/>
    </row>
    <row r="47" spans="1:9" ht="16.5">
      <c r="A47" s="2" t="s">
        <v>21</v>
      </c>
      <c r="B47" s="5" t="s">
        <v>23</v>
      </c>
      <c r="C47" s="6" t="s">
        <v>144</v>
      </c>
      <c r="E47"/>
      <c r="F47" s="18"/>
      <c r="G47" s="18"/>
      <c r="H47"/>
      <c r="I47"/>
    </row>
    <row r="48" spans="1:9" ht="16.5">
      <c r="A48" s="2" t="s">
        <v>21</v>
      </c>
      <c r="B48" s="5" t="s">
        <v>23</v>
      </c>
      <c r="C48" s="6" t="s">
        <v>145</v>
      </c>
      <c r="E48"/>
      <c r="F48" s="18"/>
      <c r="G48" s="18"/>
      <c r="H48"/>
      <c r="I48"/>
    </row>
    <row r="49" spans="1:9" ht="16.5">
      <c r="A49" s="2" t="s">
        <v>21</v>
      </c>
      <c r="B49" s="5" t="s">
        <v>23</v>
      </c>
      <c r="C49" s="6" t="s">
        <v>146</v>
      </c>
      <c r="E49"/>
      <c r="F49" s="18"/>
      <c r="G49" s="18"/>
      <c r="H49"/>
      <c r="I49"/>
    </row>
    <row r="50" spans="1:9" ht="16.5">
      <c r="A50" s="2" t="s">
        <v>21</v>
      </c>
      <c r="B50" s="5" t="s">
        <v>23</v>
      </c>
      <c r="C50" s="6" t="s">
        <v>147</v>
      </c>
      <c r="E50"/>
      <c r="F50" s="18"/>
      <c r="G50" s="18"/>
      <c r="H50"/>
      <c r="I50"/>
    </row>
    <row r="51" spans="1:9" ht="16.5">
      <c r="A51" s="2" t="s">
        <v>21</v>
      </c>
      <c r="B51" s="5" t="s">
        <v>23</v>
      </c>
      <c r="C51" s="6" t="s">
        <v>148</v>
      </c>
      <c r="E51"/>
      <c r="F51" s="18"/>
      <c r="G51" s="18"/>
      <c r="H51"/>
      <c r="I51"/>
    </row>
    <row r="52" spans="1:9" ht="16.5">
      <c r="A52" s="2" t="s">
        <v>21</v>
      </c>
      <c r="B52" s="5" t="s">
        <v>23</v>
      </c>
      <c r="C52" s="6" t="s">
        <v>149</v>
      </c>
      <c r="E52"/>
      <c r="F52" s="18"/>
      <c r="G52" s="18"/>
      <c r="H52"/>
      <c r="I52"/>
    </row>
    <row r="53" spans="1:9" ht="16.5">
      <c r="A53" s="2" t="s">
        <v>21</v>
      </c>
      <c r="B53" s="5" t="s">
        <v>23</v>
      </c>
      <c r="C53" s="6" t="s">
        <v>25</v>
      </c>
      <c r="E53"/>
      <c r="F53" s="18"/>
      <c r="G53" s="18"/>
      <c r="H53"/>
      <c r="I53"/>
    </row>
    <row r="54" spans="1:9" ht="16.5">
      <c r="A54" s="2" t="s">
        <v>21</v>
      </c>
      <c r="B54" s="5" t="s">
        <v>23</v>
      </c>
      <c r="C54" s="6" t="s">
        <v>150</v>
      </c>
      <c r="E54"/>
      <c r="F54" s="18"/>
      <c r="G54" s="18"/>
      <c r="H54"/>
      <c r="I54"/>
    </row>
    <row r="55" spans="1:9" ht="16.5">
      <c r="A55" s="2" t="s">
        <v>21</v>
      </c>
      <c r="B55" s="5" t="s">
        <v>23</v>
      </c>
      <c r="C55" s="6" t="s">
        <v>151</v>
      </c>
      <c r="E55"/>
      <c r="F55" s="18"/>
      <c r="G55" s="18"/>
      <c r="H55"/>
      <c r="I55"/>
    </row>
    <row r="56" spans="1:9" ht="16.5">
      <c r="A56" s="2" t="s">
        <v>21</v>
      </c>
      <c r="B56" s="5" t="s">
        <v>23</v>
      </c>
      <c r="C56" s="6" t="s">
        <v>152</v>
      </c>
      <c r="E56"/>
      <c r="F56" s="18"/>
      <c r="G56" s="18"/>
      <c r="H56"/>
      <c r="I56"/>
    </row>
    <row r="57" spans="1:9" ht="16.5">
      <c r="A57" s="2" t="s">
        <v>153</v>
      </c>
      <c r="B57" s="20" t="s">
        <v>99</v>
      </c>
      <c r="C57" s="19" t="s">
        <v>100</v>
      </c>
      <c r="E57"/>
      <c r="F57" s="18"/>
      <c r="G57" s="18"/>
      <c r="H57"/>
      <c r="I57"/>
    </row>
    <row r="58" spans="1:9" ht="16.5">
      <c r="A58" s="2" t="s">
        <v>153</v>
      </c>
      <c r="B58" s="20" t="s">
        <v>99</v>
      </c>
      <c r="C58" s="6" t="s">
        <v>154</v>
      </c>
      <c r="E58"/>
      <c r="F58" s="18"/>
      <c r="G58" s="18"/>
      <c r="H58"/>
      <c r="I58"/>
    </row>
    <row r="59" spans="1:9" ht="16.5">
      <c r="A59" s="2" t="s">
        <v>153</v>
      </c>
      <c r="B59" s="20" t="s">
        <v>99</v>
      </c>
      <c r="C59" s="19" t="s">
        <v>102</v>
      </c>
      <c r="E59"/>
      <c r="F59" s="18"/>
      <c r="G59" s="18"/>
      <c r="H59"/>
      <c r="I59"/>
    </row>
    <row r="60" spans="1:9" ht="16.5">
      <c r="A60" s="2" t="s">
        <v>153</v>
      </c>
      <c r="B60" s="20" t="s">
        <v>99</v>
      </c>
      <c r="C60" s="19" t="s">
        <v>103</v>
      </c>
      <c r="E60"/>
      <c r="F60" s="18"/>
      <c r="G60" s="18"/>
      <c r="H60"/>
      <c r="I60"/>
    </row>
    <row r="61" spans="1:9" ht="16.5">
      <c r="A61" s="2" t="s">
        <v>153</v>
      </c>
      <c r="B61" s="20" t="s">
        <v>99</v>
      </c>
      <c r="C61" s="19" t="s">
        <v>104</v>
      </c>
      <c r="E61"/>
      <c r="F61" s="18"/>
      <c r="G61" s="18"/>
      <c r="H61"/>
      <c r="I61"/>
    </row>
    <row r="62" spans="1:9" ht="16.5">
      <c r="A62" s="2" t="s">
        <v>153</v>
      </c>
      <c r="B62" s="20" t="s">
        <v>99</v>
      </c>
      <c r="C62" s="19" t="s">
        <v>105</v>
      </c>
      <c r="E62"/>
      <c r="F62" s="18"/>
      <c r="G62" s="18"/>
      <c r="H62"/>
      <c r="I62"/>
    </row>
    <row r="63" spans="1:9" ht="16.5">
      <c r="A63" s="2" t="s">
        <v>153</v>
      </c>
      <c r="B63" s="20" t="s">
        <v>99</v>
      </c>
      <c r="C63" s="19" t="s">
        <v>106</v>
      </c>
      <c r="E63"/>
      <c r="F63" s="18"/>
      <c r="G63" s="18"/>
      <c r="H63"/>
      <c r="I63"/>
    </row>
    <row r="64" spans="1:9" ht="16.5">
      <c r="A64" s="2" t="s">
        <v>153</v>
      </c>
      <c r="B64" s="20" t="s">
        <v>99</v>
      </c>
      <c r="C64" s="6" t="s">
        <v>155</v>
      </c>
      <c r="E64"/>
      <c r="F64" s="18"/>
      <c r="G64" s="18"/>
      <c r="H64"/>
      <c r="I64"/>
    </row>
    <row r="65" spans="1:9" ht="16.5">
      <c r="A65" s="2" t="s">
        <v>153</v>
      </c>
      <c r="B65" s="20" t="s">
        <v>99</v>
      </c>
      <c r="C65" s="19" t="s">
        <v>108</v>
      </c>
      <c r="E65"/>
      <c r="F65" s="18"/>
      <c r="G65" s="18"/>
      <c r="H65"/>
      <c r="I65"/>
    </row>
    <row r="66" spans="1:9" ht="16.5">
      <c r="A66" s="2" t="s">
        <v>153</v>
      </c>
      <c r="B66" s="20" t="s">
        <v>99</v>
      </c>
      <c r="C66" s="19" t="s">
        <v>109</v>
      </c>
      <c r="E66"/>
      <c r="F66" s="18"/>
      <c r="G66" s="18"/>
      <c r="H66"/>
      <c r="I66"/>
    </row>
    <row r="67" spans="1:9" ht="16.5">
      <c r="A67" s="2" t="s">
        <v>153</v>
      </c>
      <c r="B67" s="20" t="s">
        <v>99</v>
      </c>
      <c r="C67" s="19" t="s">
        <v>110</v>
      </c>
      <c r="E67"/>
      <c r="F67" s="18"/>
      <c r="G67" s="18"/>
      <c r="H67"/>
      <c r="I67"/>
    </row>
    <row r="68" spans="1:9" ht="16.5">
      <c r="A68" s="2" t="s">
        <v>153</v>
      </c>
      <c r="B68" s="20" t="s">
        <v>99</v>
      </c>
      <c r="C68" s="19" t="s">
        <v>111</v>
      </c>
      <c r="E68"/>
      <c r="F68" s="18"/>
      <c r="G68" s="18"/>
      <c r="H68"/>
      <c r="I68"/>
    </row>
    <row r="69" spans="1:9" ht="16.5">
      <c r="A69" s="2" t="s">
        <v>153</v>
      </c>
      <c r="B69" s="20" t="s">
        <v>99</v>
      </c>
      <c r="C69" s="19" t="s">
        <v>112</v>
      </c>
      <c r="E69"/>
      <c r="F69" s="18"/>
      <c r="G69" s="18"/>
      <c r="H69"/>
      <c r="I69"/>
    </row>
    <row r="70" spans="1:9" ht="16.5">
      <c r="A70" s="2" t="s">
        <v>153</v>
      </c>
      <c r="B70" s="20" t="s">
        <v>99</v>
      </c>
      <c r="C70" s="19" t="s">
        <v>113</v>
      </c>
      <c r="E70"/>
      <c r="F70" s="18"/>
      <c r="G70" s="18"/>
      <c r="H70"/>
      <c r="I70"/>
    </row>
    <row r="71" spans="1:9" ht="16.5">
      <c r="A71" s="2" t="s">
        <v>153</v>
      </c>
      <c r="B71" s="20" t="s">
        <v>99</v>
      </c>
      <c r="C71" s="19" t="s">
        <v>114</v>
      </c>
      <c r="E71"/>
      <c r="F71" s="18"/>
      <c r="G71" s="18"/>
      <c r="H71"/>
      <c r="I71"/>
    </row>
    <row r="72" spans="1:9" ht="16.5">
      <c r="A72" s="2" t="s">
        <v>153</v>
      </c>
      <c r="B72" s="20" t="s">
        <v>99</v>
      </c>
      <c r="C72" s="19" t="s">
        <v>115</v>
      </c>
      <c r="E72"/>
      <c r="F72" s="18"/>
      <c r="G72" s="18"/>
      <c r="H72"/>
      <c r="I72"/>
    </row>
    <row r="73" spans="1:9" ht="16.5">
      <c r="A73" s="2" t="s">
        <v>153</v>
      </c>
      <c r="B73" s="20" t="s">
        <v>99</v>
      </c>
      <c r="C73" s="6" t="s">
        <v>156</v>
      </c>
      <c r="E73"/>
      <c r="F73" s="18"/>
      <c r="G73" s="18"/>
      <c r="H73"/>
      <c r="I73"/>
    </row>
    <row r="74" spans="1:9" ht="16.5">
      <c r="A74" s="2" t="s">
        <v>153</v>
      </c>
      <c r="B74" s="20" t="s">
        <v>99</v>
      </c>
      <c r="C74" s="6" t="s">
        <v>117</v>
      </c>
      <c r="E74"/>
      <c r="F74" s="18"/>
      <c r="G74" s="18"/>
      <c r="H74"/>
      <c r="I74"/>
    </row>
    <row r="75" spans="1:9" ht="16.5">
      <c r="A75" s="2" t="s">
        <v>153</v>
      </c>
      <c r="B75" s="5" t="s">
        <v>118</v>
      </c>
      <c r="C75" s="6" t="s">
        <v>119</v>
      </c>
      <c r="E75"/>
      <c r="F75" s="18"/>
      <c r="G75" s="18"/>
      <c r="H75"/>
      <c r="I75"/>
    </row>
    <row r="76" spans="1:9" ht="16.5">
      <c r="A76" s="2" t="s">
        <v>153</v>
      </c>
      <c r="B76" s="5" t="s">
        <v>118</v>
      </c>
      <c r="C76" s="6" t="s">
        <v>120</v>
      </c>
      <c r="E76"/>
      <c r="F76" s="18"/>
      <c r="G76" s="18"/>
      <c r="H76"/>
      <c r="I76"/>
    </row>
    <row r="77" spans="1:9" ht="16.5">
      <c r="A77" s="2" t="s">
        <v>153</v>
      </c>
      <c r="B77" s="5" t="s">
        <v>118</v>
      </c>
      <c r="C77" s="6" t="s">
        <v>121</v>
      </c>
      <c r="E77"/>
      <c r="F77" s="18"/>
      <c r="G77" s="18"/>
      <c r="H77"/>
      <c r="I77"/>
    </row>
    <row r="78" spans="1:9" ht="16.5">
      <c r="A78" s="2" t="s">
        <v>153</v>
      </c>
      <c r="B78" s="5" t="s">
        <v>118</v>
      </c>
      <c r="C78" s="6" t="s">
        <v>122</v>
      </c>
      <c r="E78"/>
      <c r="F78" s="18"/>
      <c r="G78" s="18"/>
      <c r="H78"/>
      <c r="I78"/>
    </row>
    <row r="79" spans="1:9" ht="16.5">
      <c r="A79" s="2" t="s">
        <v>153</v>
      </c>
      <c r="B79" s="5" t="s">
        <v>118</v>
      </c>
      <c r="C79" s="6" t="s">
        <v>123</v>
      </c>
      <c r="E79"/>
      <c r="F79" s="18"/>
      <c r="G79" s="18"/>
      <c r="H79"/>
      <c r="I79"/>
    </row>
    <row r="80" spans="1:9" ht="16.5">
      <c r="A80" s="2" t="s">
        <v>153</v>
      </c>
      <c r="B80" s="5" t="s">
        <v>118</v>
      </c>
      <c r="C80" s="6" t="s">
        <v>124</v>
      </c>
      <c r="E80"/>
      <c r="F80" s="18"/>
      <c r="G80" s="18"/>
      <c r="H80"/>
      <c r="I80"/>
    </row>
    <row r="81" spans="1:9" ht="16.5">
      <c r="A81" s="2" t="s">
        <v>153</v>
      </c>
      <c r="B81" s="5" t="s">
        <v>118</v>
      </c>
      <c r="C81" s="6" t="s">
        <v>125</v>
      </c>
      <c r="E81"/>
      <c r="F81" s="18"/>
      <c r="G81" s="18"/>
      <c r="H81"/>
      <c r="I81"/>
    </row>
    <row r="82" spans="1:9" ht="16.5">
      <c r="A82" s="2" t="s">
        <v>153</v>
      </c>
      <c r="B82" s="5" t="s">
        <v>118</v>
      </c>
      <c r="C82" s="6" t="s">
        <v>157</v>
      </c>
      <c r="E82"/>
      <c r="F82" s="18"/>
      <c r="G82" s="18"/>
      <c r="H82"/>
      <c r="I82"/>
    </row>
    <row r="83" spans="1:9" ht="16.5">
      <c r="A83" s="2" t="s">
        <v>153</v>
      </c>
      <c r="B83" s="5" t="s">
        <v>118</v>
      </c>
      <c r="C83" s="6" t="s">
        <v>126</v>
      </c>
      <c r="E83"/>
      <c r="F83" s="18"/>
      <c r="G83" s="18"/>
      <c r="H83"/>
      <c r="I83"/>
    </row>
    <row r="84" spans="1:9" ht="16.5">
      <c r="A84" s="2" t="s">
        <v>153</v>
      </c>
      <c r="B84" s="5" t="s">
        <v>118</v>
      </c>
      <c r="C84" s="6" t="s">
        <v>127</v>
      </c>
      <c r="E84"/>
      <c r="F84" s="18"/>
      <c r="G84" s="18"/>
      <c r="H84"/>
      <c r="I84"/>
    </row>
    <row r="85" spans="1:9" ht="16.5">
      <c r="A85" s="2" t="s">
        <v>153</v>
      </c>
      <c r="B85" s="5" t="s">
        <v>118</v>
      </c>
      <c r="C85" s="19" t="s">
        <v>128</v>
      </c>
      <c r="E85"/>
      <c r="F85" s="18"/>
      <c r="G85" s="18"/>
      <c r="H85"/>
      <c r="I85"/>
    </row>
    <row r="86" spans="1:9" ht="16.5">
      <c r="A86" s="2" t="s">
        <v>153</v>
      </c>
      <c r="B86" s="5" t="s">
        <v>118</v>
      </c>
      <c r="C86" s="6" t="s">
        <v>129</v>
      </c>
      <c r="E86"/>
      <c r="F86" s="18"/>
      <c r="G86" s="18"/>
      <c r="H86"/>
      <c r="I86"/>
    </row>
    <row r="87" spans="1:9" ht="16.5">
      <c r="A87" s="2" t="s">
        <v>153</v>
      </c>
      <c r="B87" s="5" t="s">
        <v>118</v>
      </c>
      <c r="C87" s="19" t="s">
        <v>130</v>
      </c>
      <c r="E87"/>
      <c r="F87" s="18"/>
      <c r="G87" s="18"/>
      <c r="H87"/>
      <c r="I87"/>
    </row>
    <row r="88" spans="1:9" ht="16.5">
      <c r="A88" s="2" t="s">
        <v>153</v>
      </c>
      <c r="B88" s="5" t="s">
        <v>118</v>
      </c>
      <c r="C88" s="19" t="s">
        <v>131</v>
      </c>
      <c r="E88"/>
      <c r="F88" s="18"/>
      <c r="G88" s="18"/>
      <c r="H88"/>
      <c r="I88"/>
    </row>
    <row r="89" spans="1:9" ht="16.5">
      <c r="A89" s="2" t="s">
        <v>153</v>
      </c>
      <c r="B89" s="5" t="s">
        <v>118</v>
      </c>
      <c r="C89" s="19" t="s">
        <v>132</v>
      </c>
      <c r="E89"/>
      <c r="F89" s="18"/>
      <c r="G89" s="18"/>
      <c r="H89"/>
      <c r="I89"/>
    </row>
    <row r="90" spans="1:9" ht="16.5">
      <c r="A90" s="2" t="s">
        <v>153</v>
      </c>
      <c r="B90" s="5" t="s">
        <v>118</v>
      </c>
      <c r="C90" s="19" t="s">
        <v>133</v>
      </c>
      <c r="E90"/>
      <c r="F90" s="18"/>
      <c r="G90" s="18"/>
      <c r="H90"/>
      <c r="I90"/>
    </row>
    <row r="91" spans="1:9" ht="16.5">
      <c r="A91" s="2" t="s">
        <v>153</v>
      </c>
      <c r="B91" s="5" t="s">
        <v>118</v>
      </c>
      <c r="C91" s="19" t="s">
        <v>134</v>
      </c>
      <c r="E91"/>
      <c r="F91" s="18"/>
      <c r="G91" s="18"/>
      <c r="H91"/>
      <c r="I91"/>
    </row>
    <row r="92" spans="1:9" ht="16.5">
      <c r="A92" s="2" t="s">
        <v>153</v>
      </c>
      <c r="B92" s="5" t="s">
        <v>118</v>
      </c>
      <c r="C92" s="6" t="s">
        <v>135</v>
      </c>
      <c r="E92"/>
      <c r="F92" s="18"/>
      <c r="G92" s="18"/>
      <c r="H92"/>
      <c r="I92"/>
    </row>
    <row r="93" spans="1:9" ht="16.5">
      <c r="A93" s="2" t="s">
        <v>153</v>
      </c>
      <c r="B93" s="5" t="s">
        <v>118</v>
      </c>
      <c r="C93" s="14" t="s">
        <v>117</v>
      </c>
      <c r="E93"/>
      <c r="F93" s="18"/>
      <c r="G93" s="18"/>
      <c r="H93"/>
      <c r="I93"/>
    </row>
    <row r="94" spans="1:9" ht="16.5">
      <c r="A94" s="2" t="s">
        <v>153</v>
      </c>
      <c r="B94" s="20" t="s">
        <v>23</v>
      </c>
      <c r="C94" s="19" t="s">
        <v>158</v>
      </c>
      <c r="E94"/>
      <c r="F94" s="18"/>
      <c r="G94" s="18"/>
      <c r="H94"/>
      <c r="I94"/>
    </row>
    <row r="95" spans="1:9" ht="16.5">
      <c r="A95" s="2" t="s">
        <v>153</v>
      </c>
      <c r="B95" s="20" t="s">
        <v>23</v>
      </c>
      <c r="C95" s="6" t="s">
        <v>137</v>
      </c>
      <c r="E95"/>
      <c r="F95" s="18"/>
      <c r="G95" s="18"/>
      <c r="H95"/>
      <c r="I95"/>
    </row>
    <row r="96" spans="1:9" ht="16.5">
      <c r="A96" s="2" t="s">
        <v>153</v>
      </c>
      <c r="B96" s="20" t="s">
        <v>23</v>
      </c>
      <c r="C96" s="6" t="s">
        <v>138</v>
      </c>
      <c r="E96"/>
      <c r="F96" s="18"/>
      <c r="G96" s="18"/>
      <c r="H96"/>
      <c r="I96"/>
    </row>
    <row r="97" spans="1:9" ht="16.5">
      <c r="A97" s="2" t="s">
        <v>153</v>
      </c>
      <c r="B97" s="20" t="s">
        <v>23</v>
      </c>
      <c r="C97" s="6" t="s">
        <v>139</v>
      </c>
      <c r="E97"/>
      <c r="F97" s="18"/>
      <c r="G97" s="18"/>
      <c r="H97"/>
      <c r="I97"/>
    </row>
    <row r="98" spans="1:9" ht="16.5">
      <c r="A98" s="2" t="s">
        <v>153</v>
      </c>
      <c r="B98" s="20" t="s">
        <v>23</v>
      </c>
      <c r="C98" s="6" t="s">
        <v>140</v>
      </c>
      <c r="E98"/>
      <c r="F98" s="18"/>
      <c r="G98" s="18"/>
      <c r="H98"/>
      <c r="I98"/>
    </row>
    <row r="99" spans="1:9" ht="16.5">
      <c r="A99" s="2" t="s">
        <v>153</v>
      </c>
      <c r="B99" s="20" t="s">
        <v>23</v>
      </c>
      <c r="C99" s="6" t="s">
        <v>141</v>
      </c>
      <c r="E99"/>
      <c r="F99" s="18"/>
      <c r="G99" s="18"/>
      <c r="H99"/>
      <c r="I99"/>
    </row>
    <row r="100" spans="1:9" ht="16.5">
      <c r="A100" s="2" t="s">
        <v>153</v>
      </c>
      <c r="B100" s="20" t="s">
        <v>23</v>
      </c>
      <c r="C100" s="6" t="s">
        <v>142</v>
      </c>
      <c r="E100"/>
      <c r="F100" s="18"/>
      <c r="G100" s="18"/>
      <c r="H100"/>
      <c r="I100"/>
    </row>
    <row r="101" spans="1:9" ht="16.5">
      <c r="A101" s="2" t="s">
        <v>153</v>
      </c>
      <c r="B101" s="20" t="s">
        <v>23</v>
      </c>
      <c r="C101" s="21" t="s">
        <v>159</v>
      </c>
      <c r="E101"/>
      <c r="F101" s="18"/>
      <c r="G101" s="18"/>
      <c r="H101"/>
      <c r="I101"/>
    </row>
    <row r="102" spans="1:9" ht="16.5">
      <c r="A102" s="2" t="s">
        <v>153</v>
      </c>
      <c r="B102" s="20" t="s">
        <v>23</v>
      </c>
      <c r="C102" s="6" t="s">
        <v>160</v>
      </c>
      <c r="E102"/>
      <c r="F102" s="18"/>
      <c r="G102" s="18"/>
      <c r="H102"/>
      <c r="I102"/>
    </row>
    <row r="103" spans="1:9" ht="16.5">
      <c r="A103" s="2" t="s">
        <v>153</v>
      </c>
      <c r="B103" s="20" t="s">
        <v>23</v>
      </c>
      <c r="C103" s="19" t="s">
        <v>145</v>
      </c>
      <c r="E103"/>
      <c r="F103" s="18"/>
      <c r="G103" s="18"/>
      <c r="H103"/>
      <c r="I103"/>
    </row>
    <row r="104" spans="1:9" ht="16.5">
      <c r="A104" s="2" t="s">
        <v>153</v>
      </c>
      <c r="B104" s="20" t="s">
        <v>23</v>
      </c>
      <c r="C104" s="19" t="s">
        <v>146</v>
      </c>
      <c r="E104"/>
      <c r="F104" s="18"/>
      <c r="G104" s="18"/>
      <c r="H104"/>
      <c r="I104"/>
    </row>
    <row r="105" spans="1:9" ht="16.5">
      <c r="A105" s="2" t="s">
        <v>153</v>
      </c>
      <c r="B105" s="20" t="s">
        <v>23</v>
      </c>
      <c r="C105" s="6" t="s">
        <v>161</v>
      </c>
      <c r="E105"/>
      <c r="F105" s="18"/>
      <c r="G105" s="18"/>
      <c r="H105"/>
      <c r="I105"/>
    </row>
    <row r="106" spans="1:9" ht="16.5">
      <c r="A106" s="2" t="s">
        <v>153</v>
      </c>
      <c r="B106" s="20" t="s">
        <v>23</v>
      </c>
      <c r="C106" s="19" t="s">
        <v>147</v>
      </c>
      <c r="E106"/>
      <c r="F106" s="18"/>
      <c r="G106" s="18"/>
      <c r="H106"/>
      <c r="I106"/>
    </row>
    <row r="107" spans="1:9" ht="16.5">
      <c r="A107" s="2" t="s">
        <v>153</v>
      </c>
      <c r="B107" s="20" t="s">
        <v>23</v>
      </c>
      <c r="C107" s="6" t="s">
        <v>162</v>
      </c>
      <c r="E107"/>
      <c r="F107" s="18"/>
      <c r="G107" s="18"/>
      <c r="H107"/>
      <c r="I107"/>
    </row>
    <row r="108" spans="1:9" ht="16.5">
      <c r="A108" s="2" t="s">
        <v>153</v>
      </c>
      <c r="B108" s="20" t="s">
        <v>23</v>
      </c>
      <c r="C108" s="19" t="s">
        <v>148</v>
      </c>
      <c r="E108"/>
      <c r="F108" s="18"/>
      <c r="G108" s="18"/>
      <c r="H108"/>
      <c r="I108"/>
    </row>
    <row r="109" spans="1:9" ht="16.5">
      <c r="A109" s="2" t="s">
        <v>153</v>
      </c>
      <c r="B109" s="20" t="s">
        <v>23</v>
      </c>
      <c r="C109" s="19" t="s">
        <v>149</v>
      </c>
      <c r="E109"/>
      <c r="F109" s="18"/>
      <c r="G109" s="18"/>
      <c r="H109"/>
      <c r="I109"/>
    </row>
    <row r="110" spans="1:9" ht="16.5">
      <c r="A110" s="2" t="s">
        <v>153</v>
      </c>
      <c r="B110" s="20" t="s">
        <v>23</v>
      </c>
      <c r="C110" s="19" t="s">
        <v>25</v>
      </c>
      <c r="E110"/>
      <c r="F110" s="18"/>
      <c r="G110" s="18"/>
      <c r="H110"/>
      <c r="I110"/>
    </row>
    <row r="111" spans="1:9" ht="16.5">
      <c r="A111" s="2" t="s">
        <v>153</v>
      </c>
      <c r="B111" s="20" t="s">
        <v>23</v>
      </c>
      <c r="C111" s="19" t="s">
        <v>150</v>
      </c>
      <c r="E111"/>
      <c r="F111" s="18"/>
      <c r="G111" s="18"/>
      <c r="H111"/>
      <c r="I111"/>
    </row>
    <row r="112" spans="1:9" ht="16.5">
      <c r="A112" s="2" t="s">
        <v>153</v>
      </c>
      <c r="B112" s="20" t="s">
        <v>23</v>
      </c>
      <c r="C112" s="19" t="s">
        <v>151</v>
      </c>
      <c r="E112"/>
      <c r="F112" s="18"/>
      <c r="G112" s="18"/>
      <c r="H112"/>
      <c r="I112"/>
    </row>
    <row r="113" spans="1:9" ht="16.5">
      <c r="A113" s="2" t="s">
        <v>153</v>
      </c>
      <c r="B113" s="20" t="s">
        <v>23</v>
      </c>
      <c r="C113" s="19" t="s">
        <v>152</v>
      </c>
      <c r="E113"/>
      <c r="F113" s="18"/>
      <c r="G113" s="18"/>
      <c r="H113"/>
      <c r="I113"/>
    </row>
    <row r="114" spans="1:9" ht="16.5">
      <c r="A114" s="2" t="s">
        <v>153</v>
      </c>
      <c r="B114" s="20" t="s">
        <v>23</v>
      </c>
      <c r="C114" s="19" t="s">
        <v>163</v>
      </c>
      <c r="E114"/>
      <c r="F114" s="18"/>
      <c r="G114" s="18"/>
      <c r="H114"/>
      <c r="I114"/>
    </row>
    <row r="115" spans="1:9" ht="16.5">
      <c r="A115" s="2" t="s">
        <v>153</v>
      </c>
      <c r="B115" s="20" t="s">
        <v>23</v>
      </c>
      <c r="C115" s="19" t="s">
        <v>164</v>
      </c>
      <c r="E115"/>
      <c r="F115" s="18"/>
      <c r="G115" s="18"/>
      <c r="H115"/>
      <c r="I115"/>
    </row>
    <row r="116" spans="1:9" ht="16.5">
      <c r="A116" s="2" t="s">
        <v>153</v>
      </c>
      <c r="B116" s="20" t="s">
        <v>23</v>
      </c>
      <c r="C116" s="19" t="s">
        <v>165</v>
      </c>
      <c r="E116"/>
      <c r="F116" s="18"/>
      <c r="G116" s="18"/>
      <c r="H116"/>
      <c r="I116"/>
    </row>
    <row r="117" spans="1:9" ht="16.5">
      <c r="A117" s="2" t="s">
        <v>153</v>
      </c>
      <c r="B117" s="20" t="s">
        <v>23</v>
      </c>
      <c r="C117" s="19" t="s">
        <v>166</v>
      </c>
      <c r="E117"/>
      <c r="F117" s="18"/>
      <c r="G117" s="18"/>
      <c r="H117"/>
      <c r="I117"/>
    </row>
    <row r="118" spans="1:9">
      <c r="E118"/>
      <c r="F118"/>
      <c r="G118"/>
      <c r="H118"/>
      <c r="I118"/>
    </row>
    <row r="119" spans="1:9">
      <c r="E119"/>
      <c r="F119"/>
      <c r="G119"/>
      <c r="H119"/>
      <c r="I119"/>
    </row>
    <row r="120" spans="1:9">
      <c r="E120"/>
      <c r="F120"/>
      <c r="G120"/>
      <c r="H120"/>
      <c r="I120"/>
    </row>
    <row r="121" spans="1:9">
      <c r="E121"/>
      <c r="F121"/>
      <c r="G121"/>
      <c r="H121"/>
      <c r="I121"/>
    </row>
    <row r="122" spans="1:9">
      <c r="E122"/>
      <c r="F122"/>
      <c r="G122"/>
      <c r="H122"/>
      <c r="I122"/>
    </row>
    <row r="123" spans="1:9">
      <c r="E123"/>
      <c r="F123"/>
      <c r="G123"/>
      <c r="H123"/>
      <c r="I123"/>
    </row>
    <row r="124" spans="1:9">
      <c r="E124"/>
      <c r="F124"/>
      <c r="G124"/>
      <c r="H124"/>
      <c r="I124"/>
    </row>
    <row r="125" spans="1:9">
      <c r="E125"/>
      <c r="F125"/>
      <c r="G125"/>
      <c r="H125"/>
      <c r="I125"/>
    </row>
    <row r="126" spans="1:9">
      <c r="E126"/>
      <c r="F126"/>
      <c r="G126"/>
      <c r="H126"/>
      <c r="I126"/>
    </row>
    <row r="127" spans="1:9">
      <c r="E127"/>
      <c r="F127"/>
      <c r="G127"/>
      <c r="H127"/>
      <c r="I127"/>
    </row>
    <row r="128" spans="1:9">
      <c r="E128"/>
      <c r="F128"/>
      <c r="G128"/>
      <c r="H128"/>
      <c r="I128"/>
    </row>
    <row r="129" spans="5:9">
      <c r="E129"/>
      <c r="F129"/>
      <c r="G129"/>
      <c r="H129"/>
      <c r="I129"/>
    </row>
    <row r="130" spans="5:9">
      <c r="E130"/>
      <c r="F130"/>
      <c r="G130"/>
      <c r="H130"/>
      <c r="I130"/>
    </row>
    <row r="131" spans="5:9">
      <c r="E131"/>
      <c r="F131"/>
      <c r="G131"/>
      <c r="H131"/>
      <c r="I131"/>
    </row>
    <row r="132" spans="5:9">
      <c r="E132"/>
      <c r="F132"/>
      <c r="G132"/>
      <c r="H132"/>
      <c r="I132"/>
    </row>
    <row r="133" spans="5:9">
      <c r="E133"/>
      <c r="F133"/>
      <c r="G133"/>
      <c r="H133"/>
      <c r="I133"/>
    </row>
    <row r="134" spans="5:9">
      <c r="E134"/>
      <c r="F134"/>
      <c r="G134"/>
      <c r="H134"/>
      <c r="I134"/>
    </row>
  </sheetData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2018-05-11T08:46:00Z</dcterms:created>
  <dcterms:modified xsi:type="dcterms:W3CDTF">2018-06-13T06:09:40Z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1033-10.2.0.6020</vt:lpwstr>
  </property>
</Properties>
</file>