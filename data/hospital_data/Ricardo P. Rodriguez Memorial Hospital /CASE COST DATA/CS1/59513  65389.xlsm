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345" windowHeight="4575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Supplies_Medical'!$C$15:$C$75</definedName>
    <definedName name="Drugs">'1.2 Drugs&amp;Med'!$C$11:$C$23</definedName>
    <definedName name="_xlnm.Print_Area" localSheetId="0">'1.1 Case data_general'!$B$1:$F$77</definedName>
    <definedName name="_xlnm.Print_Area" localSheetId="1">'1.2 Drugs&amp;Med'!$B$2:$J$31</definedName>
  </definedNames>
  <calcPr calcId="162913"/>
</workbook>
</file>

<file path=xl/calcChain.xml><?xml version="1.0" encoding="utf-8"?>
<calcChain xmlns="http://schemas.openxmlformats.org/spreadsheetml/2006/main">
  <c r="G35" i="9" l="1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G47" i="9" l="1"/>
  <c r="G46" i="9"/>
  <c r="G45" i="9"/>
  <c r="G44" i="9"/>
  <c r="G43" i="9"/>
  <c r="G42" i="9"/>
  <c r="G41" i="9"/>
  <c r="G40" i="9"/>
  <c r="G39" i="9"/>
  <c r="G38" i="9"/>
  <c r="G37" i="9"/>
  <c r="G36" i="9"/>
  <c r="G34" i="9"/>
  <c r="G33" i="9"/>
  <c r="G32" i="9"/>
  <c r="G31" i="9"/>
  <c r="G48" i="9" l="1"/>
  <c r="G49" i="9"/>
  <c r="G50" i="9"/>
  <c r="G51" i="9"/>
  <c r="G52" i="9"/>
  <c r="G53" i="9"/>
  <c r="G28" i="9"/>
  <c r="J28" i="2" l="1"/>
  <c r="G30" i="9" l="1"/>
  <c r="G29" i="9"/>
  <c r="G54" i="9" l="1"/>
  <c r="G57" i="9" l="1"/>
  <c r="G56" i="9"/>
  <c r="G55" i="9"/>
  <c r="G58" i="9" l="1"/>
  <c r="G59" i="9" l="1"/>
  <c r="G60" i="9"/>
  <c r="G61" i="9"/>
  <c r="G62" i="9"/>
  <c r="G63" i="9"/>
  <c r="J27" i="2"/>
  <c r="J26" i="2"/>
  <c r="G27" i="9" l="1"/>
  <c r="G64" i="9" l="1"/>
  <c r="G16" i="9"/>
  <c r="G17" i="9"/>
  <c r="G18" i="9"/>
  <c r="G19" i="9"/>
  <c r="G20" i="9"/>
  <c r="G21" i="9"/>
  <c r="G22" i="9"/>
  <c r="G23" i="9"/>
  <c r="G24" i="9"/>
  <c r="G25" i="9"/>
  <c r="J12" i="2"/>
  <c r="E4" i="11" a="1"/>
  <c r="E4" i="11" s="1"/>
  <c r="E3" i="11" a="1"/>
  <c r="E3" i="11" s="1"/>
  <c r="G1" i="11"/>
  <c r="F1" i="11"/>
  <c r="F3" i="11" s="1" a="1"/>
  <c r="F3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J11" i="2"/>
  <c r="D2" i="2"/>
  <c r="F77" i="1"/>
  <c r="E77" i="1"/>
  <c r="D77" i="1"/>
  <c r="J30" i="2" l="1"/>
  <c r="G3" i="11" a="1"/>
  <c r="G3" i="11" s="1"/>
  <c r="G4" i="11" s="1" a="1"/>
  <c r="G4" i="11" s="1"/>
  <c r="G5" i="11" s="1" a="1"/>
  <c r="G5" i="11" s="1"/>
  <c r="P30" i="10"/>
  <c r="F4" i="11" a="1"/>
  <c r="F4" i="11" s="1"/>
  <c r="F5" i="11" s="1" a="1"/>
  <c r="F5" i="11" s="1"/>
  <c r="E7" i="11" l="1"/>
  <c r="G6" i="11" a="1"/>
  <c r="G6" i="11" s="1"/>
  <c r="G7" i="11" s="1" a="1"/>
  <c r="G7" i="11" s="1"/>
  <c r="G8" i="11" s="1" a="1"/>
  <c r="G8" i="11" s="1"/>
  <c r="F6" i="11" a="1"/>
  <c r="F6" i="11" s="1"/>
  <c r="F7" i="11" s="1" a="1"/>
  <c r="F7" i="11" s="1"/>
  <c r="F8" i="11" l="1" a="1"/>
  <c r="F8" i="11" s="1"/>
  <c r="F9" i="11" s="1" a="1"/>
  <c r="F9" i="11" s="1"/>
  <c r="G9" i="11" a="1"/>
  <c r="G9" i="11" s="1"/>
  <c r="G10" i="11" s="1" a="1"/>
  <c r="G10" i="11" s="1"/>
  <c r="G11" i="11" l="1" a="1"/>
  <c r="G11" i="11" s="1"/>
  <c r="F10" i="11" a="1"/>
  <c r="F10" i="11" s="1"/>
  <c r="G12" i="11" l="1" a="1"/>
  <c r="G12" i="11" s="1"/>
  <c r="F11" i="11" a="1"/>
  <c r="F11" i="11" s="1"/>
  <c r="F12" i="11" s="1" a="1"/>
  <c r="F12" i="11" s="1"/>
  <c r="F13" i="11" s="1" a="1"/>
  <c r="F13" i="11" s="1"/>
  <c r="F14" i="11" s="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F19" i="11" s="1" a="1"/>
  <c r="F19" i="11" s="1"/>
  <c r="F20" i="11" s="1" a="1"/>
  <c r="F20" i="11" s="1"/>
  <c r="F21" i="11" s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  <c r="G13" i="11" l="1" a="1"/>
  <c r="G13" i="11" s="1"/>
  <c r="G14" i="11" l="1" a="1"/>
  <c r="G14" i="11" s="1"/>
  <c r="G15" i="11" s="1" a="1"/>
  <c r="G15" i="11" s="1"/>
  <c r="G16" i="11" s="1" a="1"/>
  <c r="G16" i="11" s="1"/>
  <c r="G17" i="11" s="1" a="1"/>
  <c r="G17" i="11" s="1"/>
  <c r="G18" i="11" s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</calcChain>
</file>

<file path=xl/sharedStrings.xml><?xml version="1.0" encoding="utf-8"?>
<sst xmlns="http://schemas.openxmlformats.org/spreadsheetml/2006/main" count="573" uniqueCount="247">
  <si>
    <t>General information on the Case</t>
  </si>
  <si>
    <t># Diagnoses</t>
  </si>
  <si>
    <t># Surgical procedures</t>
  </si>
  <si>
    <t># Lab tests</t>
  </si>
  <si>
    <t># Diagnostic tests</t>
  </si>
  <si>
    <t># Physical therapy sessions</t>
  </si>
  <si>
    <t># Other</t>
  </si>
  <si>
    <t># Paid items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</si>
  <si>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</si>
  <si>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</si>
  <si>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</si>
  <si>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</si>
  <si>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Diagnoses and Services</t>
  </si>
  <si>
    <t>Name  (when applicable)</t>
  </si>
  <si>
    <t>Type (when applicable)</t>
  </si>
  <si>
    <t>Number (when applicable)</t>
  </si>
  <si>
    <t>Hours (when applicable)</t>
  </si>
  <si>
    <t>Discharge Diagnoses in ICD 10:</t>
  </si>
  <si>
    <t>Surgical procedures (name, type, number, hours):</t>
  </si>
  <si>
    <t>Hospitalisation:</t>
  </si>
  <si>
    <t>Level of care:</t>
  </si>
  <si>
    <t>Level I</t>
  </si>
  <si>
    <t>Classification of Departments:</t>
  </si>
  <si>
    <t>Clinical/Medical services</t>
  </si>
  <si>
    <r>
      <rPr>
        <b/>
        <sz val="11"/>
        <color rgb="FF000000"/>
        <rFont val="Arial Narrow"/>
        <family val="2"/>
      </rP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</si>
  <si>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Pediatric Ward</t>
  </si>
  <si>
    <t>Length of stays:</t>
  </si>
  <si>
    <t>Lab tests (names and numbers):</t>
  </si>
  <si>
    <t>Diagnostic imaging examinations (names and numbers):</t>
  </si>
  <si>
    <t>Blood bank:</t>
  </si>
  <si>
    <t>Number of units used:</t>
  </si>
  <si>
    <t>Physical therapy / rehabilitation procedures (names and numbers of sessions):</t>
  </si>
  <si>
    <t>Other procedures and services (names and numbers):</t>
  </si>
  <si>
    <t>Paid / Reimbursed Items</t>
  </si>
  <si>
    <t>Description (diagnostics, drugs, supplies, services, professional fees)</t>
  </si>
  <si>
    <t>Paid / Reimbursed by Philhealth</t>
  </si>
  <si>
    <t>Paid by others (LGU…)</t>
  </si>
  <si>
    <t>Paid by the Patient</t>
  </si>
  <si>
    <t>Room and board</t>
  </si>
  <si>
    <t>PROFESSIONAL FEE</t>
  </si>
  <si>
    <t>BIOHAZARD/GARBAGE FEE</t>
  </si>
  <si>
    <t>Total</t>
  </si>
  <si>
    <t>Drugs and Medicines</t>
  </si>
  <si>
    <t># Drugs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</si>
  <si>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</si>
  <si>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</si>
  <si>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</si>
  <si>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</si>
  <si>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#</t>
  </si>
  <si>
    <t>Generic name of medicines and drugs (Brand name)</t>
  </si>
  <si>
    <t>Dosage form / route of administration</t>
  </si>
  <si>
    <t>Dosage strength and measures</t>
  </si>
  <si>
    <t>Number of times per day</t>
  </si>
  <si>
    <t>Number of days / cycles</t>
  </si>
  <si>
    <t>Quantity taken / Total units</t>
  </si>
  <si>
    <t>Unit Cost</t>
  </si>
  <si>
    <t>Total cost per course of treatment</t>
  </si>
  <si>
    <t>Medical Supplies and Consumables</t>
  </si>
  <si>
    <t># AtWards</t>
  </si>
  <si>
    <t># AtOR</t>
  </si>
  <si>
    <t># AtICU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</si>
  <si>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</si>
  <si>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</si>
  <si>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</si>
  <si>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</si>
  <si>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</si>
  <si>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</si>
  <si>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>Supply and consumable name / Item Description</t>
  </si>
  <si>
    <t>Packaging / Unit of Measure</t>
  </si>
  <si>
    <t xml:space="preserve">Quantity </t>
  </si>
  <si>
    <t>Ward / Dialysis</t>
  </si>
  <si>
    <t>Operating room and Recovery room / Delivery Room</t>
  </si>
  <si>
    <t>ICU</t>
  </si>
  <si>
    <t>Service delivery staff time</t>
  </si>
  <si>
    <t># Time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</si>
  <si>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</si>
  <si>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</si>
  <si>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</si>
  <si>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</si>
  <si>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</si>
  <si>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</si>
  <si>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</si>
  <si>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</si>
  <si>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</si>
  <si>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</si>
  <si>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</si>
  <si>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</si>
  <si>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</si>
  <si>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>Midwife</t>
  </si>
  <si>
    <t>Nut. Dietitian</t>
  </si>
  <si>
    <t xml:space="preserve">Physical Therapist     </t>
  </si>
  <si>
    <t>Pulmonary / Respiratory Therapist</t>
  </si>
  <si>
    <t>(open position 2)</t>
  </si>
  <si>
    <t>Visits in the ward</t>
  </si>
  <si>
    <t>Procedure</t>
  </si>
  <si>
    <t>Total time</t>
  </si>
  <si>
    <t>Level 1</t>
  </si>
  <si>
    <t>Level 2</t>
  </si>
  <si>
    <t>Level 3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</si>
  <si>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</si>
  <si>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</si>
  <si>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</si>
  <si>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</si>
  <si>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</si>
  <si>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</si>
  <si>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</si>
  <si>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</si>
  <si>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</si>
  <si>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</si>
  <si>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</si>
  <si>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</si>
  <si>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</si>
  <si>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</si>
  <si>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</si>
  <si>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</si>
  <si>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</si>
  <si>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</si>
  <si>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</si>
  <si>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</si>
  <si>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</si>
  <si>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</si>
  <si>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</si>
  <si>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</si>
  <si>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</si>
  <si>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</si>
  <si>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</si>
  <si>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</si>
  <si>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</si>
  <si>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</si>
  <si>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</si>
  <si>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</si>
  <si>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</si>
  <si>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</si>
  <si>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</si>
  <si>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</si>
  <si>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</si>
  <si>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</si>
  <si>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</si>
  <si>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</si>
  <si>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</si>
  <si>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</si>
  <si>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</si>
  <si>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</si>
  <si>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</si>
  <si>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</si>
  <si>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</si>
  <si>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</si>
  <si>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</si>
  <si>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</si>
  <si>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</si>
  <si>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Surgical Ward</t>
  </si>
  <si>
    <t>Ob/Gyne Ward</t>
  </si>
  <si>
    <t>Private Ward</t>
  </si>
  <si>
    <t>Level II and III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</si>
  <si>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</si>
  <si>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</si>
  <si>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</si>
  <si>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</si>
  <si>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</si>
  <si>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</si>
  <si>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</si>
  <si>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</si>
  <si>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</si>
  <si>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</si>
  <si>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</si>
  <si>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</si>
  <si>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</si>
  <si>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500MG</t>
  </si>
  <si>
    <t>PC</t>
  </si>
  <si>
    <t>DISPOSABLE MASK</t>
  </si>
  <si>
    <t>3CC SYRINGE</t>
  </si>
  <si>
    <t>5CC SYRINGE</t>
  </si>
  <si>
    <t>MEDICAL TECHNOLOGIST</t>
  </si>
  <si>
    <t>POLYAMPULE/INJECTION</t>
  </si>
  <si>
    <t>XRAY</t>
  </si>
  <si>
    <t>OXYGEN</t>
  </si>
  <si>
    <t>CESARIAN DELIVERY</t>
  </si>
  <si>
    <t>HbsAg (SCREENING)</t>
  </si>
  <si>
    <t>VDRL (SYPHYLLIS)</t>
  </si>
  <si>
    <t>CBC, BLOOD TYPYNG</t>
  </si>
  <si>
    <t>CLOTTING TIME - BLEEDING TIME</t>
  </si>
  <si>
    <t>ECG</t>
  </si>
  <si>
    <t>D5LRS</t>
  </si>
  <si>
    <t>BOTTLE/IV</t>
  </si>
  <si>
    <t>1000ML</t>
  </si>
  <si>
    <t>AMPULE/INJECTION</t>
  </si>
  <si>
    <t>25MG/ML</t>
  </si>
  <si>
    <t>BUPIVACAINE</t>
  </si>
  <si>
    <t>5MG/ML</t>
  </si>
  <si>
    <t>AMPULE/IV</t>
  </si>
  <si>
    <t>OXYTOCIN</t>
  </si>
  <si>
    <t>10IU/ML</t>
  </si>
  <si>
    <t>NALBUPHINE</t>
  </si>
  <si>
    <t>10MG/ML</t>
  </si>
  <si>
    <t>DIAZEPAM</t>
  </si>
  <si>
    <t>CEFALEXIN</t>
  </si>
  <si>
    <t>CAPSULE/ORAL</t>
  </si>
  <si>
    <t>MEFENAMIC ACID</t>
  </si>
  <si>
    <t>BISACODYL</t>
  </si>
  <si>
    <t>SUPPOSITORY/ANAL</t>
  </si>
  <si>
    <t>10MG</t>
  </si>
  <si>
    <t>ADHESIVE PLASTER</t>
  </si>
  <si>
    <t>DISPOSABLE CAP</t>
  </si>
  <si>
    <t>FOLEY CATH F-18</t>
  </si>
  <si>
    <t>CUTASEPT F</t>
  </si>
  <si>
    <t>OS</t>
  </si>
  <si>
    <t>ABDOMENAL PACK ADULTS</t>
  </si>
  <si>
    <t>SUCTION SET YANKUER F</t>
  </si>
  <si>
    <t>FEATHER SURGERY BLADE</t>
  </si>
  <si>
    <t>1CC SYRINGE</t>
  </si>
  <si>
    <t>URINE BAG</t>
  </si>
  <si>
    <t>SPINAL NEEDLE G - 23</t>
  </si>
  <si>
    <t>STERILE GLOVES 7.0</t>
  </si>
  <si>
    <t>BIRTH CERTIFICATE</t>
  </si>
  <si>
    <t>DRUGS AND MEDS ( C )</t>
  </si>
  <si>
    <t>MEDICAL SUPPLIES ( C )</t>
  </si>
  <si>
    <t>GLOVES UNSTERILE MEDIUM</t>
  </si>
  <si>
    <t>METHYLERGOMETRINE</t>
  </si>
  <si>
    <t>AMPULE.IV</t>
  </si>
  <si>
    <t>200MCG/ML</t>
  </si>
  <si>
    <t>DICLOFENAC</t>
  </si>
  <si>
    <t>SODIUM CHLORIDE</t>
  </si>
  <si>
    <t>ONDASETRON</t>
  </si>
  <si>
    <t>4MG/2ML</t>
  </si>
  <si>
    <t>BOTTLE/100/5ML</t>
  </si>
  <si>
    <t>STERILE GLOVES 6.5</t>
  </si>
  <si>
    <t>URINALYSIS</t>
  </si>
  <si>
    <t>STERILE GLOBVES 7.5</t>
  </si>
  <si>
    <t>CBC, BLOOD TYPING</t>
  </si>
  <si>
    <t>AMPICILLIN</t>
  </si>
  <si>
    <t>POWDER/INJECTION</t>
  </si>
  <si>
    <t>IV SET ADULT</t>
  </si>
  <si>
    <t>IV CATHETER G 18</t>
  </si>
  <si>
    <t>DIGITAL THERMOMETER</t>
  </si>
  <si>
    <t>VICRYL I</t>
  </si>
  <si>
    <t>VICRYL 3-0</t>
  </si>
  <si>
    <t>CHROMIC I</t>
  </si>
  <si>
    <t>CHROMIC 2.0 DOUBLE ARM CUTTING</t>
  </si>
  <si>
    <t>RANDOM BLOOD SUGAR</t>
  </si>
  <si>
    <t>EPHEDRINE SULFATE</t>
  </si>
  <si>
    <t>50MG/ML</t>
  </si>
  <si>
    <t>STERILE WATER</t>
  </si>
  <si>
    <t>10ML</t>
  </si>
  <si>
    <t>IV SPLINT ADULT</t>
  </si>
  <si>
    <t>DISPOSABLE RAZOR BLADE</t>
  </si>
  <si>
    <t>INSULIN SYRINGE</t>
  </si>
  <si>
    <t>ABDOMENAL BINDER XL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</si>
</sst>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2">
    <font>
      <sz val="11"/>
      <color rgb="FF000000"/>
      <name val="Calibri"/>
      <charset val="134"/>
    </font>
    <font>
      <sz val="11"/>
      <color rgb="FF000000"/>
      <name val="Calibri"/>
      <family val="2"/>
    </font>
    <font>
      <sz val="11"/>
      <color rgb="FFFA7D00"/>
      <name val="Calibri"/>
      <family val="2"/>
      <scheme val="minor"/>
    </font>
    <font>
      <sz val="11"/>
      <color rgb="FF00000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sz val="11"/>
      <name val="Arial Narrow"/>
      <family val="2"/>
    </font>
    <font>
      <sz val="11"/>
      <color rgb="FF0070C0"/>
      <name val="Arial Narrow"/>
      <family val="2"/>
    </font>
    <font>
      <b/>
      <sz val="11"/>
      <color rgb="FF0070C0"/>
      <name val="Arial Narrow"/>
      <family val="2"/>
    </font>
    <font>
      <b/>
      <sz val="12"/>
      <color rgb="FF000000"/>
      <name val="Arial Narrow"/>
      <family val="2"/>
    </font>
    <font>
      <i/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b/>
      <u/>
      <sz val="11"/>
      <color rgb="FF000000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0070C0"/>
      <name val="Arial Narrow"/>
      <family val="2"/>
    </font>
    <font>
      <sz val="11"/>
      <color rgb="FF0070C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499984740745262"/>
        <bgColor rgb="FF4A86E8"/>
      </patternFill>
    </fill>
  </fills>
  <borders count="37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auto="1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medium">
        <color auto="1"/>
      </bottom>
      <diagonal/>
    </border>
    <border>
      <left/>
      <right style="thin">
        <color rgb="FF000000"/>
      </right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double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" fillId="0" borderId="0"/>
  </cellStyleXfs>
  <cellXfs count="155">
    <xf numFmtId="0" fontId="0" fillId="0" borderId="0" xfId="0" applyFont="1" applyAlignment="1"/>
    <xf numFmtId="0" fontId="0" fillId="0" borderId="0" xfId="0" applyFont="1" applyBorder="1" applyAlignment="1"/>
    <xf numFmtId="0" fontId="1" fillId="0" borderId="0" xfId="0" applyFont="1" applyBorder="1" applyAlignment="1"/>
    <xf numFmtId="0" fontId="2" fillId="0" borderId="1" xfId="2" applyAlignment="1"/>
    <xf numFmtId="0" fontId="2" fillId="0" borderId="1" xfId="2" applyAlignment="1">
      <alignment vertical="center"/>
    </xf>
    <xf numFmtId="0" fontId="3" fillId="0" borderId="0" xfId="3" applyFont="1" applyBorder="1" applyAlignment="1">
      <alignment vertical="center"/>
    </xf>
    <xf numFmtId="0" fontId="3" fillId="0" borderId="0" xfId="3" applyFont="1" applyBorder="1" applyAlignment="1"/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0" fontId="1" fillId="2" borderId="5" xfId="0" applyFont="1" applyFill="1" applyBorder="1" applyAlignment="1"/>
    <xf numFmtId="0" fontId="1" fillId="2" borderId="0" xfId="0" applyFont="1" applyFill="1" applyBorder="1" applyAlignment="1"/>
    <xf numFmtId="0" fontId="1" fillId="2" borderId="6" xfId="0" applyFont="1" applyFill="1" applyBorder="1" applyAlignment="1"/>
    <xf numFmtId="0" fontId="0" fillId="2" borderId="5" xfId="0" applyFont="1" applyFill="1" applyBorder="1" applyAlignment="1"/>
    <xf numFmtId="0" fontId="4" fillId="0" borderId="0" xfId="3" applyFont="1" applyBorder="1" applyAlignment="1"/>
    <xf numFmtId="0" fontId="0" fillId="2" borderId="7" xfId="0" applyFont="1" applyFill="1" applyBorder="1" applyAlignment="1"/>
    <xf numFmtId="0" fontId="1" fillId="2" borderId="8" xfId="0" applyFont="1" applyFill="1" applyBorder="1" applyAlignment="1"/>
    <xf numFmtId="0" fontId="1" fillId="2" borderId="9" xfId="0" applyFont="1" applyFill="1" applyBorder="1" applyAlignment="1"/>
    <xf numFmtId="0" fontId="1" fillId="0" borderId="0" xfId="0" applyFont="1" applyAlignment="1"/>
    <xf numFmtId="0" fontId="3" fillId="0" borderId="0" xfId="3" applyFont="1" applyBorder="1"/>
    <xf numFmtId="0" fontId="3" fillId="0" borderId="0" xfId="3" applyFont="1" applyBorder="1" applyAlignment="1">
      <alignment vertical="center" wrapText="1"/>
    </xf>
    <xf numFmtId="0" fontId="5" fillId="0" borderId="0" xfId="3" applyFont="1" applyBorder="1" applyAlignment="1"/>
    <xf numFmtId="0" fontId="3" fillId="0" borderId="0" xfId="0" applyFont="1" applyAlignment="1" applyProtection="1"/>
    <xf numFmtId="0" fontId="3" fillId="0" borderId="0" xfId="0" applyFont="1" applyProtection="1"/>
    <xf numFmtId="0" fontId="6" fillId="3" borderId="0" xfId="0" applyFont="1" applyFill="1" applyProtection="1"/>
    <xf numFmtId="0" fontId="6" fillId="0" borderId="0" xfId="0" applyFont="1" applyAlignment="1" applyProtection="1">
      <alignment horizontal="center"/>
    </xf>
    <xf numFmtId="0" fontId="3" fillId="4" borderId="10" xfId="0" applyFont="1" applyFill="1" applyBorder="1" applyAlignment="1" applyProtection="1"/>
    <xf numFmtId="0" fontId="3" fillId="4" borderId="11" xfId="0" applyFont="1" applyFill="1" applyBorder="1" applyAlignment="1" applyProtection="1"/>
    <xf numFmtId="0" fontId="3" fillId="4" borderId="11" xfId="0" applyFont="1" applyFill="1" applyBorder="1" applyProtection="1"/>
    <xf numFmtId="0" fontId="3" fillId="4" borderId="12" xfId="0" applyFont="1" applyFill="1" applyBorder="1" applyProtection="1"/>
    <xf numFmtId="0" fontId="3" fillId="4" borderId="0" xfId="0" applyFont="1" applyFill="1" applyBorder="1" applyAlignment="1" applyProtection="1"/>
    <xf numFmtId="0" fontId="3" fillId="4" borderId="0" xfId="0" applyFont="1" applyFill="1" applyBorder="1" applyAlignment="1" applyProtection="1">
      <alignment horizontal="center"/>
    </xf>
    <xf numFmtId="0" fontId="3" fillId="4" borderId="0" xfId="0" applyFont="1" applyFill="1" applyBorder="1" applyProtection="1"/>
    <xf numFmtId="0" fontId="3" fillId="4" borderId="13" xfId="0" applyFont="1" applyFill="1" applyBorder="1" applyAlignment="1" applyProtection="1"/>
    <xf numFmtId="0" fontId="3" fillId="4" borderId="14" xfId="0" applyFont="1" applyFill="1" applyBorder="1" applyAlignment="1" applyProtection="1"/>
    <xf numFmtId="0" fontId="3" fillId="4" borderId="14" xfId="0" applyFont="1" applyFill="1" applyBorder="1" applyProtection="1"/>
    <xf numFmtId="0" fontId="6" fillId="5" borderId="15" xfId="0" applyFont="1" applyFill="1" applyBorder="1" applyProtection="1"/>
    <xf numFmtId="0" fontId="6" fillId="4" borderId="15" xfId="0" applyFont="1" applyFill="1" applyBorder="1" applyAlignment="1" applyProtection="1">
      <alignment horizontal="center" vertical="center" wrapText="1"/>
    </xf>
    <xf numFmtId="0" fontId="7" fillId="6" borderId="15" xfId="0" applyFont="1" applyFill="1" applyBorder="1" applyAlignment="1" applyProtection="1">
      <alignment horizontal="center" vertical="center" wrapText="1"/>
    </xf>
    <xf numFmtId="0" fontId="3" fillId="0" borderId="15" xfId="0" applyFont="1" applyBorder="1" applyProtection="1"/>
    <xf numFmtId="0" fontId="8" fillId="0" borderId="15" xfId="0" applyFont="1" applyBorder="1" applyAlignment="1" applyProtection="1">
      <alignment wrapText="1"/>
      <protection locked="0"/>
    </xf>
    <xf numFmtId="164" fontId="8" fillId="7" borderId="18" xfId="1" applyFont="1" applyFill="1" applyBorder="1" applyProtection="1">
      <protection locked="0"/>
    </xf>
    <xf numFmtId="0" fontId="6" fillId="0" borderId="15" xfId="0" applyFont="1" applyBorder="1" applyAlignment="1" applyProtection="1">
      <alignment horizontal="center" vertical="center" wrapText="1"/>
    </xf>
    <xf numFmtId="164" fontId="3" fillId="0" borderId="15" xfId="1" applyFont="1" applyBorder="1" applyProtection="1"/>
    <xf numFmtId="0" fontId="3" fillId="4" borderId="19" xfId="0" applyFont="1" applyFill="1" applyBorder="1" applyProtection="1"/>
    <xf numFmtId="0" fontId="3" fillId="4" borderId="20" xfId="0" applyFont="1" applyFill="1" applyBorder="1" applyProtection="1"/>
    <xf numFmtId="0" fontId="3" fillId="4" borderId="21" xfId="0" applyFont="1" applyFill="1" applyBorder="1" applyProtection="1"/>
    <xf numFmtId="0" fontId="7" fillId="6" borderId="15" xfId="0" applyFont="1" applyFill="1" applyBorder="1" applyAlignment="1" applyProtection="1">
      <alignment horizontal="center" vertical="center"/>
    </xf>
    <xf numFmtId="0" fontId="9" fillId="4" borderId="15" xfId="0" applyFont="1" applyFill="1" applyBorder="1" applyAlignment="1" applyProtection="1">
      <alignment horizontal="center" vertical="center" wrapText="1"/>
      <protection locked="0"/>
    </xf>
    <xf numFmtId="164" fontId="6" fillId="0" borderId="15" xfId="1" applyFont="1" applyBorder="1" applyProtection="1"/>
    <xf numFmtId="0" fontId="3" fillId="0" borderId="0" xfId="0" applyFont="1" applyAlignment="1" applyProtection="1">
      <alignment vertical="center" wrapText="1"/>
    </xf>
    <xf numFmtId="0" fontId="0" fillId="0" borderId="0" xfId="0" applyFont="1" applyAlignment="1" applyProtection="1"/>
    <xf numFmtId="0" fontId="3" fillId="0" borderId="0" xfId="0" applyFont="1" applyAlignment="1" applyProtection="1">
      <alignment horizontal="center"/>
    </xf>
    <xf numFmtId="0" fontId="10" fillId="3" borderId="0" xfId="0" applyFont="1" applyFill="1" applyProtection="1"/>
    <xf numFmtId="0" fontId="11" fillId="0" borderId="0" xfId="0" applyFont="1" applyProtection="1"/>
    <xf numFmtId="0" fontId="6" fillId="3" borderId="15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left" vertical="center"/>
    </xf>
    <xf numFmtId="0" fontId="6" fillId="3" borderId="15" xfId="0" applyFont="1" applyFill="1" applyBorder="1" applyAlignment="1" applyProtection="1">
      <alignment horizontal="center" vertical="center" wrapText="1"/>
    </xf>
    <xf numFmtId="0" fontId="3" fillId="8" borderId="0" xfId="0" applyFont="1" applyFill="1" applyBorder="1" applyProtection="1"/>
    <xf numFmtId="0" fontId="3" fillId="0" borderId="15" xfId="0" applyFont="1" applyBorder="1" applyAlignment="1" applyProtection="1">
      <alignment horizontal="right"/>
    </xf>
    <xf numFmtId="0" fontId="8" fillId="0" borderId="15" xfId="0" applyFont="1" applyBorder="1" applyAlignment="1" applyProtection="1">
      <alignment horizontal="center" wrapText="1"/>
      <protection locked="0"/>
    </xf>
    <xf numFmtId="0" fontId="12" fillId="0" borderId="0" xfId="0" applyFont="1" applyAlignment="1" applyProtection="1">
      <alignment horizontal="center"/>
    </xf>
    <xf numFmtId="0" fontId="12" fillId="0" borderId="0" xfId="0" applyFont="1" applyProtection="1"/>
    <xf numFmtId="0" fontId="3" fillId="3" borderId="0" xfId="0" applyFont="1" applyFill="1" applyProtection="1"/>
    <xf numFmtId="0" fontId="6" fillId="0" borderId="0" xfId="0" applyFont="1" applyAlignment="1" applyProtection="1">
      <alignment horizontal="center"/>
      <protection locked="0"/>
    </xf>
    <xf numFmtId="0" fontId="13" fillId="0" borderId="0" xfId="0" applyFont="1" applyProtection="1"/>
    <xf numFmtId="0" fontId="3" fillId="4" borderId="10" xfId="0" applyFont="1" applyFill="1" applyBorder="1" applyProtection="1"/>
    <xf numFmtId="0" fontId="12" fillId="4" borderId="11" xfId="0" applyFont="1" applyFill="1" applyBorder="1" applyProtection="1"/>
    <xf numFmtId="0" fontId="12" fillId="4" borderId="0" xfId="0" applyFont="1" applyFill="1" applyBorder="1" applyProtection="1"/>
    <xf numFmtId="0" fontId="3" fillId="4" borderId="12" xfId="0" applyFont="1" applyFill="1" applyBorder="1" applyAlignment="1" applyProtection="1"/>
    <xf numFmtId="0" fontId="13" fillId="4" borderId="15" xfId="0" applyFont="1" applyFill="1" applyBorder="1" applyAlignment="1" applyProtection="1">
      <alignment horizontal="center" vertical="center"/>
    </xf>
    <xf numFmtId="0" fontId="6" fillId="4" borderId="15" xfId="0" applyFont="1" applyFill="1" applyBorder="1" applyAlignment="1" applyProtection="1">
      <alignment horizontal="left" vertical="center" wrapText="1"/>
    </xf>
    <xf numFmtId="0" fontId="12" fillId="0" borderId="15" xfId="0" applyFont="1" applyBorder="1" applyProtection="1"/>
    <xf numFmtId="0" fontId="8" fillId="7" borderId="18" xfId="0" applyFont="1" applyFill="1" applyBorder="1" applyAlignment="1" applyProtection="1">
      <alignment wrapText="1"/>
      <protection locked="0"/>
    </xf>
    <xf numFmtId="0" fontId="12" fillId="4" borderId="19" xfId="0" applyFont="1" applyFill="1" applyBorder="1" applyProtection="1"/>
    <xf numFmtId="0" fontId="12" fillId="4" borderId="20" xfId="0" applyFont="1" applyFill="1" applyBorder="1" applyProtection="1"/>
    <xf numFmtId="0" fontId="3" fillId="0" borderId="0" xfId="0" applyFont="1"/>
    <xf numFmtId="0" fontId="10" fillId="3" borderId="0" xfId="0" applyFont="1" applyFill="1"/>
    <xf numFmtId="0" fontId="3" fillId="3" borderId="0" xfId="0" applyFont="1" applyFill="1"/>
    <xf numFmtId="0" fontId="11" fillId="0" borderId="0" xfId="0" applyFont="1"/>
    <xf numFmtId="0" fontId="3" fillId="0" borderId="0" xfId="0" applyFont="1" applyAlignment="1">
      <alignment horizontal="center"/>
    </xf>
    <xf numFmtId="0" fontId="14" fillId="5" borderId="15" xfId="0" applyFont="1" applyFill="1" applyBorder="1" applyAlignment="1"/>
    <xf numFmtId="0" fontId="10" fillId="5" borderId="15" xfId="0" applyFont="1" applyFill="1" applyBorder="1" applyAlignment="1">
      <alignment horizontal="center"/>
    </xf>
    <xf numFmtId="0" fontId="3" fillId="7" borderId="31" xfId="0" applyFont="1" applyFill="1" applyBorder="1" applyAlignment="1">
      <alignment horizontal="right" vertical="center"/>
    </xf>
    <xf numFmtId="0" fontId="8" fillId="7" borderId="31" xfId="0" applyFont="1" applyFill="1" applyBorder="1" applyAlignment="1" applyProtection="1">
      <alignment wrapText="1"/>
      <protection locked="0"/>
    </xf>
    <xf numFmtId="0" fontId="15" fillId="9" borderId="0" xfId="0" applyFont="1" applyFill="1" applyBorder="1"/>
    <xf numFmtId="0" fontId="15" fillId="9" borderId="32" xfId="0" applyFont="1" applyFill="1" applyBorder="1"/>
    <xf numFmtId="0" fontId="3" fillId="7" borderId="18" xfId="0" applyFont="1" applyFill="1" applyBorder="1" applyAlignment="1">
      <alignment horizontal="right" vertical="center"/>
    </xf>
    <xf numFmtId="0" fontId="8" fillId="7" borderId="18" xfId="0" applyFont="1" applyFill="1" applyBorder="1" applyProtection="1">
      <protection locked="0"/>
    </xf>
    <xf numFmtId="0" fontId="3" fillId="4" borderId="24" xfId="0" applyFont="1" applyFill="1" applyBorder="1" applyAlignment="1">
      <alignment horizontal="left" vertical="center"/>
    </xf>
    <xf numFmtId="0" fontId="8" fillId="2" borderId="18" xfId="0" applyFont="1" applyFill="1" applyBorder="1" applyProtection="1">
      <protection locked="0"/>
    </xf>
    <xf numFmtId="0" fontId="3" fillId="9" borderId="24" xfId="0" applyFont="1" applyFill="1" applyBorder="1"/>
    <xf numFmtId="0" fontId="8" fillId="2" borderId="0" xfId="0" applyFont="1" applyFill="1" applyBorder="1" applyProtection="1">
      <protection locked="0"/>
    </xf>
    <xf numFmtId="0" fontId="6" fillId="4" borderId="24" xfId="0" applyFont="1" applyFill="1" applyBorder="1" applyAlignment="1">
      <alignment horizontal="left" vertical="center"/>
    </xf>
    <xf numFmtId="0" fontId="6" fillId="4" borderId="15" xfId="0" applyFont="1" applyFill="1" applyBorder="1" applyAlignment="1">
      <alignment horizontal="left" vertical="center"/>
    </xf>
    <xf numFmtId="0" fontId="3" fillId="9" borderId="15" xfId="0" applyFont="1" applyFill="1" applyBorder="1"/>
    <xf numFmtId="164" fontId="8" fillId="7" borderId="15" xfId="1" applyFont="1" applyFill="1" applyBorder="1" applyProtection="1">
      <protection locked="0"/>
    </xf>
    <xf numFmtId="0" fontId="3" fillId="9" borderId="0" xfId="0" applyFont="1" applyFill="1" applyBorder="1"/>
    <xf numFmtId="164" fontId="8" fillId="7" borderId="31" xfId="1" applyFont="1" applyFill="1" applyBorder="1" applyProtection="1">
      <protection locked="0"/>
    </xf>
    <xf numFmtId="0" fontId="3" fillId="9" borderId="32" xfId="0" applyFont="1" applyFill="1" applyBorder="1"/>
    <xf numFmtId="0" fontId="3" fillId="0" borderId="24" xfId="0" applyFont="1" applyBorder="1" applyProtection="1">
      <protection locked="0"/>
    </xf>
    <xf numFmtId="0" fontId="3" fillId="0" borderId="0" xfId="0" applyFont="1" applyFill="1"/>
    <xf numFmtId="0" fontId="3" fillId="9" borderId="31" xfId="0" applyFont="1" applyFill="1" applyBorder="1"/>
    <xf numFmtId="0" fontId="3" fillId="9" borderId="18" xfId="0" applyFont="1" applyFill="1" applyBorder="1"/>
    <xf numFmtId="0" fontId="3" fillId="0" borderId="11" xfId="0" applyFont="1" applyBorder="1"/>
    <xf numFmtId="0" fontId="10" fillId="4" borderId="35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/>
    </xf>
    <xf numFmtId="0" fontId="10" fillId="4" borderId="35" xfId="0" applyFont="1" applyFill="1" applyBorder="1" applyAlignment="1">
      <alignment horizontal="center" vertical="center"/>
    </xf>
    <xf numFmtId="0" fontId="3" fillId="7" borderId="24" xfId="0" applyFont="1" applyFill="1" applyBorder="1" applyAlignment="1">
      <alignment horizontal="right" vertical="center"/>
    </xf>
    <xf numFmtId="0" fontId="3" fillId="7" borderId="15" xfId="0" applyFont="1" applyFill="1" applyBorder="1" applyAlignment="1">
      <alignment horizontal="right" vertical="center"/>
    </xf>
    <xf numFmtId="164" fontId="3" fillId="0" borderId="36" xfId="1" applyFont="1" applyBorder="1"/>
    <xf numFmtId="0" fontId="3" fillId="4" borderId="15" xfId="0" applyFont="1" applyFill="1" applyBorder="1" applyAlignment="1">
      <alignment horizontal="right" vertical="center"/>
    </xf>
    <xf numFmtId="0" fontId="10" fillId="4" borderId="15" xfId="0" applyFont="1" applyFill="1" applyBorder="1" applyAlignment="1">
      <alignment horizontal="center"/>
    </xf>
    <xf numFmtId="164" fontId="10" fillId="4" borderId="24" xfId="1" applyFont="1" applyFill="1" applyBorder="1" applyAlignment="1">
      <alignment horizontal="center"/>
    </xf>
    <xf numFmtId="0" fontId="20" fillId="0" borderId="0" xfId="0" applyFont="1" applyAlignment="1" applyProtection="1">
      <alignment horizontal="center"/>
      <protection locked="0"/>
    </xf>
    <xf numFmtId="0" fontId="21" fillId="7" borderId="31" xfId="0" applyFont="1" applyFill="1" applyBorder="1" applyAlignment="1" applyProtection="1">
      <alignment wrapText="1"/>
      <protection locked="0"/>
    </xf>
    <xf numFmtId="0" fontId="21" fillId="7" borderId="18" xfId="0" applyFont="1" applyFill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horizontal="center" wrapText="1"/>
      <protection locked="0"/>
    </xf>
    <xf numFmtId="0" fontId="20" fillId="4" borderId="15" xfId="0" applyFont="1" applyFill="1" applyBorder="1" applyAlignment="1" applyProtection="1">
      <alignment horizontal="center" vertical="center" wrapText="1"/>
      <protection locked="0"/>
    </xf>
    <xf numFmtId="0" fontId="3" fillId="4" borderId="10" xfId="0" applyFont="1" applyFill="1" applyBorder="1" applyAlignment="1">
      <alignment horizontal="left" wrapText="1"/>
    </xf>
    <xf numFmtId="0" fontId="3" fillId="4" borderId="11" xfId="0" applyFont="1" applyFill="1" applyBorder="1" applyAlignment="1">
      <alignment horizontal="left" wrapText="1"/>
    </xf>
    <xf numFmtId="0" fontId="3" fillId="4" borderId="19" xfId="0" applyFont="1" applyFill="1" applyBorder="1" applyAlignment="1">
      <alignment horizontal="left" wrapText="1"/>
    </xf>
    <xf numFmtId="0" fontId="3" fillId="4" borderId="12" xfId="0" applyFont="1" applyFill="1" applyBorder="1" applyAlignment="1">
      <alignment horizontal="left" wrapText="1"/>
    </xf>
    <xf numFmtId="0" fontId="3" fillId="4" borderId="0" xfId="0" applyFont="1" applyFill="1" applyBorder="1" applyAlignment="1">
      <alignment horizontal="left" wrapText="1"/>
    </xf>
    <xf numFmtId="0" fontId="3" fillId="4" borderId="20" xfId="0" applyFont="1" applyFill="1" applyBorder="1" applyAlignment="1">
      <alignment horizontal="left" wrapText="1"/>
    </xf>
    <xf numFmtId="0" fontId="3" fillId="4" borderId="13" xfId="0" applyFont="1" applyFill="1" applyBorder="1" applyAlignment="1">
      <alignment horizontal="left" wrapText="1"/>
    </xf>
    <xf numFmtId="0" fontId="3" fillId="4" borderId="14" xfId="0" applyFont="1" applyFill="1" applyBorder="1" applyAlignment="1">
      <alignment horizontal="left" wrapText="1"/>
    </xf>
    <xf numFmtId="0" fontId="3" fillId="4" borderId="21" xfId="0" applyFont="1" applyFill="1" applyBorder="1" applyAlignment="1">
      <alignment horizontal="left" wrapText="1"/>
    </xf>
    <xf numFmtId="0" fontId="6" fillId="4" borderId="28" xfId="0" applyFont="1" applyFill="1" applyBorder="1" applyAlignment="1">
      <alignment horizontal="left" vertical="center"/>
    </xf>
    <xf numFmtId="0" fontId="6" fillId="4" borderId="29" xfId="0" applyFont="1" applyFill="1" applyBorder="1" applyAlignment="1">
      <alignment horizontal="left" vertical="center"/>
    </xf>
    <xf numFmtId="0" fontId="6" fillId="4" borderId="30" xfId="0" applyFont="1" applyFill="1" applyBorder="1" applyAlignment="1">
      <alignment horizontal="left" vertical="center"/>
    </xf>
    <xf numFmtId="0" fontId="6" fillId="4" borderId="33" xfId="0" applyFont="1" applyFill="1" applyBorder="1" applyAlignment="1">
      <alignment horizontal="left" vertical="center"/>
    </xf>
    <xf numFmtId="0" fontId="6" fillId="4" borderId="8" xfId="0" applyFont="1" applyFill="1" applyBorder="1" applyAlignment="1">
      <alignment horizontal="left" vertical="center"/>
    </xf>
    <xf numFmtId="0" fontId="6" fillId="4" borderId="34" xfId="0" applyFont="1" applyFill="1" applyBorder="1" applyAlignment="1">
      <alignment horizontal="left" vertical="center"/>
    </xf>
    <xf numFmtId="0" fontId="3" fillId="4" borderId="13" xfId="0" applyFont="1" applyFill="1" applyBorder="1" applyAlignment="1" applyProtection="1">
      <alignment horizontal="left" wrapText="1"/>
    </xf>
    <xf numFmtId="0" fontId="3" fillId="4" borderId="14" xfId="0" applyFont="1" applyFill="1" applyBorder="1" applyAlignment="1" applyProtection="1">
      <alignment horizontal="left" wrapText="1"/>
    </xf>
    <xf numFmtId="0" fontId="3" fillId="4" borderId="21" xfId="0" applyFont="1" applyFill="1" applyBorder="1" applyAlignment="1" applyProtection="1">
      <alignment horizontal="left" wrapText="1"/>
    </xf>
    <xf numFmtId="0" fontId="3" fillId="4" borderId="13" xfId="0" applyFont="1" applyFill="1" applyBorder="1" applyAlignment="1" applyProtection="1">
      <alignment horizontal="left"/>
    </xf>
    <xf numFmtId="0" fontId="3" fillId="4" borderId="14" xfId="0" applyFont="1" applyFill="1" applyBorder="1" applyAlignment="1" applyProtection="1">
      <alignment horizontal="left"/>
    </xf>
    <xf numFmtId="0" fontId="3" fillId="4" borderId="21" xfId="0" applyFont="1" applyFill="1" applyBorder="1" applyAlignment="1" applyProtection="1">
      <alignment horizontal="left"/>
    </xf>
    <xf numFmtId="0" fontId="6" fillId="4" borderId="25" xfId="0" applyFont="1" applyFill="1" applyBorder="1" applyAlignment="1" applyProtection="1">
      <alignment horizontal="left"/>
    </xf>
    <xf numFmtId="0" fontId="6" fillId="4" borderId="26" xfId="0" applyFont="1" applyFill="1" applyBorder="1" applyAlignment="1" applyProtection="1">
      <alignment horizontal="left"/>
    </xf>
    <xf numFmtId="0" fontId="6" fillId="4" borderId="27" xfId="0" applyFont="1" applyFill="1" applyBorder="1" applyAlignment="1" applyProtection="1">
      <alignment horizontal="left"/>
    </xf>
    <xf numFmtId="0" fontId="3" fillId="4" borderId="10" xfId="0" applyFont="1" applyFill="1" applyBorder="1" applyAlignment="1" applyProtection="1">
      <alignment horizontal="left"/>
    </xf>
    <xf numFmtId="0" fontId="3" fillId="4" borderId="11" xfId="0" applyFont="1" applyFill="1" applyBorder="1" applyAlignment="1" applyProtection="1">
      <alignment horizontal="left"/>
    </xf>
    <xf numFmtId="0" fontId="3" fillId="4" borderId="19" xfId="0" applyFont="1" applyFill="1" applyBorder="1" applyAlignment="1" applyProtection="1">
      <alignment horizontal="left"/>
    </xf>
    <xf numFmtId="0" fontId="3" fillId="4" borderId="12" xfId="0" applyFont="1" applyFill="1" applyBorder="1" applyAlignment="1" applyProtection="1">
      <alignment horizontal="left"/>
    </xf>
    <xf numFmtId="0" fontId="3" fillId="4" borderId="0" xfId="0" applyFont="1" applyFill="1" applyBorder="1" applyAlignment="1" applyProtection="1">
      <alignment horizontal="left"/>
    </xf>
    <xf numFmtId="0" fontId="3" fillId="4" borderId="20" xfId="0" applyFont="1" applyFill="1" applyBorder="1" applyAlignment="1" applyProtection="1">
      <alignment horizontal="left"/>
    </xf>
    <xf numFmtId="0" fontId="6" fillId="5" borderId="16" xfId="0" applyFont="1" applyFill="1" applyBorder="1" applyAlignment="1" applyProtection="1">
      <alignment horizontal="center" vertical="center"/>
    </xf>
    <xf numFmtId="0" fontId="4" fillId="5" borderId="17" xfId="0" applyFont="1" applyFill="1" applyBorder="1" applyProtection="1"/>
    <xf numFmtId="0" fontId="4" fillId="5" borderId="22" xfId="0" applyFont="1" applyFill="1" applyBorder="1" applyProtection="1"/>
    <xf numFmtId="0" fontId="6" fillId="5" borderId="23" xfId="0" applyFont="1" applyFill="1" applyBorder="1" applyAlignment="1" applyProtection="1">
      <alignment horizontal="center" vertical="center" wrapText="1"/>
    </xf>
    <xf numFmtId="0" fontId="4" fillId="5" borderId="24" xfId="0" applyFont="1" applyFill="1" applyBorder="1" applyProtection="1"/>
  </cellXfs>
  <cellStyles count="4">
    <cellStyle name="Comma" xfId="1" builtinId="3"/>
    <cellStyle name="Linked Cell" xfId="2" builtinId="24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26</xdr:row>
          <xdr:rowOff>28575</xdr:rowOff>
        </xdr:from>
        <xdr:to>
          <xdr:col>1</xdr:col>
          <xdr:colOff>762000</xdr:colOff>
          <xdr:row>26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26</xdr:row>
          <xdr:rowOff>28575</xdr:rowOff>
        </xdr:from>
        <xdr:to>
          <xdr:col>1</xdr:col>
          <xdr:colOff>1533525</xdr:colOff>
          <xdr:row>26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28575</xdr:rowOff>
        </xdr:from>
        <xdr:to>
          <xdr:col>1</xdr:col>
          <xdr:colOff>771525</xdr:colOff>
          <xdr:row>65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65</xdr:row>
          <xdr:rowOff>28575</xdr:rowOff>
        </xdr:from>
        <xdr:to>
          <xdr:col>1</xdr:col>
          <xdr:colOff>1543050</xdr:colOff>
          <xdr:row>65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abSelected="1" topLeftCell="A59" workbookViewId="0">
      <selection activeCell="G62" sqref="G62"/>
    </sheetView>
  </sheetViews>
  <sheetFormatPr defaultColWidth="14.42578125" defaultRowHeight="15" customHeight="1" outlineLevelRow="1"/>
  <cols>
    <col min="1" max="1" width="3.140625" customWidth="1"/>
    <col min="2" max="2" width="32.140625" customWidth="1"/>
    <col min="3" max="3" width="32.42578125" customWidth="1"/>
    <col min="4" max="4" width="29.85546875" customWidth="1"/>
    <col min="5" max="5" width="31.140625" customWidth="1"/>
    <col min="6" max="6" width="26.85546875" customWidth="1"/>
    <col min="7" max="25" width="9.140625" customWidth="1"/>
  </cols>
  <sheetData>
    <row r="1" spans="1:25" ht="13.5" customHeight="1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25" ht="13.5" customHeight="1">
      <c r="A2" s="76"/>
      <c r="B2" s="77" t="s">
        <v>0</v>
      </c>
      <c r="C2" s="78"/>
      <c r="D2" s="114" t="s">
        <v>176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</row>
    <row r="3" spans="1:25" ht="13.5" customHeight="1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</row>
    <row r="4" spans="1:25" ht="13.5" hidden="1" customHeight="1" outlineLevel="1">
      <c r="A4" s="76"/>
      <c r="B4" s="79" t="s">
        <v>1</v>
      </c>
      <c r="C4" s="80">
        <v>3</v>
      </c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</row>
    <row r="5" spans="1:25" ht="13.5" hidden="1" customHeight="1" outlineLevel="1">
      <c r="A5" s="76"/>
      <c r="B5" s="76" t="s">
        <v>2</v>
      </c>
      <c r="C5" s="80">
        <v>5</v>
      </c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</row>
    <row r="6" spans="1:25" ht="13.5" hidden="1" customHeight="1" outlineLevel="1">
      <c r="A6" s="76"/>
      <c r="B6" s="76" t="s">
        <v>3</v>
      </c>
      <c r="C6" s="80">
        <v>5</v>
      </c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</row>
    <row r="7" spans="1:25" ht="13.5" hidden="1" customHeight="1" outlineLevel="1">
      <c r="A7" s="76"/>
      <c r="B7" s="76" t="s">
        <v>4</v>
      </c>
      <c r="C7" s="80">
        <v>4</v>
      </c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</row>
    <row r="8" spans="1:25" ht="13.5" hidden="1" customHeight="1" outlineLevel="1">
      <c r="A8" s="76"/>
      <c r="B8" s="76" t="s">
        <v>5</v>
      </c>
      <c r="C8" s="80">
        <v>4</v>
      </c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</row>
    <row r="9" spans="1:25" ht="13.5" hidden="1" customHeight="1" outlineLevel="1">
      <c r="A9" s="76"/>
      <c r="B9" s="76" t="s">
        <v>6</v>
      </c>
      <c r="C9" s="80">
        <v>6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</row>
    <row r="10" spans="1:25" ht="13.5" hidden="1" customHeight="1" outlineLevel="1">
      <c r="A10" s="76"/>
      <c r="B10" s="76" t="s">
        <v>7</v>
      </c>
      <c r="C10" s="80">
        <v>15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</row>
    <row r="11" spans="1:25" ht="13.5" hidden="1" customHeight="1" outlineLevel="1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</row>
    <row r="12" spans="1:25" ht="27" customHeight="1" collapsed="1">
      <c r="A12" s="76"/>
      <c r="B12" s="120" t="s">
        <v>8</v>
      </c>
      <c r="C12" s="121"/>
      <c r="D12" s="121"/>
      <c r="E12" s="121"/>
      <c r="F12" s="122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</row>
    <row r="13" spans="1:25" ht="13.5" customHeight="1">
      <c r="A13" s="76"/>
      <c r="B13" s="123" t="s">
        <v>9</v>
      </c>
      <c r="C13" s="124"/>
      <c r="D13" s="124"/>
      <c r="E13" s="124"/>
      <c r="F13" s="125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</row>
    <row r="14" spans="1:25" ht="13.5" customHeight="1">
      <c r="A14" s="76"/>
      <c r="B14" s="123" t="s">
        <v>10</v>
      </c>
      <c r="C14" s="124"/>
      <c r="D14" s="124"/>
      <c r="E14" s="124"/>
      <c r="F14" s="125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</row>
    <row r="15" spans="1:25" ht="13.5" customHeight="1">
      <c r="A15" s="76"/>
      <c r="B15" s="126" t="s">
        <v>11</v>
      </c>
      <c r="C15" s="127"/>
      <c r="D15" s="127"/>
      <c r="E15" s="127"/>
      <c r="F15" s="128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</row>
    <row r="16" spans="1:25" ht="13.5" customHeight="1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</row>
    <row r="17" spans="1:25" ht="13.5" customHeight="1">
      <c r="A17" s="76"/>
      <c r="B17" s="81" t="s">
        <v>12</v>
      </c>
      <c r="C17" s="82" t="s">
        <v>13</v>
      </c>
      <c r="D17" s="82" t="s">
        <v>14</v>
      </c>
      <c r="E17" s="82" t="s">
        <v>15</v>
      </c>
      <c r="F17" s="82" t="s">
        <v>16</v>
      </c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</row>
    <row r="18" spans="1:25" ht="13.5" customHeight="1">
      <c r="A18" s="76"/>
      <c r="B18" s="129" t="s">
        <v>17</v>
      </c>
      <c r="C18" s="130"/>
      <c r="D18" s="130"/>
      <c r="E18" s="130"/>
      <c r="F18" s="131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</row>
    <row r="19" spans="1:25" ht="13.5" customHeight="1">
      <c r="A19" s="76"/>
      <c r="B19" s="83">
        <v>1</v>
      </c>
      <c r="C19" s="115"/>
      <c r="D19" s="85"/>
      <c r="E19" s="85"/>
      <c r="F19" s="8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</row>
    <row r="20" spans="1:25" ht="13.5" customHeight="1">
      <c r="A20" s="76"/>
      <c r="B20" s="83">
        <v>2</v>
      </c>
      <c r="C20" s="84"/>
      <c r="D20" s="85"/>
      <c r="E20" s="85"/>
      <c r="F20" s="8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</row>
    <row r="21" spans="1:25" ht="13.5" customHeight="1">
      <c r="A21" s="76"/>
      <c r="B21" s="83">
        <v>3</v>
      </c>
      <c r="C21" s="84"/>
      <c r="D21" s="85"/>
      <c r="E21" s="85"/>
      <c r="F21" s="8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</row>
    <row r="22" spans="1:25" ht="13.5" customHeight="1">
      <c r="A22" s="76"/>
      <c r="B22" s="129" t="s">
        <v>18</v>
      </c>
      <c r="C22" s="130"/>
      <c r="D22" s="130"/>
      <c r="E22" s="130"/>
      <c r="F22" s="131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</row>
    <row r="23" spans="1:25" ht="13.5" customHeight="1">
      <c r="A23" s="76"/>
      <c r="B23" s="87">
        <v>1</v>
      </c>
      <c r="C23" s="116">
        <v>59513</v>
      </c>
      <c r="D23" s="88"/>
      <c r="E23" s="41"/>
      <c r="F23" s="41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</row>
    <row r="24" spans="1:25" ht="13.5" customHeight="1">
      <c r="A24" s="76"/>
      <c r="B24" s="87">
        <v>2</v>
      </c>
      <c r="C24" s="73"/>
      <c r="D24" s="88"/>
      <c r="E24" s="41"/>
      <c r="F24" s="41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</row>
    <row r="25" spans="1:25" ht="13.5" customHeight="1">
      <c r="A25" s="76"/>
      <c r="B25" s="87">
        <v>3</v>
      </c>
      <c r="C25" s="73"/>
      <c r="D25" s="88"/>
      <c r="E25" s="41"/>
      <c r="F25" s="41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</row>
    <row r="26" spans="1:25" ht="13.5" customHeight="1">
      <c r="A26" s="76"/>
      <c r="B26" s="87">
        <v>4</v>
      </c>
      <c r="C26" s="73"/>
      <c r="D26" s="88"/>
      <c r="E26" s="41"/>
      <c r="F26" s="41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</row>
    <row r="27" spans="1:25" ht="13.5" customHeight="1">
      <c r="A27" s="76"/>
      <c r="B27" s="87">
        <v>5</v>
      </c>
      <c r="C27" s="73"/>
      <c r="D27" s="88"/>
      <c r="E27" s="41"/>
      <c r="F27" s="41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</row>
    <row r="28" spans="1:25" ht="13.5" customHeight="1">
      <c r="A28" s="76"/>
      <c r="B28" s="132" t="s">
        <v>19</v>
      </c>
      <c r="C28" s="133"/>
      <c r="D28" s="133"/>
      <c r="E28" s="133"/>
      <c r="F28" s="134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</row>
    <row r="29" spans="1:25" ht="13.5" customHeight="1">
      <c r="A29" s="76"/>
      <c r="B29" s="89" t="s">
        <v>20</v>
      </c>
      <c r="C29" s="90" t="s">
        <v>21</v>
      </c>
      <c r="D29" s="91"/>
      <c r="E29" s="91"/>
      <c r="F29" s="91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</row>
    <row r="30" spans="1:25" ht="13.5" customHeight="1">
      <c r="A30" s="76"/>
      <c r="B30" s="89" t="s">
        <v>22</v>
      </c>
      <c r="C30" s="92" t="s">
        <v>23</v>
      </c>
      <c r="D30" s="91"/>
      <c r="E30" s="91"/>
      <c r="F30" s="91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</row>
    <row r="31" spans="1:25" ht="13.5" customHeight="1">
      <c r="A31" s="76"/>
      <c r="B31" s="93" t="s">
        <v>24</v>
      </c>
      <c r="C31" s="92" t="s">
        <v>150</v>
      </c>
      <c r="D31" s="91"/>
      <c r="E31" s="91"/>
      <c r="F31" s="91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</row>
    <row r="32" spans="1:25" ht="13.5" customHeight="1">
      <c r="A32" s="76"/>
      <c r="B32" s="94" t="s">
        <v>26</v>
      </c>
      <c r="C32" s="95"/>
      <c r="D32" s="95"/>
      <c r="E32" s="96">
        <v>3</v>
      </c>
      <c r="F32" s="95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</row>
    <row r="33" spans="1:25" ht="13.5" customHeight="1">
      <c r="A33" s="76"/>
      <c r="B33" s="129" t="s">
        <v>27</v>
      </c>
      <c r="C33" s="130"/>
      <c r="D33" s="130"/>
      <c r="E33" s="130"/>
      <c r="F33" s="131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</row>
    <row r="34" spans="1:25" ht="13.5" customHeight="1">
      <c r="A34" s="76"/>
      <c r="B34" s="83">
        <v>1</v>
      </c>
      <c r="C34" s="116" t="s">
        <v>177</v>
      </c>
      <c r="D34" s="97"/>
      <c r="E34" s="98">
        <v>1</v>
      </c>
      <c r="F34" s="99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</row>
    <row r="35" spans="1:25" ht="13.5" customHeight="1">
      <c r="A35" s="76"/>
      <c r="B35" s="87">
        <v>2</v>
      </c>
      <c r="C35" s="116" t="s">
        <v>178</v>
      </c>
      <c r="D35" s="97"/>
      <c r="E35" s="41">
        <v>1</v>
      </c>
      <c r="F35" s="99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</row>
    <row r="36" spans="1:25" ht="13.5" customHeight="1">
      <c r="A36" s="76"/>
      <c r="B36" s="87">
        <v>3</v>
      </c>
      <c r="C36" s="116" t="s">
        <v>179</v>
      </c>
      <c r="D36" s="97"/>
      <c r="E36" s="41">
        <v>1</v>
      </c>
      <c r="F36" s="99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</row>
    <row r="37" spans="1:25" ht="13.5" customHeight="1">
      <c r="A37" s="76"/>
      <c r="B37" s="87">
        <v>4</v>
      </c>
      <c r="C37" s="116" t="s">
        <v>180</v>
      </c>
      <c r="D37" s="97"/>
      <c r="E37" s="41">
        <v>1</v>
      </c>
      <c r="F37" s="99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</row>
    <row r="38" spans="1:25" ht="13.5" customHeight="1">
      <c r="A38" s="76"/>
      <c r="B38" s="87">
        <v>5</v>
      </c>
      <c r="C38" s="73" t="s">
        <v>238</v>
      </c>
      <c r="D38" s="97"/>
      <c r="E38" s="41">
        <v>4</v>
      </c>
      <c r="F38" s="99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</row>
    <row r="39" spans="1:25" ht="13.5" customHeight="1">
      <c r="A39" s="76"/>
      <c r="B39" s="132" t="s">
        <v>28</v>
      </c>
      <c r="C39" s="133"/>
      <c r="D39" s="130"/>
      <c r="E39" s="133"/>
      <c r="F39" s="131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</row>
    <row r="40" spans="1:25" ht="13.5" customHeight="1">
      <c r="A40" s="76"/>
      <c r="B40" s="87">
        <v>1</v>
      </c>
      <c r="C40" s="116"/>
      <c r="D40" s="97"/>
      <c r="E40" s="41"/>
      <c r="F40" s="99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</row>
    <row r="41" spans="1:25" ht="13.5" customHeight="1">
      <c r="A41" s="76"/>
      <c r="B41" s="87">
        <v>2</v>
      </c>
      <c r="C41" s="73"/>
      <c r="D41" s="97"/>
      <c r="E41" s="41"/>
      <c r="F41" s="99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</row>
    <row r="42" spans="1:25" ht="13.5" customHeight="1">
      <c r="A42" s="76"/>
      <c r="B42" s="87">
        <v>3</v>
      </c>
      <c r="C42" s="73"/>
      <c r="D42" s="97"/>
      <c r="E42" s="41"/>
      <c r="F42" s="99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</row>
    <row r="43" spans="1:25" ht="13.5" customHeight="1">
      <c r="A43" s="76"/>
      <c r="B43" s="87">
        <v>4</v>
      </c>
      <c r="C43" s="73"/>
      <c r="D43" s="97"/>
      <c r="E43" s="41"/>
      <c r="F43" s="99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</row>
    <row r="44" spans="1:25" ht="13.5" customHeight="1">
      <c r="A44" s="76"/>
      <c r="B44" s="132" t="s">
        <v>29</v>
      </c>
      <c r="C44" s="133"/>
      <c r="D44" s="130"/>
      <c r="E44" s="133"/>
      <c r="F44" s="131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</row>
    <row r="45" spans="1:25" ht="13.5" customHeight="1">
      <c r="A45" s="76"/>
      <c r="B45" s="93" t="s">
        <v>30</v>
      </c>
      <c r="C45" s="91"/>
      <c r="D45" s="91"/>
      <c r="E45" s="100"/>
      <c r="F45" s="91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</row>
    <row r="46" spans="1:25" ht="13.5" customHeight="1">
      <c r="A46" s="76"/>
      <c r="B46" s="129" t="s">
        <v>31</v>
      </c>
      <c r="C46" s="130"/>
      <c r="D46" s="130"/>
      <c r="E46" s="130"/>
      <c r="F46" s="131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</row>
    <row r="47" spans="1:25" ht="13.5" customHeight="1">
      <c r="A47" s="101"/>
      <c r="B47" s="83">
        <v>1</v>
      </c>
      <c r="C47" s="84"/>
      <c r="D47" s="102"/>
      <c r="E47" s="98"/>
      <c r="F47" s="98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</row>
    <row r="48" spans="1:25" ht="13.5" customHeight="1">
      <c r="A48" s="101"/>
      <c r="B48" s="83">
        <v>2</v>
      </c>
      <c r="C48" s="84"/>
      <c r="D48" s="102"/>
      <c r="E48" s="98"/>
      <c r="F48" s="98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</row>
    <row r="49" spans="1:25" ht="13.5" customHeight="1">
      <c r="A49" s="101"/>
      <c r="B49" s="87">
        <v>3</v>
      </c>
      <c r="C49" s="73"/>
      <c r="D49" s="103"/>
      <c r="E49" s="41"/>
      <c r="F49" s="41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</row>
    <row r="50" spans="1:25" ht="13.5" customHeight="1">
      <c r="A50" s="101"/>
      <c r="B50" s="87">
        <v>4</v>
      </c>
      <c r="C50" s="73"/>
      <c r="D50" s="103"/>
      <c r="E50" s="41"/>
      <c r="F50" s="41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</row>
    <row r="51" spans="1:25" ht="13.5" customHeight="1">
      <c r="A51" s="76"/>
      <c r="B51" s="129" t="s">
        <v>32</v>
      </c>
      <c r="C51" s="130"/>
      <c r="D51" s="130"/>
      <c r="E51" s="130"/>
      <c r="F51" s="131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</row>
    <row r="52" spans="1:25" ht="13.5" customHeight="1">
      <c r="A52" s="76"/>
      <c r="B52" s="87">
        <v>1</v>
      </c>
      <c r="C52" s="73"/>
      <c r="D52" s="103"/>
      <c r="E52" s="41"/>
      <c r="F52" s="41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</row>
    <row r="53" spans="1:25" ht="13.5" customHeight="1">
      <c r="A53" s="76"/>
      <c r="B53" s="87">
        <v>2</v>
      </c>
      <c r="C53" s="73"/>
      <c r="D53" s="103"/>
      <c r="E53" s="41"/>
      <c r="F53" s="41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</row>
    <row r="54" spans="1:25" ht="13.5" customHeight="1">
      <c r="A54" s="76"/>
      <c r="B54" s="87">
        <v>3</v>
      </c>
      <c r="C54" s="73"/>
      <c r="D54" s="103"/>
      <c r="E54" s="41"/>
      <c r="F54" s="41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</row>
    <row r="55" spans="1:25" ht="13.5" customHeight="1">
      <c r="A55" s="76"/>
      <c r="B55" s="87">
        <v>4</v>
      </c>
      <c r="C55" s="73"/>
      <c r="D55" s="103"/>
      <c r="E55" s="41"/>
      <c r="F55" s="41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</row>
    <row r="56" spans="1:25" ht="13.5" customHeight="1">
      <c r="A56" s="76"/>
      <c r="B56" s="87">
        <v>5</v>
      </c>
      <c r="C56" s="73"/>
      <c r="D56" s="103"/>
      <c r="E56" s="41"/>
      <c r="F56" s="41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</row>
    <row r="57" spans="1:25" ht="13.5" customHeight="1">
      <c r="A57" s="76"/>
      <c r="B57" s="87">
        <v>6</v>
      </c>
      <c r="C57" s="73"/>
      <c r="D57" s="103"/>
      <c r="E57" s="41"/>
      <c r="F57" s="41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</row>
    <row r="58" spans="1:25" ht="13.5" customHeight="1">
      <c r="A58" s="76"/>
      <c r="B58" s="104"/>
      <c r="C58" s="104"/>
      <c r="D58" s="104"/>
      <c r="E58" s="104"/>
      <c r="F58" s="104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</row>
    <row r="59" spans="1:25" ht="13.5" customHeight="1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</row>
    <row r="60" spans="1:25" ht="57.75" customHeight="1">
      <c r="A60" s="76"/>
      <c r="B60" s="105" t="s">
        <v>33</v>
      </c>
      <c r="C60" s="105" t="s">
        <v>34</v>
      </c>
      <c r="D60" s="105" t="s">
        <v>35</v>
      </c>
      <c r="E60" s="106" t="s">
        <v>36</v>
      </c>
      <c r="F60" s="107" t="s">
        <v>37</v>
      </c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</row>
    <row r="61" spans="1:25" ht="13.5" customHeight="1">
      <c r="A61" s="76"/>
      <c r="B61" s="108">
        <v>1</v>
      </c>
      <c r="C61" s="73" t="s">
        <v>38</v>
      </c>
      <c r="D61" s="41">
        <v>2631</v>
      </c>
      <c r="E61" s="41">
        <v>969</v>
      </c>
      <c r="F61" s="41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</row>
    <row r="62" spans="1:25" ht="13.5" customHeight="1">
      <c r="A62" s="76"/>
      <c r="B62" s="109">
        <v>2</v>
      </c>
      <c r="C62" s="116" t="s">
        <v>214</v>
      </c>
      <c r="D62" s="41">
        <v>3610</v>
      </c>
      <c r="E62" s="41"/>
      <c r="F62" s="41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</row>
    <row r="63" spans="1:25" ht="13.5" customHeight="1">
      <c r="A63" s="76"/>
      <c r="B63" s="109">
        <v>3</v>
      </c>
      <c r="C63" s="116" t="s">
        <v>215</v>
      </c>
      <c r="D63" s="41">
        <v>3829</v>
      </c>
      <c r="E63" s="41"/>
      <c r="F63" s="41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</row>
    <row r="64" spans="1:25" ht="13.5" customHeight="1">
      <c r="A64" s="76"/>
      <c r="B64" s="109">
        <v>4</v>
      </c>
      <c r="C64" s="116" t="s">
        <v>177</v>
      </c>
      <c r="D64" s="41">
        <v>150</v>
      </c>
      <c r="E64" s="41"/>
      <c r="F64" s="41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</row>
    <row r="65" spans="1:25" ht="13.5" customHeight="1">
      <c r="A65" s="76"/>
      <c r="B65" s="109">
        <v>5</v>
      </c>
      <c r="C65" s="116" t="s">
        <v>178</v>
      </c>
      <c r="D65" s="41">
        <v>150</v>
      </c>
      <c r="E65" s="41"/>
      <c r="F65" s="41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</row>
    <row r="66" spans="1:25" ht="13.5" customHeight="1">
      <c r="A66" s="76"/>
      <c r="B66" s="109">
        <v>6</v>
      </c>
      <c r="C66" s="73" t="s">
        <v>228</v>
      </c>
      <c r="D66" s="41">
        <v>400</v>
      </c>
      <c r="E66" s="41"/>
      <c r="F66" s="41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</row>
    <row r="67" spans="1:25" ht="13.5" customHeight="1">
      <c r="A67" s="76"/>
      <c r="B67" s="109">
        <v>7</v>
      </c>
      <c r="C67" s="116" t="s">
        <v>180</v>
      </c>
      <c r="D67" s="41">
        <v>80</v>
      </c>
      <c r="E67" s="41"/>
      <c r="F67" s="41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</row>
    <row r="68" spans="1:25" ht="13.5" customHeight="1">
      <c r="A68" s="76"/>
      <c r="B68" s="109">
        <v>8</v>
      </c>
      <c r="C68" s="73" t="s">
        <v>226</v>
      </c>
      <c r="D68" s="41">
        <v>0</v>
      </c>
      <c r="E68" s="41"/>
      <c r="F68" s="41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</row>
    <row r="69" spans="1:25" ht="13.5" customHeight="1">
      <c r="A69" s="76"/>
      <c r="B69" s="109">
        <v>9</v>
      </c>
      <c r="C69" s="73" t="s">
        <v>238</v>
      </c>
      <c r="D69" s="41">
        <v>400</v>
      </c>
      <c r="E69" s="41"/>
      <c r="F69" s="41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</row>
    <row r="70" spans="1:25" ht="13.5" customHeight="1">
      <c r="A70" s="76"/>
      <c r="B70" s="109">
        <v>10</v>
      </c>
      <c r="C70" s="73" t="s">
        <v>39</v>
      </c>
      <c r="D70" s="41">
        <v>7600</v>
      </c>
      <c r="E70" s="41"/>
      <c r="F70" s="41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</row>
    <row r="71" spans="1:25" ht="13.5" customHeight="1">
      <c r="A71" s="76"/>
      <c r="B71" s="109">
        <v>11</v>
      </c>
      <c r="C71" s="73" t="s">
        <v>40</v>
      </c>
      <c r="D71" s="41">
        <v>30</v>
      </c>
      <c r="E71" s="41"/>
      <c r="F71" s="41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</row>
    <row r="72" spans="1:25" ht="13.5" customHeight="1">
      <c r="A72" s="76"/>
      <c r="B72" s="109">
        <v>12</v>
      </c>
      <c r="C72" s="116" t="s">
        <v>174</v>
      </c>
      <c r="D72" s="41">
        <v>0</v>
      </c>
      <c r="E72" s="41"/>
      <c r="F72" s="41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</row>
    <row r="73" spans="1:25" ht="13.5" customHeight="1">
      <c r="A73" s="76"/>
      <c r="B73" s="109">
        <v>13</v>
      </c>
      <c r="C73" s="116" t="s">
        <v>181</v>
      </c>
      <c r="D73" s="41">
        <v>120</v>
      </c>
      <c r="E73" s="41"/>
      <c r="F73" s="41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</row>
    <row r="74" spans="1:25" ht="13.5" customHeight="1">
      <c r="A74" s="76"/>
      <c r="B74" s="109">
        <v>14</v>
      </c>
      <c r="C74" s="116" t="s">
        <v>175</v>
      </c>
      <c r="D74" s="41">
        <v>0</v>
      </c>
      <c r="E74" s="41"/>
      <c r="F74" s="41">
        <v>60</v>
      </c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</row>
    <row r="75" spans="1:25" ht="13.5" customHeight="1">
      <c r="A75" s="76"/>
      <c r="B75" s="109">
        <v>15</v>
      </c>
      <c r="C75" s="116" t="s">
        <v>213</v>
      </c>
      <c r="D75" s="41">
        <v>0</v>
      </c>
      <c r="E75" s="41"/>
      <c r="F75" s="41">
        <v>100</v>
      </c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</row>
    <row r="76" spans="1:25" ht="4.9000000000000004" customHeight="1">
      <c r="A76" s="76"/>
      <c r="B76" s="76"/>
      <c r="C76" s="76"/>
      <c r="D76" s="110"/>
      <c r="E76" s="110"/>
      <c r="F76" s="110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</row>
    <row r="77" spans="1:25" ht="13.5" customHeight="1">
      <c r="A77" s="76"/>
      <c r="B77" s="111"/>
      <c r="C77" s="112" t="s">
        <v>41</v>
      </c>
      <c r="D77" s="113">
        <f>SUM(D61:D76)</f>
        <v>19000</v>
      </c>
      <c r="E77" s="113">
        <f>SUM(E61:E76)</f>
        <v>969</v>
      </c>
      <c r="F77" s="113">
        <f>SUM(F61:F76)</f>
        <v>160</v>
      </c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</row>
    <row r="78" spans="1:25" ht="13.5" customHeight="1">
      <c r="A78" s="76"/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</row>
    <row r="79" spans="1:25" ht="13.5" customHeight="1">
      <c r="A79" s="76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</row>
    <row r="80" spans="1:25" ht="13.5" customHeight="1">
      <c r="A80" s="76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</row>
    <row r="81" spans="1:25" ht="13.5" customHeight="1">
      <c r="A81" s="76"/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</row>
    <row r="82" spans="1:25" ht="13.5" customHeight="1">
      <c r="A82" s="76"/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</row>
    <row r="83" spans="1:25" ht="13.5" customHeight="1">
      <c r="A83" s="76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</row>
    <row r="84" spans="1:25" ht="13.5" customHeight="1">
      <c r="A84" s="76"/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</row>
    <row r="85" spans="1:25" ht="13.5" customHeight="1">
      <c r="A85" s="76"/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</row>
    <row r="86" spans="1:25" ht="13.5" customHeight="1">
      <c r="A86" s="76"/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</row>
    <row r="87" spans="1:25" ht="13.5" customHeight="1">
      <c r="A87" s="76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</row>
    <row r="88" spans="1:25" ht="13.5" customHeight="1">
      <c r="A88" s="76"/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</row>
    <row r="89" spans="1:25" ht="13.5" customHeight="1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</row>
    <row r="90" spans="1:25" ht="13.5" customHeight="1">
      <c r="A90" s="76"/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</row>
    <row r="91" spans="1:25" ht="13.5" customHeight="1">
      <c r="A91" s="76"/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</row>
    <row r="92" spans="1:25" ht="13.5" customHeight="1">
      <c r="A92" s="76"/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</row>
    <row r="93" spans="1:25" ht="13.5" customHeight="1">
      <c r="A93" s="76"/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</row>
    <row r="94" spans="1:25" ht="13.5" customHeight="1">
      <c r="A94" s="76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</row>
    <row r="95" spans="1:25" ht="13.5" customHeight="1">
      <c r="A95" s="76"/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</row>
    <row r="96" spans="1:25" ht="13.5" customHeight="1">
      <c r="A96" s="76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</row>
    <row r="97" spans="1:25" ht="13.5" customHeight="1">
      <c r="A97" s="76"/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</row>
    <row r="98" spans="1:25" ht="13.5" customHeight="1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</row>
    <row r="99" spans="1:25" ht="13.5" customHeight="1">
      <c r="A99" s="76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</row>
    <row r="100" spans="1:25" ht="13.5" customHeight="1">
      <c r="A100" s="76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</row>
    <row r="101" spans="1:25" ht="13.5" customHeight="1">
      <c r="A101" s="76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</row>
    <row r="102" spans="1:25" ht="13.5" customHeight="1">
      <c r="A102" s="76"/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</row>
    <row r="103" spans="1:25" ht="13.5" customHeight="1">
      <c r="A103" s="76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</row>
    <row r="104" spans="1:25" ht="13.5" customHeight="1">
      <c r="A104" s="76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</row>
    <row r="105" spans="1:25" ht="13.5" customHeight="1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</row>
    <row r="106" spans="1:25" ht="13.5" customHeight="1">
      <c r="A106" s="76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</row>
    <row r="107" spans="1:25" ht="13.5" customHeight="1">
      <c r="A107" s="76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</row>
    <row r="108" spans="1:25" ht="13.5" customHeight="1">
      <c r="A108" s="76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</row>
    <row r="109" spans="1:25" ht="13.5" customHeight="1">
      <c r="A109" s="76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</row>
    <row r="110" spans="1:25" ht="13.5" customHeight="1">
      <c r="A110" s="76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</row>
    <row r="111" spans="1:25" ht="13.5" customHeight="1">
      <c r="A111" s="76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</row>
    <row r="112" spans="1:25" ht="13.5" customHeight="1">
      <c r="A112" s="76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</row>
    <row r="113" spans="1:25" ht="13.5" customHeight="1">
      <c r="A113" s="76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</row>
    <row r="114" spans="1:25" ht="13.5" customHeight="1">
      <c r="A114" s="76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</row>
    <row r="115" spans="1:25" ht="13.5" customHeight="1">
      <c r="A115" s="76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</row>
    <row r="116" spans="1:25" ht="13.5" customHeight="1">
      <c r="A116" s="76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</row>
    <row r="117" spans="1:25" ht="13.5" customHeight="1">
      <c r="A117" s="76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</row>
    <row r="118" spans="1:25" ht="13.5" customHeight="1">
      <c r="A118" s="76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</row>
    <row r="119" spans="1:25" ht="13.5" customHeight="1">
      <c r="A119" s="76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</row>
    <row r="120" spans="1:25" ht="13.5" customHeight="1">
      <c r="A120" s="76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</row>
    <row r="121" spans="1:25" ht="13.5" customHeight="1">
      <c r="A121" s="76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</row>
    <row r="122" spans="1:25" ht="13.5" customHeight="1">
      <c r="A122" s="76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</row>
    <row r="123" spans="1:25" ht="13.5" customHeight="1">
      <c r="A123" s="76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</row>
    <row r="124" spans="1:25" ht="13.5" customHeight="1">
      <c r="A124" s="76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</row>
    <row r="125" spans="1:25" ht="13.5" customHeight="1">
      <c r="A125" s="76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</row>
    <row r="126" spans="1:25" ht="13.5" customHeight="1">
      <c r="A126" s="76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</row>
    <row r="127" spans="1:25" ht="13.5" customHeight="1">
      <c r="A127" s="76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</row>
    <row r="128" spans="1:25" ht="13.5" customHeight="1">
      <c r="A128" s="76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</row>
    <row r="129" spans="1:25" ht="13.5" customHeight="1">
      <c r="A129" s="76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</row>
    <row r="130" spans="1:25" ht="13.5" customHeight="1">
      <c r="A130" s="76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</row>
    <row r="131" spans="1:25" ht="13.5" customHeight="1">
      <c r="A131" s="76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</row>
    <row r="132" spans="1:25" ht="13.5" customHeight="1">
      <c r="A132" s="76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</row>
    <row r="133" spans="1:25" ht="13.5" customHeight="1">
      <c r="A133" s="76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</row>
    <row r="134" spans="1:25" ht="13.5" customHeight="1">
      <c r="A134" s="76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</row>
    <row r="135" spans="1:25" ht="13.5" customHeight="1">
      <c r="A135" s="76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</row>
    <row r="136" spans="1:25" ht="13.5" customHeight="1">
      <c r="A136" s="76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</row>
    <row r="137" spans="1:25" ht="13.5" customHeight="1">
      <c r="A137" s="76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</row>
    <row r="138" spans="1:25" ht="13.5" customHeight="1">
      <c r="A138" s="76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</row>
    <row r="139" spans="1:25" ht="13.5" customHeight="1">
      <c r="A139" s="76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</row>
    <row r="140" spans="1:25" ht="13.5" customHeight="1">
      <c r="A140" s="76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</row>
    <row r="141" spans="1:25" ht="13.5" customHeight="1">
      <c r="A141" s="76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</row>
    <row r="142" spans="1:25" ht="13.5" customHeight="1">
      <c r="A142" s="76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</row>
    <row r="143" spans="1:25" ht="13.5" customHeight="1">
      <c r="A143" s="76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</row>
    <row r="144" spans="1:25" ht="13.5" customHeight="1">
      <c r="A144" s="76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</row>
    <row r="145" spans="1:25" ht="13.5" customHeight="1">
      <c r="A145" s="76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</row>
    <row r="146" spans="1:25" ht="13.5" customHeight="1">
      <c r="A146" s="76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</row>
    <row r="147" spans="1:25" ht="13.5" customHeight="1">
      <c r="A147" s="76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</row>
    <row r="148" spans="1:25" ht="13.5" customHeight="1">
      <c r="A148" s="76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</row>
    <row r="149" spans="1:25" ht="13.5" customHeight="1">
      <c r="A149" s="76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</row>
    <row r="150" spans="1:25" ht="13.5" customHeight="1">
      <c r="A150" s="76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</row>
    <row r="151" spans="1:25" ht="13.5" customHeight="1">
      <c r="A151" s="76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</row>
    <row r="152" spans="1:25" ht="13.5" customHeight="1">
      <c r="A152" s="76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</row>
    <row r="153" spans="1:25" ht="13.5" customHeight="1">
      <c r="A153" s="76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</row>
    <row r="154" spans="1:25" ht="13.5" customHeight="1">
      <c r="A154" s="76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</row>
    <row r="155" spans="1:25" ht="13.5" customHeight="1">
      <c r="A155" s="76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</row>
    <row r="156" spans="1:25" ht="13.5" customHeight="1">
      <c r="A156" s="76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</row>
    <row r="157" spans="1:25" ht="13.5" customHeight="1">
      <c r="A157" s="76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</row>
    <row r="158" spans="1:25" ht="13.5" customHeight="1">
      <c r="A158" s="76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</row>
    <row r="159" spans="1:25" ht="13.5" customHeight="1">
      <c r="A159" s="76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</row>
    <row r="160" spans="1:25" ht="13.5" customHeight="1">
      <c r="A160" s="76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</row>
    <row r="161" spans="1:25" ht="13.5" customHeight="1">
      <c r="A161" s="76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</row>
    <row r="162" spans="1:25" ht="13.5" customHeight="1">
      <c r="A162" s="76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</row>
    <row r="163" spans="1:25" ht="13.5" customHeight="1">
      <c r="A163" s="76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</row>
    <row r="164" spans="1:25" ht="13.5" customHeight="1">
      <c r="A164" s="76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</row>
    <row r="165" spans="1:25" ht="13.5" customHeight="1">
      <c r="A165" s="76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</row>
    <row r="166" spans="1:25" ht="13.5" customHeight="1">
      <c r="A166" s="76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</row>
    <row r="167" spans="1:25" ht="13.5" customHeight="1">
      <c r="A167" s="76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</row>
    <row r="168" spans="1:25" ht="13.5" customHeight="1">
      <c r="A168" s="76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</row>
    <row r="169" spans="1:25" ht="13.5" customHeight="1">
      <c r="A169" s="76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</row>
    <row r="170" spans="1:25" ht="13.5" customHeight="1">
      <c r="A170" s="76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</row>
    <row r="171" spans="1:25" ht="13.5" customHeight="1">
      <c r="A171" s="76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</row>
    <row r="172" spans="1:25" ht="13.5" customHeight="1">
      <c r="A172" s="76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</row>
    <row r="173" spans="1:25" ht="13.5" customHeight="1">
      <c r="A173" s="76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</row>
    <row r="174" spans="1:25" ht="13.5" customHeight="1">
      <c r="A174" s="76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</row>
    <row r="175" spans="1:25" ht="13.5" customHeight="1">
      <c r="A175" s="76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</row>
    <row r="176" spans="1:25" ht="13.5" customHeight="1">
      <c r="A176" s="76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</row>
    <row r="177" spans="1:25" ht="13.5" customHeight="1">
      <c r="A177" s="76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</row>
    <row r="178" spans="1:25" ht="13.5" customHeight="1">
      <c r="A178" s="76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</row>
    <row r="179" spans="1:25" ht="13.5" customHeight="1">
      <c r="A179" s="76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</row>
    <row r="180" spans="1:25" ht="13.5" customHeight="1">
      <c r="A180" s="76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</row>
    <row r="181" spans="1:25" ht="13.5" customHeight="1">
      <c r="A181" s="76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</row>
    <row r="182" spans="1:25" ht="13.5" customHeight="1">
      <c r="A182" s="76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</row>
    <row r="183" spans="1:25" ht="13.5" customHeight="1">
      <c r="A183" s="76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</row>
    <row r="184" spans="1:25" ht="13.5" customHeight="1">
      <c r="A184" s="76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</row>
    <row r="185" spans="1:25" ht="13.5" customHeight="1">
      <c r="A185" s="76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</row>
    <row r="186" spans="1:25" ht="13.5" customHeight="1">
      <c r="A186" s="76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</row>
    <row r="187" spans="1:25" ht="13.5" customHeight="1">
      <c r="A187" s="76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</row>
    <row r="188" spans="1:25" ht="13.5" customHeight="1">
      <c r="A188" s="76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</row>
    <row r="189" spans="1:25" ht="13.5" customHeight="1">
      <c r="A189" s="76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</row>
    <row r="190" spans="1:25" ht="13.5" customHeight="1">
      <c r="A190" s="76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</row>
    <row r="191" spans="1:25" ht="13.5" customHeight="1">
      <c r="A191" s="76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</row>
    <row r="192" spans="1:25" ht="13.5" customHeight="1">
      <c r="A192" s="76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</row>
    <row r="193" spans="1:25" ht="13.5" customHeight="1">
      <c r="A193" s="76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</row>
    <row r="194" spans="1:25" ht="13.5" customHeight="1">
      <c r="A194" s="76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</row>
    <row r="195" spans="1:25" ht="13.5" customHeight="1">
      <c r="A195" s="76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</row>
    <row r="196" spans="1:25" ht="13.5" customHeight="1">
      <c r="A196" s="76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</row>
    <row r="197" spans="1:25" ht="13.5" customHeight="1">
      <c r="A197" s="76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</row>
    <row r="198" spans="1:25" ht="13.5" customHeight="1">
      <c r="A198" s="76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</row>
    <row r="199" spans="1:25" ht="13.5" customHeight="1">
      <c r="A199" s="76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</row>
    <row r="200" spans="1:25" ht="13.5" customHeight="1">
      <c r="A200" s="76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</row>
    <row r="201" spans="1:25" ht="13.5" customHeight="1">
      <c r="A201" s="76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</row>
    <row r="202" spans="1:25" ht="13.5" customHeight="1">
      <c r="A202" s="76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</row>
    <row r="203" spans="1:25" ht="13.5" customHeight="1">
      <c r="A203" s="76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</row>
    <row r="204" spans="1:25" ht="13.5" customHeight="1">
      <c r="A204" s="76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</row>
    <row r="205" spans="1:25" ht="13.5" customHeight="1">
      <c r="A205" s="76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</row>
    <row r="206" spans="1:25" ht="13.5" customHeight="1">
      <c r="A206" s="76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</row>
    <row r="207" spans="1:25" ht="13.5" customHeight="1">
      <c r="A207" s="76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</row>
    <row r="208" spans="1:25" ht="13.5" customHeight="1">
      <c r="A208" s="76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</row>
    <row r="209" spans="1:25" ht="13.5" customHeight="1">
      <c r="A209" s="76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</row>
    <row r="210" spans="1:25" ht="13.5" customHeight="1">
      <c r="A210" s="76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</row>
    <row r="211" spans="1:25" ht="13.5" customHeight="1">
      <c r="A211" s="76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</row>
    <row r="212" spans="1:25" ht="13.5" customHeight="1">
      <c r="A212" s="76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</row>
    <row r="213" spans="1:25" ht="13.5" customHeight="1">
      <c r="A213" s="76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</row>
    <row r="214" spans="1:25" ht="13.5" customHeight="1">
      <c r="A214" s="76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</row>
    <row r="215" spans="1:25" ht="13.5" customHeight="1">
      <c r="A215" s="76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</row>
    <row r="216" spans="1:25" ht="13.5" customHeight="1">
      <c r="A216" s="76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</row>
    <row r="217" spans="1:25" ht="13.5" customHeight="1">
      <c r="A217" s="76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</row>
    <row r="218" spans="1:25" ht="13.5" customHeight="1">
      <c r="A218" s="76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</row>
    <row r="219" spans="1:25" ht="13.5" customHeight="1">
      <c r="A219" s="76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</row>
    <row r="220" spans="1:25" ht="13.5" customHeight="1">
      <c r="A220" s="76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</row>
    <row r="221" spans="1:25" ht="13.5" customHeight="1">
      <c r="A221" s="76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</row>
    <row r="222" spans="1:25" ht="13.5" customHeight="1">
      <c r="A222" s="76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</row>
    <row r="223" spans="1:25" ht="13.5" customHeight="1">
      <c r="A223" s="76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</row>
    <row r="224" spans="1:25" ht="13.5" customHeight="1">
      <c r="A224" s="76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</row>
    <row r="225" spans="1:25" ht="13.5" customHeight="1">
      <c r="A225" s="76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</row>
    <row r="226" spans="1:25" ht="13.5" customHeight="1">
      <c r="A226" s="76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</row>
    <row r="227" spans="1:25" ht="13.5" customHeight="1">
      <c r="A227" s="76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</row>
    <row r="228" spans="1:25" ht="13.5" customHeight="1">
      <c r="A228" s="76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</row>
    <row r="229" spans="1:25" ht="13.5" customHeight="1">
      <c r="A229" s="76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</row>
    <row r="230" spans="1:25" ht="13.5" customHeight="1">
      <c r="A230" s="76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</row>
    <row r="231" spans="1:25" ht="13.5" customHeight="1">
      <c r="A231" s="76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</row>
    <row r="232" spans="1:25" ht="13.5" customHeight="1">
      <c r="A232" s="76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</row>
    <row r="233" spans="1:25" ht="13.5" customHeight="1">
      <c r="A233" s="76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</row>
    <row r="234" spans="1:25" ht="13.5" customHeight="1">
      <c r="A234" s="76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</row>
    <row r="235" spans="1:25" ht="13.5" customHeight="1">
      <c r="A235" s="76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</row>
    <row r="236" spans="1:25" ht="13.5" customHeight="1">
      <c r="A236" s="76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</row>
    <row r="237" spans="1:25" ht="13.5" customHeight="1">
      <c r="A237" s="76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</row>
    <row r="238" spans="1:25" ht="13.5" customHeight="1">
      <c r="A238" s="76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</row>
    <row r="239" spans="1:25" ht="13.5" customHeight="1">
      <c r="A239" s="76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</row>
    <row r="240" spans="1:25" ht="13.5" customHeight="1">
      <c r="A240" s="76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</row>
    <row r="241" spans="1:25" ht="13.5" customHeight="1">
      <c r="A241" s="76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</row>
    <row r="242" spans="1:25" ht="13.5" customHeight="1">
      <c r="A242" s="76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</row>
    <row r="243" spans="1:25" ht="13.5" customHeight="1">
      <c r="A243" s="76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</row>
    <row r="244" spans="1:25" ht="13.5" customHeight="1">
      <c r="A244" s="76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</row>
    <row r="245" spans="1:25" ht="13.5" customHeight="1">
      <c r="A245" s="76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</row>
    <row r="246" spans="1:25" ht="13.5" customHeight="1">
      <c r="A246" s="76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</row>
    <row r="247" spans="1:25" ht="13.5" customHeight="1">
      <c r="A247" s="76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</row>
    <row r="248" spans="1:25" ht="13.5" customHeight="1">
      <c r="A248" s="76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</row>
    <row r="249" spans="1:25" ht="13.5" customHeight="1">
      <c r="A249" s="76"/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</row>
    <row r="250" spans="1:25" ht="13.5" customHeight="1">
      <c r="A250" s="76"/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</row>
    <row r="251" spans="1:25" ht="13.5" customHeight="1">
      <c r="A251" s="76"/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</row>
    <row r="252" spans="1:25" ht="13.5" customHeight="1">
      <c r="A252" s="76"/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</row>
    <row r="253" spans="1:25" ht="13.5" customHeight="1">
      <c r="A253" s="76"/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</row>
    <row r="254" spans="1:25" ht="13.5" customHeight="1">
      <c r="A254" s="76"/>
      <c r="B254" s="76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</row>
    <row r="255" spans="1:25" ht="13.5" customHeight="1">
      <c r="A255" s="76"/>
      <c r="B255" s="76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</row>
    <row r="256" spans="1:25" ht="13.5" customHeight="1">
      <c r="A256" s="76"/>
      <c r="B256" s="76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</row>
    <row r="257" spans="1:25" ht="13.5" customHeight="1">
      <c r="A257" s="76"/>
      <c r="B257" s="76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</row>
    <row r="258" spans="1:25" ht="13.5" customHeight="1">
      <c r="A258" s="76"/>
      <c r="B258" s="76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</row>
    <row r="259" spans="1:25" ht="13.5" customHeight="1">
      <c r="A259" s="76"/>
      <c r="B259" s="76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</row>
    <row r="260" spans="1:25" ht="13.5" customHeight="1">
      <c r="A260" s="76"/>
      <c r="B260" s="76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</row>
    <row r="261" spans="1:25" ht="13.5" customHeight="1">
      <c r="A261" s="76"/>
      <c r="B261" s="76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</row>
    <row r="262" spans="1:25" ht="13.5" customHeight="1">
      <c r="A262" s="76"/>
      <c r="B262" s="76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</row>
    <row r="263" spans="1:25" ht="13.5" customHeight="1">
      <c r="A263" s="76"/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</row>
    <row r="264" spans="1:25" ht="13.5" customHeight="1">
      <c r="A264" s="76"/>
      <c r="B264" s="76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</row>
    <row r="265" spans="1:25" ht="13.5" customHeight="1">
      <c r="A265" s="76"/>
      <c r="B265" s="76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</row>
    <row r="266" spans="1:25" ht="13.5" customHeight="1">
      <c r="A266" s="76"/>
      <c r="B266" s="76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</row>
    <row r="267" spans="1:25" ht="13.5" customHeight="1">
      <c r="A267" s="76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</row>
    <row r="268" spans="1:25" ht="13.5" customHeight="1">
      <c r="A268" s="76"/>
      <c r="B268" s="76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</row>
    <row r="269" spans="1:25" ht="13.5" customHeight="1">
      <c r="A269" s="76"/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</row>
    <row r="270" spans="1:25" ht="13.5" customHeight="1">
      <c r="A270" s="76"/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</row>
    <row r="271" spans="1:25" ht="13.5" customHeight="1">
      <c r="A271" s="76"/>
      <c r="B271" s="76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</row>
    <row r="272" spans="1:25" ht="13.5" customHeight="1">
      <c r="A272" s="76"/>
      <c r="B272" s="76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</row>
    <row r="273" spans="1:25" ht="13.5" customHeight="1">
      <c r="A273" s="76"/>
      <c r="B273" s="76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</row>
    <row r="274" spans="1:25" ht="13.5" customHeight="1">
      <c r="A274" s="76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</row>
    <row r="275" spans="1:25" ht="13.5" customHeight="1">
      <c r="A275" s="76"/>
      <c r="B275" s="76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</row>
    <row r="276" spans="1:25" ht="13.5" customHeight="1">
      <c r="A276" s="76"/>
      <c r="B276" s="76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6"/>
      <c r="S276" s="76"/>
      <c r="T276" s="76"/>
      <c r="U276" s="76"/>
      <c r="V276" s="76"/>
      <c r="W276" s="76"/>
      <c r="X276" s="76"/>
      <c r="Y276" s="76"/>
    </row>
    <row r="277" spans="1:25" ht="13.5" customHeight="1">
      <c r="A277" s="76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6"/>
      <c r="S277" s="76"/>
      <c r="T277" s="76"/>
      <c r="U277" s="76"/>
      <c r="V277" s="76"/>
      <c r="W277" s="76"/>
      <c r="X277" s="76"/>
      <c r="Y277" s="76"/>
    </row>
    <row r="278" spans="1:25" ht="13.5" customHeight="1">
      <c r="A278" s="76"/>
      <c r="B278" s="76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</row>
    <row r="279" spans="1:25" ht="13.5" customHeight="1">
      <c r="A279" s="76"/>
      <c r="B279" s="76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</row>
    <row r="280" spans="1:25" ht="13.5" customHeight="1">
      <c r="A280" s="76"/>
      <c r="B280" s="76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</row>
    <row r="281" spans="1:25" ht="13.5" customHeight="1">
      <c r="A281" s="76"/>
      <c r="B281" s="76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  <c r="W281" s="76"/>
      <c r="X281" s="76"/>
      <c r="Y281" s="76"/>
    </row>
    <row r="282" spans="1:25" ht="13.5" customHeight="1">
      <c r="A282" s="76"/>
      <c r="B282" s="76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6"/>
      <c r="X282" s="76"/>
      <c r="Y282" s="76"/>
    </row>
    <row r="283" spans="1:25" ht="13.5" customHeight="1">
      <c r="A283" s="76"/>
      <c r="B283" s="76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</row>
    <row r="284" spans="1:25" ht="13.5" customHeight="1">
      <c r="A284" s="76"/>
      <c r="B284" s="76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</row>
    <row r="285" spans="1:25" ht="13.5" customHeight="1">
      <c r="A285" s="76"/>
      <c r="B285" s="76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</row>
    <row r="286" spans="1:25" ht="13.5" customHeight="1">
      <c r="A286" s="76"/>
      <c r="B286" s="76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</row>
    <row r="287" spans="1:25" ht="13.5" customHeight="1">
      <c r="A287" s="76"/>
      <c r="B287" s="76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</row>
    <row r="288" spans="1:25" ht="13.5" customHeight="1">
      <c r="A288" s="76"/>
      <c r="B288" s="76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  <c r="W288" s="76"/>
      <c r="X288" s="76"/>
      <c r="Y288" s="76"/>
    </row>
    <row r="289" spans="1:25" ht="13.5" customHeight="1">
      <c r="A289" s="76"/>
      <c r="B289" s="76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</row>
    <row r="290" spans="1:25" ht="13.5" customHeight="1">
      <c r="A290" s="76"/>
      <c r="B290" s="76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</row>
    <row r="291" spans="1:25" ht="13.5" customHeight="1">
      <c r="A291" s="76"/>
      <c r="B291" s="76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</row>
    <row r="292" spans="1:25" ht="13.5" customHeight="1">
      <c r="A292" s="76"/>
      <c r="B292" s="76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</row>
    <row r="293" spans="1:25" ht="13.5" customHeight="1">
      <c r="A293" s="76"/>
      <c r="B293" s="76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</row>
    <row r="294" spans="1:25" ht="13.5" customHeight="1">
      <c r="A294" s="76"/>
      <c r="B294" s="76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</row>
    <row r="295" spans="1:25" ht="13.5" customHeight="1">
      <c r="A295" s="76"/>
      <c r="B295" s="76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</row>
    <row r="296" spans="1:25" ht="13.5" customHeight="1">
      <c r="A296" s="76"/>
      <c r="B296" s="76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</row>
    <row r="297" spans="1:25" ht="13.5" customHeight="1">
      <c r="A297" s="76"/>
      <c r="B297" s="76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</row>
    <row r="298" spans="1:25" ht="13.5" customHeight="1">
      <c r="A298" s="76"/>
      <c r="B298" s="76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</row>
    <row r="299" spans="1:25" ht="13.5" customHeight="1">
      <c r="A299" s="76"/>
      <c r="B299" s="76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</row>
    <row r="300" spans="1:25" ht="13.5" customHeight="1">
      <c r="A300" s="76"/>
      <c r="B300" s="76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</row>
    <row r="301" spans="1:25" ht="13.5" customHeight="1">
      <c r="A301" s="76"/>
      <c r="B301" s="76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</row>
    <row r="302" spans="1:25" ht="13.5" customHeight="1">
      <c r="A302" s="76"/>
      <c r="B302" s="76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/>
      <c r="Y302" s="76"/>
    </row>
    <row r="303" spans="1:25" ht="13.5" customHeight="1">
      <c r="A303" s="76"/>
      <c r="B303" s="76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</row>
    <row r="304" spans="1:25" ht="13.5" customHeight="1">
      <c r="A304" s="76"/>
      <c r="B304" s="76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</row>
    <row r="305" spans="1:25" ht="13.5" customHeight="1">
      <c r="A305" s="76"/>
      <c r="B305" s="76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</row>
    <row r="306" spans="1:25" ht="13.5" customHeight="1">
      <c r="A306" s="76"/>
      <c r="B306" s="76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  <c r="W306" s="76"/>
      <c r="X306" s="76"/>
      <c r="Y306" s="76"/>
    </row>
    <row r="307" spans="1:25" ht="13.5" customHeight="1">
      <c r="A307" s="76"/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</row>
    <row r="308" spans="1:25" ht="13.5" customHeight="1">
      <c r="A308" s="76"/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</row>
    <row r="309" spans="1:25" ht="13.5" customHeight="1">
      <c r="A309" s="76"/>
      <c r="B309" s="76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  <c r="W309" s="76"/>
      <c r="X309" s="76"/>
      <c r="Y309" s="76"/>
    </row>
    <row r="310" spans="1:25" ht="13.5" customHeight="1">
      <c r="A310" s="76"/>
      <c r="B310" s="76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76"/>
    </row>
    <row r="311" spans="1:25" ht="13.5" customHeight="1">
      <c r="A311" s="76"/>
      <c r="B311" s="76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</row>
    <row r="312" spans="1:25" ht="13.5" customHeight="1">
      <c r="A312" s="76"/>
      <c r="B312" s="76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</row>
    <row r="313" spans="1:25" ht="13.5" customHeight="1">
      <c r="A313" s="76"/>
      <c r="B313" s="76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  <c r="W313" s="76"/>
      <c r="X313" s="76"/>
      <c r="Y313" s="76"/>
    </row>
    <row r="314" spans="1:25" ht="13.5" customHeight="1">
      <c r="A314" s="76"/>
      <c r="B314" s="76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</row>
    <row r="315" spans="1:25" ht="13.5" customHeight="1">
      <c r="A315" s="76"/>
      <c r="B315" s="76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/>
      <c r="Y315" s="76"/>
    </row>
    <row r="316" spans="1:25" ht="13.5" customHeight="1">
      <c r="A316" s="76"/>
      <c r="B316" s="76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  <c r="W316" s="76"/>
      <c r="X316" s="76"/>
      <c r="Y316" s="76"/>
    </row>
    <row r="317" spans="1:25" ht="13.5" customHeight="1">
      <c r="A317" s="76"/>
      <c r="B317" s="76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</row>
    <row r="318" spans="1:25" ht="13.5" customHeight="1">
      <c r="A318" s="76"/>
      <c r="B318" s="76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  <c r="W318" s="76"/>
      <c r="X318" s="76"/>
      <c r="Y318" s="76"/>
    </row>
    <row r="319" spans="1:25" ht="13.5" customHeight="1">
      <c r="A319" s="76"/>
      <c r="B319" s="76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</row>
    <row r="320" spans="1:25" ht="13.5" customHeight="1">
      <c r="A320" s="76"/>
      <c r="B320" s="76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</row>
    <row r="321" spans="1:25" ht="13.5" customHeight="1">
      <c r="A321" s="76"/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</row>
    <row r="322" spans="1:25" ht="13.5" customHeight="1">
      <c r="A322" s="76"/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  <c r="W322" s="76"/>
      <c r="X322" s="76"/>
      <c r="Y322" s="76"/>
    </row>
    <row r="323" spans="1:25" ht="13.5" customHeight="1">
      <c r="A323" s="76"/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  <c r="W323" s="76"/>
      <c r="X323" s="76"/>
      <c r="Y323" s="76"/>
    </row>
    <row r="324" spans="1:25" ht="13.5" customHeight="1">
      <c r="A324" s="76"/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</row>
    <row r="325" spans="1:25" ht="13.5" customHeight="1">
      <c r="A325" s="76"/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  <c r="W325" s="76"/>
      <c r="X325" s="76"/>
      <c r="Y325" s="76"/>
    </row>
    <row r="326" spans="1:25" ht="13.5" customHeight="1">
      <c r="A326" s="76"/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</row>
    <row r="327" spans="1:25" ht="13.5" customHeight="1">
      <c r="A327" s="76"/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</row>
    <row r="328" spans="1:25" ht="13.5" customHeight="1">
      <c r="A328" s="76"/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</row>
    <row r="329" spans="1:25" ht="13.5" customHeight="1">
      <c r="A329" s="76"/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</row>
    <row r="330" spans="1:25" ht="13.5" customHeight="1">
      <c r="A330" s="76"/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  <c r="W330" s="76"/>
      <c r="X330" s="76"/>
      <c r="Y330" s="76"/>
    </row>
    <row r="331" spans="1:25" ht="13.5" customHeight="1">
      <c r="A331" s="76"/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</row>
    <row r="332" spans="1:25" ht="13.5" customHeight="1">
      <c r="A332" s="76"/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</row>
    <row r="333" spans="1:25" ht="13.5" customHeight="1">
      <c r="A333" s="76"/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</row>
    <row r="334" spans="1:25" ht="13.5" customHeight="1">
      <c r="A334" s="76"/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  <c r="W334" s="76"/>
      <c r="X334" s="76"/>
      <c r="Y334" s="76"/>
    </row>
    <row r="335" spans="1:25" ht="13.5" customHeight="1">
      <c r="A335" s="76"/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</row>
    <row r="336" spans="1:25" ht="13.5" customHeight="1">
      <c r="A336" s="76"/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  <c r="W336" s="76"/>
      <c r="X336" s="76"/>
      <c r="Y336" s="76"/>
    </row>
    <row r="337" spans="1:25" ht="13.5" customHeight="1">
      <c r="A337" s="76"/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</row>
    <row r="338" spans="1:25" ht="13.5" customHeight="1">
      <c r="A338" s="76"/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</row>
    <row r="339" spans="1:25" ht="13.5" customHeight="1">
      <c r="A339" s="76"/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  <c r="W339" s="76"/>
      <c r="X339" s="76"/>
      <c r="Y339" s="76"/>
    </row>
    <row r="340" spans="1:25" ht="13.5" customHeight="1">
      <c r="A340" s="76"/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  <c r="W340" s="76"/>
      <c r="X340" s="76"/>
      <c r="Y340" s="76"/>
    </row>
    <row r="341" spans="1:25" ht="13.5" customHeight="1">
      <c r="A341" s="76"/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76"/>
    </row>
    <row r="342" spans="1:25" ht="13.5" customHeight="1">
      <c r="A342" s="76"/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</row>
    <row r="343" spans="1:25" ht="13.5" customHeight="1">
      <c r="A343" s="76"/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  <c r="W343" s="76"/>
      <c r="X343" s="76"/>
      <c r="Y343" s="76"/>
    </row>
    <row r="344" spans="1:25" ht="13.5" customHeight="1">
      <c r="A344" s="76"/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  <c r="W344" s="76"/>
      <c r="X344" s="76"/>
      <c r="Y344" s="76"/>
    </row>
    <row r="345" spans="1:25" ht="13.5" customHeight="1">
      <c r="A345" s="76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  <c r="W345" s="76"/>
      <c r="X345" s="76"/>
      <c r="Y345" s="76"/>
    </row>
    <row r="346" spans="1:25" ht="13.5" customHeight="1">
      <c r="A346" s="76"/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/>
      <c r="Y346" s="76"/>
    </row>
    <row r="347" spans="1:25" ht="13.5" customHeight="1">
      <c r="A347" s="76"/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</row>
    <row r="348" spans="1:25" ht="13.5" customHeight="1">
      <c r="A348" s="76"/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  <c r="W348" s="76"/>
      <c r="X348" s="76"/>
      <c r="Y348" s="76"/>
    </row>
    <row r="349" spans="1:25" ht="13.5" customHeight="1">
      <c r="A349" s="76"/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</row>
    <row r="350" spans="1:25" ht="13.5" customHeight="1">
      <c r="A350" s="76"/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</row>
    <row r="351" spans="1:25" ht="13.5" customHeight="1">
      <c r="A351" s="76"/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</row>
    <row r="352" spans="1:25" ht="13.5" customHeight="1">
      <c r="A352" s="76"/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</row>
    <row r="353" spans="1:25" ht="13.5" customHeight="1">
      <c r="A353" s="76"/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  <c r="W353" s="76"/>
      <c r="X353" s="76"/>
      <c r="Y353" s="76"/>
    </row>
    <row r="354" spans="1:25" ht="13.5" customHeight="1">
      <c r="A354" s="76"/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</row>
    <row r="355" spans="1:25" ht="13.5" customHeight="1">
      <c r="A355" s="76"/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  <c r="X355" s="76"/>
      <c r="Y355" s="76"/>
    </row>
    <row r="356" spans="1:25" ht="13.5" customHeight="1">
      <c r="A356" s="76"/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  <c r="X356" s="76"/>
      <c r="Y356" s="76"/>
    </row>
    <row r="357" spans="1:25" ht="13.5" customHeight="1">
      <c r="A357" s="76"/>
      <c r="B357" s="76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  <c r="W357" s="76"/>
      <c r="X357" s="76"/>
      <c r="Y357" s="76"/>
    </row>
    <row r="358" spans="1:25" ht="13.5" customHeight="1">
      <c r="A358" s="76"/>
      <c r="B358" s="76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/>
      <c r="Y358" s="76"/>
    </row>
    <row r="359" spans="1:25" ht="13.5" customHeight="1">
      <c r="A359" s="76"/>
      <c r="B359" s="76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</row>
    <row r="360" spans="1:25" ht="13.5" customHeight="1">
      <c r="A360" s="76"/>
      <c r="B360" s="76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  <c r="W360" s="76"/>
      <c r="X360" s="76"/>
      <c r="Y360" s="76"/>
    </row>
    <row r="361" spans="1:25" ht="13.5" customHeight="1">
      <c r="A361" s="76"/>
      <c r="B361" s="76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  <c r="W361" s="76"/>
      <c r="X361" s="76"/>
      <c r="Y361" s="76"/>
    </row>
    <row r="362" spans="1:25" ht="13.5" customHeight="1">
      <c r="A362" s="76"/>
      <c r="B362" s="76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</row>
    <row r="363" spans="1:25" ht="13.5" customHeight="1">
      <c r="A363" s="76"/>
      <c r="B363" s="76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</row>
    <row r="364" spans="1:25" ht="13.5" customHeight="1">
      <c r="A364" s="76"/>
      <c r="B364" s="76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</row>
    <row r="365" spans="1:25" ht="13.5" customHeight="1">
      <c r="A365" s="76"/>
      <c r="B365" s="76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  <c r="W365" s="76"/>
      <c r="X365" s="76"/>
      <c r="Y365" s="76"/>
    </row>
    <row r="366" spans="1:25" ht="13.5" customHeight="1">
      <c r="A366" s="76"/>
      <c r="B366" s="76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  <c r="W366" s="76"/>
      <c r="X366" s="76"/>
      <c r="Y366" s="76"/>
    </row>
    <row r="367" spans="1:25" ht="13.5" customHeight="1">
      <c r="A367" s="76"/>
      <c r="B367" s="76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  <c r="W367" s="76"/>
      <c r="X367" s="76"/>
      <c r="Y367" s="76"/>
    </row>
    <row r="368" spans="1:25" ht="13.5" customHeight="1">
      <c r="A368" s="76"/>
      <c r="B368" s="76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  <c r="W368" s="76"/>
      <c r="X368" s="76"/>
      <c r="Y368" s="76"/>
    </row>
    <row r="369" spans="1:25" ht="13.5" customHeight="1">
      <c r="A369" s="76"/>
      <c r="B369" s="76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  <c r="W369" s="76"/>
      <c r="X369" s="76"/>
      <c r="Y369" s="76"/>
    </row>
    <row r="370" spans="1:25" ht="13.5" customHeight="1">
      <c r="A370" s="76"/>
      <c r="B370" s="76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</row>
    <row r="371" spans="1:25" ht="13.5" customHeight="1">
      <c r="A371" s="76"/>
      <c r="B371" s="76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</row>
    <row r="372" spans="1:25" ht="13.5" customHeight="1">
      <c r="A372" s="76"/>
      <c r="B372" s="76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  <c r="W372" s="76"/>
      <c r="X372" s="76"/>
      <c r="Y372" s="76"/>
    </row>
    <row r="373" spans="1:25" ht="13.5" customHeight="1">
      <c r="A373" s="76"/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</row>
    <row r="374" spans="1:25" ht="13.5" customHeight="1">
      <c r="A374" s="76"/>
      <c r="B374" s="76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  <c r="W374" s="76"/>
      <c r="X374" s="76"/>
      <c r="Y374" s="76"/>
    </row>
    <row r="375" spans="1:25" ht="13.5" customHeight="1">
      <c r="A375" s="76"/>
      <c r="B375" s="76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</row>
    <row r="376" spans="1:25" ht="13.5" customHeight="1">
      <c r="A376" s="76"/>
      <c r="B376" s="76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</row>
    <row r="377" spans="1:25" ht="13.5" customHeight="1">
      <c r="A377" s="76"/>
      <c r="B377" s="76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</row>
    <row r="378" spans="1:25" ht="13.5" customHeight="1">
      <c r="A378" s="76"/>
      <c r="B378" s="76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</row>
    <row r="379" spans="1:25" ht="13.5" customHeight="1">
      <c r="A379" s="76"/>
      <c r="B379" s="76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</row>
    <row r="380" spans="1:25" ht="13.5" customHeight="1">
      <c r="A380" s="76"/>
      <c r="B380" s="76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</row>
    <row r="381" spans="1:25" ht="13.5" customHeight="1">
      <c r="A381" s="76"/>
      <c r="B381" s="76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</row>
    <row r="382" spans="1:25" ht="13.5" customHeight="1">
      <c r="A382" s="76"/>
      <c r="B382" s="76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</row>
    <row r="383" spans="1:25" ht="13.5" customHeight="1">
      <c r="A383" s="76"/>
      <c r="B383" s="76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</row>
    <row r="384" spans="1:25" ht="13.5" customHeight="1">
      <c r="A384" s="76"/>
      <c r="B384" s="76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</row>
    <row r="385" spans="1:25" ht="13.5" customHeight="1">
      <c r="A385" s="76"/>
      <c r="B385" s="76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  <c r="W385" s="76"/>
      <c r="X385" s="76"/>
      <c r="Y385" s="76"/>
    </row>
    <row r="386" spans="1:25" ht="13.5" customHeight="1">
      <c r="A386" s="76"/>
      <c r="B386" s="76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</row>
    <row r="387" spans="1:25" ht="13.5" customHeight="1">
      <c r="A387" s="76"/>
      <c r="B387" s="76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</row>
    <row r="388" spans="1:25" ht="13.5" customHeight="1">
      <c r="A388" s="76"/>
      <c r="B388" s="76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</row>
    <row r="389" spans="1:25" ht="13.5" customHeight="1">
      <c r="A389" s="76"/>
      <c r="B389" s="76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</row>
    <row r="390" spans="1:25" ht="13.5" customHeight="1">
      <c r="A390" s="76"/>
      <c r="B390" s="76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</row>
    <row r="391" spans="1:25" ht="13.5" customHeight="1">
      <c r="A391" s="76"/>
      <c r="B391" s="76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</row>
    <row r="392" spans="1:25" ht="13.5" customHeight="1">
      <c r="A392" s="76"/>
      <c r="B392" s="76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</row>
    <row r="393" spans="1:25" ht="13.5" customHeight="1">
      <c r="A393" s="76"/>
      <c r="B393" s="76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</row>
    <row r="394" spans="1:25" ht="13.5" customHeight="1">
      <c r="A394" s="76"/>
      <c r="B394" s="76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</row>
    <row r="395" spans="1:25" ht="13.5" customHeight="1">
      <c r="A395" s="76"/>
      <c r="B395" s="76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</row>
    <row r="396" spans="1:25" ht="13.5" customHeight="1">
      <c r="A396" s="76"/>
      <c r="B396" s="76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</row>
    <row r="397" spans="1:25" ht="13.5" customHeight="1">
      <c r="A397" s="76"/>
      <c r="B397" s="76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</row>
    <row r="398" spans="1:25" ht="13.5" customHeight="1">
      <c r="A398" s="76"/>
      <c r="B398" s="76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</row>
    <row r="399" spans="1:25" ht="13.5" customHeight="1">
      <c r="A399" s="76"/>
      <c r="B399" s="76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  <c r="W399" s="76"/>
      <c r="X399" s="76"/>
      <c r="Y399" s="76"/>
    </row>
    <row r="400" spans="1:25" ht="13.5" customHeight="1">
      <c r="A400" s="76"/>
      <c r="B400" s="76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</row>
    <row r="401" spans="1:25" ht="13.5" customHeight="1">
      <c r="A401" s="76"/>
      <c r="B401" s="76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</row>
    <row r="402" spans="1:25" ht="13.5" customHeight="1">
      <c r="A402" s="76"/>
      <c r="B402" s="76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</row>
    <row r="403" spans="1:25" ht="13.5" customHeight="1">
      <c r="A403" s="76"/>
      <c r="B403" s="76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</row>
    <row r="404" spans="1:25" ht="13.5" customHeight="1">
      <c r="A404" s="76"/>
      <c r="B404" s="76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</row>
    <row r="405" spans="1:25" ht="13.5" customHeight="1">
      <c r="A405" s="76"/>
      <c r="B405" s="76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  <c r="W405" s="76"/>
      <c r="X405" s="76"/>
      <c r="Y405" s="76"/>
    </row>
    <row r="406" spans="1:25" ht="13.5" customHeight="1">
      <c r="A406" s="76"/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</row>
    <row r="407" spans="1:25" ht="13.5" customHeight="1">
      <c r="A407" s="76"/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</row>
    <row r="408" spans="1:25" ht="13.5" customHeight="1">
      <c r="A408" s="76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</row>
    <row r="409" spans="1:25" ht="13.5" customHeight="1">
      <c r="A409" s="76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</row>
    <row r="410" spans="1:25" ht="13.5" customHeight="1">
      <c r="A410" s="76"/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</row>
    <row r="411" spans="1:25" ht="13.5" customHeight="1">
      <c r="A411" s="76"/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</row>
    <row r="412" spans="1:25" ht="13.5" customHeight="1">
      <c r="A412" s="76"/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</row>
    <row r="413" spans="1:25" ht="13.5" customHeight="1">
      <c r="A413" s="76"/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</row>
    <row r="414" spans="1:25" ht="13.5" customHeight="1">
      <c r="A414" s="76"/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</row>
    <row r="415" spans="1:25" ht="13.5" customHeight="1">
      <c r="A415" s="76"/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</row>
    <row r="416" spans="1:25" ht="13.5" customHeight="1">
      <c r="A416" s="76"/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</row>
    <row r="417" spans="1:25" ht="13.5" customHeight="1">
      <c r="A417" s="76"/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</row>
    <row r="418" spans="1:25" ht="13.5" customHeight="1">
      <c r="A418" s="76"/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</row>
    <row r="419" spans="1:25" ht="13.5" customHeight="1">
      <c r="A419" s="76"/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</row>
    <row r="420" spans="1:25" ht="13.5" customHeight="1">
      <c r="A420" s="76"/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</row>
    <row r="421" spans="1:25" ht="13.5" customHeight="1">
      <c r="A421" s="76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</row>
    <row r="422" spans="1:25" ht="13.5" customHeight="1">
      <c r="A422" s="76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</row>
    <row r="423" spans="1:25" ht="13.5" customHeight="1">
      <c r="A423" s="76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</row>
    <row r="424" spans="1:25" ht="13.5" customHeight="1">
      <c r="A424" s="76"/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</row>
    <row r="425" spans="1:25" ht="13.5" customHeight="1">
      <c r="A425" s="76"/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</row>
    <row r="426" spans="1:25" ht="13.5" customHeight="1">
      <c r="A426" s="76"/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</row>
    <row r="427" spans="1:25" ht="13.5" customHeight="1">
      <c r="A427" s="76"/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</row>
    <row r="428" spans="1:25" ht="13.5" customHeight="1">
      <c r="A428" s="76"/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</row>
    <row r="429" spans="1:25" ht="13.5" customHeight="1">
      <c r="A429" s="76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</row>
    <row r="430" spans="1:25" ht="13.5" customHeight="1">
      <c r="A430" s="76"/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</row>
    <row r="431" spans="1:25" ht="13.5" customHeight="1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</row>
    <row r="432" spans="1:25" ht="13.5" customHeight="1">
      <c r="A432" s="76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</row>
    <row r="433" spans="1:25" ht="13.5" customHeight="1">
      <c r="A433" s="76"/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</row>
    <row r="434" spans="1:25" ht="13.5" customHeight="1">
      <c r="A434" s="76"/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</row>
    <row r="435" spans="1:25" ht="13.5" customHeight="1">
      <c r="A435" s="76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</row>
    <row r="436" spans="1:25" ht="13.5" customHeight="1">
      <c r="A436" s="76"/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</row>
    <row r="437" spans="1:25" ht="13.5" customHeight="1">
      <c r="A437" s="76"/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</row>
    <row r="438" spans="1:25" ht="13.5" customHeight="1">
      <c r="A438" s="76"/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</row>
    <row r="439" spans="1:25" ht="13.5" customHeight="1">
      <c r="A439" s="76"/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</row>
    <row r="440" spans="1:25" ht="13.5" customHeight="1">
      <c r="A440" s="76"/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</row>
    <row r="441" spans="1:25" ht="13.5" customHeight="1">
      <c r="A441" s="76"/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</row>
    <row r="442" spans="1:25" ht="13.5" customHeight="1">
      <c r="A442" s="76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</row>
    <row r="443" spans="1:25" ht="13.5" customHeight="1">
      <c r="A443" s="76"/>
      <c r="B443" s="76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</row>
    <row r="444" spans="1:25" ht="13.5" customHeight="1">
      <c r="A444" s="76"/>
      <c r="B444" s="76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</row>
    <row r="445" spans="1:25" ht="13.5" customHeight="1">
      <c r="A445" s="76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</row>
    <row r="446" spans="1:25" ht="13.5" customHeight="1">
      <c r="A446" s="76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</row>
    <row r="447" spans="1:25" ht="13.5" customHeight="1">
      <c r="A447" s="76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</row>
    <row r="448" spans="1:25" ht="13.5" customHeight="1">
      <c r="A448" s="76"/>
      <c r="B448" s="76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  <c r="W448" s="76"/>
      <c r="X448" s="76"/>
      <c r="Y448" s="76"/>
    </row>
    <row r="449" spans="1:25" ht="13.5" customHeight="1">
      <c r="A449" s="76"/>
      <c r="B449" s="76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</row>
    <row r="450" spans="1:25" ht="13.5" customHeight="1">
      <c r="A450" s="76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</row>
    <row r="451" spans="1:25" ht="13.5" customHeight="1">
      <c r="A451" s="76"/>
      <c r="B451" s="76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</row>
    <row r="452" spans="1:25" ht="13.5" customHeight="1">
      <c r="A452" s="76"/>
      <c r="B452" s="76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</row>
    <row r="453" spans="1:25" ht="13.5" customHeight="1">
      <c r="A453" s="76"/>
      <c r="B453" s="76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/>
      <c r="W453" s="76"/>
      <c r="X453" s="76"/>
      <c r="Y453" s="76"/>
    </row>
    <row r="454" spans="1:25" ht="13.5" customHeight="1">
      <c r="A454" s="76"/>
      <c r="B454" s="76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</row>
    <row r="455" spans="1:25" ht="13.5" customHeight="1">
      <c r="A455" s="76"/>
      <c r="B455" s="76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</row>
    <row r="456" spans="1:25" ht="13.5" customHeight="1">
      <c r="A456" s="76"/>
      <c r="B456" s="76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</row>
    <row r="457" spans="1:25" ht="13.5" customHeight="1">
      <c r="A457" s="76"/>
      <c r="B457" s="76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</row>
    <row r="458" spans="1:25" ht="13.5" customHeight="1">
      <c r="A458" s="76"/>
      <c r="B458" s="76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/>
      <c r="W458" s="76"/>
      <c r="X458" s="76"/>
      <c r="Y458" s="76"/>
    </row>
    <row r="459" spans="1:25" ht="13.5" customHeight="1">
      <c r="A459" s="76"/>
      <c r="B459" s="76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</row>
    <row r="460" spans="1:25" ht="13.5" customHeight="1">
      <c r="A460" s="76"/>
      <c r="B460" s="76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/>
      <c r="W460" s="76"/>
      <c r="X460" s="76"/>
      <c r="Y460" s="76"/>
    </row>
    <row r="461" spans="1:25" ht="13.5" customHeight="1">
      <c r="A461" s="76"/>
      <c r="B461" s="76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/>
      <c r="W461" s="76"/>
      <c r="X461" s="76"/>
      <c r="Y461" s="76"/>
    </row>
    <row r="462" spans="1:25" ht="13.5" customHeight="1">
      <c r="A462" s="76"/>
      <c r="B462" s="76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</row>
    <row r="463" spans="1:25" ht="13.5" customHeight="1">
      <c r="A463" s="76"/>
      <c r="B463" s="76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</row>
    <row r="464" spans="1:25" ht="13.5" customHeight="1">
      <c r="A464" s="76"/>
      <c r="B464" s="76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</row>
    <row r="465" spans="1:25" ht="13.5" customHeight="1">
      <c r="A465" s="76"/>
      <c r="B465" s="76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</row>
    <row r="466" spans="1:25" ht="13.5" customHeight="1">
      <c r="A466" s="76"/>
      <c r="B466" s="76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</row>
    <row r="467" spans="1:25" ht="13.5" customHeight="1">
      <c r="A467" s="76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</row>
    <row r="468" spans="1:25" ht="13.5" customHeight="1">
      <c r="A468" s="76"/>
      <c r="B468" s="76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</row>
    <row r="469" spans="1:25" ht="13.5" customHeight="1">
      <c r="A469" s="76"/>
      <c r="B469" s="76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/>
      <c r="Y469" s="76"/>
    </row>
    <row r="470" spans="1:25" ht="13.5" customHeight="1">
      <c r="A470" s="76"/>
      <c r="B470" s="76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</row>
    <row r="471" spans="1:25" ht="13.5" customHeight="1">
      <c r="A471" s="76"/>
      <c r="B471" s="76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</row>
    <row r="472" spans="1:25" ht="13.5" customHeight="1">
      <c r="A472" s="76"/>
      <c r="B472" s="76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/>
      <c r="Y472" s="76"/>
    </row>
    <row r="473" spans="1:25" ht="13.5" customHeight="1">
      <c r="A473" s="76"/>
      <c r="B473" s="76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6"/>
      <c r="X473" s="76"/>
      <c r="Y473" s="76"/>
    </row>
    <row r="474" spans="1:25" ht="13.5" customHeight="1">
      <c r="A474" s="76"/>
      <c r="B474" s="76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/>
      <c r="W474" s="76"/>
      <c r="X474" s="76"/>
      <c r="Y474" s="76"/>
    </row>
    <row r="475" spans="1:25" ht="13.5" customHeight="1">
      <c r="A475" s="76"/>
      <c r="B475" s="76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</row>
    <row r="476" spans="1:25" ht="13.5" customHeight="1">
      <c r="A476" s="76"/>
      <c r="B476" s="76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/>
      <c r="W476" s="76"/>
      <c r="X476" s="76"/>
      <c r="Y476" s="76"/>
    </row>
    <row r="477" spans="1:25" ht="13.5" customHeight="1">
      <c r="A477" s="76"/>
      <c r="B477" s="76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/>
      <c r="W477" s="76"/>
      <c r="X477" s="76"/>
      <c r="Y477" s="76"/>
    </row>
    <row r="478" spans="1:25" ht="13.5" customHeight="1">
      <c r="A478" s="76"/>
      <c r="B478" s="76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/>
      <c r="W478" s="76"/>
      <c r="X478" s="76"/>
      <c r="Y478" s="76"/>
    </row>
    <row r="479" spans="1:25" ht="13.5" customHeight="1">
      <c r="A479" s="76"/>
      <c r="B479" s="76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</row>
    <row r="480" spans="1:25" ht="13.5" customHeight="1">
      <c r="A480" s="76"/>
      <c r="B480" s="76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</row>
    <row r="481" spans="1:25" ht="13.5" customHeight="1">
      <c r="A481" s="76"/>
      <c r="B481" s="76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/>
      <c r="W481" s="76"/>
      <c r="X481" s="76"/>
      <c r="Y481" s="76"/>
    </row>
    <row r="482" spans="1:25" ht="13.5" customHeight="1">
      <c r="A482" s="76"/>
      <c r="B482" s="76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/>
      <c r="W482" s="76"/>
      <c r="X482" s="76"/>
      <c r="Y482" s="76"/>
    </row>
    <row r="483" spans="1:25" ht="13.5" customHeight="1">
      <c r="A483" s="76"/>
      <c r="B483" s="76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/>
      <c r="W483" s="76"/>
      <c r="X483" s="76"/>
      <c r="Y483" s="76"/>
    </row>
    <row r="484" spans="1:25" ht="13.5" customHeight="1">
      <c r="A484" s="76"/>
      <c r="B484" s="76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/>
      <c r="W484" s="76"/>
      <c r="X484" s="76"/>
      <c r="Y484" s="76"/>
    </row>
    <row r="485" spans="1:25" ht="13.5" customHeight="1">
      <c r="A485" s="76"/>
      <c r="B485" s="76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</row>
    <row r="486" spans="1:25" ht="13.5" customHeight="1">
      <c r="A486" s="76"/>
      <c r="B486" s="76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</row>
    <row r="487" spans="1:25" ht="13.5" customHeight="1">
      <c r="A487" s="76"/>
      <c r="B487" s="76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/>
      <c r="W487" s="76"/>
      <c r="X487" s="76"/>
      <c r="Y487" s="76"/>
    </row>
    <row r="488" spans="1:25" ht="13.5" customHeight="1">
      <c r="A488" s="76"/>
      <c r="B488" s="76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/>
      <c r="W488" s="76"/>
      <c r="X488" s="76"/>
      <c r="Y488" s="76"/>
    </row>
    <row r="489" spans="1:25" ht="13.5" customHeight="1">
      <c r="A489" s="76"/>
      <c r="B489" s="76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</row>
    <row r="490" spans="1:25" ht="13.5" customHeight="1">
      <c r="A490" s="76"/>
      <c r="B490" s="76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</row>
    <row r="491" spans="1:25" ht="13.5" customHeight="1">
      <c r="A491" s="76"/>
      <c r="B491" s="76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/>
      <c r="Y491" s="76"/>
    </row>
    <row r="492" spans="1:25" ht="13.5" customHeight="1">
      <c r="A492" s="76"/>
      <c r="B492" s="76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</row>
    <row r="493" spans="1:25" ht="13.5" customHeight="1">
      <c r="A493" s="76"/>
      <c r="B493" s="76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</row>
    <row r="494" spans="1:25" ht="13.5" customHeight="1">
      <c r="A494" s="76"/>
      <c r="B494" s="76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</row>
    <row r="495" spans="1:25" ht="13.5" customHeight="1">
      <c r="A495" s="76"/>
      <c r="B495" s="76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</row>
    <row r="496" spans="1:25" ht="13.5" customHeight="1">
      <c r="A496" s="76"/>
      <c r="B496" s="76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</row>
    <row r="497" spans="1:25" ht="13.5" customHeight="1">
      <c r="A497" s="76"/>
      <c r="B497" s="76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</row>
    <row r="498" spans="1:25" ht="13.5" customHeight="1">
      <c r="A498" s="76"/>
      <c r="B498" s="76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</row>
    <row r="499" spans="1:25" ht="13.5" customHeight="1">
      <c r="A499" s="76"/>
      <c r="B499" s="76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</row>
    <row r="500" spans="1:25" ht="13.5" customHeight="1">
      <c r="A500" s="76"/>
      <c r="B500" s="76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</row>
    <row r="501" spans="1:25" ht="13.5" customHeight="1">
      <c r="A501" s="76"/>
      <c r="B501" s="76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</row>
    <row r="502" spans="1:25" ht="13.5" customHeight="1">
      <c r="A502" s="76"/>
      <c r="B502" s="76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</row>
    <row r="503" spans="1:25" ht="13.5" customHeight="1">
      <c r="A503" s="76"/>
      <c r="B503" s="76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</row>
    <row r="504" spans="1:25" ht="13.5" customHeight="1">
      <c r="A504" s="76"/>
      <c r="B504" s="76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</row>
    <row r="505" spans="1:25" ht="13.5" customHeight="1">
      <c r="A505" s="76"/>
      <c r="B505" s="76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</row>
    <row r="506" spans="1:25" ht="13.5" customHeight="1">
      <c r="A506" s="76"/>
      <c r="B506" s="76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</row>
    <row r="507" spans="1:25" ht="13.5" customHeight="1">
      <c r="A507" s="76"/>
      <c r="B507" s="76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</row>
    <row r="508" spans="1:25" ht="13.5" customHeight="1">
      <c r="A508" s="76"/>
      <c r="B508" s="76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</row>
    <row r="509" spans="1:25" ht="13.5" customHeight="1">
      <c r="A509" s="76"/>
      <c r="B509" s="76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</row>
    <row r="510" spans="1:25" ht="13.5" customHeight="1">
      <c r="A510" s="76"/>
      <c r="B510" s="76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</row>
    <row r="511" spans="1:25" ht="13.5" customHeight="1">
      <c r="A511" s="76"/>
      <c r="B511" s="76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</row>
    <row r="512" spans="1:25" ht="13.5" customHeight="1">
      <c r="A512" s="76"/>
      <c r="B512" s="76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</row>
    <row r="513" spans="1:25" ht="13.5" customHeight="1">
      <c r="A513" s="76"/>
      <c r="B513" s="76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</row>
    <row r="514" spans="1:25" ht="13.5" customHeight="1">
      <c r="A514" s="76"/>
      <c r="B514" s="76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</row>
    <row r="515" spans="1:25" ht="13.5" customHeight="1">
      <c r="A515" s="76"/>
      <c r="B515" s="76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</row>
    <row r="516" spans="1:25" ht="13.5" customHeight="1">
      <c r="A516" s="76"/>
      <c r="B516" s="76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</row>
    <row r="517" spans="1:25" ht="13.5" customHeight="1">
      <c r="A517" s="76"/>
      <c r="B517" s="76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</row>
    <row r="518" spans="1:25" ht="13.5" customHeight="1">
      <c r="A518" s="76"/>
      <c r="B518" s="76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</row>
    <row r="519" spans="1:25" ht="13.5" customHeight="1">
      <c r="A519" s="76"/>
      <c r="B519" s="76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</row>
    <row r="520" spans="1:25" ht="13.5" customHeight="1">
      <c r="A520" s="76"/>
      <c r="B520" s="76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</row>
    <row r="521" spans="1:25" ht="13.5" customHeight="1">
      <c r="A521" s="76"/>
      <c r="B521" s="76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</row>
    <row r="522" spans="1:25" ht="13.5" customHeight="1">
      <c r="A522" s="76"/>
      <c r="B522" s="76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</row>
    <row r="523" spans="1:25" ht="13.5" customHeight="1">
      <c r="A523" s="76"/>
      <c r="B523" s="76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</row>
    <row r="524" spans="1:25" ht="13.5" customHeight="1">
      <c r="A524" s="76"/>
      <c r="B524" s="76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</row>
    <row r="525" spans="1:25" ht="13.5" customHeight="1">
      <c r="A525" s="76"/>
      <c r="B525" s="76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</row>
    <row r="526" spans="1:25" ht="13.5" customHeight="1">
      <c r="A526" s="76"/>
      <c r="B526" s="76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</row>
    <row r="527" spans="1:25" ht="13.5" customHeight="1">
      <c r="A527" s="76"/>
      <c r="B527" s="76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</row>
    <row r="528" spans="1:25" ht="13.5" customHeight="1">
      <c r="A528" s="76"/>
      <c r="B528" s="76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</row>
    <row r="529" spans="1:25" ht="13.5" customHeight="1">
      <c r="A529" s="76"/>
      <c r="B529" s="76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</row>
    <row r="530" spans="1:25" ht="13.5" customHeight="1">
      <c r="A530" s="76"/>
      <c r="B530" s="76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</row>
    <row r="531" spans="1:25" ht="13.5" customHeight="1">
      <c r="A531" s="76"/>
      <c r="B531" s="76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</row>
    <row r="532" spans="1:25" ht="13.5" customHeight="1">
      <c r="A532" s="76"/>
      <c r="B532" s="76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</row>
    <row r="533" spans="1:25" ht="13.5" customHeight="1">
      <c r="A533" s="76"/>
      <c r="B533" s="76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</row>
    <row r="534" spans="1:25" ht="13.5" customHeight="1">
      <c r="A534" s="76"/>
      <c r="B534" s="76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</row>
    <row r="535" spans="1:25" ht="13.5" customHeight="1">
      <c r="A535" s="76"/>
      <c r="B535" s="76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</row>
    <row r="536" spans="1:25" ht="13.5" customHeight="1">
      <c r="A536" s="76"/>
      <c r="B536" s="76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</row>
    <row r="537" spans="1:25" ht="13.5" customHeight="1">
      <c r="A537" s="76"/>
      <c r="B537" s="76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</row>
    <row r="538" spans="1:25" ht="13.5" customHeight="1">
      <c r="A538" s="76"/>
      <c r="B538" s="76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</row>
    <row r="539" spans="1:25" ht="13.5" customHeight="1">
      <c r="A539" s="76"/>
      <c r="B539" s="76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76"/>
      <c r="P539" s="76"/>
      <c r="Q539" s="76"/>
      <c r="R539" s="76"/>
      <c r="S539" s="76"/>
      <c r="T539" s="76"/>
      <c r="U539" s="76"/>
      <c r="V539" s="76"/>
      <c r="W539" s="76"/>
      <c r="X539" s="76"/>
      <c r="Y539" s="76"/>
    </row>
    <row r="540" spans="1:25" ht="13.5" customHeight="1">
      <c r="A540" s="76"/>
      <c r="B540" s="76"/>
      <c r="C540" s="76"/>
      <c r="D540" s="76"/>
      <c r="E540" s="76"/>
      <c r="F540" s="76"/>
      <c r="G540" s="76"/>
      <c r="H540" s="76"/>
      <c r="I540" s="76"/>
      <c r="J540" s="76"/>
      <c r="K540" s="76"/>
      <c r="L540" s="76"/>
      <c r="M540" s="76"/>
      <c r="N540" s="76"/>
      <c r="O540" s="76"/>
      <c r="P540" s="76"/>
      <c r="Q540" s="76"/>
      <c r="R540" s="76"/>
      <c r="S540" s="76"/>
      <c r="T540" s="76"/>
      <c r="U540" s="76"/>
      <c r="V540" s="76"/>
      <c r="W540" s="76"/>
      <c r="X540" s="76"/>
      <c r="Y540" s="76"/>
    </row>
    <row r="541" spans="1:25" ht="13.5" customHeight="1">
      <c r="A541" s="76"/>
      <c r="B541" s="76"/>
      <c r="C541" s="76"/>
      <c r="D541" s="76"/>
      <c r="E541" s="76"/>
      <c r="F541" s="76"/>
      <c r="G541" s="76"/>
      <c r="H541" s="76"/>
      <c r="I541" s="76"/>
      <c r="J541" s="76"/>
      <c r="K541" s="76"/>
      <c r="L541" s="76"/>
      <c r="M541" s="76"/>
      <c r="N541" s="76"/>
      <c r="O541" s="76"/>
      <c r="P541" s="76"/>
      <c r="Q541" s="76"/>
      <c r="R541" s="76"/>
      <c r="S541" s="76"/>
      <c r="T541" s="76"/>
      <c r="U541" s="76"/>
      <c r="V541" s="76"/>
      <c r="W541" s="76"/>
      <c r="X541" s="76"/>
      <c r="Y541" s="76"/>
    </row>
    <row r="542" spans="1:25" ht="13.5" customHeight="1">
      <c r="A542" s="76"/>
      <c r="B542" s="76"/>
      <c r="C542" s="76"/>
      <c r="D542" s="76"/>
      <c r="E542" s="76"/>
      <c r="F542" s="76"/>
      <c r="G542" s="76"/>
      <c r="H542" s="76"/>
      <c r="I542" s="76"/>
      <c r="J542" s="76"/>
      <c r="K542" s="76"/>
      <c r="L542" s="76"/>
      <c r="M542" s="76"/>
      <c r="N542" s="76"/>
      <c r="O542" s="76"/>
      <c r="P542" s="76"/>
      <c r="Q542" s="76"/>
      <c r="R542" s="76"/>
      <c r="S542" s="76"/>
      <c r="T542" s="76"/>
      <c r="U542" s="76"/>
      <c r="V542" s="76"/>
      <c r="W542" s="76"/>
      <c r="X542" s="76"/>
      <c r="Y542" s="76"/>
    </row>
    <row r="543" spans="1:25" ht="13.5" customHeight="1">
      <c r="A543" s="76"/>
      <c r="B543" s="76"/>
      <c r="C543" s="76"/>
      <c r="D543" s="76"/>
      <c r="E543" s="76"/>
      <c r="F543" s="76"/>
      <c r="G543" s="76"/>
      <c r="H543" s="76"/>
      <c r="I543" s="76"/>
      <c r="J543" s="76"/>
      <c r="K543" s="76"/>
      <c r="L543" s="76"/>
      <c r="M543" s="76"/>
      <c r="N543" s="76"/>
      <c r="O543" s="76"/>
      <c r="P543" s="76"/>
      <c r="Q543" s="76"/>
      <c r="R543" s="76"/>
      <c r="S543" s="76"/>
      <c r="T543" s="76"/>
      <c r="U543" s="76"/>
      <c r="V543" s="76"/>
      <c r="W543" s="76"/>
      <c r="X543" s="76"/>
      <c r="Y543" s="76"/>
    </row>
    <row r="544" spans="1:25" ht="13.5" customHeight="1">
      <c r="A544" s="76"/>
      <c r="B544" s="76"/>
      <c r="C544" s="76"/>
      <c r="D544" s="76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76"/>
      <c r="P544" s="76"/>
      <c r="Q544" s="76"/>
      <c r="R544" s="76"/>
      <c r="S544" s="76"/>
      <c r="T544" s="76"/>
      <c r="U544" s="76"/>
      <c r="V544" s="76"/>
      <c r="W544" s="76"/>
      <c r="X544" s="76"/>
      <c r="Y544" s="76"/>
    </row>
    <row r="545" spans="1:25" ht="13.5" customHeight="1">
      <c r="A545" s="76"/>
      <c r="B545" s="76"/>
      <c r="C545" s="76"/>
      <c r="D545" s="76"/>
      <c r="E545" s="76"/>
      <c r="F545" s="76"/>
      <c r="G545" s="76"/>
      <c r="H545" s="76"/>
      <c r="I545" s="76"/>
      <c r="J545" s="76"/>
      <c r="K545" s="76"/>
      <c r="L545" s="76"/>
      <c r="M545" s="76"/>
      <c r="N545" s="76"/>
      <c r="O545" s="76"/>
      <c r="P545" s="76"/>
      <c r="Q545" s="76"/>
      <c r="R545" s="76"/>
      <c r="S545" s="76"/>
      <c r="T545" s="76"/>
      <c r="U545" s="76"/>
      <c r="V545" s="76"/>
      <c r="W545" s="76"/>
      <c r="X545" s="76"/>
      <c r="Y545" s="76"/>
    </row>
    <row r="546" spans="1:25" ht="13.5" customHeight="1">
      <c r="A546" s="76"/>
      <c r="B546" s="76"/>
      <c r="C546" s="76"/>
      <c r="D546" s="76"/>
      <c r="E546" s="76"/>
      <c r="F546" s="76"/>
      <c r="G546" s="76"/>
      <c r="H546" s="76"/>
      <c r="I546" s="76"/>
      <c r="J546" s="76"/>
      <c r="K546" s="76"/>
      <c r="L546" s="76"/>
      <c r="M546" s="76"/>
      <c r="N546" s="76"/>
      <c r="O546" s="76"/>
      <c r="P546" s="76"/>
      <c r="Q546" s="76"/>
      <c r="R546" s="76"/>
      <c r="S546" s="76"/>
      <c r="T546" s="76"/>
      <c r="U546" s="76"/>
      <c r="V546" s="76"/>
      <c r="W546" s="76"/>
      <c r="X546" s="76"/>
      <c r="Y546" s="76"/>
    </row>
    <row r="547" spans="1:25" ht="13.5" customHeight="1">
      <c r="A547" s="76"/>
      <c r="B547" s="76"/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76"/>
      <c r="P547" s="76"/>
      <c r="Q547" s="76"/>
      <c r="R547" s="76"/>
      <c r="S547" s="76"/>
      <c r="T547" s="76"/>
      <c r="U547" s="76"/>
      <c r="V547" s="76"/>
      <c r="W547" s="76"/>
      <c r="X547" s="76"/>
      <c r="Y547" s="76"/>
    </row>
    <row r="548" spans="1:25" ht="13.5" customHeight="1">
      <c r="A548" s="76"/>
      <c r="B548" s="76"/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76"/>
      <c r="P548" s="76"/>
      <c r="Q548" s="76"/>
      <c r="R548" s="76"/>
      <c r="S548" s="76"/>
      <c r="T548" s="76"/>
      <c r="U548" s="76"/>
      <c r="V548" s="76"/>
      <c r="W548" s="76"/>
      <c r="X548" s="76"/>
      <c r="Y548" s="76"/>
    </row>
    <row r="549" spans="1:25" ht="13.5" customHeight="1">
      <c r="A549" s="76"/>
      <c r="B549" s="76"/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76"/>
      <c r="P549" s="76"/>
      <c r="Q549" s="76"/>
      <c r="R549" s="76"/>
      <c r="S549" s="76"/>
      <c r="T549" s="76"/>
      <c r="U549" s="76"/>
      <c r="V549" s="76"/>
      <c r="W549" s="76"/>
      <c r="X549" s="76"/>
      <c r="Y549" s="76"/>
    </row>
    <row r="550" spans="1:25" ht="13.5" customHeight="1">
      <c r="A550" s="76"/>
      <c r="B550" s="76"/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76"/>
      <c r="P550" s="76"/>
      <c r="Q550" s="76"/>
      <c r="R550" s="76"/>
      <c r="S550" s="76"/>
      <c r="T550" s="76"/>
      <c r="U550" s="76"/>
      <c r="V550" s="76"/>
      <c r="W550" s="76"/>
      <c r="X550" s="76"/>
      <c r="Y550" s="76"/>
    </row>
    <row r="551" spans="1:25" ht="13.5" customHeight="1">
      <c r="A551" s="76"/>
      <c r="B551" s="76"/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76"/>
      <c r="P551" s="76"/>
      <c r="Q551" s="76"/>
      <c r="R551" s="76"/>
      <c r="S551" s="76"/>
      <c r="T551" s="76"/>
      <c r="U551" s="76"/>
      <c r="V551" s="76"/>
      <c r="W551" s="76"/>
      <c r="X551" s="76"/>
      <c r="Y551" s="76"/>
    </row>
    <row r="552" spans="1:25" ht="13.5" customHeight="1">
      <c r="A552" s="76"/>
      <c r="B552" s="76"/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76"/>
      <c r="P552" s="76"/>
      <c r="Q552" s="76"/>
      <c r="R552" s="76"/>
      <c r="S552" s="76"/>
      <c r="T552" s="76"/>
      <c r="U552" s="76"/>
      <c r="V552" s="76"/>
      <c r="W552" s="76"/>
      <c r="X552" s="76"/>
      <c r="Y552" s="76"/>
    </row>
    <row r="553" spans="1:25" ht="13.5" customHeight="1">
      <c r="A553" s="76"/>
      <c r="B553" s="76"/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76"/>
      <c r="P553" s="76"/>
      <c r="Q553" s="76"/>
      <c r="R553" s="76"/>
      <c r="S553" s="76"/>
      <c r="T553" s="76"/>
      <c r="U553" s="76"/>
      <c r="V553" s="76"/>
      <c r="W553" s="76"/>
      <c r="X553" s="76"/>
      <c r="Y553" s="76"/>
    </row>
    <row r="554" spans="1:25" ht="13.5" customHeight="1">
      <c r="A554" s="76"/>
      <c r="B554" s="76"/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76"/>
      <c r="P554" s="76"/>
      <c r="Q554" s="76"/>
      <c r="R554" s="76"/>
      <c r="S554" s="76"/>
      <c r="T554" s="76"/>
      <c r="U554" s="76"/>
      <c r="V554" s="76"/>
      <c r="W554" s="76"/>
      <c r="X554" s="76"/>
      <c r="Y554" s="76"/>
    </row>
    <row r="555" spans="1:25" ht="13.5" customHeight="1">
      <c r="A555" s="76"/>
      <c r="B555" s="76"/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76"/>
      <c r="P555" s="76"/>
      <c r="Q555" s="76"/>
      <c r="R555" s="76"/>
      <c r="S555" s="76"/>
      <c r="T555" s="76"/>
      <c r="U555" s="76"/>
      <c r="V555" s="76"/>
      <c r="W555" s="76"/>
      <c r="X555" s="76"/>
      <c r="Y555" s="76"/>
    </row>
    <row r="556" spans="1:25" ht="13.5" customHeight="1">
      <c r="A556" s="76"/>
      <c r="B556" s="76"/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76"/>
      <c r="P556" s="76"/>
      <c r="Q556" s="76"/>
      <c r="R556" s="76"/>
      <c r="S556" s="76"/>
      <c r="T556" s="76"/>
      <c r="U556" s="76"/>
      <c r="V556" s="76"/>
      <c r="W556" s="76"/>
      <c r="X556" s="76"/>
      <c r="Y556" s="76"/>
    </row>
    <row r="557" spans="1:25" ht="13.5" customHeight="1">
      <c r="A557" s="76"/>
      <c r="B557" s="76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76"/>
      <c r="P557" s="76"/>
      <c r="Q557" s="76"/>
      <c r="R557" s="76"/>
      <c r="S557" s="76"/>
      <c r="T557" s="76"/>
      <c r="U557" s="76"/>
      <c r="V557" s="76"/>
      <c r="W557" s="76"/>
      <c r="X557" s="76"/>
      <c r="Y557" s="76"/>
    </row>
    <row r="558" spans="1:25" ht="13.5" customHeight="1">
      <c r="A558" s="76"/>
      <c r="B558" s="76"/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76"/>
      <c r="P558" s="76"/>
      <c r="Q558" s="76"/>
      <c r="R558" s="76"/>
      <c r="S558" s="76"/>
      <c r="T558" s="76"/>
      <c r="U558" s="76"/>
      <c r="V558" s="76"/>
      <c r="W558" s="76"/>
      <c r="X558" s="76"/>
      <c r="Y558" s="76"/>
    </row>
    <row r="559" spans="1:25" ht="13.5" customHeight="1">
      <c r="A559" s="76"/>
      <c r="B559" s="76"/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76"/>
      <c r="P559" s="76"/>
      <c r="Q559" s="76"/>
      <c r="R559" s="76"/>
      <c r="S559" s="76"/>
      <c r="T559" s="76"/>
      <c r="U559" s="76"/>
      <c r="V559" s="76"/>
      <c r="W559" s="76"/>
      <c r="X559" s="76"/>
      <c r="Y559" s="76"/>
    </row>
    <row r="560" spans="1:25" ht="13.5" customHeight="1">
      <c r="A560" s="76"/>
      <c r="B560" s="76"/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76"/>
      <c r="P560" s="76"/>
      <c r="Q560" s="76"/>
      <c r="R560" s="76"/>
      <c r="S560" s="76"/>
      <c r="T560" s="76"/>
      <c r="U560" s="76"/>
      <c r="V560" s="76"/>
      <c r="W560" s="76"/>
      <c r="X560" s="76"/>
      <c r="Y560" s="76"/>
    </row>
    <row r="561" spans="1:25" ht="13.5" customHeight="1">
      <c r="A561" s="76"/>
      <c r="B561" s="76"/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76"/>
      <c r="P561" s="76"/>
      <c r="Q561" s="76"/>
      <c r="R561" s="76"/>
      <c r="S561" s="76"/>
      <c r="T561" s="76"/>
      <c r="U561" s="76"/>
      <c r="V561" s="76"/>
      <c r="W561" s="76"/>
      <c r="X561" s="76"/>
      <c r="Y561" s="76"/>
    </row>
    <row r="562" spans="1:25" ht="13.5" customHeight="1">
      <c r="A562" s="76"/>
      <c r="B562" s="76"/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76"/>
      <c r="P562" s="76"/>
      <c r="Q562" s="76"/>
      <c r="R562" s="76"/>
      <c r="S562" s="76"/>
      <c r="T562" s="76"/>
      <c r="U562" s="76"/>
      <c r="V562" s="76"/>
      <c r="W562" s="76"/>
      <c r="X562" s="76"/>
      <c r="Y562" s="76"/>
    </row>
    <row r="563" spans="1:25" ht="13.5" customHeight="1">
      <c r="A563" s="76"/>
      <c r="B563" s="76"/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76"/>
      <c r="P563" s="76"/>
      <c r="Q563" s="76"/>
      <c r="R563" s="76"/>
      <c r="S563" s="76"/>
      <c r="T563" s="76"/>
      <c r="U563" s="76"/>
      <c r="V563" s="76"/>
      <c r="W563" s="76"/>
      <c r="X563" s="76"/>
      <c r="Y563" s="76"/>
    </row>
    <row r="564" spans="1:25" ht="13.5" customHeight="1">
      <c r="A564" s="76"/>
      <c r="B564" s="76"/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76"/>
      <c r="P564" s="76"/>
      <c r="Q564" s="76"/>
      <c r="R564" s="76"/>
      <c r="S564" s="76"/>
      <c r="T564" s="76"/>
      <c r="U564" s="76"/>
      <c r="V564" s="76"/>
      <c r="W564" s="76"/>
      <c r="X564" s="76"/>
      <c r="Y564" s="76"/>
    </row>
    <row r="565" spans="1:25" ht="13.5" customHeight="1">
      <c r="A565" s="76"/>
      <c r="B565" s="76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76"/>
      <c r="P565" s="76"/>
      <c r="Q565" s="76"/>
      <c r="R565" s="76"/>
      <c r="S565" s="76"/>
      <c r="T565" s="76"/>
      <c r="U565" s="76"/>
      <c r="V565" s="76"/>
      <c r="W565" s="76"/>
      <c r="X565" s="76"/>
      <c r="Y565" s="76"/>
    </row>
    <row r="566" spans="1:25" ht="13.5" customHeight="1">
      <c r="A566" s="76"/>
      <c r="B566" s="76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76"/>
      <c r="P566" s="76"/>
      <c r="Q566" s="76"/>
      <c r="R566" s="76"/>
      <c r="S566" s="76"/>
      <c r="T566" s="76"/>
      <c r="U566" s="76"/>
      <c r="V566" s="76"/>
      <c r="W566" s="76"/>
      <c r="X566" s="76"/>
      <c r="Y566" s="76"/>
    </row>
    <row r="567" spans="1:25" ht="13.5" customHeight="1">
      <c r="A567" s="76"/>
      <c r="B567" s="76"/>
      <c r="C567" s="76"/>
      <c r="D567" s="76"/>
      <c r="E567" s="76"/>
      <c r="F567" s="76"/>
      <c r="G567" s="76"/>
      <c r="H567" s="76"/>
      <c r="I567" s="76"/>
      <c r="J567" s="76"/>
      <c r="K567" s="76"/>
      <c r="L567" s="76"/>
      <c r="M567" s="76"/>
      <c r="N567" s="76"/>
      <c r="O567" s="76"/>
      <c r="P567" s="76"/>
      <c r="Q567" s="76"/>
      <c r="R567" s="76"/>
      <c r="S567" s="76"/>
      <c r="T567" s="76"/>
      <c r="U567" s="76"/>
      <c r="V567" s="76"/>
      <c r="W567" s="76"/>
      <c r="X567" s="76"/>
      <c r="Y567" s="76"/>
    </row>
    <row r="568" spans="1:25" ht="13.5" customHeight="1">
      <c r="A568" s="76"/>
      <c r="B568" s="76"/>
      <c r="C568" s="76"/>
      <c r="D568" s="76"/>
      <c r="E568" s="76"/>
      <c r="F568" s="76"/>
      <c r="G568" s="76"/>
      <c r="H568" s="76"/>
      <c r="I568" s="76"/>
      <c r="J568" s="76"/>
      <c r="K568" s="76"/>
      <c r="L568" s="76"/>
      <c r="M568" s="76"/>
      <c r="N568" s="76"/>
      <c r="O568" s="76"/>
      <c r="P568" s="76"/>
      <c r="Q568" s="76"/>
      <c r="R568" s="76"/>
      <c r="S568" s="76"/>
      <c r="T568" s="76"/>
      <c r="U568" s="76"/>
      <c r="V568" s="76"/>
      <c r="W568" s="76"/>
      <c r="X568" s="76"/>
      <c r="Y568" s="76"/>
    </row>
    <row r="569" spans="1:25" ht="13.5" customHeight="1">
      <c r="A569" s="76"/>
      <c r="B569" s="76"/>
      <c r="C569" s="76"/>
      <c r="D569" s="76"/>
      <c r="E569" s="76"/>
      <c r="F569" s="76"/>
      <c r="G569" s="76"/>
      <c r="H569" s="76"/>
      <c r="I569" s="76"/>
      <c r="J569" s="76"/>
      <c r="K569" s="76"/>
      <c r="L569" s="76"/>
      <c r="M569" s="76"/>
      <c r="N569" s="76"/>
      <c r="O569" s="76"/>
      <c r="P569" s="76"/>
      <c r="Q569" s="76"/>
      <c r="R569" s="76"/>
      <c r="S569" s="76"/>
      <c r="T569" s="76"/>
      <c r="U569" s="76"/>
      <c r="V569" s="76"/>
      <c r="W569" s="76"/>
      <c r="X569" s="76"/>
      <c r="Y569" s="76"/>
    </row>
    <row r="570" spans="1:25" ht="13.5" customHeight="1">
      <c r="A570" s="76"/>
      <c r="B570" s="76"/>
      <c r="C570" s="76"/>
      <c r="D570" s="76"/>
      <c r="E570" s="76"/>
      <c r="F570" s="76"/>
      <c r="G570" s="76"/>
      <c r="H570" s="76"/>
      <c r="I570" s="76"/>
      <c r="J570" s="76"/>
      <c r="K570" s="76"/>
      <c r="L570" s="76"/>
      <c r="M570" s="76"/>
      <c r="N570" s="76"/>
      <c r="O570" s="76"/>
      <c r="P570" s="76"/>
      <c r="Q570" s="76"/>
      <c r="R570" s="76"/>
      <c r="S570" s="76"/>
      <c r="T570" s="76"/>
      <c r="U570" s="76"/>
      <c r="V570" s="76"/>
      <c r="W570" s="76"/>
      <c r="X570" s="76"/>
      <c r="Y570" s="76"/>
    </row>
    <row r="571" spans="1:25" ht="13.5" customHeight="1">
      <c r="A571" s="76"/>
      <c r="B571" s="76"/>
      <c r="C571" s="76"/>
      <c r="D571" s="76"/>
      <c r="E571" s="76"/>
      <c r="F571" s="76"/>
      <c r="G571" s="76"/>
      <c r="H571" s="76"/>
      <c r="I571" s="76"/>
      <c r="J571" s="76"/>
      <c r="K571" s="76"/>
      <c r="L571" s="76"/>
      <c r="M571" s="76"/>
      <c r="N571" s="76"/>
      <c r="O571" s="76"/>
      <c r="P571" s="76"/>
      <c r="Q571" s="76"/>
      <c r="R571" s="76"/>
      <c r="S571" s="76"/>
      <c r="T571" s="76"/>
      <c r="U571" s="76"/>
      <c r="V571" s="76"/>
      <c r="W571" s="76"/>
      <c r="X571" s="76"/>
      <c r="Y571" s="76"/>
    </row>
    <row r="572" spans="1:25" ht="13.5" customHeight="1">
      <c r="A572" s="76"/>
      <c r="B572" s="76"/>
      <c r="C572" s="76"/>
      <c r="D572" s="76"/>
      <c r="E572" s="76"/>
      <c r="F572" s="76"/>
      <c r="G572" s="76"/>
      <c r="H572" s="76"/>
      <c r="I572" s="76"/>
      <c r="J572" s="76"/>
      <c r="K572" s="76"/>
      <c r="L572" s="76"/>
      <c r="M572" s="76"/>
      <c r="N572" s="76"/>
      <c r="O572" s="76"/>
      <c r="P572" s="76"/>
      <c r="Q572" s="76"/>
      <c r="R572" s="76"/>
      <c r="S572" s="76"/>
      <c r="T572" s="76"/>
      <c r="U572" s="76"/>
      <c r="V572" s="76"/>
      <c r="W572" s="76"/>
      <c r="X572" s="76"/>
      <c r="Y572" s="76"/>
    </row>
    <row r="573" spans="1:25" ht="13.5" customHeight="1">
      <c r="A573" s="76"/>
      <c r="B573" s="76"/>
      <c r="C573" s="76"/>
      <c r="D573" s="76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76"/>
      <c r="P573" s="76"/>
      <c r="Q573" s="76"/>
      <c r="R573" s="76"/>
      <c r="S573" s="76"/>
      <c r="T573" s="76"/>
      <c r="U573" s="76"/>
      <c r="V573" s="76"/>
      <c r="W573" s="76"/>
      <c r="X573" s="76"/>
      <c r="Y573" s="76"/>
    </row>
    <row r="574" spans="1:25" ht="13.5" customHeight="1">
      <c r="A574" s="76"/>
      <c r="B574" s="76"/>
      <c r="C574" s="76"/>
      <c r="D574" s="76"/>
      <c r="E574" s="76"/>
      <c r="F574" s="76"/>
      <c r="G574" s="76"/>
      <c r="H574" s="76"/>
      <c r="I574" s="76"/>
      <c r="J574" s="76"/>
      <c r="K574" s="76"/>
      <c r="L574" s="76"/>
      <c r="M574" s="76"/>
      <c r="N574" s="76"/>
      <c r="O574" s="76"/>
      <c r="P574" s="76"/>
      <c r="Q574" s="76"/>
      <c r="R574" s="76"/>
      <c r="S574" s="76"/>
      <c r="T574" s="76"/>
      <c r="U574" s="76"/>
      <c r="V574" s="76"/>
      <c r="W574" s="76"/>
      <c r="X574" s="76"/>
      <c r="Y574" s="76"/>
    </row>
    <row r="575" spans="1:25" ht="13.5" customHeight="1">
      <c r="A575" s="76"/>
      <c r="B575" s="76"/>
      <c r="C575" s="76"/>
      <c r="D575" s="76"/>
      <c r="E575" s="76"/>
      <c r="F575" s="76"/>
      <c r="G575" s="76"/>
      <c r="H575" s="76"/>
      <c r="I575" s="76"/>
      <c r="J575" s="76"/>
      <c r="K575" s="76"/>
      <c r="L575" s="76"/>
      <c r="M575" s="76"/>
      <c r="N575" s="76"/>
      <c r="O575" s="76"/>
      <c r="P575" s="76"/>
      <c r="Q575" s="76"/>
      <c r="R575" s="76"/>
      <c r="S575" s="76"/>
      <c r="T575" s="76"/>
      <c r="U575" s="76"/>
      <c r="V575" s="76"/>
      <c r="W575" s="76"/>
      <c r="X575" s="76"/>
      <c r="Y575" s="76"/>
    </row>
    <row r="576" spans="1:25" ht="13.5" customHeight="1">
      <c r="A576" s="76"/>
      <c r="B576" s="76"/>
      <c r="C576" s="76"/>
      <c r="D576" s="76"/>
      <c r="E576" s="76"/>
      <c r="F576" s="76"/>
      <c r="G576" s="76"/>
      <c r="H576" s="76"/>
      <c r="I576" s="76"/>
      <c r="J576" s="76"/>
      <c r="K576" s="76"/>
      <c r="L576" s="76"/>
      <c r="M576" s="76"/>
      <c r="N576" s="76"/>
      <c r="O576" s="76"/>
      <c r="P576" s="76"/>
      <c r="Q576" s="76"/>
      <c r="R576" s="76"/>
      <c r="S576" s="76"/>
      <c r="T576" s="76"/>
      <c r="U576" s="76"/>
      <c r="V576" s="76"/>
      <c r="W576" s="76"/>
      <c r="X576" s="76"/>
      <c r="Y576" s="76"/>
    </row>
    <row r="577" spans="1:25" ht="13.5" customHeight="1">
      <c r="A577" s="76"/>
      <c r="B577" s="76"/>
      <c r="C577" s="76"/>
      <c r="D577" s="76"/>
      <c r="E577" s="76"/>
      <c r="F577" s="76"/>
      <c r="G577" s="76"/>
      <c r="H577" s="76"/>
      <c r="I577" s="76"/>
      <c r="J577" s="76"/>
      <c r="K577" s="76"/>
      <c r="L577" s="76"/>
      <c r="M577" s="76"/>
      <c r="N577" s="76"/>
      <c r="O577" s="76"/>
      <c r="P577" s="76"/>
      <c r="Q577" s="76"/>
      <c r="R577" s="76"/>
      <c r="S577" s="76"/>
      <c r="T577" s="76"/>
      <c r="U577" s="76"/>
      <c r="V577" s="76"/>
      <c r="W577" s="76"/>
      <c r="X577" s="76"/>
      <c r="Y577" s="76"/>
    </row>
    <row r="578" spans="1:25" ht="13.5" customHeight="1">
      <c r="A578" s="76"/>
      <c r="B578" s="76"/>
      <c r="C578" s="76"/>
      <c r="D578" s="76"/>
      <c r="E578" s="76"/>
      <c r="F578" s="76"/>
      <c r="G578" s="76"/>
      <c r="H578" s="76"/>
      <c r="I578" s="76"/>
      <c r="J578" s="76"/>
      <c r="K578" s="76"/>
      <c r="L578" s="76"/>
      <c r="M578" s="76"/>
      <c r="N578" s="76"/>
      <c r="O578" s="76"/>
      <c r="P578" s="76"/>
      <c r="Q578" s="76"/>
      <c r="R578" s="76"/>
      <c r="S578" s="76"/>
      <c r="T578" s="76"/>
      <c r="U578" s="76"/>
      <c r="V578" s="76"/>
      <c r="W578" s="76"/>
      <c r="X578" s="76"/>
      <c r="Y578" s="76"/>
    </row>
    <row r="579" spans="1:25" ht="13.5" customHeight="1">
      <c r="A579" s="76"/>
      <c r="B579" s="76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76"/>
      <c r="P579" s="76"/>
      <c r="Q579" s="76"/>
      <c r="R579" s="76"/>
      <c r="S579" s="76"/>
      <c r="T579" s="76"/>
      <c r="U579" s="76"/>
      <c r="V579" s="76"/>
      <c r="W579" s="76"/>
      <c r="X579" s="76"/>
      <c r="Y579" s="76"/>
    </row>
    <row r="580" spans="1:25" ht="13.5" customHeight="1">
      <c r="A580" s="76"/>
      <c r="B580" s="76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76"/>
      <c r="P580" s="76"/>
      <c r="Q580" s="76"/>
      <c r="R580" s="76"/>
      <c r="S580" s="76"/>
      <c r="T580" s="76"/>
      <c r="U580" s="76"/>
      <c r="V580" s="76"/>
      <c r="W580" s="76"/>
      <c r="X580" s="76"/>
      <c r="Y580" s="76"/>
    </row>
    <row r="581" spans="1:25" ht="13.5" customHeight="1">
      <c r="A581" s="76"/>
      <c r="B581" s="76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76"/>
      <c r="P581" s="76"/>
      <c r="Q581" s="76"/>
      <c r="R581" s="76"/>
      <c r="S581" s="76"/>
      <c r="T581" s="76"/>
      <c r="U581" s="76"/>
      <c r="V581" s="76"/>
      <c r="W581" s="76"/>
      <c r="X581" s="76"/>
      <c r="Y581" s="76"/>
    </row>
    <row r="582" spans="1:25" ht="13.5" customHeight="1">
      <c r="A582" s="76"/>
      <c r="B582" s="76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76"/>
      <c r="P582" s="76"/>
      <c r="Q582" s="76"/>
      <c r="R582" s="76"/>
      <c r="S582" s="76"/>
      <c r="T582" s="76"/>
      <c r="U582" s="76"/>
      <c r="V582" s="76"/>
      <c r="W582" s="76"/>
      <c r="X582" s="76"/>
      <c r="Y582" s="76"/>
    </row>
    <row r="583" spans="1:25" ht="13.5" customHeight="1">
      <c r="A583" s="76"/>
      <c r="B583" s="76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76"/>
      <c r="P583" s="76"/>
      <c r="Q583" s="76"/>
      <c r="R583" s="76"/>
      <c r="S583" s="76"/>
      <c r="T583" s="76"/>
      <c r="U583" s="76"/>
      <c r="V583" s="76"/>
      <c r="W583" s="76"/>
      <c r="X583" s="76"/>
      <c r="Y583" s="76"/>
    </row>
    <row r="584" spans="1:25" ht="13.5" customHeight="1">
      <c r="A584" s="76"/>
      <c r="B584" s="76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76"/>
      <c r="P584" s="76"/>
      <c r="Q584" s="76"/>
      <c r="R584" s="76"/>
      <c r="S584" s="76"/>
      <c r="T584" s="76"/>
      <c r="U584" s="76"/>
      <c r="V584" s="76"/>
      <c r="W584" s="76"/>
      <c r="X584" s="76"/>
      <c r="Y584" s="76"/>
    </row>
    <row r="585" spans="1:25" ht="13.5" customHeight="1">
      <c r="A585" s="76"/>
      <c r="B585" s="76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76"/>
      <c r="P585" s="76"/>
      <c r="Q585" s="76"/>
      <c r="R585" s="76"/>
      <c r="S585" s="76"/>
      <c r="T585" s="76"/>
      <c r="U585" s="76"/>
      <c r="V585" s="76"/>
      <c r="W585" s="76"/>
      <c r="X585" s="76"/>
      <c r="Y585" s="76"/>
    </row>
    <row r="586" spans="1:25" ht="13.5" customHeight="1">
      <c r="A586" s="76"/>
      <c r="B586" s="76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76"/>
      <c r="P586" s="76"/>
      <c r="Q586" s="76"/>
      <c r="R586" s="76"/>
      <c r="S586" s="76"/>
      <c r="T586" s="76"/>
      <c r="U586" s="76"/>
      <c r="V586" s="76"/>
      <c r="W586" s="76"/>
      <c r="X586" s="76"/>
      <c r="Y586" s="76"/>
    </row>
    <row r="587" spans="1:25" ht="13.5" customHeight="1">
      <c r="A587" s="76"/>
      <c r="B587" s="76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76"/>
      <c r="P587" s="76"/>
      <c r="Q587" s="76"/>
      <c r="R587" s="76"/>
      <c r="S587" s="76"/>
      <c r="T587" s="76"/>
      <c r="U587" s="76"/>
      <c r="V587" s="76"/>
      <c r="W587" s="76"/>
      <c r="X587" s="76"/>
      <c r="Y587" s="76"/>
    </row>
    <row r="588" spans="1:25" ht="13.5" customHeight="1">
      <c r="A588" s="76"/>
      <c r="B588" s="76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76"/>
      <c r="P588" s="76"/>
      <c r="Q588" s="76"/>
      <c r="R588" s="76"/>
      <c r="S588" s="76"/>
      <c r="T588" s="76"/>
      <c r="U588" s="76"/>
      <c r="V588" s="76"/>
      <c r="W588" s="76"/>
      <c r="X588" s="76"/>
      <c r="Y588" s="76"/>
    </row>
    <row r="589" spans="1:25" ht="13.5" customHeight="1">
      <c r="A589" s="76"/>
      <c r="B589" s="76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76"/>
      <c r="P589" s="76"/>
      <c r="Q589" s="76"/>
      <c r="R589" s="76"/>
      <c r="S589" s="76"/>
      <c r="T589" s="76"/>
      <c r="U589" s="76"/>
      <c r="V589" s="76"/>
      <c r="W589" s="76"/>
      <c r="X589" s="76"/>
      <c r="Y589" s="76"/>
    </row>
    <row r="590" spans="1:25" ht="13.5" customHeight="1">
      <c r="A590" s="76"/>
      <c r="B590" s="76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76"/>
      <c r="P590" s="76"/>
      <c r="Q590" s="76"/>
      <c r="R590" s="76"/>
      <c r="S590" s="76"/>
      <c r="T590" s="76"/>
      <c r="U590" s="76"/>
      <c r="V590" s="76"/>
      <c r="W590" s="76"/>
      <c r="X590" s="76"/>
      <c r="Y590" s="76"/>
    </row>
    <row r="591" spans="1:25" ht="13.5" customHeight="1">
      <c r="A591" s="76"/>
      <c r="B591" s="76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76"/>
      <c r="P591" s="76"/>
      <c r="Q591" s="76"/>
      <c r="R591" s="76"/>
      <c r="S591" s="76"/>
      <c r="T591" s="76"/>
      <c r="U591" s="76"/>
      <c r="V591" s="76"/>
      <c r="W591" s="76"/>
      <c r="X591" s="76"/>
      <c r="Y591" s="76"/>
    </row>
    <row r="592" spans="1:25" ht="13.5" customHeight="1">
      <c r="A592" s="76"/>
      <c r="B592" s="76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76"/>
      <c r="P592" s="76"/>
      <c r="Q592" s="76"/>
      <c r="R592" s="76"/>
      <c r="S592" s="76"/>
      <c r="T592" s="76"/>
      <c r="U592" s="76"/>
      <c r="V592" s="76"/>
      <c r="W592" s="76"/>
      <c r="X592" s="76"/>
      <c r="Y592" s="76"/>
    </row>
    <row r="593" spans="1:25" ht="13.5" customHeight="1">
      <c r="A593" s="76"/>
      <c r="B593" s="76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76"/>
      <c r="P593" s="76"/>
      <c r="Q593" s="76"/>
      <c r="R593" s="76"/>
      <c r="S593" s="76"/>
      <c r="T593" s="76"/>
      <c r="U593" s="76"/>
      <c r="V593" s="76"/>
      <c r="W593" s="76"/>
      <c r="X593" s="76"/>
      <c r="Y593" s="76"/>
    </row>
    <row r="594" spans="1:25" ht="13.5" customHeight="1">
      <c r="A594" s="76"/>
      <c r="B594" s="76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76"/>
      <c r="P594" s="76"/>
      <c r="Q594" s="76"/>
      <c r="R594" s="76"/>
      <c r="S594" s="76"/>
      <c r="T594" s="76"/>
      <c r="U594" s="76"/>
      <c r="V594" s="76"/>
      <c r="W594" s="76"/>
      <c r="X594" s="76"/>
      <c r="Y594" s="76"/>
    </row>
    <row r="595" spans="1:25" ht="13.5" customHeight="1">
      <c r="A595" s="76"/>
      <c r="B595" s="76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76"/>
      <c r="P595" s="76"/>
      <c r="Q595" s="76"/>
      <c r="R595" s="76"/>
      <c r="S595" s="76"/>
      <c r="T595" s="76"/>
      <c r="U595" s="76"/>
      <c r="V595" s="76"/>
      <c r="W595" s="76"/>
      <c r="X595" s="76"/>
      <c r="Y595" s="76"/>
    </row>
    <row r="596" spans="1:25" ht="13.5" customHeight="1">
      <c r="A596" s="76"/>
      <c r="B596" s="76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76"/>
      <c r="P596" s="76"/>
      <c r="Q596" s="76"/>
      <c r="R596" s="76"/>
      <c r="S596" s="76"/>
      <c r="T596" s="76"/>
      <c r="U596" s="76"/>
      <c r="V596" s="76"/>
      <c r="W596" s="76"/>
      <c r="X596" s="76"/>
      <c r="Y596" s="76"/>
    </row>
    <row r="597" spans="1:25" ht="13.5" customHeight="1">
      <c r="A597" s="76"/>
      <c r="B597" s="76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76"/>
      <c r="P597" s="76"/>
      <c r="Q597" s="76"/>
      <c r="R597" s="76"/>
      <c r="S597" s="76"/>
      <c r="T597" s="76"/>
      <c r="U597" s="76"/>
      <c r="V597" s="76"/>
      <c r="W597" s="76"/>
      <c r="X597" s="76"/>
      <c r="Y597" s="76"/>
    </row>
    <row r="598" spans="1:25" ht="13.5" customHeight="1">
      <c r="A598" s="76"/>
      <c r="B598" s="76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76"/>
      <c r="P598" s="76"/>
      <c r="Q598" s="76"/>
      <c r="R598" s="76"/>
      <c r="S598" s="76"/>
      <c r="T598" s="76"/>
      <c r="U598" s="76"/>
      <c r="V598" s="76"/>
      <c r="W598" s="76"/>
      <c r="X598" s="76"/>
      <c r="Y598" s="76"/>
    </row>
    <row r="599" spans="1:25" ht="13.5" customHeight="1">
      <c r="A599" s="76"/>
      <c r="B599" s="76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76"/>
      <c r="P599" s="76"/>
      <c r="Q599" s="76"/>
      <c r="R599" s="76"/>
      <c r="S599" s="76"/>
      <c r="T599" s="76"/>
      <c r="U599" s="76"/>
      <c r="V599" s="76"/>
      <c r="W599" s="76"/>
      <c r="X599" s="76"/>
      <c r="Y599" s="76"/>
    </row>
    <row r="600" spans="1:25" ht="13.5" customHeight="1">
      <c r="A600" s="76"/>
      <c r="B600" s="76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76"/>
      <c r="P600" s="76"/>
      <c r="Q600" s="76"/>
      <c r="R600" s="76"/>
      <c r="S600" s="76"/>
      <c r="T600" s="76"/>
      <c r="U600" s="76"/>
      <c r="V600" s="76"/>
      <c r="W600" s="76"/>
      <c r="X600" s="76"/>
      <c r="Y600" s="76"/>
    </row>
    <row r="601" spans="1:25" ht="13.5" customHeight="1">
      <c r="A601" s="76"/>
      <c r="B601" s="76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6"/>
      <c r="S601" s="76"/>
      <c r="T601" s="76"/>
      <c r="U601" s="76"/>
      <c r="V601" s="76"/>
      <c r="W601" s="76"/>
      <c r="X601" s="76"/>
      <c r="Y601" s="76"/>
    </row>
    <row r="602" spans="1:25" ht="13.5" customHeight="1">
      <c r="A602" s="76"/>
      <c r="B602" s="76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  <c r="X602" s="76"/>
      <c r="Y602" s="76"/>
    </row>
    <row r="603" spans="1:25" ht="13.5" customHeight="1">
      <c r="A603" s="76"/>
      <c r="B603" s="76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76"/>
      <c r="P603" s="76"/>
      <c r="Q603" s="76"/>
      <c r="R603" s="76"/>
      <c r="S603" s="76"/>
      <c r="T603" s="76"/>
      <c r="U603" s="76"/>
      <c r="V603" s="76"/>
      <c r="W603" s="76"/>
      <c r="X603" s="76"/>
      <c r="Y603" s="76"/>
    </row>
    <row r="604" spans="1:25" ht="13.5" customHeight="1">
      <c r="A604" s="76"/>
      <c r="B604" s="76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76"/>
      <c r="P604" s="76"/>
      <c r="Q604" s="76"/>
      <c r="R604" s="76"/>
      <c r="S604" s="76"/>
      <c r="T604" s="76"/>
      <c r="U604" s="76"/>
      <c r="V604" s="76"/>
      <c r="W604" s="76"/>
      <c r="X604" s="76"/>
      <c r="Y604" s="76"/>
    </row>
    <row r="605" spans="1:25" ht="13.5" customHeight="1">
      <c r="A605" s="76"/>
      <c r="B605" s="76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76"/>
      <c r="P605" s="76"/>
      <c r="Q605" s="76"/>
      <c r="R605" s="76"/>
      <c r="S605" s="76"/>
      <c r="T605" s="76"/>
      <c r="U605" s="76"/>
      <c r="V605" s="76"/>
      <c r="W605" s="76"/>
      <c r="X605" s="76"/>
      <c r="Y605" s="76"/>
    </row>
    <row r="606" spans="1:25" ht="13.5" customHeight="1">
      <c r="A606" s="76"/>
      <c r="B606" s="76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76"/>
      <c r="P606" s="76"/>
      <c r="Q606" s="76"/>
      <c r="R606" s="76"/>
      <c r="S606" s="76"/>
      <c r="T606" s="76"/>
      <c r="U606" s="76"/>
      <c r="V606" s="76"/>
      <c r="W606" s="76"/>
      <c r="X606" s="76"/>
      <c r="Y606" s="76"/>
    </row>
    <row r="607" spans="1:25" ht="13.5" customHeight="1">
      <c r="A607" s="76"/>
      <c r="B607" s="76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76"/>
      <c r="P607" s="76"/>
      <c r="Q607" s="76"/>
      <c r="R607" s="76"/>
      <c r="S607" s="76"/>
      <c r="T607" s="76"/>
      <c r="U607" s="76"/>
      <c r="V607" s="76"/>
      <c r="W607" s="76"/>
      <c r="X607" s="76"/>
      <c r="Y607" s="76"/>
    </row>
    <row r="608" spans="1:25" ht="13.5" customHeight="1">
      <c r="A608" s="76"/>
      <c r="B608" s="76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76"/>
      <c r="P608" s="76"/>
      <c r="Q608" s="76"/>
      <c r="R608" s="76"/>
      <c r="S608" s="76"/>
      <c r="T608" s="76"/>
      <c r="U608" s="76"/>
      <c r="V608" s="76"/>
      <c r="W608" s="76"/>
      <c r="X608" s="76"/>
      <c r="Y608" s="76"/>
    </row>
    <row r="609" spans="1:25" ht="13.5" customHeight="1">
      <c r="A609" s="76"/>
      <c r="B609" s="76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76"/>
      <c r="P609" s="76"/>
      <c r="Q609" s="76"/>
      <c r="R609" s="76"/>
      <c r="S609" s="76"/>
      <c r="T609" s="76"/>
      <c r="U609" s="76"/>
      <c r="V609" s="76"/>
      <c r="W609" s="76"/>
      <c r="X609" s="76"/>
      <c r="Y609" s="76"/>
    </row>
    <row r="610" spans="1:25" ht="13.5" customHeight="1">
      <c r="A610" s="76"/>
      <c r="B610" s="76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76"/>
      <c r="P610" s="76"/>
      <c r="Q610" s="76"/>
      <c r="R610" s="76"/>
      <c r="S610" s="76"/>
      <c r="T610" s="76"/>
      <c r="U610" s="76"/>
      <c r="V610" s="76"/>
      <c r="W610" s="76"/>
      <c r="X610" s="76"/>
      <c r="Y610" s="76"/>
    </row>
    <row r="611" spans="1:25" ht="13.5" customHeight="1">
      <c r="A611" s="76"/>
      <c r="B611" s="76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76"/>
      <c r="P611" s="76"/>
      <c r="Q611" s="76"/>
      <c r="R611" s="76"/>
      <c r="S611" s="76"/>
      <c r="T611" s="76"/>
      <c r="U611" s="76"/>
      <c r="V611" s="76"/>
      <c r="W611" s="76"/>
      <c r="X611" s="76"/>
      <c r="Y611" s="76"/>
    </row>
    <row r="612" spans="1:25" ht="13.5" customHeight="1">
      <c r="A612" s="76"/>
      <c r="B612" s="76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76"/>
      <c r="S612" s="76"/>
      <c r="T612" s="76"/>
      <c r="U612" s="76"/>
      <c r="V612" s="76"/>
      <c r="W612" s="76"/>
      <c r="X612" s="76"/>
      <c r="Y612" s="76"/>
    </row>
    <row r="613" spans="1:25" ht="13.5" customHeight="1">
      <c r="A613" s="76"/>
      <c r="B613" s="76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76"/>
      <c r="P613" s="76"/>
      <c r="Q613" s="76"/>
      <c r="R613" s="76"/>
      <c r="S613" s="76"/>
      <c r="T613" s="76"/>
      <c r="U613" s="76"/>
      <c r="V613" s="76"/>
      <c r="W613" s="76"/>
      <c r="X613" s="76"/>
      <c r="Y613" s="76"/>
    </row>
    <row r="614" spans="1:25" ht="13.5" customHeight="1">
      <c r="A614" s="76"/>
      <c r="B614" s="76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76"/>
      <c r="P614" s="76"/>
      <c r="Q614" s="76"/>
      <c r="R614" s="76"/>
      <c r="S614" s="76"/>
      <c r="T614" s="76"/>
      <c r="U614" s="76"/>
      <c r="V614" s="76"/>
      <c r="W614" s="76"/>
      <c r="X614" s="76"/>
      <c r="Y614" s="76"/>
    </row>
    <row r="615" spans="1:25" ht="13.5" customHeight="1">
      <c r="A615" s="76"/>
      <c r="B615" s="76"/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76"/>
      <c r="P615" s="76"/>
      <c r="Q615" s="76"/>
      <c r="R615" s="76"/>
      <c r="S615" s="76"/>
      <c r="T615" s="76"/>
      <c r="U615" s="76"/>
      <c r="V615" s="76"/>
      <c r="W615" s="76"/>
      <c r="X615" s="76"/>
      <c r="Y615" s="76"/>
    </row>
    <row r="616" spans="1:25" ht="13.5" customHeight="1">
      <c r="A616" s="76"/>
      <c r="B616" s="76"/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76"/>
      <c r="P616" s="76"/>
      <c r="Q616" s="76"/>
      <c r="R616" s="76"/>
      <c r="S616" s="76"/>
      <c r="T616" s="76"/>
      <c r="U616" s="76"/>
      <c r="V616" s="76"/>
      <c r="W616" s="76"/>
      <c r="X616" s="76"/>
      <c r="Y616" s="76"/>
    </row>
    <row r="617" spans="1:25" ht="13.5" customHeight="1">
      <c r="A617" s="76"/>
      <c r="B617" s="76"/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76"/>
      <c r="P617" s="76"/>
      <c r="Q617" s="76"/>
      <c r="R617" s="76"/>
      <c r="S617" s="76"/>
      <c r="T617" s="76"/>
      <c r="U617" s="76"/>
      <c r="V617" s="76"/>
      <c r="W617" s="76"/>
      <c r="X617" s="76"/>
      <c r="Y617" s="76"/>
    </row>
    <row r="618" spans="1:25" ht="13.5" customHeight="1">
      <c r="A618" s="76"/>
      <c r="B618" s="76"/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76"/>
      <c r="P618" s="76"/>
      <c r="Q618" s="76"/>
      <c r="R618" s="76"/>
      <c r="S618" s="76"/>
      <c r="T618" s="76"/>
      <c r="U618" s="76"/>
      <c r="V618" s="76"/>
      <c r="W618" s="76"/>
      <c r="X618" s="76"/>
      <c r="Y618" s="76"/>
    </row>
    <row r="619" spans="1:25" ht="13.5" customHeight="1">
      <c r="A619" s="76"/>
      <c r="B619" s="76"/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76"/>
      <c r="P619" s="76"/>
      <c r="Q619" s="76"/>
      <c r="R619" s="76"/>
      <c r="S619" s="76"/>
      <c r="T619" s="76"/>
      <c r="U619" s="76"/>
      <c r="V619" s="76"/>
      <c r="W619" s="76"/>
      <c r="X619" s="76"/>
      <c r="Y619" s="76"/>
    </row>
    <row r="620" spans="1:25" ht="13.5" customHeight="1">
      <c r="A620" s="76"/>
      <c r="B620" s="76"/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76"/>
      <c r="P620" s="76"/>
      <c r="Q620" s="76"/>
      <c r="R620" s="76"/>
      <c r="S620" s="76"/>
      <c r="T620" s="76"/>
      <c r="U620" s="76"/>
      <c r="V620" s="76"/>
      <c r="W620" s="76"/>
      <c r="X620" s="76"/>
      <c r="Y620" s="76"/>
    </row>
    <row r="621" spans="1:25" ht="13.5" customHeight="1">
      <c r="A621" s="76"/>
      <c r="B621" s="76"/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76"/>
      <c r="P621" s="76"/>
      <c r="Q621" s="76"/>
      <c r="R621" s="76"/>
      <c r="S621" s="76"/>
      <c r="T621" s="76"/>
      <c r="U621" s="76"/>
      <c r="V621" s="76"/>
      <c r="W621" s="76"/>
      <c r="X621" s="76"/>
      <c r="Y621" s="76"/>
    </row>
    <row r="622" spans="1:25" ht="13.5" customHeight="1">
      <c r="A622" s="76"/>
      <c r="B622" s="76"/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76"/>
      <c r="P622" s="76"/>
      <c r="Q622" s="76"/>
      <c r="R622" s="76"/>
      <c r="S622" s="76"/>
      <c r="T622" s="76"/>
      <c r="U622" s="76"/>
      <c r="V622" s="76"/>
      <c r="W622" s="76"/>
      <c r="X622" s="76"/>
      <c r="Y622" s="76"/>
    </row>
    <row r="623" spans="1:25" ht="13.5" customHeight="1">
      <c r="A623" s="76"/>
      <c r="B623" s="76"/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76"/>
      <c r="P623" s="76"/>
      <c r="Q623" s="76"/>
      <c r="R623" s="76"/>
      <c r="S623" s="76"/>
      <c r="T623" s="76"/>
      <c r="U623" s="76"/>
      <c r="V623" s="76"/>
      <c r="W623" s="76"/>
      <c r="X623" s="76"/>
      <c r="Y623" s="76"/>
    </row>
    <row r="624" spans="1:25" ht="13.5" customHeight="1">
      <c r="A624" s="76"/>
      <c r="B624" s="76"/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76"/>
      <c r="P624" s="76"/>
      <c r="Q624" s="76"/>
      <c r="R624" s="76"/>
      <c r="S624" s="76"/>
      <c r="T624" s="76"/>
      <c r="U624" s="76"/>
      <c r="V624" s="76"/>
      <c r="W624" s="76"/>
      <c r="X624" s="76"/>
      <c r="Y624" s="76"/>
    </row>
    <row r="625" spans="1:25" ht="13.5" customHeight="1">
      <c r="A625" s="76"/>
      <c r="B625" s="76"/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76"/>
      <c r="P625" s="76"/>
      <c r="Q625" s="76"/>
      <c r="R625" s="76"/>
      <c r="S625" s="76"/>
      <c r="T625" s="76"/>
      <c r="U625" s="76"/>
      <c r="V625" s="76"/>
      <c r="W625" s="76"/>
      <c r="X625" s="76"/>
      <c r="Y625" s="76"/>
    </row>
    <row r="626" spans="1:25" ht="13.5" customHeight="1">
      <c r="A626" s="76"/>
      <c r="B626" s="76"/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76"/>
      <c r="P626" s="76"/>
      <c r="Q626" s="76"/>
      <c r="R626" s="76"/>
      <c r="S626" s="76"/>
      <c r="T626" s="76"/>
      <c r="U626" s="76"/>
      <c r="V626" s="76"/>
      <c r="W626" s="76"/>
      <c r="X626" s="76"/>
      <c r="Y626" s="76"/>
    </row>
    <row r="627" spans="1:25" ht="13.5" customHeight="1">
      <c r="A627" s="76"/>
      <c r="B627" s="76"/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76"/>
      <c r="P627" s="76"/>
      <c r="Q627" s="76"/>
      <c r="R627" s="76"/>
      <c r="S627" s="76"/>
      <c r="T627" s="76"/>
      <c r="U627" s="76"/>
      <c r="V627" s="76"/>
      <c r="W627" s="76"/>
      <c r="X627" s="76"/>
      <c r="Y627" s="76"/>
    </row>
    <row r="628" spans="1:25" ht="13.5" customHeight="1">
      <c r="A628" s="76"/>
      <c r="B628" s="76"/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76"/>
      <c r="P628" s="76"/>
      <c r="Q628" s="76"/>
      <c r="R628" s="76"/>
      <c r="S628" s="76"/>
      <c r="T628" s="76"/>
      <c r="U628" s="76"/>
      <c r="V628" s="76"/>
      <c r="W628" s="76"/>
      <c r="X628" s="76"/>
      <c r="Y628" s="76"/>
    </row>
    <row r="629" spans="1:25" ht="13.5" customHeight="1">
      <c r="A629" s="76"/>
      <c r="B629" s="76"/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76"/>
      <c r="P629" s="76"/>
      <c r="Q629" s="76"/>
      <c r="R629" s="76"/>
      <c r="S629" s="76"/>
      <c r="T629" s="76"/>
      <c r="U629" s="76"/>
      <c r="V629" s="76"/>
      <c r="W629" s="76"/>
      <c r="X629" s="76"/>
      <c r="Y629" s="76"/>
    </row>
    <row r="630" spans="1:25" ht="13.5" customHeight="1">
      <c r="A630" s="76"/>
      <c r="B630" s="76"/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76"/>
      <c r="P630" s="76"/>
      <c r="Q630" s="76"/>
      <c r="R630" s="76"/>
      <c r="S630" s="76"/>
      <c r="T630" s="76"/>
      <c r="U630" s="76"/>
      <c r="V630" s="76"/>
      <c r="W630" s="76"/>
      <c r="X630" s="76"/>
      <c r="Y630" s="76"/>
    </row>
    <row r="631" spans="1:25" ht="13.5" customHeight="1">
      <c r="A631" s="76"/>
      <c r="B631" s="76"/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76"/>
      <c r="P631" s="76"/>
      <c r="Q631" s="76"/>
      <c r="R631" s="76"/>
      <c r="S631" s="76"/>
      <c r="T631" s="76"/>
      <c r="U631" s="76"/>
      <c r="V631" s="76"/>
      <c r="W631" s="76"/>
      <c r="X631" s="76"/>
      <c r="Y631" s="76"/>
    </row>
    <row r="632" spans="1:25" ht="13.5" customHeight="1">
      <c r="A632" s="76"/>
      <c r="B632" s="76"/>
      <c r="C632" s="76"/>
      <c r="D632" s="76"/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76"/>
      <c r="P632" s="76"/>
      <c r="Q632" s="76"/>
      <c r="R632" s="76"/>
      <c r="S632" s="76"/>
      <c r="T632" s="76"/>
      <c r="U632" s="76"/>
      <c r="V632" s="76"/>
      <c r="W632" s="76"/>
      <c r="X632" s="76"/>
      <c r="Y632" s="76"/>
    </row>
    <row r="633" spans="1:25" ht="13.5" customHeight="1">
      <c r="A633" s="76"/>
      <c r="B633" s="76"/>
      <c r="C633" s="76"/>
      <c r="D633" s="76"/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76"/>
      <c r="P633" s="76"/>
      <c r="Q633" s="76"/>
      <c r="R633" s="76"/>
      <c r="S633" s="76"/>
      <c r="T633" s="76"/>
      <c r="U633" s="76"/>
      <c r="V633" s="76"/>
      <c r="W633" s="76"/>
      <c r="X633" s="76"/>
      <c r="Y633" s="76"/>
    </row>
    <row r="634" spans="1:25" ht="13.5" customHeight="1">
      <c r="A634" s="76"/>
      <c r="B634" s="76"/>
      <c r="C634" s="76"/>
      <c r="D634" s="76"/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76"/>
      <c r="P634" s="76"/>
      <c r="Q634" s="76"/>
      <c r="R634" s="76"/>
      <c r="S634" s="76"/>
      <c r="T634" s="76"/>
      <c r="U634" s="76"/>
      <c r="V634" s="76"/>
      <c r="W634" s="76"/>
      <c r="X634" s="76"/>
      <c r="Y634" s="76"/>
    </row>
    <row r="635" spans="1:25" ht="13.5" customHeight="1">
      <c r="A635" s="76"/>
      <c r="B635" s="76"/>
      <c r="C635" s="76"/>
      <c r="D635" s="76"/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76"/>
      <c r="P635" s="76"/>
      <c r="Q635" s="76"/>
      <c r="R635" s="76"/>
      <c r="S635" s="76"/>
      <c r="T635" s="76"/>
      <c r="U635" s="76"/>
      <c r="V635" s="76"/>
      <c r="W635" s="76"/>
      <c r="X635" s="76"/>
      <c r="Y635" s="76"/>
    </row>
    <row r="636" spans="1:25" ht="13.5" customHeight="1">
      <c r="A636" s="76"/>
      <c r="B636" s="76"/>
      <c r="C636" s="76"/>
      <c r="D636" s="76"/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76"/>
      <c r="P636" s="76"/>
      <c r="Q636" s="76"/>
      <c r="R636" s="76"/>
      <c r="S636" s="76"/>
      <c r="T636" s="76"/>
      <c r="U636" s="76"/>
      <c r="V636" s="76"/>
      <c r="W636" s="76"/>
      <c r="X636" s="76"/>
      <c r="Y636" s="76"/>
    </row>
    <row r="637" spans="1:25" ht="13.5" customHeight="1">
      <c r="A637" s="76"/>
      <c r="B637" s="76"/>
      <c r="C637" s="76"/>
      <c r="D637" s="76"/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76"/>
      <c r="P637" s="76"/>
      <c r="Q637" s="76"/>
      <c r="R637" s="76"/>
      <c r="S637" s="76"/>
      <c r="T637" s="76"/>
      <c r="U637" s="76"/>
      <c r="V637" s="76"/>
      <c r="W637" s="76"/>
      <c r="X637" s="76"/>
      <c r="Y637" s="76"/>
    </row>
    <row r="638" spans="1:25" ht="13.5" customHeight="1">
      <c r="A638" s="76"/>
      <c r="B638" s="76"/>
      <c r="C638" s="76"/>
      <c r="D638" s="76"/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76"/>
      <c r="P638" s="76"/>
      <c r="Q638" s="76"/>
      <c r="R638" s="76"/>
      <c r="S638" s="76"/>
      <c r="T638" s="76"/>
      <c r="U638" s="76"/>
      <c r="V638" s="76"/>
      <c r="W638" s="76"/>
      <c r="X638" s="76"/>
      <c r="Y638" s="76"/>
    </row>
    <row r="639" spans="1:25" ht="13.5" customHeight="1">
      <c r="A639" s="76"/>
      <c r="B639" s="76"/>
      <c r="C639" s="76"/>
      <c r="D639" s="76"/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76"/>
      <c r="P639" s="76"/>
      <c r="Q639" s="76"/>
      <c r="R639" s="76"/>
      <c r="S639" s="76"/>
      <c r="T639" s="76"/>
      <c r="U639" s="76"/>
      <c r="V639" s="76"/>
      <c r="W639" s="76"/>
      <c r="X639" s="76"/>
      <c r="Y639" s="76"/>
    </row>
    <row r="640" spans="1:25" ht="13.5" customHeight="1">
      <c r="A640" s="76"/>
      <c r="B640" s="76"/>
      <c r="C640" s="76"/>
      <c r="D640" s="76"/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76"/>
      <c r="P640" s="76"/>
      <c r="Q640" s="76"/>
      <c r="R640" s="76"/>
      <c r="S640" s="76"/>
      <c r="T640" s="76"/>
      <c r="U640" s="76"/>
      <c r="V640" s="76"/>
      <c r="W640" s="76"/>
      <c r="X640" s="76"/>
      <c r="Y640" s="76"/>
    </row>
    <row r="641" spans="1:25" ht="13.5" customHeight="1">
      <c r="A641" s="76"/>
      <c r="B641" s="76"/>
      <c r="C641" s="76"/>
      <c r="D641" s="76"/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76"/>
      <c r="P641" s="76"/>
      <c r="Q641" s="76"/>
      <c r="R641" s="76"/>
      <c r="S641" s="76"/>
      <c r="T641" s="76"/>
      <c r="U641" s="76"/>
      <c r="V641" s="76"/>
      <c r="W641" s="76"/>
      <c r="X641" s="76"/>
      <c r="Y641" s="76"/>
    </row>
    <row r="642" spans="1:25" ht="13.5" customHeight="1">
      <c r="A642" s="76"/>
      <c r="B642" s="76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76"/>
      <c r="P642" s="76"/>
      <c r="Q642" s="76"/>
      <c r="R642" s="76"/>
      <c r="S642" s="76"/>
      <c r="T642" s="76"/>
      <c r="U642" s="76"/>
      <c r="V642" s="76"/>
      <c r="W642" s="76"/>
      <c r="X642" s="76"/>
      <c r="Y642" s="76"/>
    </row>
    <row r="643" spans="1:25" ht="13.5" customHeight="1">
      <c r="A643" s="76"/>
      <c r="B643" s="76"/>
      <c r="C643" s="76"/>
      <c r="D643" s="76"/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76"/>
      <c r="P643" s="76"/>
      <c r="Q643" s="76"/>
      <c r="R643" s="76"/>
      <c r="S643" s="76"/>
      <c r="T643" s="76"/>
      <c r="U643" s="76"/>
      <c r="V643" s="76"/>
      <c r="W643" s="76"/>
      <c r="X643" s="76"/>
      <c r="Y643" s="76"/>
    </row>
    <row r="644" spans="1:25" ht="13.5" customHeight="1">
      <c r="A644" s="76"/>
      <c r="B644" s="76"/>
      <c r="C644" s="76"/>
      <c r="D644" s="76"/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76"/>
      <c r="P644" s="76"/>
      <c r="Q644" s="76"/>
      <c r="R644" s="76"/>
      <c r="S644" s="76"/>
      <c r="T644" s="76"/>
      <c r="U644" s="76"/>
      <c r="V644" s="76"/>
      <c r="W644" s="76"/>
      <c r="X644" s="76"/>
      <c r="Y644" s="76"/>
    </row>
    <row r="645" spans="1:25" ht="13.5" customHeight="1">
      <c r="A645" s="76"/>
      <c r="B645" s="76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76"/>
      <c r="P645" s="76"/>
      <c r="Q645" s="76"/>
      <c r="R645" s="76"/>
      <c r="S645" s="76"/>
      <c r="T645" s="76"/>
      <c r="U645" s="76"/>
      <c r="V645" s="76"/>
      <c r="W645" s="76"/>
      <c r="X645" s="76"/>
      <c r="Y645" s="76"/>
    </row>
    <row r="646" spans="1:25" ht="13.5" customHeight="1">
      <c r="A646" s="76"/>
      <c r="B646" s="76"/>
      <c r="C646" s="76"/>
      <c r="D646" s="76"/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76"/>
      <c r="P646" s="76"/>
      <c r="Q646" s="76"/>
      <c r="R646" s="76"/>
      <c r="S646" s="76"/>
      <c r="T646" s="76"/>
      <c r="U646" s="76"/>
      <c r="V646" s="76"/>
      <c r="W646" s="76"/>
      <c r="X646" s="76"/>
      <c r="Y646" s="76"/>
    </row>
    <row r="647" spans="1:25" ht="13.5" customHeight="1">
      <c r="A647" s="76"/>
      <c r="B647" s="76"/>
      <c r="C647" s="76"/>
      <c r="D647" s="76"/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76"/>
      <c r="P647" s="76"/>
      <c r="Q647" s="76"/>
      <c r="R647" s="76"/>
      <c r="S647" s="76"/>
      <c r="T647" s="76"/>
      <c r="U647" s="76"/>
      <c r="V647" s="76"/>
      <c r="W647" s="76"/>
      <c r="X647" s="76"/>
      <c r="Y647" s="76"/>
    </row>
    <row r="648" spans="1:25" ht="13.5" customHeight="1">
      <c r="A648" s="76"/>
      <c r="B648" s="76"/>
      <c r="C648" s="76"/>
      <c r="D648" s="76"/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76"/>
      <c r="P648" s="76"/>
      <c r="Q648" s="76"/>
      <c r="R648" s="76"/>
      <c r="S648" s="76"/>
      <c r="T648" s="76"/>
      <c r="U648" s="76"/>
      <c r="V648" s="76"/>
      <c r="W648" s="76"/>
      <c r="X648" s="76"/>
      <c r="Y648" s="76"/>
    </row>
    <row r="649" spans="1:25" ht="13.5" customHeight="1">
      <c r="A649" s="76"/>
      <c r="B649" s="76"/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76"/>
      <c r="P649" s="76"/>
      <c r="Q649" s="76"/>
      <c r="R649" s="76"/>
      <c r="S649" s="76"/>
      <c r="T649" s="76"/>
      <c r="U649" s="76"/>
      <c r="V649" s="76"/>
      <c r="W649" s="76"/>
      <c r="X649" s="76"/>
      <c r="Y649" s="76"/>
    </row>
    <row r="650" spans="1:25" ht="13.5" customHeight="1">
      <c r="A650" s="76"/>
      <c r="B650" s="76"/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76"/>
      <c r="P650" s="76"/>
      <c r="Q650" s="76"/>
      <c r="R650" s="76"/>
      <c r="S650" s="76"/>
      <c r="T650" s="76"/>
      <c r="U650" s="76"/>
      <c r="V650" s="76"/>
      <c r="W650" s="76"/>
      <c r="X650" s="76"/>
      <c r="Y650" s="76"/>
    </row>
    <row r="651" spans="1:25" ht="13.5" customHeight="1">
      <c r="A651" s="76"/>
      <c r="B651" s="76"/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76"/>
      <c r="P651" s="76"/>
      <c r="Q651" s="76"/>
      <c r="R651" s="76"/>
      <c r="S651" s="76"/>
      <c r="T651" s="76"/>
      <c r="U651" s="76"/>
      <c r="V651" s="76"/>
      <c r="W651" s="76"/>
      <c r="X651" s="76"/>
      <c r="Y651" s="76"/>
    </row>
    <row r="652" spans="1:25" ht="13.5" customHeight="1">
      <c r="A652" s="76"/>
      <c r="B652" s="76"/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76"/>
      <c r="P652" s="76"/>
      <c r="Q652" s="76"/>
      <c r="R652" s="76"/>
      <c r="S652" s="76"/>
      <c r="T652" s="76"/>
      <c r="U652" s="76"/>
      <c r="V652" s="76"/>
      <c r="W652" s="76"/>
      <c r="X652" s="76"/>
      <c r="Y652" s="76"/>
    </row>
    <row r="653" spans="1:25" ht="13.5" customHeight="1">
      <c r="A653" s="76"/>
      <c r="B653" s="76"/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76"/>
      <c r="P653" s="76"/>
      <c r="Q653" s="76"/>
      <c r="R653" s="76"/>
      <c r="S653" s="76"/>
      <c r="T653" s="76"/>
      <c r="U653" s="76"/>
      <c r="V653" s="76"/>
      <c r="W653" s="76"/>
      <c r="X653" s="76"/>
      <c r="Y653" s="76"/>
    </row>
    <row r="654" spans="1:25" ht="13.5" customHeight="1">
      <c r="A654" s="76"/>
      <c r="B654" s="76"/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76"/>
      <c r="P654" s="76"/>
      <c r="Q654" s="76"/>
      <c r="R654" s="76"/>
      <c r="S654" s="76"/>
      <c r="T654" s="76"/>
      <c r="U654" s="76"/>
      <c r="V654" s="76"/>
      <c r="W654" s="76"/>
      <c r="X654" s="76"/>
      <c r="Y654" s="76"/>
    </row>
    <row r="655" spans="1:25" ht="13.5" customHeight="1">
      <c r="A655" s="76"/>
      <c r="B655" s="76"/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76"/>
      <c r="P655" s="76"/>
      <c r="Q655" s="76"/>
      <c r="R655" s="76"/>
      <c r="S655" s="76"/>
      <c r="T655" s="76"/>
      <c r="U655" s="76"/>
      <c r="V655" s="76"/>
      <c r="W655" s="76"/>
      <c r="X655" s="76"/>
      <c r="Y655" s="76"/>
    </row>
    <row r="656" spans="1:25" ht="13.5" customHeight="1">
      <c r="A656" s="76"/>
      <c r="B656" s="76"/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76"/>
      <c r="P656" s="76"/>
      <c r="Q656" s="76"/>
      <c r="R656" s="76"/>
      <c r="S656" s="76"/>
      <c r="T656" s="76"/>
      <c r="U656" s="76"/>
      <c r="V656" s="76"/>
      <c r="W656" s="76"/>
      <c r="X656" s="76"/>
      <c r="Y656" s="76"/>
    </row>
    <row r="657" spans="1:25" ht="13.5" customHeight="1">
      <c r="A657" s="76"/>
      <c r="B657" s="76"/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76"/>
      <c r="P657" s="76"/>
      <c r="Q657" s="76"/>
      <c r="R657" s="76"/>
      <c r="S657" s="76"/>
      <c r="T657" s="76"/>
      <c r="U657" s="76"/>
      <c r="V657" s="76"/>
      <c r="W657" s="76"/>
      <c r="X657" s="76"/>
      <c r="Y657" s="76"/>
    </row>
    <row r="658" spans="1:25" ht="13.5" customHeight="1">
      <c r="A658" s="76"/>
      <c r="B658" s="76"/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76"/>
      <c r="P658" s="76"/>
      <c r="Q658" s="76"/>
      <c r="R658" s="76"/>
      <c r="S658" s="76"/>
      <c r="T658" s="76"/>
      <c r="U658" s="76"/>
      <c r="V658" s="76"/>
      <c r="W658" s="76"/>
      <c r="X658" s="76"/>
      <c r="Y658" s="76"/>
    </row>
    <row r="659" spans="1:25" ht="13.5" customHeight="1">
      <c r="A659" s="76"/>
      <c r="B659" s="76"/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76"/>
      <c r="P659" s="76"/>
      <c r="Q659" s="76"/>
      <c r="R659" s="76"/>
      <c r="S659" s="76"/>
      <c r="T659" s="76"/>
      <c r="U659" s="76"/>
      <c r="V659" s="76"/>
      <c r="W659" s="76"/>
      <c r="X659" s="76"/>
      <c r="Y659" s="76"/>
    </row>
    <row r="660" spans="1:25" ht="13.5" customHeight="1">
      <c r="A660" s="76"/>
      <c r="B660" s="76"/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76"/>
      <c r="P660" s="76"/>
      <c r="Q660" s="76"/>
      <c r="R660" s="76"/>
      <c r="S660" s="76"/>
      <c r="T660" s="76"/>
      <c r="U660" s="76"/>
      <c r="V660" s="76"/>
      <c r="W660" s="76"/>
      <c r="X660" s="76"/>
      <c r="Y660" s="76"/>
    </row>
    <row r="661" spans="1:25" ht="13.5" customHeight="1">
      <c r="A661" s="76"/>
      <c r="B661" s="76"/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76"/>
      <c r="P661" s="76"/>
      <c r="Q661" s="76"/>
      <c r="R661" s="76"/>
      <c r="S661" s="76"/>
      <c r="T661" s="76"/>
      <c r="U661" s="76"/>
      <c r="V661" s="76"/>
      <c r="W661" s="76"/>
      <c r="X661" s="76"/>
      <c r="Y661" s="76"/>
    </row>
    <row r="662" spans="1:25" ht="13.5" customHeight="1">
      <c r="A662" s="76"/>
      <c r="B662" s="76"/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76"/>
      <c r="P662" s="76"/>
      <c r="Q662" s="76"/>
      <c r="R662" s="76"/>
      <c r="S662" s="76"/>
      <c r="T662" s="76"/>
      <c r="U662" s="76"/>
      <c r="V662" s="76"/>
      <c r="W662" s="76"/>
      <c r="X662" s="76"/>
      <c r="Y662" s="76"/>
    </row>
    <row r="663" spans="1:25" ht="13.5" customHeight="1">
      <c r="A663" s="76"/>
      <c r="B663" s="76"/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76"/>
      <c r="P663" s="76"/>
      <c r="Q663" s="76"/>
      <c r="R663" s="76"/>
      <c r="S663" s="76"/>
      <c r="T663" s="76"/>
      <c r="U663" s="76"/>
      <c r="V663" s="76"/>
      <c r="W663" s="76"/>
      <c r="X663" s="76"/>
      <c r="Y663" s="76"/>
    </row>
    <row r="664" spans="1:25" ht="13.5" customHeight="1">
      <c r="A664" s="76"/>
      <c r="B664" s="76"/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76"/>
      <c r="P664" s="76"/>
      <c r="Q664" s="76"/>
      <c r="R664" s="76"/>
      <c r="S664" s="76"/>
      <c r="T664" s="76"/>
      <c r="U664" s="76"/>
      <c r="V664" s="76"/>
      <c r="W664" s="76"/>
      <c r="X664" s="76"/>
      <c r="Y664" s="76"/>
    </row>
    <row r="665" spans="1:25" ht="13.5" customHeight="1">
      <c r="A665" s="76"/>
      <c r="B665" s="76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76"/>
      <c r="P665" s="76"/>
      <c r="Q665" s="76"/>
      <c r="R665" s="76"/>
      <c r="S665" s="76"/>
      <c r="T665" s="76"/>
      <c r="U665" s="76"/>
      <c r="V665" s="76"/>
      <c r="W665" s="76"/>
      <c r="X665" s="76"/>
      <c r="Y665" s="76"/>
    </row>
    <row r="666" spans="1:25" ht="13.5" customHeight="1">
      <c r="A666" s="76"/>
      <c r="B666" s="76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76"/>
      <c r="P666" s="76"/>
      <c r="Q666" s="76"/>
      <c r="R666" s="76"/>
      <c r="S666" s="76"/>
      <c r="T666" s="76"/>
      <c r="U666" s="76"/>
      <c r="V666" s="76"/>
      <c r="W666" s="76"/>
      <c r="X666" s="76"/>
      <c r="Y666" s="76"/>
    </row>
    <row r="667" spans="1:25" ht="13.5" customHeight="1">
      <c r="A667" s="76"/>
      <c r="B667" s="76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76"/>
      <c r="P667" s="76"/>
      <c r="Q667" s="76"/>
      <c r="R667" s="76"/>
      <c r="S667" s="76"/>
      <c r="T667" s="76"/>
      <c r="U667" s="76"/>
      <c r="V667" s="76"/>
      <c r="W667" s="76"/>
      <c r="X667" s="76"/>
      <c r="Y667" s="76"/>
    </row>
    <row r="668" spans="1:25" ht="13.5" customHeight="1">
      <c r="A668" s="76"/>
      <c r="B668" s="76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76"/>
      <c r="P668" s="76"/>
      <c r="Q668" s="76"/>
      <c r="R668" s="76"/>
      <c r="S668" s="76"/>
      <c r="T668" s="76"/>
      <c r="U668" s="76"/>
      <c r="V668" s="76"/>
      <c r="W668" s="76"/>
      <c r="X668" s="76"/>
      <c r="Y668" s="76"/>
    </row>
    <row r="669" spans="1:25" ht="13.5" customHeight="1">
      <c r="A669" s="76"/>
      <c r="B669" s="76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76"/>
      <c r="P669" s="76"/>
      <c r="Q669" s="76"/>
      <c r="R669" s="76"/>
      <c r="S669" s="76"/>
      <c r="T669" s="76"/>
      <c r="U669" s="76"/>
      <c r="V669" s="76"/>
      <c r="W669" s="76"/>
      <c r="X669" s="76"/>
      <c r="Y669" s="76"/>
    </row>
    <row r="670" spans="1:25" ht="13.5" customHeight="1">
      <c r="A670" s="76"/>
      <c r="B670" s="76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76"/>
      <c r="P670" s="76"/>
      <c r="Q670" s="76"/>
      <c r="R670" s="76"/>
      <c r="S670" s="76"/>
      <c r="T670" s="76"/>
      <c r="U670" s="76"/>
      <c r="V670" s="76"/>
      <c r="W670" s="76"/>
      <c r="X670" s="76"/>
      <c r="Y670" s="76"/>
    </row>
    <row r="671" spans="1:25" ht="13.5" customHeight="1">
      <c r="A671" s="76"/>
      <c r="B671" s="76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76"/>
      <c r="P671" s="76"/>
      <c r="Q671" s="76"/>
      <c r="R671" s="76"/>
      <c r="S671" s="76"/>
      <c r="T671" s="76"/>
      <c r="U671" s="76"/>
      <c r="V671" s="76"/>
      <c r="W671" s="76"/>
      <c r="X671" s="76"/>
      <c r="Y671" s="76"/>
    </row>
    <row r="672" spans="1:25" ht="13.5" customHeight="1">
      <c r="A672" s="76"/>
      <c r="B672" s="76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76"/>
      <c r="P672" s="76"/>
      <c r="Q672" s="76"/>
      <c r="R672" s="76"/>
      <c r="S672" s="76"/>
      <c r="T672" s="76"/>
      <c r="U672" s="76"/>
      <c r="V672" s="76"/>
      <c r="W672" s="76"/>
      <c r="X672" s="76"/>
      <c r="Y672" s="76"/>
    </row>
    <row r="673" spans="1:25" ht="13.5" customHeight="1">
      <c r="A673" s="76"/>
      <c r="B673" s="76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76"/>
      <c r="P673" s="76"/>
      <c r="Q673" s="76"/>
      <c r="R673" s="76"/>
      <c r="S673" s="76"/>
      <c r="T673" s="76"/>
      <c r="U673" s="76"/>
      <c r="V673" s="76"/>
      <c r="W673" s="76"/>
      <c r="X673" s="76"/>
      <c r="Y673" s="76"/>
    </row>
    <row r="674" spans="1:25" ht="13.5" customHeight="1">
      <c r="A674" s="76"/>
      <c r="B674" s="76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76"/>
      <c r="P674" s="76"/>
      <c r="Q674" s="76"/>
      <c r="R674" s="76"/>
      <c r="S674" s="76"/>
      <c r="T674" s="76"/>
      <c r="U674" s="76"/>
      <c r="V674" s="76"/>
      <c r="W674" s="76"/>
      <c r="X674" s="76"/>
      <c r="Y674" s="76"/>
    </row>
    <row r="675" spans="1:25" ht="13.5" customHeight="1">
      <c r="A675" s="76"/>
      <c r="B675" s="76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76"/>
      <c r="P675" s="76"/>
      <c r="Q675" s="76"/>
      <c r="R675" s="76"/>
      <c r="S675" s="76"/>
      <c r="T675" s="76"/>
      <c r="U675" s="76"/>
      <c r="V675" s="76"/>
      <c r="W675" s="76"/>
      <c r="X675" s="76"/>
      <c r="Y675" s="76"/>
    </row>
    <row r="676" spans="1:25" ht="13.5" customHeight="1">
      <c r="A676" s="76"/>
      <c r="B676" s="76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76"/>
      <c r="P676" s="76"/>
      <c r="Q676" s="76"/>
      <c r="R676" s="76"/>
      <c r="S676" s="76"/>
      <c r="T676" s="76"/>
      <c r="U676" s="76"/>
      <c r="V676" s="76"/>
      <c r="W676" s="76"/>
      <c r="X676" s="76"/>
      <c r="Y676" s="76"/>
    </row>
    <row r="677" spans="1:25" ht="13.5" customHeight="1">
      <c r="A677" s="76"/>
      <c r="B677" s="76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76"/>
      <c r="P677" s="76"/>
      <c r="Q677" s="76"/>
      <c r="R677" s="76"/>
      <c r="S677" s="76"/>
      <c r="T677" s="76"/>
      <c r="U677" s="76"/>
      <c r="V677" s="76"/>
      <c r="W677" s="76"/>
      <c r="X677" s="76"/>
      <c r="Y677" s="76"/>
    </row>
    <row r="678" spans="1:25" ht="13.5" customHeight="1">
      <c r="A678" s="76"/>
      <c r="B678" s="76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76"/>
      <c r="P678" s="76"/>
      <c r="Q678" s="76"/>
      <c r="R678" s="76"/>
      <c r="S678" s="76"/>
      <c r="T678" s="76"/>
      <c r="U678" s="76"/>
      <c r="V678" s="76"/>
      <c r="W678" s="76"/>
      <c r="X678" s="76"/>
      <c r="Y678" s="76"/>
    </row>
    <row r="679" spans="1:25" ht="13.5" customHeight="1">
      <c r="A679" s="76"/>
      <c r="B679" s="76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76"/>
      <c r="P679" s="76"/>
      <c r="Q679" s="76"/>
      <c r="R679" s="76"/>
      <c r="S679" s="76"/>
      <c r="T679" s="76"/>
      <c r="U679" s="76"/>
      <c r="V679" s="76"/>
      <c r="W679" s="76"/>
      <c r="X679" s="76"/>
      <c r="Y679" s="76"/>
    </row>
    <row r="680" spans="1:25" ht="13.5" customHeight="1">
      <c r="A680" s="76"/>
      <c r="B680" s="76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76"/>
      <c r="P680" s="76"/>
      <c r="Q680" s="76"/>
      <c r="R680" s="76"/>
      <c r="S680" s="76"/>
      <c r="T680" s="76"/>
      <c r="U680" s="76"/>
      <c r="V680" s="76"/>
      <c r="W680" s="76"/>
      <c r="X680" s="76"/>
      <c r="Y680" s="76"/>
    </row>
    <row r="681" spans="1:25" ht="13.5" customHeight="1">
      <c r="A681" s="76"/>
      <c r="B681" s="76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76"/>
      <c r="P681" s="76"/>
      <c r="Q681" s="76"/>
      <c r="R681" s="76"/>
      <c r="S681" s="76"/>
      <c r="T681" s="76"/>
      <c r="U681" s="76"/>
      <c r="V681" s="76"/>
      <c r="W681" s="76"/>
      <c r="X681" s="76"/>
      <c r="Y681" s="76"/>
    </row>
    <row r="682" spans="1:25" ht="13.5" customHeight="1">
      <c r="A682" s="76"/>
      <c r="B682" s="76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76"/>
      <c r="P682" s="76"/>
      <c r="Q682" s="76"/>
      <c r="R682" s="76"/>
      <c r="S682" s="76"/>
      <c r="T682" s="76"/>
      <c r="U682" s="76"/>
      <c r="V682" s="76"/>
      <c r="W682" s="76"/>
      <c r="X682" s="76"/>
      <c r="Y682" s="76"/>
    </row>
    <row r="683" spans="1:25" ht="13.5" customHeight="1">
      <c r="A683" s="76"/>
      <c r="B683" s="76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76"/>
      <c r="P683" s="76"/>
      <c r="Q683" s="76"/>
      <c r="R683" s="76"/>
      <c r="S683" s="76"/>
      <c r="T683" s="76"/>
      <c r="U683" s="76"/>
      <c r="V683" s="76"/>
      <c r="W683" s="76"/>
      <c r="X683" s="76"/>
      <c r="Y683" s="76"/>
    </row>
    <row r="684" spans="1:25" ht="13.5" customHeight="1">
      <c r="A684" s="76"/>
      <c r="B684" s="76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76"/>
      <c r="P684" s="76"/>
      <c r="Q684" s="76"/>
      <c r="R684" s="76"/>
      <c r="S684" s="76"/>
      <c r="T684" s="76"/>
      <c r="U684" s="76"/>
      <c r="V684" s="76"/>
      <c r="W684" s="76"/>
      <c r="X684" s="76"/>
      <c r="Y684" s="76"/>
    </row>
    <row r="685" spans="1:25" ht="13.5" customHeight="1">
      <c r="A685" s="76"/>
      <c r="B685" s="76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76"/>
      <c r="P685" s="76"/>
      <c r="Q685" s="76"/>
      <c r="R685" s="76"/>
      <c r="S685" s="76"/>
      <c r="T685" s="76"/>
      <c r="U685" s="76"/>
      <c r="V685" s="76"/>
      <c r="W685" s="76"/>
      <c r="X685" s="76"/>
      <c r="Y685" s="76"/>
    </row>
    <row r="686" spans="1:25" ht="13.5" customHeight="1">
      <c r="A686" s="76"/>
      <c r="B686" s="76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76"/>
      <c r="P686" s="76"/>
      <c r="Q686" s="76"/>
      <c r="R686" s="76"/>
      <c r="S686" s="76"/>
      <c r="T686" s="76"/>
      <c r="U686" s="76"/>
      <c r="V686" s="76"/>
      <c r="W686" s="76"/>
      <c r="X686" s="76"/>
      <c r="Y686" s="76"/>
    </row>
    <row r="687" spans="1:25" ht="13.5" customHeight="1">
      <c r="A687" s="76"/>
      <c r="B687" s="76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76"/>
      <c r="P687" s="76"/>
      <c r="Q687" s="76"/>
      <c r="R687" s="76"/>
      <c r="S687" s="76"/>
      <c r="T687" s="76"/>
      <c r="U687" s="76"/>
      <c r="V687" s="76"/>
      <c r="W687" s="76"/>
      <c r="X687" s="76"/>
      <c r="Y687" s="76"/>
    </row>
    <row r="688" spans="1:25" ht="13.5" customHeight="1">
      <c r="A688" s="76"/>
      <c r="B688" s="76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76"/>
      <c r="P688" s="76"/>
      <c r="Q688" s="76"/>
      <c r="R688" s="76"/>
      <c r="S688" s="76"/>
      <c r="T688" s="76"/>
      <c r="U688" s="76"/>
      <c r="V688" s="76"/>
      <c r="W688" s="76"/>
      <c r="X688" s="76"/>
      <c r="Y688" s="76"/>
    </row>
    <row r="689" spans="1:25" ht="13.5" customHeight="1">
      <c r="A689" s="76"/>
      <c r="B689" s="76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76"/>
      <c r="P689" s="76"/>
      <c r="Q689" s="76"/>
      <c r="R689" s="76"/>
      <c r="S689" s="76"/>
      <c r="T689" s="76"/>
      <c r="U689" s="76"/>
      <c r="V689" s="76"/>
      <c r="W689" s="76"/>
      <c r="X689" s="76"/>
      <c r="Y689" s="76"/>
    </row>
    <row r="690" spans="1:25" ht="13.5" customHeight="1">
      <c r="A690" s="76"/>
      <c r="B690" s="76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76"/>
      <c r="P690" s="76"/>
      <c r="Q690" s="76"/>
      <c r="R690" s="76"/>
      <c r="S690" s="76"/>
      <c r="T690" s="76"/>
      <c r="U690" s="76"/>
      <c r="V690" s="76"/>
      <c r="W690" s="76"/>
      <c r="X690" s="76"/>
      <c r="Y690" s="76"/>
    </row>
    <row r="691" spans="1:25" ht="13.5" customHeight="1">
      <c r="A691" s="76"/>
      <c r="B691" s="76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76"/>
      <c r="P691" s="76"/>
      <c r="Q691" s="76"/>
      <c r="R691" s="76"/>
      <c r="S691" s="76"/>
      <c r="T691" s="76"/>
      <c r="U691" s="76"/>
      <c r="V691" s="76"/>
      <c r="W691" s="76"/>
      <c r="X691" s="76"/>
      <c r="Y691" s="76"/>
    </row>
    <row r="692" spans="1:25" ht="13.5" customHeight="1">
      <c r="A692" s="76"/>
      <c r="B692" s="76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76"/>
      <c r="P692" s="76"/>
      <c r="Q692" s="76"/>
      <c r="R692" s="76"/>
      <c r="S692" s="76"/>
      <c r="T692" s="76"/>
      <c r="U692" s="76"/>
      <c r="V692" s="76"/>
      <c r="W692" s="76"/>
      <c r="X692" s="76"/>
      <c r="Y692" s="76"/>
    </row>
    <row r="693" spans="1:25" ht="13.5" customHeight="1">
      <c r="A693" s="76"/>
      <c r="B693" s="76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76"/>
      <c r="P693" s="76"/>
      <c r="Q693" s="76"/>
      <c r="R693" s="76"/>
      <c r="S693" s="76"/>
      <c r="T693" s="76"/>
      <c r="U693" s="76"/>
      <c r="V693" s="76"/>
      <c r="W693" s="76"/>
      <c r="X693" s="76"/>
      <c r="Y693" s="76"/>
    </row>
    <row r="694" spans="1:25" ht="13.5" customHeight="1">
      <c r="A694" s="76"/>
      <c r="B694" s="76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76"/>
      <c r="P694" s="76"/>
      <c r="Q694" s="76"/>
      <c r="R694" s="76"/>
      <c r="S694" s="76"/>
      <c r="T694" s="76"/>
      <c r="U694" s="76"/>
      <c r="V694" s="76"/>
      <c r="W694" s="76"/>
      <c r="X694" s="76"/>
      <c r="Y694" s="76"/>
    </row>
    <row r="695" spans="1:25" ht="13.5" customHeight="1">
      <c r="A695" s="76"/>
      <c r="B695" s="76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76"/>
      <c r="P695" s="76"/>
      <c r="Q695" s="76"/>
      <c r="R695" s="76"/>
      <c r="S695" s="76"/>
      <c r="T695" s="76"/>
      <c r="U695" s="76"/>
      <c r="V695" s="76"/>
      <c r="W695" s="76"/>
      <c r="X695" s="76"/>
      <c r="Y695" s="76"/>
    </row>
    <row r="696" spans="1:25" ht="13.5" customHeight="1">
      <c r="A696" s="76"/>
      <c r="B696" s="76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76"/>
      <c r="P696" s="76"/>
      <c r="Q696" s="76"/>
      <c r="R696" s="76"/>
      <c r="S696" s="76"/>
      <c r="T696" s="76"/>
      <c r="U696" s="76"/>
      <c r="V696" s="76"/>
      <c r="W696" s="76"/>
      <c r="X696" s="76"/>
      <c r="Y696" s="76"/>
    </row>
    <row r="697" spans="1:25" ht="13.5" customHeight="1">
      <c r="A697" s="76"/>
      <c r="B697" s="76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  <c r="X697" s="76"/>
      <c r="Y697" s="76"/>
    </row>
    <row r="698" spans="1:25" ht="13.5" customHeight="1">
      <c r="A698" s="76"/>
      <c r="B698" s="76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76"/>
      <c r="P698" s="76"/>
      <c r="Q698" s="76"/>
      <c r="R698" s="76"/>
      <c r="S698" s="76"/>
      <c r="T698" s="76"/>
      <c r="U698" s="76"/>
      <c r="V698" s="76"/>
      <c r="W698" s="76"/>
      <c r="X698" s="76"/>
      <c r="Y698" s="76"/>
    </row>
    <row r="699" spans="1:25" ht="13.5" customHeight="1">
      <c r="A699" s="76"/>
      <c r="B699" s="76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76"/>
      <c r="P699" s="76"/>
      <c r="Q699" s="76"/>
      <c r="R699" s="76"/>
      <c r="S699" s="76"/>
      <c r="T699" s="76"/>
      <c r="U699" s="76"/>
      <c r="V699" s="76"/>
      <c r="W699" s="76"/>
      <c r="X699" s="76"/>
      <c r="Y699" s="76"/>
    </row>
    <row r="700" spans="1:25" ht="13.5" customHeight="1">
      <c r="A700" s="76"/>
      <c r="B700" s="76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76"/>
      <c r="P700" s="76"/>
      <c r="Q700" s="76"/>
      <c r="R700" s="76"/>
      <c r="S700" s="76"/>
      <c r="T700" s="76"/>
      <c r="U700" s="76"/>
      <c r="V700" s="76"/>
      <c r="W700" s="76"/>
      <c r="X700" s="76"/>
      <c r="Y700" s="76"/>
    </row>
    <row r="701" spans="1:25" ht="13.5" customHeight="1">
      <c r="A701" s="76"/>
      <c r="B701" s="76"/>
      <c r="C701" s="76"/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/>
      <c r="O701" s="76"/>
      <c r="P701" s="76"/>
      <c r="Q701" s="76"/>
      <c r="R701" s="76"/>
      <c r="S701" s="76"/>
      <c r="T701" s="76"/>
      <c r="U701" s="76"/>
      <c r="V701" s="76"/>
      <c r="W701" s="76"/>
      <c r="X701" s="76"/>
      <c r="Y701" s="76"/>
    </row>
    <row r="702" spans="1:25" ht="13.5" customHeight="1">
      <c r="A702" s="76"/>
      <c r="B702" s="76"/>
      <c r="C702" s="76"/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/>
      <c r="O702" s="76"/>
      <c r="P702" s="76"/>
      <c r="Q702" s="76"/>
      <c r="R702" s="76"/>
      <c r="S702" s="76"/>
      <c r="T702" s="76"/>
      <c r="U702" s="76"/>
      <c r="V702" s="76"/>
      <c r="W702" s="76"/>
      <c r="X702" s="76"/>
      <c r="Y702" s="76"/>
    </row>
    <row r="703" spans="1:25" ht="13.5" customHeight="1">
      <c r="A703" s="76"/>
      <c r="B703" s="76"/>
      <c r="C703" s="76"/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/>
      <c r="O703" s="76"/>
      <c r="P703" s="76"/>
      <c r="Q703" s="76"/>
      <c r="R703" s="76"/>
      <c r="S703" s="76"/>
      <c r="T703" s="76"/>
      <c r="U703" s="76"/>
      <c r="V703" s="76"/>
      <c r="W703" s="76"/>
      <c r="X703" s="76"/>
      <c r="Y703" s="76"/>
    </row>
    <row r="704" spans="1:25" ht="13.5" customHeight="1">
      <c r="A704" s="76"/>
      <c r="B704" s="76"/>
      <c r="C704" s="76"/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/>
      <c r="O704" s="76"/>
      <c r="P704" s="76"/>
      <c r="Q704" s="76"/>
      <c r="R704" s="76"/>
      <c r="S704" s="76"/>
      <c r="T704" s="76"/>
      <c r="U704" s="76"/>
      <c r="V704" s="76"/>
      <c r="W704" s="76"/>
      <c r="X704" s="76"/>
      <c r="Y704" s="76"/>
    </row>
    <row r="705" spans="1:25" ht="13.5" customHeight="1">
      <c r="A705" s="76"/>
      <c r="B705" s="76"/>
      <c r="C705" s="76"/>
      <c r="D705" s="76"/>
      <c r="E705" s="76"/>
      <c r="F705" s="76"/>
      <c r="G705" s="76"/>
      <c r="H705" s="76"/>
      <c r="I705" s="76"/>
      <c r="J705" s="76"/>
      <c r="K705" s="76"/>
      <c r="L705" s="76"/>
      <c r="M705" s="76"/>
      <c r="N705" s="76"/>
      <c r="O705" s="76"/>
      <c r="P705" s="76"/>
      <c r="Q705" s="76"/>
      <c r="R705" s="76"/>
      <c r="S705" s="76"/>
      <c r="T705" s="76"/>
      <c r="U705" s="76"/>
      <c r="V705" s="76"/>
      <c r="W705" s="76"/>
      <c r="X705" s="76"/>
      <c r="Y705" s="76"/>
    </row>
    <row r="706" spans="1:25" ht="13.5" customHeight="1">
      <c r="A706" s="76"/>
      <c r="B706" s="76"/>
      <c r="C706" s="76"/>
      <c r="D706" s="76"/>
      <c r="E706" s="76"/>
      <c r="F706" s="76"/>
      <c r="G706" s="76"/>
      <c r="H706" s="76"/>
      <c r="I706" s="76"/>
      <c r="J706" s="76"/>
      <c r="K706" s="76"/>
      <c r="L706" s="76"/>
      <c r="M706" s="76"/>
      <c r="N706" s="76"/>
      <c r="O706" s="76"/>
      <c r="P706" s="76"/>
      <c r="Q706" s="76"/>
      <c r="R706" s="76"/>
      <c r="S706" s="76"/>
      <c r="T706" s="76"/>
      <c r="U706" s="76"/>
      <c r="V706" s="76"/>
      <c r="W706" s="76"/>
      <c r="X706" s="76"/>
      <c r="Y706" s="76"/>
    </row>
    <row r="707" spans="1:25" ht="13.5" customHeight="1">
      <c r="A707" s="76"/>
      <c r="B707" s="76"/>
      <c r="C707" s="76"/>
      <c r="D707" s="76"/>
      <c r="E707" s="76"/>
      <c r="F707" s="76"/>
      <c r="G707" s="76"/>
      <c r="H707" s="76"/>
      <c r="I707" s="76"/>
      <c r="J707" s="76"/>
      <c r="K707" s="76"/>
      <c r="L707" s="76"/>
      <c r="M707" s="76"/>
      <c r="N707" s="76"/>
      <c r="O707" s="76"/>
      <c r="P707" s="76"/>
      <c r="Q707" s="76"/>
      <c r="R707" s="76"/>
      <c r="S707" s="76"/>
      <c r="T707" s="76"/>
      <c r="U707" s="76"/>
      <c r="V707" s="76"/>
      <c r="W707" s="76"/>
      <c r="X707" s="76"/>
      <c r="Y707" s="76"/>
    </row>
    <row r="708" spans="1:25" ht="13.5" customHeight="1">
      <c r="A708" s="76"/>
      <c r="B708" s="76"/>
      <c r="C708" s="76"/>
      <c r="D708" s="76"/>
      <c r="E708" s="76"/>
      <c r="F708" s="76"/>
      <c r="G708" s="76"/>
      <c r="H708" s="76"/>
      <c r="I708" s="76"/>
      <c r="J708" s="76"/>
      <c r="K708" s="76"/>
      <c r="L708" s="76"/>
      <c r="M708" s="76"/>
      <c r="N708" s="76"/>
      <c r="O708" s="76"/>
      <c r="P708" s="76"/>
      <c r="Q708" s="76"/>
      <c r="R708" s="76"/>
      <c r="S708" s="76"/>
      <c r="T708" s="76"/>
      <c r="U708" s="76"/>
      <c r="V708" s="76"/>
      <c r="W708" s="76"/>
      <c r="X708" s="76"/>
      <c r="Y708" s="76"/>
    </row>
    <row r="709" spans="1:25" ht="13.5" customHeight="1">
      <c r="A709" s="76"/>
      <c r="B709" s="76"/>
      <c r="C709" s="76"/>
      <c r="D709" s="76"/>
      <c r="E709" s="76"/>
      <c r="F709" s="76"/>
      <c r="G709" s="76"/>
      <c r="H709" s="76"/>
      <c r="I709" s="76"/>
      <c r="J709" s="76"/>
      <c r="K709" s="76"/>
      <c r="L709" s="76"/>
      <c r="M709" s="76"/>
      <c r="N709" s="76"/>
      <c r="O709" s="76"/>
      <c r="P709" s="76"/>
      <c r="Q709" s="76"/>
      <c r="R709" s="76"/>
      <c r="S709" s="76"/>
      <c r="T709" s="76"/>
      <c r="U709" s="76"/>
      <c r="V709" s="76"/>
      <c r="W709" s="76"/>
      <c r="X709" s="76"/>
      <c r="Y709" s="76"/>
    </row>
    <row r="710" spans="1:25" ht="13.5" customHeight="1">
      <c r="A710" s="76"/>
      <c r="B710" s="76"/>
      <c r="C710" s="76"/>
      <c r="D710" s="76"/>
      <c r="E710" s="76"/>
      <c r="F710" s="76"/>
      <c r="G710" s="76"/>
      <c r="H710" s="76"/>
      <c r="I710" s="76"/>
      <c r="J710" s="76"/>
      <c r="K710" s="76"/>
      <c r="L710" s="76"/>
      <c r="M710" s="76"/>
      <c r="N710" s="76"/>
      <c r="O710" s="76"/>
      <c r="P710" s="76"/>
      <c r="Q710" s="76"/>
      <c r="R710" s="76"/>
      <c r="S710" s="76"/>
      <c r="T710" s="76"/>
      <c r="U710" s="76"/>
      <c r="V710" s="76"/>
      <c r="W710" s="76"/>
      <c r="X710" s="76"/>
      <c r="Y710" s="76"/>
    </row>
    <row r="711" spans="1:25" ht="13.5" customHeight="1">
      <c r="A711" s="76"/>
      <c r="B711" s="76"/>
      <c r="C711" s="76"/>
      <c r="D711" s="76"/>
      <c r="E711" s="76"/>
      <c r="F711" s="76"/>
      <c r="G711" s="76"/>
      <c r="H711" s="76"/>
      <c r="I711" s="76"/>
      <c r="J711" s="76"/>
      <c r="K711" s="76"/>
      <c r="L711" s="76"/>
      <c r="M711" s="76"/>
      <c r="N711" s="76"/>
      <c r="O711" s="76"/>
      <c r="P711" s="76"/>
      <c r="Q711" s="76"/>
      <c r="R711" s="76"/>
      <c r="S711" s="76"/>
      <c r="T711" s="76"/>
      <c r="U711" s="76"/>
      <c r="V711" s="76"/>
      <c r="W711" s="76"/>
      <c r="X711" s="76"/>
      <c r="Y711" s="76"/>
    </row>
    <row r="712" spans="1:25" ht="13.5" customHeight="1">
      <c r="A712" s="76"/>
      <c r="B712" s="76"/>
      <c r="C712" s="76"/>
      <c r="D712" s="76"/>
      <c r="E712" s="76"/>
      <c r="F712" s="76"/>
      <c r="G712" s="76"/>
      <c r="H712" s="76"/>
      <c r="I712" s="76"/>
      <c r="J712" s="76"/>
      <c r="K712" s="76"/>
      <c r="L712" s="76"/>
      <c r="M712" s="76"/>
      <c r="N712" s="76"/>
      <c r="O712" s="76"/>
      <c r="P712" s="76"/>
      <c r="Q712" s="76"/>
      <c r="R712" s="76"/>
      <c r="S712" s="76"/>
      <c r="T712" s="76"/>
      <c r="U712" s="76"/>
      <c r="V712" s="76"/>
      <c r="W712" s="76"/>
      <c r="X712" s="76"/>
      <c r="Y712" s="76"/>
    </row>
    <row r="713" spans="1:25" ht="13.5" customHeight="1">
      <c r="A713" s="76"/>
      <c r="B713" s="76"/>
      <c r="C713" s="76"/>
      <c r="D713" s="76"/>
      <c r="E713" s="76"/>
      <c r="F713" s="76"/>
      <c r="G713" s="76"/>
      <c r="H713" s="76"/>
      <c r="I713" s="76"/>
      <c r="J713" s="76"/>
      <c r="K713" s="76"/>
      <c r="L713" s="76"/>
      <c r="M713" s="76"/>
      <c r="N713" s="76"/>
      <c r="O713" s="76"/>
      <c r="P713" s="76"/>
      <c r="Q713" s="76"/>
      <c r="R713" s="76"/>
      <c r="S713" s="76"/>
      <c r="T713" s="76"/>
      <c r="U713" s="76"/>
      <c r="V713" s="76"/>
      <c r="W713" s="76"/>
      <c r="X713" s="76"/>
      <c r="Y713" s="76"/>
    </row>
    <row r="714" spans="1:25" ht="13.5" customHeight="1">
      <c r="A714" s="76"/>
      <c r="B714" s="76"/>
      <c r="C714" s="76"/>
      <c r="D714" s="76"/>
      <c r="E714" s="76"/>
      <c r="F714" s="76"/>
      <c r="G714" s="76"/>
      <c r="H714" s="76"/>
      <c r="I714" s="76"/>
      <c r="J714" s="76"/>
      <c r="K714" s="76"/>
      <c r="L714" s="76"/>
      <c r="M714" s="76"/>
      <c r="N714" s="76"/>
      <c r="O714" s="76"/>
      <c r="P714" s="76"/>
      <c r="Q714" s="76"/>
      <c r="R714" s="76"/>
      <c r="S714" s="76"/>
      <c r="T714" s="76"/>
      <c r="U714" s="76"/>
      <c r="V714" s="76"/>
      <c r="W714" s="76"/>
      <c r="X714" s="76"/>
      <c r="Y714" s="76"/>
    </row>
    <row r="715" spans="1:25" ht="13.5" customHeight="1">
      <c r="A715" s="76"/>
      <c r="B715" s="76"/>
      <c r="C715" s="76"/>
      <c r="D715" s="76"/>
      <c r="E715" s="76"/>
      <c r="F715" s="76"/>
      <c r="G715" s="76"/>
      <c r="H715" s="76"/>
      <c r="I715" s="76"/>
      <c r="J715" s="76"/>
      <c r="K715" s="76"/>
      <c r="L715" s="76"/>
      <c r="M715" s="76"/>
      <c r="N715" s="76"/>
      <c r="O715" s="76"/>
      <c r="P715" s="76"/>
      <c r="Q715" s="76"/>
      <c r="R715" s="76"/>
      <c r="S715" s="76"/>
      <c r="T715" s="76"/>
      <c r="U715" s="76"/>
      <c r="V715" s="76"/>
      <c r="W715" s="76"/>
      <c r="X715" s="76"/>
      <c r="Y715" s="76"/>
    </row>
    <row r="716" spans="1:25" ht="13.5" customHeight="1">
      <c r="A716" s="76"/>
      <c r="B716" s="76"/>
      <c r="C716" s="76"/>
      <c r="D716" s="76"/>
      <c r="E716" s="76"/>
      <c r="F716" s="76"/>
      <c r="G716" s="76"/>
      <c r="H716" s="76"/>
      <c r="I716" s="76"/>
      <c r="J716" s="76"/>
      <c r="K716" s="76"/>
      <c r="L716" s="76"/>
      <c r="M716" s="76"/>
      <c r="N716" s="76"/>
      <c r="O716" s="76"/>
      <c r="P716" s="76"/>
      <c r="Q716" s="76"/>
      <c r="R716" s="76"/>
      <c r="S716" s="76"/>
      <c r="T716" s="76"/>
      <c r="U716" s="76"/>
      <c r="V716" s="76"/>
      <c r="W716" s="76"/>
      <c r="X716" s="76"/>
      <c r="Y716" s="76"/>
    </row>
    <row r="717" spans="1:25" ht="13.5" customHeight="1">
      <c r="A717" s="76"/>
      <c r="B717" s="76"/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76"/>
      <c r="P717" s="76"/>
      <c r="Q717" s="76"/>
      <c r="R717" s="76"/>
      <c r="S717" s="76"/>
      <c r="T717" s="76"/>
      <c r="U717" s="76"/>
      <c r="V717" s="76"/>
      <c r="W717" s="76"/>
      <c r="X717" s="76"/>
      <c r="Y717" s="76"/>
    </row>
    <row r="718" spans="1:25" ht="13.5" customHeight="1">
      <c r="A718" s="76"/>
      <c r="B718" s="76"/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76"/>
      <c r="P718" s="76"/>
      <c r="Q718" s="76"/>
      <c r="R718" s="76"/>
      <c r="S718" s="76"/>
      <c r="T718" s="76"/>
      <c r="U718" s="76"/>
      <c r="V718" s="76"/>
      <c r="W718" s="76"/>
      <c r="X718" s="76"/>
      <c r="Y718" s="76"/>
    </row>
    <row r="719" spans="1:25" ht="13.5" customHeight="1">
      <c r="A719" s="76"/>
      <c r="B719" s="76"/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76"/>
      <c r="P719" s="76"/>
      <c r="Q719" s="76"/>
      <c r="R719" s="76"/>
      <c r="S719" s="76"/>
      <c r="T719" s="76"/>
      <c r="U719" s="76"/>
      <c r="V719" s="76"/>
      <c r="W719" s="76"/>
      <c r="X719" s="76"/>
      <c r="Y719" s="76"/>
    </row>
    <row r="720" spans="1:25" ht="13.5" customHeight="1">
      <c r="A720" s="76"/>
      <c r="B720" s="76"/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76"/>
      <c r="P720" s="76"/>
      <c r="Q720" s="76"/>
      <c r="R720" s="76"/>
      <c r="S720" s="76"/>
      <c r="T720" s="76"/>
      <c r="U720" s="76"/>
      <c r="V720" s="76"/>
      <c r="W720" s="76"/>
      <c r="X720" s="76"/>
      <c r="Y720" s="76"/>
    </row>
    <row r="721" spans="1:25" ht="13.5" customHeight="1">
      <c r="A721" s="76"/>
      <c r="B721" s="76"/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76"/>
      <c r="P721" s="76"/>
      <c r="Q721" s="76"/>
      <c r="R721" s="76"/>
      <c r="S721" s="76"/>
      <c r="T721" s="76"/>
      <c r="U721" s="76"/>
      <c r="V721" s="76"/>
      <c r="W721" s="76"/>
      <c r="X721" s="76"/>
      <c r="Y721" s="76"/>
    </row>
    <row r="722" spans="1:25" ht="13.5" customHeight="1">
      <c r="A722" s="76"/>
      <c r="B722" s="76"/>
      <c r="C722" s="76"/>
      <c r="D722" s="76"/>
      <c r="E722" s="76"/>
      <c r="F722" s="76"/>
      <c r="G722" s="76"/>
      <c r="H722" s="76"/>
      <c r="I722" s="76"/>
      <c r="J722" s="76"/>
      <c r="K722" s="76"/>
      <c r="L722" s="76"/>
      <c r="M722" s="76"/>
      <c r="N722" s="76"/>
      <c r="O722" s="76"/>
      <c r="P722" s="76"/>
      <c r="Q722" s="76"/>
      <c r="R722" s="76"/>
      <c r="S722" s="76"/>
      <c r="T722" s="76"/>
      <c r="U722" s="76"/>
      <c r="V722" s="76"/>
      <c r="W722" s="76"/>
      <c r="X722" s="76"/>
      <c r="Y722" s="76"/>
    </row>
    <row r="723" spans="1:25" ht="13.5" customHeight="1">
      <c r="A723" s="76"/>
      <c r="B723" s="76"/>
      <c r="C723" s="76"/>
      <c r="D723" s="76"/>
      <c r="E723" s="76"/>
      <c r="F723" s="76"/>
      <c r="G723" s="76"/>
      <c r="H723" s="76"/>
      <c r="I723" s="76"/>
      <c r="J723" s="76"/>
      <c r="K723" s="76"/>
      <c r="L723" s="76"/>
      <c r="M723" s="76"/>
      <c r="N723" s="76"/>
      <c r="O723" s="76"/>
      <c r="P723" s="76"/>
      <c r="Q723" s="76"/>
      <c r="R723" s="76"/>
      <c r="S723" s="76"/>
      <c r="T723" s="76"/>
      <c r="U723" s="76"/>
      <c r="V723" s="76"/>
      <c r="W723" s="76"/>
      <c r="X723" s="76"/>
      <c r="Y723" s="76"/>
    </row>
    <row r="724" spans="1:25" ht="13.5" customHeight="1">
      <c r="A724" s="76"/>
      <c r="B724" s="76"/>
      <c r="C724" s="76"/>
      <c r="D724" s="76"/>
      <c r="E724" s="76"/>
      <c r="F724" s="76"/>
      <c r="G724" s="76"/>
      <c r="H724" s="76"/>
      <c r="I724" s="76"/>
      <c r="J724" s="76"/>
      <c r="K724" s="76"/>
      <c r="L724" s="76"/>
      <c r="M724" s="76"/>
      <c r="N724" s="76"/>
      <c r="O724" s="76"/>
      <c r="P724" s="76"/>
      <c r="Q724" s="76"/>
      <c r="R724" s="76"/>
      <c r="S724" s="76"/>
      <c r="T724" s="76"/>
      <c r="U724" s="76"/>
      <c r="V724" s="76"/>
      <c r="W724" s="76"/>
      <c r="X724" s="76"/>
      <c r="Y724" s="76"/>
    </row>
    <row r="725" spans="1:25" ht="13.5" customHeight="1">
      <c r="A725" s="76"/>
      <c r="B725" s="76"/>
      <c r="C725" s="76"/>
      <c r="D725" s="76"/>
      <c r="E725" s="76"/>
      <c r="F725" s="76"/>
      <c r="G725" s="76"/>
      <c r="H725" s="76"/>
      <c r="I725" s="76"/>
      <c r="J725" s="76"/>
      <c r="K725" s="76"/>
      <c r="L725" s="76"/>
      <c r="M725" s="76"/>
      <c r="N725" s="76"/>
      <c r="O725" s="76"/>
      <c r="P725" s="76"/>
      <c r="Q725" s="76"/>
      <c r="R725" s="76"/>
      <c r="S725" s="76"/>
      <c r="T725" s="76"/>
      <c r="U725" s="76"/>
      <c r="V725" s="76"/>
      <c r="W725" s="76"/>
      <c r="X725" s="76"/>
      <c r="Y725" s="76"/>
    </row>
    <row r="726" spans="1:25" ht="13.5" customHeight="1">
      <c r="A726" s="76"/>
      <c r="B726" s="76"/>
      <c r="C726" s="76"/>
      <c r="D726" s="76"/>
      <c r="E726" s="76"/>
      <c r="F726" s="76"/>
      <c r="G726" s="76"/>
      <c r="H726" s="76"/>
      <c r="I726" s="76"/>
      <c r="J726" s="76"/>
      <c r="K726" s="76"/>
      <c r="L726" s="76"/>
      <c r="M726" s="76"/>
      <c r="N726" s="76"/>
      <c r="O726" s="76"/>
      <c r="P726" s="76"/>
      <c r="Q726" s="76"/>
      <c r="R726" s="76"/>
      <c r="S726" s="76"/>
      <c r="T726" s="76"/>
      <c r="U726" s="76"/>
      <c r="V726" s="76"/>
      <c r="W726" s="76"/>
      <c r="X726" s="76"/>
      <c r="Y726" s="76"/>
    </row>
    <row r="727" spans="1:25" ht="13.5" customHeight="1">
      <c r="A727" s="76"/>
      <c r="B727" s="76"/>
      <c r="C727" s="76"/>
      <c r="D727" s="76"/>
      <c r="E727" s="76"/>
      <c r="F727" s="76"/>
      <c r="G727" s="76"/>
      <c r="H727" s="76"/>
      <c r="I727" s="76"/>
      <c r="J727" s="76"/>
      <c r="K727" s="76"/>
      <c r="L727" s="76"/>
      <c r="M727" s="76"/>
      <c r="N727" s="76"/>
      <c r="O727" s="76"/>
      <c r="P727" s="76"/>
      <c r="Q727" s="76"/>
      <c r="R727" s="76"/>
      <c r="S727" s="76"/>
      <c r="T727" s="76"/>
      <c r="U727" s="76"/>
      <c r="V727" s="76"/>
      <c r="W727" s="76"/>
      <c r="X727" s="76"/>
      <c r="Y727" s="76"/>
    </row>
    <row r="728" spans="1:25" ht="13.5" customHeight="1">
      <c r="A728" s="76"/>
      <c r="B728" s="76"/>
      <c r="C728" s="76"/>
      <c r="D728" s="76"/>
      <c r="E728" s="76"/>
      <c r="F728" s="76"/>
      <c r="G728" s="76"/>
      <c r="H728" s="76"/>
      <c r="I728" s="76"/>
      <c r="J728" s="76"/>
      <c r="K728" s="76"/>
      <c r="L728" s="76"/>
      <c r="M728" s="76"/>
      <c r="N728" s="76"/>
      <c r="O728" s="76"/>
      <c r="P728" s="76"/>
      <c r="Q728" s="76"/>
      <c r="R728" s="76"/>
      <c r="S728" s="76"/>
      <c r="T728" s="76"/>
      <c r="U728" s="76"/>
      <c r="V728" s="76"/>
      <c r="W728" s="76"/>
      <c r="X728" s="76"/>
      <c r="Y728" s="76"/>
    </row>
    <row r="729" spans="1:25" ht="13.5" customHeight="1">
      <c r="A729" s="76"/>
      <c r="B729" s="76"/>
      <c r="C729" s="76"/>
      <c r="D729" s="76"/>
      <c r="E729" s="76"/>
      <c r="F729" s="76"/>
      <c r="G729" s="76"/>
      <c r="H729" s="76"/>
      <c r="I729" s="76"/>
      <c r="J729" s="76"/>
      <c r="K729" s="76"/>
      <c r="L729" s="76"/>
      <c r="M729" s="76"/>
      <c r="N729" s="76"/>
      <c r="O729" s="76"/>
      <c r="P729" s="76"/>
      <c r="Q729" s="76"/>
      <c r="R729" s="76"/>
      <c r="S729" s="76"/>
      <c r="T729" s="76"/>
      <c r="U729" s="76"/>
      <c r="V729" s="76"/>
      <c r="W729" s="76"/>
      <c r="X729" s="76"/>
      <c r="Y729" s="76"/>
    </row>
    <row r="730" spans="1:25" ht="13.5" customHeight="1">
      <c r="A730" s="76"/>
      <c r="B730" s="76"/>
      <c r="C730" s="76"/>
      <c r="D730" s="76"/>
      <c r="E730" s="76"/>
      <c r="F730" s="76"/>
      <c r="G730" s="76"/>
      <c r="H730" s="76"/>
      <c r="I730" s="76"/>
      <c r="J730" s="76"/>
      <c r="K730" s="76"/>
      <c r="L730" s="76"/>
      <c r="M730" s="76"/>
      <c r="N730" s="76"/>
      <c r="O730" s="76"/>
      <c r="P730" s="76"/>
      <c r="Q730" s="76"/>
      <c r="R730" s="76"/>
      <c r="S730" s="76"/>
      <c r="T730" s="76"/>
      <c r="U730" s="76"/>
      <c r="V730" s="76"/>
      <c r="W730" s="76"/>
      <c r="X730" s="76"/>
      <c r="Y730" s="76"/>
    </row>
    <row r="731" spans="1:25" ht="13.5" customHeight="1">
      <c r="A731" s="76"/>
      <c r="B731" s="76"/>
      <c r="C731" s="76"/>
      <c r="D731" s="76"/>
      <c r="E731" s="76"/>
      <c r="F731" s="76"/>
      <c r="G731" s="76"/>
      <c r="H731" s="76"/>
      <c r="I731" s="76"/>
      <c r="J731" s="76"/>
      <c r="K731" s="76"/>
      <c r="L731" s="76"/>
      <c r="M731" s="76"/>
      <c r="N731" s="76"/>
      <c r="O731" s="76"/>
      <c r="P731" s="76"/>
      <c r="Q731" s="76"/>
      <c r="R731" s="76"/>
      <c r="S731" s="76"/>
      <c r="T731" s="76"/>
      <c r="U731" s="76"/>
      <c r="V731" s="76"/>
      <c r="W731" s="76"/>
      <c r="X731" s="76"/>
      <c r="Y731" s="76"/>
    </row>
    <row r="732" spans="1:25" ht="13.5" customHeight="1">
      <c r="A732" s="76"/>
      <c r="B732" s="76"/>
      <c r="C732" s="76"/>
      <c r="D732" s="76"/>
      <c r="E732" s="76"/>
      <c r="F732" s="76"/>
      <c r="G732" s="76"/>
      <c r="H732" s="76"/>
      <c r="I732" s="76"/>
      <c r="J732" s="76"/>
      <c r="K732" s="76"/>
      <c r="L732" s="76"/>
      <c r="M732" s="76"/>
      <c r="N732" s="76"/>
      <c r="O732" s="76"/>
      <c r="P732" s="76"/>
      <c r="Q732" s="76"/>
      <c r="R732" s="76"/>
      <c r="S732" s="76"/>
      <c r="T732" s="76"/>
      <c r="U732" s="76"/>
      <c r="V732" s="76"/>
      <c r="W732" s="76"/>
      <c r="X732" s="76"/>
      <c r="Y732" s="76"/>
    </row>
    <row r="733" spans="1:25" ht="13.5" customHeight="1">
      <c r="A733" s="76"/>
      <c r="B733" s="76"/>
      <c r="C733" s="76"/>
      <c r="D733" s="76"/>
      <c r="E733" s="76"/>
      <c r="F733" s="76"/>
      <c r="G733" s="76"/>
      <c r="H733" s="76"/>
      <c r="I733" s="76"/>
      <c r="J733" s="76"/>
      <c r="K733" s="76"/>
      <c r="L733" s="76"/>
      <c r="M733" s="76"/>
      <c r="N733" s="76"/>
      <c r="O733" s="76"/>
      <c r="P733" s="76"/>
      <c r="Q733" s="76"/>
      <c r="R733" s="76"/>
      <c r="S733" s="76"/>
      <c r="T733" s="76"/>
      <c r="U733" s="76"/>
      <c r="V733" s="76"/>
      <c r="W733" s="76"/>
      <c r="X733" s="76"/>
      <c r="Y733" s="76"/>
    </row>
    <row r="734" spans="1:25" ht="13.5" customHeight="1">
      <c r="A734" s="76"/>
      <c r="B734" s="76"/>
      <c r="C734" s="76"/>
      <c r="D734" s="76"/>
      <c r="E734" s="76"/>
      <c r="F734" s="76"/>
      <c r="G734" s="76"/>
      <c r="H734" s="76"/>
      <c r="I734" s="76"/>
      <c r="J734" s="76"/>
      <c r="K734" s="76"/>
      <c r="L734" s="76"/>
      <c r="M734" s="76"/>
      <c r="N734" s="76"/>
      <c r="O734" s="76"/>
      <c r="P734" s="76"/>
      <c r="Q734" s="76"/>
      <c r="R734" s="76"/>
      <c r="S734" s="76"/>
      <c r="T734" s="76"/>
      <c r="U734" s="76"/>
      <c r="V734" s="76"/>
      <c r="W734" s="76"/>
      <c r="X734" s="76"/>
      <c r="Y734" s="76"/>
    </row>
    <row r="735" spans="1:25" ht="13.5" customHeight="1">
      <c r="A735" s="76"/>
      <c r="B735" s="76"/>
      <c r="C735" s="76"/>
      <c r="D735" s="76"/>
      <c r="E735" s="76"/>
      <c r="F735" s="76"/>
      <c r="G735" s="76"/>
      <c r="H735" s="76"/>
      <c r="I735" s="76"/>
      <c r="J735" s="76"/>
      <c r="K735" s="76"/>
      <c r="L735" s="76"/>
      <c r="M735" s="76"/>
      <c r="N735" s="76"/>
      <c r="O735" s="76"/>
      <c r="P735" s="76"/>
      <c r="Q735" s="76"/>
      <c r="R735" s="76"/>
      <c r="S735" s="76"/>
      <c r="T735" s="76"/>
      <c r="U735" s="76"/>
      <c r="V735" s="76"/>
      <c r="W735" s="76"/>
      <c r="X735" s="76"/>
      <c r="Y735" s="76"/>
    </row>
    <row r="736" spans="1:25" ht="13.5" customHeight="1">
      <c r="A736" s="76"/>
      <c r="B736" s="76"/>
      <c r="C736" s="76"/>
      <c r="D736" s="76"/>
      <c r="E736" s="76"/>
      <c r="F736" s="76"/>
      <c r="G736" s="76"/>
      <c r="H736" s="76"/>
      <c r="I736" s="76"/>
      <c r="J736" s="76"/>
      <c r="K736" s="76"/>
      <c r="L736" s="76"/>
      <c r="M736" s="76"/>
      <c r="N736" s="76"/>
      <c r="O736" s="76"/>
      <c r="P736" s="76"/>
      <c r="Q736" s="76"/>
      <c r="R736" s="76"/>
      <c r="S736" s="76"/>
      <c r="T736" s="76"/>
      <c r="U736" s="76"/>
      <c r="V736" s="76"/>
      <c r="W736" s="76"/>
      <c r="X736" s="76"/>
      <c r="Y736" s="76"/>
    </row>
    <row r="737" spans="1:25" ht="13.5" customHeight="1">
      <c r="A737" s="76"/>
      <c r="B737" s="76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76"/>
      <c r="P737" s="76"/>
      <c r="Q737" s="76"/>
      <c r="R737" s="76"/>
      <c r="S737" s="76"/>
      <c r="T737" s="76"/>
      <c r="U737" s="76"/>
      <c r="V737" s="76"/>
      <c r="W737" s="76"/>
      <c r="X737" s="76"/>
      <c r="Y737" s="76"/>
    </row>
    <row r="738" spans="1:25" ht="13.5" customHeight="1">
      <c r="A738" s="76"/>
      <c r="B738" s="76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76"/>
      <c r="P738" s="76"/>
      <c r="Q738" s="76"/>
      <c r="R738" s="76"/>
      <c r="S738" s="76"/>
      <c r="T738" s="76"/>
      <c r="U738" s="76"/>
      <c r="V738" s="76"/>
      <c r="W738" s="76"/>
      <c r="X738" s="76"/>
      <c r="Y738" s="76"/>
    </row>
    <row r="739" spans="1:25" ht="13.5" customHeight="1">
      <c r="A739" s="76"/>
      <c r="B739" s="76"/>
      <c r="C739" s="76"/>
      <c r="D739" s="76"/>
      <c r="E739" s="76"/>
      <c r="F739" s="76"/>
      <c r="G739" s="76"/>
      <c r="H739" s="76"/>
      <c r="I739" s="76"/>
      <c r="J739" s="76"/>
      <c r="K739" s="76"/>
      <c r="L739" s="76"/>
      <c r="M739" s="76"/>
      <c r="N739" s="76"/>
      <c r="O739" s="76"/>
      <c r="P739" s="76"/>
      <c r="Q739" s="76"/>
      <c r="R739" s="76"/>
      <c r="S739" s="76"/>
      <c r="T739" s="76"/>
      <c r="U739" s="76"/>
      <c r="V739" s="76"/>
      <c r="W739" s="76"/>
      <c r="X739" s="76"/>
      <c r="Y739" s="76"/>
    </row>
    <row r="740" spans="1:25" ht="13.5" customHeight="1">
      <c r="A740" s="76"/>
      <c r="B740" s="76"/>
      <c r="C740" s="76"/>
      <c r="D740" s="76"/>
      <c r="E740" s="76"/>
      <c r="F740" s="76"/>
      <c r="G740" s="76"/>
      <c r="H740" s="76"/>
      <c r="I740" s="76"/>
      <c r="J740" s="76"/>
      <c r="K740" s="76"/>
      <c r="L740" s="76"/>
      <c r="M740" s="76"/>
      <c r="N740" s="76"/>
      <c r="O740" s="76"/>
      <c r="P740" s="76"/>
      <c r="Q740" s="76"/>
      <c r="R740" s="76"/>
      <c r="S740" s="76"/>
      <c r="T740" s="76"/>
      <c r="U740" s="76"/>
      <c r="V740" s="76"/>
      <c r="W740" s="76"/>
      <c r="X740" s="76"/>
      <c r="Y740" s="76"/>
    </row>
    <row r="741" spans="1:25" ht="13.5" customHeight="1">
      <c r="A741" s="76"/>
      <c r="B741" s="76"/>
      <c r="C741" s="76"/>
      <c r="D741" s="76"/>
      <c r="E741" s="76"/>
      <c r="F741" s="76"/>
      <c r="G741" s="76"/>
      <c r="H741" s="76"/>
      <c r="I741" s="76"/>
      <c r="J741" s="76"/>
      <c r="K741" s="76"/>
      <c r="L741" s="76"/>
      <c r="M741" s="76"/>
      <c r="N741" s="76"/>
      <c r="O741" s="76"/>
      <c r="P741" s="76"/>
      <c r="Q741" s="76"/>
      <c r="R741" s="76"/>
      <c r="S741" s="76"/>
      <c r="T741" s="76"/>
      <c r="U741" s="76"/>
      <c r="V741" s="76"/>
      <c r="W741" s="76"/>
      <c r="X741" s="76"/>
      <c r="Y741" s="76"/>
    </row>
    <row r="742" spans="1:25" ht="13.5" customHeight="1">
      <c r="A742" s="76"/>
      <c r="B742" s="76"/>
      <c r="C742" s="76"/>
      <c r="D742" s="76"/>
      <c r="E742" s="76"/>
      <c r="F742" s="76"/>
      <c r="G742" s="76"/>
      <c r="H742" s="76"/>
      <c r="I742" s="76"/>
      <c r="J742" s="76"/>
      <c r="K742" s="76"/>
      <c r="L742" s="76"/>
      <c r="M742" s="76"/>
      <c r="N742" s="76"/>
      <c r="O742" s="76"/>
      <c r="P742" s="76"/>
      <c r="Q742" s="76"/>
      <c r="R742" s="76"/>
      <c r="S742" s="76"/>
      <c r="T742" s="76"/>
      <c r="U742" s="76"/>
      <c r="V742" s="76"/>
      <c r="W742" s="76"/>
      <c r="X742" s="76"/>
      <c r="Y742" s="76"/>
    </row>
    <row r="743" spans="1:25" ht="13.5" customHeight="1">
      <c r="A743" s="76"/>
      <c r="B743" s="76"/>
      <c r="C743" s="76"/>
      <c r="D743" s="76"/>
      <c r="E743" s="76"/>
      <c r="F743" s="76"/>
      <c r="G743" s="76"/>
      <c r="H743" s="76"/>
      <c r="I743" s="76"/>
      <c r="J743" s="76"/>
      <c r="K743" s="76"/>
      <c r="L743" s="76"/>
      <c r="M743" s="76"/>
      <c r="N743" s="76"/>
      <c r="O743" s="76"/>
      <c r="P743" s="76"/>
      <c r="Q743" s="76"/>
      <c r="R743" s="76"/>
      <c r="S743" s="76"/>
      <c r="T743" s="76"/>
      <c r="U743" s="76"/>
      <c r="V743" s="76"/>
      <c r="W743" s="76"/>
      <c r="X743" s="76"/>
      <c r="Y743" s="76"/>
    </row>
    <row r="744" spans="1:25" ht="13.5" customHeight="1">
      <c r="A744" s="76"/>
      <c r="B744" s="76"/>
      <c r="C744" s="76"/>
      <c r="D744" s="76"/>
      <c r="E744" s="76"/>
      <c r="F744" s="76"/>
      <c r="G744" s="76"/>
      <c r="H744" s="76"/>
      <c r="I744" s="76"/>
      <c r="J744" s="76"/>
      <c r="K744" s="76"/>
      <c r="L744" s="76"/>
      <c r="M744" s="76"/>
      <c r="N744" s="76"/>
      <c r="O744" s="76"/>
      <c r="P744" s="76"/>
      <c r="Q744" s="76"/>
      <c r="R744" s="76"/>
      <c r="S744" s="76"/>
      <c r="T744" s="76"/>
      <c r="U744" s="76"/>
      <c r="V744" s="76"/>
      <c r="W744" s="76"/>
      <c r="X744" s="76"/>
      <c r="Y744" s="76"/>
    </row>
    <row r="745" spans="1:25" ht="13.5" customHeight="1">
      <c r="A745" s="76"/>
      <c r="B745" s="76"/>
      <c r="C745" s="76"/>
      <c r="D745" s="76"/>
      <c r="E745" s="76"/>
      <c r="F745" s="76"/>
      <c r="G745" s="76"/>
      <c r="H745" s="76"/>
      <c r="I745" s="76"/>
      <c r="J745" s="76"/>
      <c r="K745" s="76"/>
      <c r="L745" s="76"/>
      <c r="M745" s="76"/>
      <c r="N745" s="76"/>
      <c r="O745" s="76"/>
      <c r="P745" s="76"/>
      <c r="Q745" s="76"/>
      <c r="R745" s="76"/>
      <c r="S745" s="76"/>
      <c r="T745" s="76"/>
      <c r="U745" s="76"/>
      <c r="V745" s="76"/>
      <c r="W745" s="76"/>
      <c r="X745" s="76"/>
      <c r="Y745" s="76"/>
    </row>
    <row r="746" spans="1:25" ht="13.5" customHeight="1">
      <c r="A746" s="76"/>
      <c r="B746" s="76"/>
      <c r="C746" s="76"/>
      <c r="D746" s="76"/>
      <c r="E746" s="76"/>
      <c r="F746" s="76"/>
      <c r="G746" s="76"/>
      <c r="H746" s="76"/>
      <c r="I746" s="76"/>
      <c r="J746" s="76"/>
      <c r="K746" s="76"/>
      <c r="L746" s="76"/>
      <c r="M746" s="76"/>
      <c r="N746" s="76"/>
      <c r="O746" s="76"/>
      <c r="P746" s="76"/>
      <c r="Q746" s="76"/>
      <c r="R746" s="76"/>
      <c r="S746" s="76"/>
      <c r="T746" s="76"/>
      <c r="U746" s="76"/>
      <c r="V746" s="76"/>
      <c r="W746" s="76"/>
      <c r="X746" s="76"/>
      <c r="Y746" s="76"/>
    </row>
    <row r="747" spans="1:25" ht="13.5" customHeight="1">
      <c r="A747" s="76"/>
      <c r="B747" s="76"/>
      <c r="C747" s="76"/>
      <c r="D747" s="76"/>
      <c r="E747" s="76"/>
      <c r="F747" s="76"/>
      <c r="G747" s="76"/>
      <c r="H747" s="76"/>
      <c r="I747" s="76"/>
      <c r="J747" s="76"/>
      <c r="K747" s="76"/>
      <c r="L747" s="76"/>
      <c r="M747" s="76"/>
      <c r="N747" s="76"/>
      <c r="O747" s="76"/>
      <c r="P747" s="76"/>
      <c r="Q747" s="76"/>
      <c r="R747" s="76"/>
      <c r="S747" s="76"/>
      <c r="T747" s="76"/>
      <c r="U747" s="76"/>
      <c r="V747" s="76"/>
      <c r="W747" s="76"/>
      <c r="X747" s="76"/>
      <c r="Y747" s="76"/>
    </row>
    <row r="748" spans="1:25" ht="13.5" customHeight="1">
      <c r="A748" s="76"/>
      <c r="B748" s="76"/>
      <c r="C748" s="76"/>
      <c r="D748" s="76"/>
      <c r="E748" s="76"/>
      <c r="F748" s="76"/>
      <c r="G748" s="76"/>
      <c r="H748" s="76"/>
      <c r="I748" s="76"/>
      <c r="J748" s="76"/>
      <c r="K748" s="76"/>
      <c r="L748" s="76"/>
      <c r="M748" s="76"/>
      <c r="N748" s="76"/>
      <c r="O748" s="76"/>
      <c r="P748" s="76"/>
      <c r="Q748" s="76"/>
      <c r="R748" s="76"/>
      <c r="S748" s="76"/>
      <c r="T748" s="76"/>
      <c r="U748" s="76"/>
      <c r="V748" s="76"/>
      <c r="W748" s="76"/>
      <c r="X748" s="76"/>
      <c r="Y748" s="76"/>
    </row>
    <row r="749" spans="1:25" ht="13.5" customHeight="1">
      <c r="A749" s="76"/>
      <c r="B749" s="76"/>
      <c r="C749" s="76"/>
      <c r="D749" s="76"/>
      <c r="E749" s="76"/>
      <c r="F749" s="76"/>
      <c r="G749" s="76"/>
      <c r="H749" s="76"/>
      <c r="I749" s="76"/>
      <c r="J749" s="76"/>
      <c r="K749" s="76"/>
      <c r="L749" s="76"/>
      <c r="M749" s="76"/>
      <c r="N749" s="76"/>
      <c r="O749" s="76"/>
      <c r="P749" s="76"/>
      <c r="Q749" s="76"/>
      <c r="R749" s="76"/>
      <c r="S749" s="76"/>
      <c r="T749" s="76"/>
      <c r="U749" s="76"/>
      <c r="V749" s="76"/>
      <c r="W749" s="76"/>
      <c r="X749" s="76"/>
      <c r="Y749" s="76"/>
    </row>
    <row r="750" spans="1:25" ht="13.5" customHeight="1">
      <c r="A750" s="76"/>
      <c r="B750" s="76"/>
      <c r="C750" s="76"/>
      <c r="D750" s="76"/>
      <c r="E750" s="76"/>
      <c r="F750" s="76"/>
      <c r="G750" s="76"/>
      <c r="H750" s="76"/>
      <c r="I750" s="76"/>
      <c r="J750" s="76"/>
      <c r="K750" s="76"/>
      <c r="L750" s="76"/>
      <c r="M750" s="76"/>
      <c r="N750" s="76"/>
      <c r="O750" s="76"/>
      <c r="P750" s="76"/>
      <c r="Q750" s="76"/>
      <c r="R750" s="76"/>
      <c r="S750" s="76"/>
      <c r="T750" s="76"/>
      <c r="U750" s="76"/>
      <c r="V750" s="76"/>
      <c r="W750" s="76"/>
      <c r="X750" s="76"/>
      <c r="Y750" s="76"/>
    </row>
    <row r="751" spans="1:25" ht="13.5" customHeight="1">
      <c r="A751" s="76"/>
      <c r="B751" s="76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76"/>
      <c r="P751" s="76"/>
      <c r="Q751" s="76"/>
      <c r="R751" s="76"/>
      <c r="S751" s="76"/>
      <c r="T751" s="76"/>
      <c r="U751" s="76"/>
      <c r="V751" s="76"/>
      <c r="W751" s="76"/>
      <c r="X751" s="76"/>
      <c r="Y751" s="76"/>
    </row>
    <row r="752" spans="1:25" ht="13.5" customHeight="1">
      <c r="A752" s="76"/>
      <c r="B752" s="76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76"/>
      <c r="P752" s="76"/>
      <c r="Q752" s="76"/>
      <c r="R752" s="76"/>
      <c r="S752" s="76"/>
      <c r="T752" s="76"/>
      <c r="U752" s="76"/>
      <c r="V752" s="76"/>
      <c r="W752" s="76"/>
      <c r="X752" s="76"/>
      <c r="Y752" s="76"/>
    </row>
    <row r="753" spans="1:25" ht="13.5" customHeight="1">
      <c r="A753" s="76"/>
      <c r="B753" s="76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76"/>
      <c r="P753" s="76"/>
      <c r="Q753" s="76"/>
      <c r="R753" s="76"/>
      <c r="S753" s="76"/>
      <c r="T753" s="76"/>
      <c r="U753" s="76"/>
      <c r="V753" s="76"/>
      <c r="W753" s="76"/>
      <c r="X753" s="76"/>
      <c r="Y753" s="76"/>
    </row>
    <row r="754" spans="1:25" ht="13.5" customHeight="1">
      <c r="A754" s="76"/>
      <c r="B754" s="76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76"/>
      <c r="P754" s="76"/>
      <c r="Q754" s="76"/>
      <c r="R754" s="76"/>
      <c r="S754" s="76"/>
      <c r="T754" s="76"/>
      <c r="U754" s="76"/>
      <c r="V754" s="76"/>
      <c r="W754" s="76"/>
      <c r="X754" s="76"/>
      <c r="Y754" s="76"/>
    </row>
    <row r="755" spans="1:25" ht="13.5" customHeight="1">
      <c r="A755" s="76"/>
      <c r="B755" s="76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76"/>
      <c r="P755" s="76"/>
      <c r="Q755" s="76"/>
      <c r="R755" s="76"/>
      <c r="S755" s="76"/>
      <c r="T755" s="76"/>
      <c r="U755" s="76"/>
      <c r="V755" s="76"/>
      <c r="W755" s="76"/>
      <c r="X755" s="76"/>
      <c r="Y755" s="76"/>
    </row>
    <row r="756" spans="1:25" ht="13.5" customHeight="1">
      <c r="A756" s="76"/>
      <c r="B756" s="76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76"/>
      <c r="P756" s="76"/>
      <c r="Q756" s="76"/>
      <c r="R756" s="76"/>
      <c r="S756" s="76"/>
      <c r="T756" s="76"/>
      <c r="U756" s="76"/>
      <c r="V756" s="76"/>
      <c r="W756" s="76"/>
      <c r="X756" s="76"/>
      <c r="Y756" s="76"/>
    </row>
    <row r="757" spans="1:25" ht="13.5" customHeight="1">
      <c r="A757" s="76"/>
      <c r="B757" s="76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76"/>
      <c r="P757" s="76"/>
      <c r="Q757" s="76"/>
      <c r="R757" s="76"/>
      <c r="S757" s="76"/>
      <c r="T757" s="76"/>
      <c r="U757" s="76"/>
      <c r="V757" s="76"/>
      <c r="W757" s="76"/>
      <c r="X757" s="76"/>
      <c r="Y757" s="76"/>
    </row>
    <row r="758" spans="1:25" ht="13.5" customHeight="1">
      <c r="A758" s="76"/>
      <c r="B758" s="76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76"/>
      <c r="P758" s="76"/>
      <c r="Q758" s="76"/>
      <c r="R758" s="76"/>
      <c r="S758" s="76"/>
      <c r="T758" s="76"/>
      <c r="U758" s="76"/>
      <c r="V758" s="76"/>
      <c r="W758" s="76"/>
      <c r="X758" s="76"/>
      <c r="Y758" s="76"/>
    </row>
    <row r="759" spans="1:25" ht="13.5" customHeight="1">
      <c r="A759" s="76"/>
      <c r="B759" s="76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76"/>
      <c r="P759" s="76"/>
      <c r="Q759" s="76"/>
      <c r="R759" s="76"/>
      <c r="S759" s="76"/>
      <c r="T759" s="76"/>
      <c r="U759" s="76"/>
      <c r="V759" s="76"/>
      <c r="W759" s="76"/>
      <c r="X759" s="76"/>
      <c r="Y759" s="76"/>
    </row>
    <row r="760" spans="1:25" ht="13.5" customHeight="1">
      <c r="A760" s="76"/>
      <c r="B760" s="76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76"/>
      <c r="P760" s="76"/>
      <c r="Q760" s="76"/>
      <c r="R760" s="76"/>
      <c r="S760" s="76"/>
      <c r="T760" s="76"/>
      <c r="U760" s="76"/>
      <c r="V760" s="76"/>
      <c r="W760" s="76"/>
      <c r="X760" s="76"/>
      <c r="Y760" s="76"/>
    </row>
    <row r="761" spans="1:25" ht="13.5" customHeight="1">
      <c r="A761" s="76"/>
      <c r="B761" s="76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76"/>
      <c r="P761" s="76"/>
      <c r="Q761" s="76"/>
      <c r="R761" s="76"/>
      <c r="S761" s="76"/>
      <c r="T761" s="76"/>
      <c r="U761" s="76"/>
      <c r="V761" s="76"/>
      <c r="W761" s="76"/>
      <c r="X761" s="76"/>
      <c r="Y761" s="76"/>
    </row>
    <row r="762" spans="1:25" ht="13.5" customHeight="1">
      <c r="A762" s="76"/>
      <c r="B762" s="76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76"/>
      <c r="P762" s="76"/>
      <c r="Q762" s="76"/>
      <c r="R762" s="76"/>
      <c r="S762" s="76"/>
      <c r="T762" s="76"/>
      <c r="U762" s="76"/>
      <c r="V762" s="76"/>
      <c r="W762" s="76"/>
      <c r="X762" s="76"/>
      <c r="Y762" s="76"/>
    </row>
    <row r="763" spans="1:25" ht="13.5" customHeight="1">
      <c r="A763" s="76"/>
      <c r="B763" s="76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76"/>
      <c r="P763" s="76"/>
      <c r="Q763" s="76"/>
      <c r="R763" s="76"/>
      <c r="S763" s="76"/>
      <c r="T763" s="76"/>
      <c r="U763" s="76"/>
      <c r="V763" s="76"/>
      <c r="W763" s="76"/>
      <c r="X763" s="76"/>
      <c r="Y763" s="76"/>
    </row>
    <row r="764" spans="1:25" ht="13.5" customHeight="1">
      <c r="A764" s="76"/>
      <c r="B764" s="76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76"/>
      <c r="P764" s="76"/>
      <c r="Q764" s="76"/>
      <c r="R764" s="76"/>
      <c r="S764" s="76"/>
      <c r="T764" s="76"/>
      <c r="U764" s="76"/>
      <c r="V764" s="76"/>
      <c r="W764" s="76"/>
      <c r="X764" s="76"/>
      <c r="Y764" s="76"/>
    </row>
    <row r="765" spans="1:25" ht="13.5" customHeight="1">
      <c r="A765" s="76"/>
      <c r="B765" s="76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76"/>
      <c r="P765" s="76"/>
      <c r="Q765" s="76"/>
      <c r="R765" s="76"/>
      <c r="S765" s="76"/>
      <c r="T765" s="76"/>
      <c r="U765" s="76"/>
      <c r="V765" s="76"/>
      <c r="W765" s="76"/>
      <c r="X765" s="76"/>
      <c r="Y765" s="76"/>
    </row>
    <row r="766" spans="1:25" ht="13.5" customHeight="1">
      <c r="A766" s="76"/>
      <c r="B766" s="76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76"/>
      <c r="P766" s="76"/>
      <c r="Q766" s="76"/>
      <c r="R766" s="76"/>
      <c r="S766" s="76"/>
      <c r="T766" s="76"/>
      <c r="U766" s="76"/>
      <c r="V766" s="76"/>
      <c r="W766" s="76"/>
      <c r="X766" s="76"/>
      <c r="Y766" s="76"/>
    </row>
    <row r="767" spans="1:25" ht="13.5" customHeight="1">
      <c r="A767" s="76"/>
      <c r="B767" s="76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76"/>
      <c r="P767" s="76"/>
      <c r="Q767" s="76"/>
      <c r="R767" s="76"/>
      <c r="S767" s="76"/>
      <c r="T767" s="76"/>
      <c r="U767" s="76"/>
      <c r="V767" s="76"/>
      <c r="W767" s="76"/>
      <c r="X767" s="76"/>
      <c r="Y767" s="76"/>
    </row>
    <row r="768" spans="1:25" ht="13.5" customHeight="1">
      <c r="A768" s="76"/>
      <c r="B768" s="76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76"/>
      <c r="P768" s="76"/>
      <c r="Q768" s="76"/>
      <c r="R768" s="76"/>
      <c r="S768" s="76"/>
      <c r="T768" s="76"/>
      <c r="U768" s="76"/>
      <c r="V768" s="76"/>
      <c r="W768" s="76"/>
      <c r="X768" s="76"/>
      <c r="Y768" s="76"/>
    </row>
    <row r="769" spans="1:25" ht="13.5" customHeight="1">
      <c r="A769" s="76"/>
      <c r="B769" s="76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76"/>
      <c r="P769" s="76"/>
      <c r="Q769" s="76"/>
      <c r="R769" s="76"/>
      <c r="S769" s="76"/>
      <c r="T769" s="76"/>
      <c r="U769" s="76"/>
      <c r="V769" s="76"/>
      <c r="W769" s="76"/>
      <c r="X769" s="76"/>
      <c r="Y769" s="76"/>
    </row>
    <row r="770" spans="1:25" ht="13.5" customHeight="1">
      <c r="A770" s="76"/>
      <c r="B770" s="76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76"/>
      <c r="P770" s="76"/>
      <c r="Q770" s="76"/>
      <c r="R770" s="76"/>
      <c r="S770" s="76"/>
      <c r="T770" s="76"/>
      <c r="U770" s="76"/>
      <c r="V770" s="76"/>
      <c r="W770" s="76"/>
      <c r="X770" s="76"/>
      <c r="Y770" s="76"/>
    </row>
    <row r="771" spans="1:25" ht="13.5" customHeight="1">
      <c r="A771" s="76"/>
      <c r="B771" s="76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76"/>
      <c r="P771" s="76"/>
      <c r="Q771" s="76"/>
      <c r="R771" s="76"/>
      <c r="S771" s="76"/>
      <c r="T771" s="76"/>
      <c r="U771" s="76"/>
      <c r="V771" s="76"/>
      <c r="W771" s="76"/>
      <c r="X771" s="76"/>
      <c r="Y771" s="76"/>
    </row>
    <row r="772" spans="1:25" ht="13.5" customHeight="1">
      <c r="A772" s="76"/>
      <c r="B772" s="76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76"/>
      <c r="P772" s="76"/>
      <c r="Q772" s="76"/>
      <c r="R772" s="76"/>
      <c r="S772" s="76"/>
      <c r="T772" s="76"/>
      <c r="U772" s="76"/>
      <c r="V772" s="76"/>
      <c r="W772" s="76"/>
      <c r="X772" s="76"/>
      <c r="Y772" s="76"/>
    </row>
    <row r="773" spans="1:25" ht="13.5" customHeight="1">
      <c r="A773" s="76"/>
      <c r="B773" s="76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76"/>
      <c r="P773" s="76"/>
      <c r="Q773" s="76"/>
      <c r="R773" s="76"/>
      <c r="S773" s="76"/>
      <c r="T773" s="76"/>
      <c r="U773" s="76"/>
      <c r="V773" s="76"/>
      <c r="W773" s="76"/>
      <c r="X773" s="76"/>
      <c r="Y773" s="76"/>
    </row>
    <row r="774" spans="1:25" ht="13.5" customHeight="1">
      <c r="A774" s="76"/>
      <c r="B774" s="76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76"/>
      <c r="P774" s="76"/>
      <c r="Q774" s="76"/>
      <c r="R774" s="76"/>
      <c r="S774" s="76"/>
      <c r="T774" s="76"/>
      <c r="U774" s="76"/>
      <c r="V774" s="76"/>
      <c r="W774" s="76"/>
      <c r="X774" s="76"/>
      <c r="Y774" s="76"/>
    </row>
    <row r="775" spans="1:25" ht="13.5" customHeight="1">
      <c r="A775" s="76"/>
      <c r="B775" s="76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76"/>
      <c r="P775" s="76"/>
      <c r="Q775" s="76"/>
      <c r="R775" s="76"/>
      <c r="S775" s="76"/>
      <c r="T775" s="76"/>
      <c r="U775" s="76"/>
      <c r="V775" s="76"/>
      <c r="W775" s="76"/>
      <c r="X775" s="76"/>
      <c r="Y775" s="76"/>
    </row>
    <row r="776" spans="1:25" ht="13.5" customHeight="1">
      <c r="A776" s="76"/>
      <c r="B776" s="76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76"/>
      <c r="P776" s="76"/>
      <c r="Q776" s="76"/>
      <c r="R776" s="76"/>
      <c r="S776" s="76"/>
      <c r="T776" s="76"/>
      <c r="U776" s="76"/>
      <c r="V776" s="76"/>
      <c r="W776" s="76"/>
      <c r="X776" s="76"/>
      <c r="Y776" s="76"/>
    </row>
    <row r="777" spans="1:25" ht="13.5" customHeight="1">
      <c r="A777" s="76"/>
      <c r="B777" s="76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76"/>
      <c r="P777" s="76"/>
      <c r="Q777" s="76"/>
      <c r="R777" s="76"/>
      <c r="S777" s="76"/>
      <c r="T777" s="76"/>
      <c r="U777" s="76"/>
      <c r="V777" s="76"/>
      <c r="W777" s="76"/>
      <c r="X777" s="76"/>
      <c r="Y777" s="76"/>
    </row>
    <row r="778" spans="1:25" ht="13.5" customHeight="1">
      <c r="A778" s="76"/>
      <c r="B778" s="76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76"/>
      <c r="P778" s="76"/>
      <c r="Q778" s="76"/>
      <c r="R778" s="76"/>
      <c r="S778" s="76"/>
      <c r="T778" s="76"/>
      <c r="U778" s="76"/>
      <c r="V778" s="76"/>
      <c r="W778" s="76"/>
      <c r="X778" s="76"/>
      <c r="Y778" s="76"/>
    </row>
    <row r="779" spans="1:25" ht="13.5" customHeight="1">
      <c r="A779" s="76"/>
      <c r="B779" s="76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76"/>
      <c r="P779" s="76"/>
      <c r="Q779" s="76"/>
      <c r="R779" s="76"/>
      <c r="S779" s="76"/>
      <c r="T779" s="76"/>
      <c r="U779" s="76"/>
      <c r="V779" s="76"/>
      <c r="W779" s="76"/>
      <c r="X779" s="76"/>
      <c r="Y779" s="76"/>
    </row>
    <row r="780" spans="1:25" ht="13.5" customHeight="1">
      <c r="A780" s="76"/>
      <c r="B780" s="76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76"/>
      <c r="P780" s="76"/>
      <c r="Q780" s="76"/>
      <c r="R780" s="76"/>
      <c r="S780" s="76"/>
      <c r="T780" s="76"/>
      <c r="U780" s="76"/>
      <c r="V780" s="76"/>
      <c r="W780" s="76"/>
      <c r="X780" s="76"/>
      <c r="Y780" s="76"/>
    </row>
    <row r="781" spans="1:25" ht="13.5" customHeight="1">
      <c r="A781" s="76"/>
      <c r="B781" s="76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76"/>
      <c r="P781" s="76"/>
      <c r="Q781" s="76"/>
      <c r="R781" s="76"/>
      <c r="S781" s="76"/>
      <c r="T781" s="76"/>
      <c r="U781" s="76"/>
      <c r="V781" s="76"/>
      <c r="W781" s="76"/>
      <c r="X781" s="76"/>
      <c r="Y781" s="76"/>
    </row>
    <row r="782" spans="1:25" ht="13.5" customHeight="1">
      <c r="A782" s="76"/>
      <c r="B782" s="76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76"/>
      <c r="P782" s="76"/>
      <c r="Q782" s="76"/>
      <c r="R782" s="76"/>
      <c r="S782" s="76"/>
      <c r="T782" s="76"/>
      <c r="U782" s="76"/>
      <c r="V782" s="76"/>
      <c r="W782" s="76"/>
      <c r="X782" s="76"/>
      <c r="Y782" s="76"/>
    </row>
    <row r="783" spans="1:25" ht="13.5" customHeight="1">
      <c r="A783" s="76"/>
      <c r="B783" s="76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76"/>
      <c r="P783" s="76"/>
      <c r="Q783" s="76"/>
      <c r="R783" s="76"/>
      <c r="S783" s="76"/>
      <c r="T783" s="76"/>
      <c r="U783" s="76"/>
      <c r="V783" s="76"/>
      <c r="W783" s="76"/>
      <c r="X783" s="76"/>
      <c r="Y783" s="76"/>
    </row>
    <row r="784" spans="1:25" ht="13.5" customHeight="1">
      <c r="A784" s="76"/>
      <c r="B784" s="76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76"/>
      <c r="P784" s="76"/>
      <c r="Q784" s="76"/>
      <c r="R784" s="76"/>
      <c r="S784" s="76"/>
      <c r="T784" s="76"/>
      <c r="U784" s="76"/>
      <c r="V784" s="76"/>
      <c r="W784" s="76"/>
      <c r="X784" s="76"/>
      <c r="Y784" s="76"/>
    </row>
    <row r="785" spans="1:25" ht="13.5" customHeight="1">
      <c r="A785" s="76"/>
      <c r="B785" s="76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76"/>
      <c r="P785" s="76"/>
      <c r="Q785" s="76"/>
      <c r="R785" s="76"/>
      <c r="S785" s="76"/>
      <c r="T785" s="76"/>
      <c r="U785" s="76"/>
      <c r="V785" s="76"/>
      <c r="W785" s="76"/>
      <c r="X785" s="76"/>
      <c r="Y785" s="76"/>
    </row>
    <row r="786" spans="1:25" ht="13.5" customHeight="1">
      <c r="A786" s="76"/>
      <c r="B786" s="76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76"/>
      <c r="P786" s="76"/>
      <c r="Q786" s="76"/>
      <c r="R786" s="76"/>
      <c r="S786" s="76"/>
      <c r="T786" s="76"/>
      <c r="U786" s="76"/>
      <c r="V786" s="76"/>
      <c r="W786" s="76"/>
      <c r="X786" s="76"/>
      <c r="Y786" s="76"/>
    </row>
    <row r="787" spans="1:25" ht="13.5" customHeight="1">
      <c r="A787" s="76"/>
      <c r="B787" s="76"/>
      <c r="C787" s="76"/>
      <c r="D787" s="76"/>
      <c r="E787" s="76"/>
      <c r="F787" s="76"/>
      <c r="G787" s="76"/>
      <c r="H787" s="76"/>
      <c r="I787" s="76"/>
      <c r="J787" s="76"/>
      <c r="K787" s="76"/>
      <c r="L787" s="76"/>
      <c r="M787" s="76"/>
      <c r="N787" s="76"/>
      <c r="O787" s="76"/>
      <c r="P787" s="76"/>
      <c r="Q787" s="76"/>
      <c r="R787" s="76"/>
      <c r="S787" s="76"/>
      <c r="T787" s="76"/>
      <c r="U787" s="76"/>
      <c r="V787" s="76"/>
      <c r="W787" s="76"/>
      <c r="X787" s="76"/>
      <c r="Y787" s="76"/>
    </row>
    <row r="788" spans="1:25" ht="13.5" customHeight="1">
      <c r="A788" s="76"/>
      <c r="B788" s="76"/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  <c r="N788" s="76"/>
      <c r="O788" s="76"/>
      <c r="P788" s="76"/>
      <c r="Q788" s="76"/>
      <c r="R788" s="76"/>
      <c r="S788" s="76"/>
      <c r="T788" s="76"/>
      <c r="U788" s="76"/>
      <c r="V788" s="76"/>
      <c r="W788" s="76"/>
      <c r="X788" s="76"/>
      <c r="Y788" s="76"/>
    </row>
    <row r="789" spans="1:25" ht="13.5" customHeight="1">
      <c r="A789" s="76"/>
      <c r="B789" s="76"/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  <c r="N789" s="76"/>
      <c r="O789" s="76"/>
      <c r="P789" s="76"/>
      <c r="Q789" s="76"/>
      <c r="R789" s="76"/>
      <c r="S789" s="76"/>
      <c r="T789" s="76"/>
      <c r="U789" s="76"/>
      <c r="V789" s="76"/>
      <c r="W789" s="76"/>
      <c r="X789" s="76"/>
      <c r="Y789" s="76"/>
    </row>
    <row r="790" spans="1:25" ht="13.5" customHeight="1">
      <c r="A790" s="76"/>
      <c r="B790" s="76"/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  <c r="N790" s="76"/>
      <c r="O790" s="76"/>
      <c r="P790" s="76"/>
      <c r="Q790" s="76"/>
      <c r="R790" s="76"/>
      <c r="S790" s="76"/>
      <c r="T790" s="76"/>
      <c r="U790" s="76"/>
      <c r="V790" s="76"/>
      <c r="W790" s="76"/>
      <c r="X790" s="76"/>
      <c r="Y790" s="76"/>
    </row>
    <row r="791" spans="1:25" ht="13.5" customHeight="1">
      <c r="A791" s="76"/>
      <c r="B791" s="76"/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  <c r="N791" s="76"/>
      <c r="O791" s="76"/>
      <c r="P791" s="76"/>
      <c r="Q791" s="76"/>
      <c r="R791" s="76"/>
      <c r="S791" s="76"/>
      <c r="T791" s="76"/>
      <c r="U791" s="76"/>
      <c r="V791" s="76"/>
      <c r="W791" s="76"/>
      <c r="X791" s="76"/>
      <c r="Y791" s="76"/>
    </row>
    <row r="792" spans="1:25" ht="13.5" customHeight="1">
      <c r="A792" s="76"/>
      <c r="B792" s="76"/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  <c r="N792" s="76"/>
      <c r="O792" s="76"/>
      <c r="P792" s="76"/>
      <c r="Q792" s="76"/>
      <c r="R792" s="76"/>
      <c r="S792" s="76"/>
      <c r="T792" s="76"/>
      <c r="U792" s="76"/>
      <c r="V792" s="76"/>
      <c r="W792" s="76"/>
      <c r="X792" s="76"/>
      <c r="Y792" s="76"/>
    </row>
    <row r="793" spans="1:25" ht="13.5" customHeight="1">
      <c r="A793" s="76"/>
      <c r="B793" s="76"/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  <c r="N793" s="76"/>
      <c r="O793" s="76"/>
      <c r="P793" s="76"/>
      <c r="Q793" s="76"/>
      <c r="R793" s="76"/>
      <c r="S793" s="76"/>
      <c r="T793" s="76"/>
      <c r="U793" s="76"/>
      <c r="V793" s="76"/>
      <c r="W793" s="76"/>
      <c r="X793" s="76"/>
      <c r="Y793" s="76"/>
    </row>
    <row r="794" spans="1:25" ht="13.5" customHeight="1">
      <c r="A794" s="76"/>
      <c r="B794" s="76"/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  <c r="N794" s="76"/>
      <c r="O794" s="76"/>
      <c r="P794" s="76"/>
      <c r="Q794" s="76"/>
      <c r="R794" s="76"/>
      <c r="S794" s="76"/>
      <c r="T794" s="76"/>
      <c r="U794" s="76"/>
      <c r="V794" s="76"/>
      <c r="W794" s="76"/>
      <c r="X794" s="76"/>
      <c r="Y794" s="76"/>
    </row>
    <row r="795" spans="1:25" ht="13.5" customHeight="1">
      <c r="A795" s="76"/>
      <c r="B795" s="76"/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  <c r="N795" s="76"/>
      <c r="O795" s="76"/>
      <c r="P795" s="76"/>
      <c r="Q795" s="76"/>
      <c r="R795" s="76"/>
      <c r="S795" s="76"/>
      <c r="T795" s="76"/>
      <c r="U795" s="76"/>
      <c r="V795" s="76"/>
      <c r="W795" s="76"/>
      <c r="X795" s="76"/>
      <c r="Y795" s="76"/>
    </row>
    <row r="796" spans="1:25" ht="13.5" customHeight="1">
      <c r="A796" s="76"/>
      <c r="B796" s="76"/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  <c r="N796" s="76"/>
      <c r="O796" s="76"/>
      <c r="P796" s="76"/>
      <c r="Q796" s="76"/>
      <c r="R796" s="76"/>
      <c r="S796" s="76"/>
      <c r="T796" s="76"/>
      <c r="U796" s="76"/>
      <c r="V796" s="76"/>
      <c r="W796" s="76"/>
      <c r="X796" s="76"/>
      <c r="Y796" s="76"/>
    </row>
    <row r="797" spans="1:25" ht="13.5" customHeight="1">
      <c r="A797" s="76"/>
      <c r="B797" s="76"/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  <c r="N797" s="76"/>
      <c r="O797" s="76"/>
      <c r="P797" s="76"/>
      <c r="Q797" s="76"/>
      <c r="R797" s="76"/>
      <c r="S797" s="76"/>
      <c r="T797" s="76"/>
      <c r="U797" s="76"/>
      <c r="V797" s="76"/>
      <c r="W797" s="76"/>
      <c r="X797" s="76"/>
      <c r="Y797" s="76"/>
    </row>
    <row r="798" spans="1:25" ht="13.5" customHeight="1">
      <c r="A798" s="76"/>
      <c r="B798" s="76"/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  <c r="N798" s="76"/>
      <c r="O798" s="76"/>
      <c r="P798" s="76"/>
      <c r="Q798" s="76"/>
      <c r="R798" s="76"/>
      <c r="S798" s="76"/>
      <c r="T798" s="76"/>
      <c r="U798" s="76"/>
      <c r="V798" s="76"/>
      <c r="W798" s="76"/>
      <c r="X798" s="76"/>
      <c r="Y798" s="76"/>
    </row>
    <row r="799" spans="1:25" ht="13.5" customHeight="1">
      <c r="A799" s="76"/>
      <c r="B799" s="76"/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  <c r="N799" s="76"/>
      <c r="O799" s="76"/>
      <c r="P799" s="76"/>
      <c r="Q799" s="76"/>
      <c r="R799" s="76"/>
      <c r="S799" s="76"/>
      <c r="T799" s="76"/>
      <c r="U799" s="76"/>
      <c r="V799" s="76"/>
      <c r="W799" s="76"/>
      <c r="X799" s="76"/>
      <c r="Y799" s="76"/>
    </row>
    <row r="800" spans="1:25" ht="13.5" customHeight="1">
      <c r="A800" s="76"/>
      <c r="B800" s="76"/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  <c r="N800" s="76"/>
      <c r="O800" s="76"/>
      <c r="P800" s="76"/>
      <c r="Q800" s="76"/>
      <c r="R800" s="76"/>
      <c r="S800" s="76"/>
      <c r="T800" s="76"/>
      <c r="U800" s="76"/>
      <c r="V800" s="76"/>
      <c r="W800" s="76"/>
      <c r="X800" s="76"/>
      <c r="Y800" s="76"/>
    </row>
    <row r="801" spans="1:25" ht="13.5" customHeight="1">
      <c r="A801" s="76"/>
      <c r="B801" s="76"/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  <c r="N801" s="76"/>
      <c r="O801" s="76"/>
      <c r="P801" s="76"/>
      <c r="Q801" s="76"/>
      <c r="R801" s="76"/>
      <c r="S801" s="76"/>
      <c r="T801" s="76"/>
      <c r="U801" s="76"/>
      <c r="V801" s="76"/>
      <c r="W801" s="76"/>
      <c r="X801" s="76"/>
      <c r="Y801" s="76"/>
    </row>
    <row r="802" spans="1:25" ht="13.5" customHeight="1">
      <c r="A802" s="76"/>
      <c r="B802" s="76"/>
      <c r="C802" s="76"/>
      <c r="D802" s="76"/>
      <c r="E802" s="76"/>
      <c r="F802" s="76"/>
      <c r="G802" s="76"/>
      <c r="H802" s="76"/>
      <c r="I802" s="76"/>
      <c r="J802" s="76"/>
      <c r="K802" s="76"/>
      <c r="L802" s="76"/>
      <c r="M802" s="76"/>
      <c r="N802" s="76"/>
      <c r="O802" s="76"/>
      <c r="P802" s="76"/>
      <c r="Q802" s="76"/>
      <c r="R802" s="76"/>
      <c r="S802" s="76"/>
      <c r="T802" s="76"/>
      <c r="U802" s="76"/>
      <c r="V802" s="76"/>
      <c r="W802" s="76"/>
      <c r="X802" s="76"/>
      <c r="Y802" s="76"/>
    </row>
    <row r="803" spans="1:25" ht="13.5" customHeight="1">
      <c r="A803" s="76"/>
      <c r="B803" s="76"/>
      <c r="C803" s="76"/>
      <c r="D803" s="76"/>
      <c r="E803" s="76"/>
      <c r="F803" s="76"/>
      <c r="G803" s="76"/>
      <c r="H803" s="76"/>
      <c r="I803" s="76"/>
      <c r="J803" s="76"/>
      <c r="K803" s="76"/>
      <c r="L803" s="76"/>
      <c r="M803" s="76"/>
      <c r="N803" s="76"/>
      <c r="O803" s="76"/>
      <c r="P803" s="76"/>
      <c r="Q803" s="76"/>
      <c r="R803" s="76"/>
      <c r="S803" s="76"/>
      <c r="T803" s="76"/>
      <c r="U803" s="76"/>
      <c r="V803" s="76"/>
      <c r="W803" s="76"/>
      <c r="X803" s="76"/>
      <c r="Y803" s="76"/>
    </row>
    <row r="804" spans="1:25" ht="13.5" customHeight="1">
      <c r="A804" s="76"/>
      <c r="B804" s="76"/>
      <c r="C804" s="76"/>
      <c r="D804" s="76"/>
      <c r="E804" s="76"/>
      <c r="F804" s="76"/>
      <c r="G804" s="76"/>
      <c r="H804" s="76"/>
      <c r="I804" s="76"/>
      <c r="J804" s="76"/>
      <c r="K804" s="76"/>
      <c r="L804" s="76"/>
      <c r="M804" s="76"/>
      <c r="N804" s="76"/>
      <c r="O804" s="76"/>
      <c r="P804" s="76"/>
      <c r="Q804" s="76"/>
      <c r="R804" s="76"/>
      <c r="S804" s="76"/>
      <c r="T804" s="76"/>
      <c r="U804" s="76"/>
      <c r="V804" s="76"/>
      <c r="W804" s="76"/>
      <c r="X804" s="76"/>
      <c r="Y804" s="76"/>
    </row>
    <row r="805" spans="1:25" ht="13.5" customHeight="1">
      <c r="A805" s="76"/>
      <c r="B805" s="76"/>
      <c r="C805" s="76"/>
      <c r="D805" s="76"/>
      <c r="E805" s="76"/>
      <c r="F805" s="76"/>
      <c r="G805" s="76"/>
      <c r="H805" s="76"/>
      <c r="I805" s="76"/>
      <c r="J805" s="76"/>
      <c r="K805" s="76"/>
      <c r="L805" s="76"/>
      <c r="M805" s="76"/>
      <c r="N805" s="76"/>
      <c r="O805" s="76"/>
      <c r="P805" s="76"/>
      <c r="Q805" s="76"/>
      <c r="R805" s="76"/>
      <c r="S805" s="76"/>
      <c r="T805" s="76"/>
      <c r="U805" s="76"/>
      <c r="V805" s="76"/>
      <c r="W805" s="76"/>
      <c r="X805" s="76"/>
      <c r="Y805" s="76"/>
    </row>
    <row r="806" spans="1:25" ht="13.5" customHeight="1">
      <c r="A806" s="76"/>
      <c r="B806" s="76"/>
      <c r="C806" s="76"/>
      <c r="D806" s="76"/>
      <c r="E806" s="76"/>
      <c r="F806" s="76"/>
      <c r="G806" s="76"/>
      <c r="H806" s="76"/>
      <c r="I806" s="76"/>
      <c r="J806" s="76"/>
      <c r="K806" s="76"/>
      <c r="L806" s="76"/>
      <c r="M806" s="76"/>
      <c r="N806" s="76"/>
      <c r="O806" s="76"/>
      <c r="P806" s="76"/>
      <c r="Q806" s="76"/>
      <c r="R806" s="76"/>
      <c r="S806" s="76"/>
      <c r="T806" s="76"/>
      <c r="U806" s="76"/>
      <c r="V806" s="76"/>
      <c r="W806" s="76"/>
      <c r="X806" s="76"/>
      <c r="Y806" s="76"/>
    </row>
    <row r="807" spans="1:25" ht="13.5" customHeight="1">
      <c r="A807" s="76"/>
      <c r="B807" s="76"/>
      <c r="C807" s="76"/>
      <c r="D807" s="76"/>
      <c r="E807" s="76"/>
      <c r="F807" s="76"/>
      <c r="G807" s="76"/>
      <c r="H807" s="76"/>
      <c r="I807" s="76"/>
      <c r="J807" s="76"/>
      <c r="K807" s="76"/>
      <c r="L807" s="76"/>
      <c r="M807" s="76"/>
      <c r="N807" s="76"/>
      <c r="O807" s="76"/>
      <c r="P807" s="76"/>
      <c r="Q807" s="76"/>
      <c r="R807" s="76"/>
      <c r="S807" s="76"/>
      <c r="T807" s="76"/>
      <c r="U807" s="76"/>
      <c r="V807" s="76"/>
      <c r="W807" s="76"/>
      <c r="X807" s="76"/>
      <c r="Y807" s="76"/>
    </row>
    <row r="808" spans="1:25" ht="13.5" customHeight="1">
      <c r="A808" s="76"/>
      <c r="B808" s="76"/>
      <c r="C808" s="76"/>
      <c r="D808" s="76"/>
      <c r="E808" s="76"/>
      <c r="F808" s="76"/>
      <c r="G808" s="76"/>
      <c r="H808" s="76"/>
      <c r="I808" s="76"/>
      <c r="J808" s="76"/>
      <c r="K808" s="76"/>
      <c r="L808" s="76"/>
      <c r="M808" s="76"/>
      <c r="N808" s="76"/>
      <c r="O808" s="76"/>
      <c r="P808" s="76"/>
      <c r="Q808" s="76"/>
      <c r="R808" s="76"/>
      <c r="S808" s="76"/>
      <c r="T808" s="76"/>
      <c r="U808" s="76"/>
      <c r="V808" s="76"/>
      <c r="W808" s="76"/>
      <c r="X808" s="76"/>
      <c r="Y808" s="76"/>
    </row>
    <row r="809" spans="1:25" ht="13.5" customHeight="1">
      <c r="A809" s="76"/>
      <c r="B809" s="76"/>
      <c r="C809" s="76"/>
      <c r="D809" s="76"/>
      <c r="E809" s="76"/>
      <c r="F809" s="76"/>
      <c r="G809" s="76"/>
      <c r="H809" s="76"/>
      <c r="I809" s="76"/>
      <c r="J809" s="76"/>
      <c r="K809" s="76"/>
      <c r="L809" s="76"/>
      <c r="M809" s="76"/>
      <c r="N809" s="76"/>
      <c r="O809" s="76"/>
      <c r="P809" s="76"/>
      <c r="Q809" s="76"/>
      <c r="R809" s="76"/>
      <c r="S809" s="76"/>
      <c r="T809" s="76"/>
      <c r="U809" s="76"/>
      <c r="V809" s="76"/>
      <c r="W809" s="76"/>
      <c r="X809" s="76"/>
      <c r="Y809" s="76"/>
    </row>
    <row r="810" spans="1:25" ht="13.5" customHeight="1">
      <c r="A810" s="76"/>
      <c r="B810" s="76"/>
      <c r="C810" s="76"/>
      <c r="D810" s="76"/>
      <c r="E810" s="76"/>
      <c r="F810" s="76"/>
      <c r="G810" s="76"/>
      <c r="H810" s="76"/>
      <c r="I810" s="76"/>
      <c r="J810" s="76"/>
      <c r="K810" s="76"/>
      <c r="L810" s="76"/>
      <c r="M810" s="76"/>
      <c r="N810" s="76"/>
      <c r="O810" s="76"/>
      <c r="P810" s="76"/>
      <c r="Q810" s="76"/>
      <c r="R810" s="76"/>
      <c r="S810" s="76"/>
      <c r="T810" s="76"/>
      <c r="U810" s="76"/>
      <c r="V810" s="76"/>
      <c r="W810" s="76"/>
      <c r="X810" s="76"/>
      <c r="Y810" s="76"/>
    </row>
    <row r="811" spans="1:25" ht="13.5" customHeight="1">
      <c r="A811" s="76"/>
      <c r="B811" s="76"/>
      <c r="C811" s="76"/>
      <c r="D811" s="76"/>
      <c r="E811" s="76"/>
      <c r="F811" s="76"/>
      <c r="G811" s="76"/>
      <c r="H811" s="76"/>
      <c r="I811" s="76"/>
      <c r="J811" s="76"/>
      <c r="K811" s="76"/>
      <c r="L811" s="76"/>
      <c r="M811" s="76"/>
      <c r="N811" s="76"/>
      <c r="O811" s="76"/>
      <c r="P811" s="76"/>
      <c r="Q811" s="76"/>
      <c r="R811" s="76"/>
      <c r="S811" s="76"/>
      <c r="T811" s="76"/>
      <c r="U811" s="76"/>
      <c r="V811" s="76"/>
      <c r="W811" s="76"/>
      <c r="X811" s="76"/>
      <c r="Y811" s="76"/>
    </row>
    <row r="812" spans="1:25" ht="13.5" customHeight="1">
      <c r="A812" s="76"/>
      <c r="B812" s="76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  <c r="N812" s="76"/>
      <c r="O812" s="76"/>
      <c r="P812" s="76"/>
      <c r="Q812" s="76"/>
      <c r="R812" s="76"/>
      <c r="S812" s="76"/>
      <c r="T812" s="76"/>
      <c r="U812" s="76"/>
      <c r="V812" s="76"/>
      <c r="W812" s="76"/>
      <c r="X812" s="76"/>
      <c r="Y812" s="76"/>
    </row>
    <row r="813" spans="1:25" ht="13.5" customHeight="1">
      <c r="A813" s="76"/>
      <c r="B813" s="76"/>
      <c r="C813" s="76"/>
      <c r="D813" s="76"/>
      <c r="E813" s="76"/>
      <c r="F813" s="76"/>
      <c r="G813" s="76"/>
      <c r="H813" s="76"/>
      <c r="I813" s="76"/>
      <c r="J813" s="76"/>
      <c r="K813" s="76"/>
      <c r="L813" s="76"/>
      <c r="M813" s="76"/>
      <c r="N813" s="76"/>
      <c r="O813" s="76"/>
      <c r="P813" s="76"/>
      <c r="Q813" s="76"/>
      <c r="R813" s="76"/>
      <c r="S813" s="76"/>
      <c r="T813" s="76"/>
      <c r="U813" s="76"/>
      <c r="V813" s="76"/>
      <c r="W813" s="76"/>
      <c r="X813" s="76"/>
      <c r="Y813" s="76"/>
    </row>
    <row r="814" spans="1:25" ht="13.5" customHeight="1">
      <c r="A814" s="76"/>
      <c r="B814" s="76"/>
      <c r="C814" s="76"/>
      <c r="D814" s="76"/>
      <c r="E814" s="76"/>
      <c r="F814" s="76"/>
      <c r="G814" s="76"/>
      <c r="H814" s="76"/>
      <c r="I814" s="76"/>
      <c r="J814" s="76"/>
      <c r="K814" s="76"/>
      <c r="L814" s="76"/>
      <c r="M814" s="76"/>
      <c r="N814" s="76"/>
      <c r="O814" s="76"/>
      <c r="P814" s="76"/>
      <c r="Q814" s="76"/>
      <c r="R814" s="76"/>
      <c r="S814" s="76"/>
      <c r="T814" s="76"/>
      <c r="U814" s="76"/>
      <c r="V814" s="76"/>
      <c r="W814" s="76"/>
      <c r="X814" s="76"/>
      <c r="Y814" s="76"/>
    </row>
    <row r="815" spans="1:25" ht="13.5" customHeight="1">
      <c r="A815" s="76"/>
      <c r="B815" s="76"/>
      <c r="C815" s="76"/>
      <c r="D815" s="76"/>
      <c r="E815" s="76"/>
      <c r="F815" s="76"/>
      <c r="G815" s="76"/>
      <c r="H815" s="76"/>
      <c r="I815" s="76"/>
      <c r="J815" s="76"/>
      <c r="K815" s="76"/>
      <c r="L815" s="76"/>
      <c r="M815" s="76"/>
      <c r="N815" s="76"/>
      <c r="O815" s="76"/>
      <c r="P815" s="76"/>
      <c r="Q815" s="76"/>
      <c r="R815" s="76"/>
      <c r="S815" s="76"/>
      <c r="T815" s="76"/>
      <c r="U815" s="76"/>
      <c r="V815" s="76"/>
      <c r="W815" s="76"/>
      <c r="X815" s="76"/>
      <c r="Y815" s="76"/>
    </row>
    <row r="816" spans="1:25" ht="13.5" customHeight="1">
      <c r="A816" s="76"/>
      <c r="B816" s="76"/>
      <c r="C816" s="76"/>
      <c r="D816" s="76"/>
      <c r="E816" s="76"/>
      <c r="F816" s="76"/>
      <c r="G816" s="76"/>
      <c r="H816" s="76"/>
      <c r="I816" s="76"/>
      <c r="J816" s="76"/>
      <c r="K816" s="76"/>
      <c r="L816" s="76"/>
      <c r="M816" s="76"/>
      <c r="N816" s="76"/>
      <c r="O816" s="76"/>
      <c r="P816" s="76"/>
      <c r="Q816" s="76"/>
      <c r="R816" s="76"/>
      <c r="S816" s="76"/>
      <c r="T816" s="76"/>
      <c r="U816" s="76"/>
      <c r="V816" s="76"/>
      <c r="W816" s="76"/>
      <c r="X816" s="76"/>
      <c r="Y816" s="76"/>
    </row>
    <row r="817" spans="1:25" ht="13.5" customHeight="1">
      <c r="A817" s="76"/>
      <c r="B817" s="76"/>
      <c r="C817" s="76"/>
      <c r="D817" s="76"/>
      <c r="E817" s="76"/>
      <c r="F817" s="76"/>
      <c r="G817" s="76"/>
      <c r="H817" s="76"/>
      <c r="I817" s="76"/>
      <c r="J817" s="76"/>
      <c r="K817" s="76"/>
      <c r="L817" s="76"/>
      <c r="M817" s="76"/>
      <c r="N817" s="76"/>
      <c r="O817" s="76"/>
      <c r="P817" s="76"/>
      <c r="Q817" s="76"/>
      <c r="R817" s="76"/>
      <c r="S817" s="76"/>
      <c r="T817" s="76"/>
      <c r="U817" s="76"/>
      <c r="V817" s="76"/>
      <c r="W817" s="76"/>
      <c r="X817" s="76"/>
      <c r="Y817" s="76"/>
    </row>
    <row r="818" spans="1:25" ht="13.5" customHeight="1">
      <c r="A818" s="76"/>
      <c r="B818" s="76"/>
      <c r="C818" s="76"/>
      <c r="D818" s="76"/>
      <c r="E818" s="76"/>
      <c r="F818" s="76"/>
      <c r="G818" s="76"/>
      <c r="H818" s="76"/>
      <c r="I818" s="76"/>
      <c r="J818" s="76"/>
      <c r="K818" s="76"/>
      <c r="L818" s="76"/>
      <c r="M818" s="76"/>
      <c r="N818" s="76"/>
      <c r="O818" s="76"/>
      <c r="P818" s="76"/>
      <c r="Q818" s="76"/>
      <c r="R818" s="76"/>
      <c r="S818" s="76"/>
      <c r="T818" s="76"/>
      <c r="U818" s="76"/>
      <c r="V818" s="76"/>
      <c r="W818" s="76"/>
      <c r="X818" s="76"/>
      <c r="Y818" s="76"/>
    </row>
    <row r="819" spans="1:25" ht="13.5" customHeight="1">
      <c r="A819" s="76"/>
      <c r="B819" s="76"/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  <c r="N819" s="76"/>
      <c r="O819" s="76"/>
      <c r="P819" s="76"/>
      <c r="Q819" s="76"/>
      <c r="R819" s="76"/>
      <c r="S819" s="76"/>
      <c r="T819" s="76"/>
      <c r="U819" s="76"/>
      <c r="V819" s="76"/>
      <c r="W819" s="76"/>
      <c r="X819" s="76"/>
      <c r="Y819" s="76"/>
    </row>
    <row r="820" spans="1:25" ht="13.5" customHeight="1">
      <c r="A820" s="76"/>
      <c r="B820" s="76"/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  <c r="N820" s="76"/>
      <c r="O820" s="76"/>
      <c r="P820" s="76"/>
      <c r="Q820" s="76"/>
      <c r="R820" s="76"/>
      <c r="S820" s="76"/>
      <c r="T820" s="76"/>
      <c r="U820" s="76"/>
      <c r="V820" s="76"/>
      <c r="W820" s="76"/>
      <c r="X820" s="76"/>
      <c r="Y820" s="76"/>
    </row>
    <row r="821" spans="1:25" ht="13.5" customHeight="1">
      <c r="A821" s="76"/>
      <c r="B821" s="76"/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  <c r="N821" s="76"/>
      <c r="O821" s="76"/>
      <c r="P821" s="76"/>
      <c r="Q821" s="76"/>
      <c r="R821" s="76"/>
      <c r="S821" s="76"/>
      <c r="T821" s="76"/>
      <c r="U821" s="76"/>
      <c r="V821" s="76"/>
      <c r="W821" s="76"/>
      <c r="X821" s="76"/>
      <c r="Y821" s="76"/>
    </row>
    <row r="822" spans="1:25" ht="13.5" customHeight="1">
      <c r="A822" s="76"/>
      <c r="B822" s="76"/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  <c r="N822" s="76"/>
      <c r="O822" s="76"/>
      <c r="P822" s="76"/>
      <c r="Q822" s="76"/>
      <c r="R822" s="76"/>
      <c r="S822" s="76"/>
      <c r="T822" s="76"/>
      <c r="U822" s="76"/>
      <c r="V822" s="76"/>
      <c r="W822" s="76"/>
      <c r="X822" s="76"/>
      <c r="Y822" s="76"/>
    </row>
    <row r="823" spans="1:25" ht="13.5" customHeight="1">
      <c r="A823" s="76"/>
      <c r="B823" s="76"/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76"/>
      <c r="P823" s="76"/>
      <c r="Q823" s="76"/>
      <c r="R823" s="76"/>
      <c r="S823" s="76"/>
      <c r="T823" s="76"/>
      <c r="U823" s="76"/>
      <c r="V823" s="76"/>
      <c r="W823" s="76"/>
      <c r="X823" s="76"/>
      <c r="Y823" s="76"/>
    </row>
    <row r="824" spans="1:25" ht="13.5" customHeight="1">
      <c r="A824" s="76"/>
      <c r="B824" s="76"/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76"/>
      <c r="P824" s="76"/>
      <c r="Q824" s="76"/>
      <c r="R824" s="76"/>
      <c r="S824" s="76"/>
      <c r="T824" s="76"/>
      <c r="U824" s="76"/>
      <c r="V824" s="76"/>
      <c r="W824" s="76"/>
      <c r="X824" s="76"/>
      <c r="Y824" s="76"/>
    </row>
    <row r="825" spans="1:25" ht="13.5" customHeight="1">
      <c r="A825" s="76"/>
      <c r="B825" s="76"/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  <c r="N825" s="76"/>
      <c r="O825" s="76"/>
      <c r="P825" s="76"/>
      <c r="Q825" s="76"/>
      <c r="R825" s="76"/>
      <c r="S825" s="76"/>
      <c r="T825" s="76"/>
      <c r="U825" s="76"/>
      <c r="V825" s="76"/>
      <c r="W825" s="76"/>
      <c r="X825" s="76"/>
      <c r="Y825" s="76"/>
    </row>
    <row r="826" spans="1:25" ht="13.5" customHeight="1">
      <c r="A826" s="76"/>
      <c r="B826" s="76"/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  <c r="N826" s="76"/>
      <c r="O826" s="76"/>
      <c r="P826" s="76"/>
      <c r="Q826" s="76"/>
      <c r="R826" s="76"/>
      <c r="S826" s="76"/>
      <c r="T826" s="76"/>
      <c r="U826" s="76"/>
      <c r="V826" s="76"/>
      <c r="W826" s="76"/>
      <c r="X826" s="76"/>
      <c r="Y826" s="76"/>
    </row>
    <row r="827" spans="1:25" ht="13.5" customHeight="1">
      <c r="A827" s="76"/>
      <c r="B827" s="76"/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  <c r="N827" s="76"/>
      <c r="O827" s="76"/>
      <c r="P827" s="76"/>
      <c r="Q827" s="76"/>
      <c r="R827" s="76"/>
      <c r="S827" s="76"/>
      <c r="T827" s="76"/>
      <c r="U827" s="76"/>
      <c r="V827" s="76"/>
      <c r="W827" s="76"/>
      <c r="X827" s="76"/>
      <c r="Y827" s="76"/>
    </row>
    <row r="828" spans="1:25" ht="13.5" customHeight="1">
      <c r="A828" s="76"/>
      <c r="B828" s="76"/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  <c r="N828" s="76"/>
      <c r="O828" s="76"/>
      <c r="P828" s="76"/>
      <c r="Q828" s="76"/>
      <c r="R828" s="76"/>
      <c r="S828" s="76"/>
      <c r="T828" s="76"/>
      <c r="U828" s="76"/>
      <c r="V828" s="76"/>
      <c r="W828" s="76"/>
      <c r="X828" s="76"/>
      <c r="Y828" s="76"/>
    </row>
    <row r="829" spans="1:25" ht="13.5" customHeight="1">
      <c r="A829" s="76"/>
      <c r="B829" s="76"/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  <c r="N829" s="76"/>
      <c r="O829" s="76"/>
      <c r="P829" s="76"/>
      <c r="Q829" s="76"/>
      <c r="R829" s="76"/>
      <c r="S829" s="76"/>
      <c r="T829" s="76"/>
      <c r="U829" s="76"/>
      <c r="V829" s="76"/>
      <c r="W829" s="76"/>
      <c r="X829" s="76"/>
      <c r="Y829" s="76"/>
    </row>
    <row r="830" spans="1:25" ht="13.5" customHeight="1">
      <c r="A830" s="76"/>
      <c r="B830" s="76"/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  <c r="N830" s="76"/>
      <c r="O830" s="76"/>
      <c r="P830" s="76"/>
      <c r="Q830" s="76"/>
      <c r="R830" s="76"/>
      <c r="S830" s="76"/>
      <c r="T830" s="76"/>
      <c r="U830" s="76"/>
      <c r="V830" s="76"/>
      <c r="W830" s="76"/>
      <c r="X830" s="76"/>
      <c r="Y830" s="76"/>
    </row>
    <row r="831" spans="1:25" ht="13.5" customHeight="1">
      <c r="A831" s="76"/>
      <c r="B831" s="76"/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  <c r="N831" s="76"/>
      <c r="O831" s="76"/>
      <c r="P831" s="76"/>
      <c r="Q831" s="76"/>
      <c r="R831" s="76"/>
      <c r="S831" s="76"/>
      <c r="T831" s="76"/>
      <c r="U831" s="76"/>
      <c r="V831" s="76"/>
      <c r="W831" s="76"/>
      <c r="X831" s="76"/>
      <c r="Y831" s="76"/>
    </row>
    <row r="832" spans="1:25" ht="13.5" customHeight="1">
      <c r="A832" s="76"/>
      <c r="B832" s="76"/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  <c r="N832" s="76"/>
      <c r="O832" s="76"/>
      <c r="P832" s="76"/>
      <c r="Q832" s="76"/>
      <c r="R832" s="76"/>
      <c r="S832" s="76"/>
      <c r="T832" s="76"/>
      <c r="U832" s="76"/>
      <c r="V832" s="76"/>
      <c r="W832" s="76"/>
      <c r="X832" s="76"/>
      <c r="Y832" s="76"/>
    </row>
    <row r="833" spans="1:25" ht="13.5" customHeight="1">
      <c r="A833" s="76"/>
      <c r="B833" s="76"/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  <c r="N833" s="76"/>
      <c r="O833" s="76"/>
      <c r="P833" s="76"/>
      <c r="Q833" s="76"/>
      <c r="R833" s="76"/>
      <c r="S833" s="76"/>
      <c r="T833" s="76"/>
      <c r="U833" s="76"/>
      <c r="V833" s="76"/>
      <c r="W833" s="76"/>
      <c r="X833" s="76"/>
      <c r="Y833" s="76"/>
    </row>
    <row r="834" spans="1:25" ht="13.5" customHeight="1">
      <c r="A834" s="76"/>
      <c r="B834" s="76"/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  <c r="N834" s="76"/>
      <c r="O834" s="76"/>
      <c r="P834" s="76"/>
      <c r="Q834" s="76"/>
      <c r="R834" s="76"/>
      <c r="S834" s="76"/>
      <c r="T834" s="76"/>
      <c r="U834" s="76"/>
      <c r="V834" s="76"/>
      <c r="W834" s="76"/>
      <c r="X834" s="76"/>
      <c r="Y834" s="76"/>
    </row>
    <row r="835" spans="1:25" ht="13.5" customHeight="1">
      <c r="A835" s="76"/>
      <c r="B835" s="76"/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  <c r="N835" s="76"/>
      <c r="O835" s="76"/>
      <c r="P835" s="76"/>
      <c r="Q835" s="76"/>
      <c r="R835" s="76"/>
      <c r="S835" s="76"/>
      <c r="T835" s="76"/>
      <c r="U835" s="76"/>
      <c r="V835" s="76"/>
      <c r="W835" s="76"/>
      <c r="X835" s="76"/>
      <c r="Y835" s="76"/>
    </row>
    <row r="836" spans="1:25" ht="13.5" customHeight="1">
      <c r="A836" s="76"/>
      <c r="B836" s="76"/>
      <c r="C836" s="76"/>
      <c r="D836" s="76"/>
      <c r="E836" s="76"/>
      <c r="F836" s="76"/>
      <c r="G836" s="76"/>
      <c r="H836" s="76"/>
      <c r="I836" s="76"/>
      <c r="J836" s="76"/>
      <c r="K836" s="76"/>
      <c r="L836" s="76"/>
      <c r="M836" s="76"/>
      <c r="N836" s="76"/>
      <c r="O836" s="76"/>
      <c r="P836" s="76"/>
      <c r="Q836" s="76"/>
      <c r="R836" s="76"/>
      <c r="S836" s="76"/>
      <c r="T836" s="76"/>
      <c r="U836" s="76"/>
      <c r="V836" s="76"/>
      <c r="W836" s="76"/>
      <c r="X836" s="76"/>
      <c r="Y836" s="76"/>
    </row>
    <row r="837" spans="1:25" ht="13.5" customHeight="1">
      <c r="A837" s="76"/>
      <c r="B837" s="76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76"/>
      <c r="P837" s="76"/>
      <c r="Q837" s="76"/>
      <c r="R837" s="76"/>
      <c r="S837" s="76"/>
      <c r="T837" s="76"/>
      <c r="U837" s="76"/>
      <c r="V837" s="76"/>
      <c r="W837" s="76"/>
      <c r="X837" s="76"/>
      <c r="Y837" s="76"/>
    </row>
    <row r="838" spans="1:25" ht="13.5" customHeight="1">
      <c r="A838" s="76"/>
      <c r="B838" s="76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76"/>
      <c r="P838" s="76"/>
      <c r="Q838" s="76"/>
      <c r="R838" s="76"/>
      <c r="S838" s="76"/>
      <c r="T838" s="76"/>
      <c r="U838" s="76"/>
      <c r="V838" s="76"/>
      <c r="W838" s="76"/>
      <c r="X838" s="76"/>
      <c r="Y838" s="76"/>
    </row>
    <row r="839" spans="1:25" ht="13.5" customHeight="1">
      <c r="A839" s="76"/>
      <c r="B839" s="76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76"/>
      <c r="P839" s="76"/>
      <c r="Q839" s="76"/>
      <c r="R839" s="76"/>
      <c r="S839" s="76"/>
      <c r="T839" s="76"/>
      <c r="U839" s="76"/>
      <c r="V839" s="76"/>
      <c r="W839" s="76"/>
      <c r="X839" s="76"/>
      <c r="Y839" s="76"/>
    </row>
    <row r="840" spans="1:25" ht="13.5" customHeight="1">
      <c r="A840" s="76"/>
      <c r="B840" s="76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76"/>
      <c r="P840" s="76"/>
      <c r="Q840" s="76"/>
      <c r="R840" s="76"/>
      <c r="S840" s="76"/>
      <c r="T840" s="76"/>
      <c r="U840" s="76"/>
      <c r="V840" s="76"/>
      <c r="W840" s="76"/>
      <c r="X840" s="76"/>
      <c r="Y840" s="76"/>
    </row>
    <row r="841" spans="1:25" ht="13.5" customHeight="1">
      <c r="A841" s="76"/>
      <c r="B841" s="76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76"/>
      <c r="P841" s="76"/>
      <c r="Q841" s="76"/>
      <c r="R841" s="76"/>
      <c r="S841" s="76"/>
      <c r="T841" s="76"/>
      <c r="U841" s="76"/>
      <c r="V841" s="76"/>
      <c r="W841" s="76"/>
      <c r="X841" s="76"/>
      <c r="Y841" s="76"/>
    </row>
    <row r="842" spans="1:25" ht="13.5" customHeight="1">
      <c r="A842" s="76"/>
      <c r="B842" s="76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76"/>
      <c r="P842" s="76"/>
      <c r="Q842" s="76"/>
      <c r="R842" s="76"/>
      <c r="S842" s="76"/>
      <c r="T842" s="76"/>
      <c r="U842" s="76"/>
      <c r="V842" s="76"/>
      <c r="W842" s="76"/>
      <c r="X842" s="76"/>
      <c r="Y842" s="76"/>
    </row>
    <row r="843" spans="1:25" ht="13.5" customHeight="1">
      <c r="A843" s="76"/>
      <c r="B843" s="76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76"/>
      <c r="P843" s="76"/>
      <c r="Q843" s="76"/>
      <c r="R843" s="76"/>
      <c r="S843" s="76"/>
      <c r="T843" s="76"/>
      <c r="U843" s="76"/>
      <c r="V843" s="76"/>
      <c r="W843" s="76"/>
      <c r="X843" s="76"/>
      <c r="Y843" s="76"/>
    </row>
    <row r="844" spans="1:25" ht="13.5" customHeight="1">
      <c r="A844" s="76"/>
      <c r="B844" s="76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76"/>
      <c r="P844" s="76"/>
      <c r="Q844" s="76"/>
      <c r="R844" s="76"/>
      <c r="S844" s="76"/>
      <c r="T844" s="76"/>
      <c r="U844" s="76"/>
      <c r="V844" s="76"/>
      <c r="W844" s="76"/>
      <c r="X844" s="76"/>
      <c r="Y844" s="76"/>
    </row>
    <row r="845" spans="1:25" ht="13.5" customHeight="1">
      <c r="A845" s="76"/>
      <c r="B845" s="76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76"/>
      <c r="P845" s="76"/>
      <c r="Q845" s="76"/>
      <c r="R845" s="76"/>
      <c r="S845" s="76"/>
      <c r="T845" s="76"/>
      <c r="U845" s="76"/>
      <c r="V845" s="76"/>
      <c r="W845" s="76"/>
      <c r="X845" s="76"/>
      <c r="Y845" s="76"/>
    </row>
    <row r="846" spans="1:25" ht="13.5" customHeight="1">
      <c r="A846" s="76"/>
      <c r="B846" s="76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76"/>
      <c r="P846" s="76"/>
      <c r="Q846" s="76"/>
      <c r="R846" s="76"/>
      <c r="S846" s="76"/>
      <c r="T846" s="76"/>
      <c r="U846" s="76"/>
      <c r="V846" s="76"/>
      <c r="W846" s="76"/>
      <c r="X846" s="76"/>
      <c r="Y846" s="76"/>
    </row>
    <row r="847" spans="1:25" ht="13.5" customHeight="1">
      <c r="A847" s="76"/>
      <c r="B847" s="76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76"/>
      <c r="P847" s="76"/>
      <c r="Q847" s="76"/>
      <c r="R847" s="76"/>
      <c r="S847" s="76"/>
      <c r="T847" s="76"/>
      <c r="U847" s="76"/>
      <c r="V847" s="76"/>
      <c r="W847" s="76"/>
      <c r="X847" s="76"/>
      <c r="Y847" s="76"/>
    </row>
    <row r="848" spans="1:25" ht="13.5" customHeight="1">
      <c r="A848" s="76"/>
      <c r="B848" s="76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76"/>
      <c r="P848" s="76"/>
      <c r="Q848" s="76"/>
      <c r="R848" s="76"/>
      <c r="S848" s="76"/>
      <c r="T848" s="76"/>
      <c r="U848" s="76"/>
      <c r="V848" s="76"/>
      <c r="W848" s="76"/>
      <c r="X848" s="76"/>
      <c r="Y848" s="76"/>
    </row>
    <row r="849" spans="1:25" ht="13.5" customHeight="1">
      <c r="A849" s="76"/>
      <c r="B849" s="76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76"/>
      <c r="P849" s="76"/>
      <c r="Q849" s="76"/>
      <c r="R849" s="76"/>
      <c r="S849" s="76"/>
      <c r="T849" s="76"/>
      <c r="U849" s="76"/>
      <c r="V849" s="76"/>
      <c r="W849" s="76"/>
      <c r="X849" s="76"/>
      <c r="Y849" s="76"/>
    </row>
    <row r="850" spans="1:25" ht="13.5" customHeight="1">
      <c r="A850" s="76"/>
      <c r="B850" s="76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76"/>
      <c r="P850" s="76"/>
      <c r="Q850" s="76"/>
      <c r="R850" s="76"/>
      <c r="S850" s="76"/>
      <c r="T850" s="76"/>
      <c r="U850" s="76"/>
      <c r="V850" s="76"/>
      <c r="W850" s="76"/>
      <c r="X850" s="76"/>
      <c r="Y850" s="76"/>
    </row>
    <row r="851" spans="1:25" ht="13.5" customHeight="1">
      <c r="A851" s="76"/>
      <c r="B851" s="76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76"/>
      <c r="P851" s="76"/>
      <c r="Q851" s="76"/>
      <c r="R851" s="76"/>
      <c r="S851" s="76"/>
      <c r="T851" s="76"/>
      <c r="U851" s="76"/>
      <c r="V851" s="76"/>
      <c r="W851" s="76"/>
      <c r="X851" s="76"/>
      <c r="Y851" s="76"/>
    </row>
    <row r="852" spans="1:25" ht="13.5" customHeight="1">
      <c r="A852" s="76"/>
      <c r="B852" s="76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76"/>
      <c r="P852" s="76"/>
      <c r="Q852" s="76"/>
      <c r="R852" s="76"/>
      <c r="S852" s="76"/>
      <c r="T852" s="76"/>
      <c r="U852" s="76"/>
      <c r="V852" s="76"/>
      <c r="W852" s="76"/>
      <c r="X852" s="76"/>
      <c r="Y852" s="76"/>
    </row>
    <row r="853" spans="1:25" ht="13.5" customHeight="1">
      <c r="A853" s="76"/>
      <c r="B853" s="76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76"/>
      <c r="P853" s="76"/>
      <c r="Q853" s="76"/>
      <c r="R853" s="76"/>
      <c r="S853" s="76"/>
      <c r="T853" s="76"/>
      <c r="U853" s="76"/>
      <c r="V853" s="76"/>
      <c r="W853" s="76"/>
      <c r="X853" s="76"/>
      <c r="Y853" s="76"/>
    </row>
    <row r="854" spans="1:25" ht="13.5" customHeight="1">
      <c r="A854" s="76"/>
      <c r="B854" s="76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76"/>
      <c r="P854" s="76"/>
      <c r="Q854" s="76"/>
      <c r="R854" s="76"/>
      <c r="S854" s="76"/>
      <c r="T854" s="76"/>
      <c r="U854" s="76"/>
      <c r="V854" s="76"/>
      <c r="W854" s="76"/>
      <c r="X854" s="76"/>
      <c r="Y854" s="76"/>
    </row>
    <row r="855" spans="1:25" ht="13.5" customHeight="1">
      <c r="A855" s="76"/>
      <c r="B855" s="76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76"/>
      <c r="P855" s="76"/>
      <c r="Q855" s="76"/>
      <c r="R855" s="76"/>
      <c r="S855" s="76"/>
      <c r="T855" s="76"/>
      <c r="U855" s="76"/>
      <c r="V855" s="76"/>
      <c r="W855" s="76"/>
      <c r="X855" s="76"/>
      <c r="Y855" s="76"/>
    </row>
    <row r="856" spans="1:25" ht="13.5" customHeight="1">
      <c r="A856" s="76"/>
      <c r="B856" s="76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76"/>
      <c r="P856" s="76"/>
      <c r="Q856" s="76"/>
      <c r="R856" s="76"/>
      <c r="S856" s="76"/>
      <c r="T856" s="76"/>
      <c r="U856" s="76"/>
      <c r="V856" s="76"/>
      <c r="W856" s="76"/>
      <c r="X856" s="76"/>
      <c r="Y856" s="76"/>
    </row>
    <row r="857" spans="1:25" ht="13.5" customHeight="1">
      <c r="A857" s="76"/>
      <c r="B857" s="76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76"/>
      <c r="P857" s="76"/>
      <c r="Q857" s="76"/>
      <c r="R857" s="76"/>
      <c r="S857" s="76"/>
      <c r="T857" s="76"/>
      <c r="U857" s="76"/>
      <c r="V857" s="76"/>
      <c r="W857" s="76"/>
      <c r="X857" s="76"/>
      <c r="Y857" s="76"/>
    </row>
    <row r="858" spans="1:25" ht="13.5" customHeight="1">
      <c r="A858" s="76"/>
      <c r="B858" s="76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76"/>
      <c r="P858" s="76"/>
      <c r="Q858" s="76"/>
      <c r="R858" s="76"/>
      <c r="S858" s="76"/>
      <c r="T858" s="76"/>
      <c r="U858" s="76"/>
      <c r="V858" s="76"/>
      <c r="W858" s="76"/>
      <c r="X858" s="76"/>
      <c r="Y858" s="76"/>
    </row>
    <row r="859" spans="1:25" ht="13.5" customHeight="1">
      <c r="A859" s="76"/>
      <c r="B859" s="76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76"/>
      <c r="P859" s="76"/>
      <c r="Q859" s="76"/>
      <c r="R859" s="76"/>
      <c r="S859" s="76"/>
      <c r="T859" s="76"/>
      <c r="U859" s="76"/>
      <c r="V859" s="76"/>
      <c r="W859" s="76"/>
      <c r="X859" s="76"/>
      <c r="Y859" s="76"/>
    </row>
    <row r="860" spans="1:25" ht="13.5" customHeight="1">
      <c r="A860" s="76"/>
      <c r="B860" s="76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76"/>
      <c r="P860" s="76"/>
      <c r="Q860" s="76"/>
      <c r="R860" s="76"/>
      <c r="S860" s="76"/>
      <c r="T860" s="76"/>
      <c r="U860" s="76"/>
      <c r="V860" s="76"/>
      <c r="W860" s="76"/>
      <c r="X860" s="76"/>
      <c r="Y860" s="76"/>
    </row>
    <row r="861" spans="1:25" ht="13.5" customHeight="1">
      <c r="A861" s="76"/>
      <c r="B861" s="76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76"/>
      <c r="P861" s="76"/>
      <c r="Q861" s="76"/>
      <c r="R861" s="76"/>
      <c r="S861" s="76"/>
      <c r="T861" s="76"/>
      <c r="U861" s="76"/>
      <c r="V861" s="76"/>
      <c r="W861" s="76"/>
      <c r="X861" s="76"/>
      <c r="Y861" s="76"/>
    </row>
    <row r="862" spans="1:25" ht="13.5" customHeight="1">
      <c r="A862" s="76"/>
      <c r="B862" s="76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76"/>
      <c r="P862" s="76"/>
      <c r="Q862" s="76"/>
      <c r="R862" s="76"/>
      <c r="S862" s="76"/>
      <c r="T862" s="76"/>
      <c r="U862" s="76"/>
      <c r="V862" s="76"/>
      <c r="W862" s="76"/>
      <c r="X862" s="76"/>
      <c r="Y862" s="76"/>
    </row>
    <row r="863" spans="1:25" ht="13.5" customHeight="1">
      <c r="A863" s="76"/>
      <c r="B863" s="76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76"/>
      <c r="P863" s="76"/>
      <c r="Q863" s="76"/>
      <c r="R863" s="76"/>
      <c r="S863" s="76"/>
      <c r="T863" s="76"/>
      <c r="U863" s="76"/>
      <c r="V863" s="76"/>
      <c r="W863" s="76"/>
      <c r="X863" s="76"/>
      <c r="Y863" s="76"/>
    </row>
    <row r="864" spans="1:25" ht="13.5" customHeight="1">
      <c r="A864" s="76"/>
      <c r="B864" s="76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76"/>
      <c r="P864" s="76"/>
      <c r="Q864" s="76"/>
      <c r="R864" s="76"/>
      <c r="S864" s="76"/>
      <c r="T864" s="76"/>
      <c r="U864" s="76"/>
      <c r="V864" s="76"/>
      <c r="W864" s="76"/>
      <c r="X864" s="76"/>
      <c r="Y864" s="76"/>
    </row>
    <row r="865" spans="1:25" ht="13.5" customHeight="1">
      <c r="A865" s="76"/>
      <c r="B865" s="76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76"/>
      <c r="P865" s="76"/>
      <c r="Q865" s="76"/>
      <c r="R865" s="76"/>
      <c r="S865" s="76"/>
      <c r="T865" s="76"/>
      <c r="U865" s="76"/>
      <c r="V865" s="76"/>
      <c r="W865" s="76"/>
      <c r="X865" s="76"/>
      <c r="Y865" s="76"/>
    </row>
    <row r="866" spans="1:25" ht="13.5" customHeight="1">
      <c r="A866" s="76"/>
      <c r="B866" s="76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76"/>
      <c r="P866" s="76"/>
      <c r="Q866" s="76"/>
      <c r="R866" s="76"/>
      <c r="S866" s="76"/>
      <c r="T866" s="76"/>
      <c r="U866" s="76"/>
      <c r="V866" s="76"/>
      <c r="W866" s="76"/>
      <c r="X866" s="76"/>
      <c r="Y866" s="76"/>
    </row>
    <row r="867" spans="1:25" ht="13.5" customHeight="1">
      <c r="A867" s="76"/>
      <c r="B867" s="76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76"/>
      <c r="P867" s="76"/>
      <c r="Q867" s="76"/>
      <c r="R867" s="76"/>
      <c r="S867" s="76"/>
      <c r="T867" s="76"/>
      <c r="U867" s="76"/>
      <c r="V867" s="76"/>
      <c r="W867" s="76"/>
      <c r="X867" s="76"/>
      <c r="Y867" s="76"/>
    </row>
    <row r="868" spans="1:25" ht="13.5" customHeight="1">
      <c r="A868" s="76"/>
      <c r="B868" s="76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76"/>
      <c r="P868" s="76"/>
      <c r="Q868" s="76"/>
      <c r="R868" s="76"/>
      <c r="S868" s="76"/>
      <c r="T868" s="76"/>
      <c r="U868" s="76"/>
      <c r="V868" s="76"/>
      <c r="W868" s="76"/>
      <c r="X868" s="76"/>
      <c r="Y868" s="76"/>
    </row>
    <row r="869" spans="1:25" ht="13.5" customHeight="1">
      <c r="A869" s="76"/>
      <c r="B869" s="76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76"/>
      <c r="P869" s="76"/>
      <c r="Q869" s="76"/>
      <c r="R869" s="76"/>
      <c r="S869" s="76"/>
      <c r="T869" s="76"/>
      <c r="U869" s="76"/>
      <c r="V869" s="76"/>
      <c r="W869" s="76"/>
      <c r="X869" s="76"/>
      <c r="Y869" s="76"/>
    </row>
    <row r="870" spans="1:25" ht="13.5" customHeight="1">
      <c r="A870" s="76"/>
      <c r="B870" s="76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76"/>
      <c r="P870" s="76"/>
      <c r="Q870" s="76"/>
      <c r="R870" s="76"/>
      <c r="S870" s="76"/>
      <c r="T870" s="76"/>
      <c r="U870" s="76"/>
      <c r="V870" s="76"/>
      <c r="W870" s="76"/>
      <c r="X870" s="76"/>
      <c r="Y870" s="76"/>
    </row>
    <row r="871" spans="1:25" ht="13.5" customHeight="1">
      <c r="A871" s="76"/>
      <c r="B871" s="76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76"/>
      <c r="P871" s="76"/>
      <c r="Q871" s="76"/>
      <c r="R871" s="76"/>
      <c r="S871" s="76"/>
      <c r="T871" s="76"/>
      <c r="U871" s="76"/>
      <c r="V871" s="76"/>
      <c r="W871" s="76"/>
      <c r="X871" s="76"/>
      <c r="Y871" s="76"/>
    </row>
    <row r="872" spans="1:25" ht="13.5" customHeight="1">
      <c r="A872" s="76"/>
      <c r="B872" s="76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76"/>
      <c r="P872" s="76"/>
      <c r="Q872" s="76"/>
      <c r="R872" s="76"/>
      <c r="S872" s="76"/>
      <c r="T872" s="76"/>
      <c r="U872" s="76"/>
      <c r="V872" s="76"/>
      <c r="W872" s="76"/>
      <c r="X872" s="76"/>
      <c r="Y872" s="76"/>
    </row>
    <row r="873" spans="1:25" ht="13.5" customHeight="1">
      <c r="A873" s="76"/>
      <c r="B873" s="76"/>
      <c r="C873" s="76"/>
      <c r="D873" s="76"/>
      <c r="E873" s="76"/>
      <c r="F873" s="76"/>
      <c r="G873" s="76"/>
      <c r="H873" s="76"/>
      <c r="I873" s="76"/>
      <c r="J873" s="76"/>
      <c r="K873" s="76"/>
      <c r="L873" s="76"/>
      <c r="M873" s="76"/>
      <c r="N873" s="76"/>
      <c r="O873" s="76"/>
      <c r="P873" s="76"/>
      <c r="Q873" s="76"/>
      <c r="R873" s="76"/>
      <c r="S873" s="76"/>
      <c r="T873" s="76"/>
      <c r="U873" s="76"/>
      <c r="V873" s="76"/>
      <c r="W873" s="76"/>
      <c r="X873" s="76"/>
      <c r="Y873" s="76"/>
    </row>
    <row r="874" spans="1:25" ht="13.5" customHeight="1">
      <c r="A874" s="76"/>
      <c r="B874" s="76"/>
      <c r="C874" s="76"/>
      <c r="D874" s="76"/>
      <c r="E874" s="76"/>
      <c r="F874" s="76"/>
      <c r="G874" s="76"/>
      <c r="H874" s="76"/>
      <c r="I874" s="76"/>
      <c r="J874" s="76"/>
      <c r="K874" s="76"/>
      <c r="L874" s="76"/>
      <c r="M874" s="76"/>
      <c r="N874" s="76"/>
      <c r="O874" s="76"/>
      <c r="P874" s="76"/>
      <c r="Q874" s="76"/>
      <c r="R874" s="76"/>
      <c r="S874" s="76"/>
      <c r="T874" s="76"/>
      <c r="U874" s="76"/>
      <c r="V874" s="76"/>
      <c r="W874" s="76"/>
      <c r="X874" s="76"/>
      <c r="Y874" s="76"/>
    </row>
    <row r="875" spans="1:25" ht="13.5" customHeight="1">
      <c r="A875" s="76"/>
      <c r="B875" s="76"/>
      <c r="C875" s="76"/>
      <c r="D875" s="76"/>
      <c r="E875" s="76"/>
      <c r="F875" s="76"/>
      <c r="G875" s="76"/>
      <c r="H875" s="76"/>
      <c r="I875" s="76"/>
      <c r="J875" s="76"/>
      <c r="K875" s="76"/>
      <c r="L875" s="76"/>
      <c r="M875" s="76"/>
      <c r="N875" s="76"/>
      <c r="O875" s="76"/>
      <c r="P875" s="76"/>
      <c r="Q875" s="76"/>
      <c r="R875" s="76"/>
      <c r="S875" s="76"/>
      <c r="T875" s="76"/>
      <c r="U875" s="76"/>
      <c r="V875" s="76"/>
      <c r="W875" s="76"/>
      <c r="X875" s="76"/>
      <c r="Y875" s="76"/>
    </row>
    <row r="876" spans="1:25" ht="13.5" customHeight="1">
      <c r="A876" s="76"/>
      <c r="B876" s="76"/>
      <c r="C876" s="76"/>
      <c r="D876" s="76"/>
      <c r="E876" s="76"/>
      <c r="F876" s="76"/>
      <c r="G876" s="76"/>
      <c r="H876" s="76"/>
      <c r="I876" s="76"/>
      <c r="J876" s="76"/>
      <c r="K876" s="76"/>
      <c r="L876" s="76"/>
      <c r="M876" s="76"/>
      <c r="N876" s="76"/>
      <c r="O876" s="76"/>
      <c r="P876" s="76"/>
      <c r="Q876" s="76"/>
      <c r="R876" s="76"/>
      <c r="S876" s="76"/>
      <c r="T876" s="76"/>
      <c r="U876" s="76"/>
      <c r="V876" s="76"/>
      <c r="W876" s="76"/>
      <c r="X876" s="76"/>
      <c r="Y876" s="76"/>
    </row>
    <row r="877" spans="1:25" ht="13.5" customHeight="1">
      <c r="A877" s="76"/>
      <c r="B877" s="76"/>
      <c r="C877" s="76"/>
      <c r="D877" s="76"/>
      <c r="E877" s="76"/>
      <c r="F877" s="76"/>
      <c r="G877" s="76"/>
      <c r="H877" s="76"/>
      <c r="I877" s="76"/>
      <c r="J877" s="76"/>
      <c r="K877" s="76"/>
      <c r="L877" s="76"/>
      <c r="M877" s="76"/>
      <c r="N877" s="76"/>
      <c r="O877" s="76"/>
      <c r="P877" s="76"/>
      <c r="Q877" s="76"/>
      <c r="R877" s="76"/>
      <c r="S877" s="76"/>
      <c r="T877" s="76"/>
      <c r="U877" s="76"/>
      <c r="V877" s="76"/>
      <c r="W877" s="76"/>
      <c r="X877" s="76"/>
      <c r="Y877" s="76"/>
    </row>
    <row r="878" spans="1:25" ht="13.5" customHeight="1">
      <c r="A878" s="76"/>
      <c r="B878" s="76"/>
      <c r="C878" s="76"/>
      <c r="D878" s="76"/>
      <c r="E878" s="76"/>
      <c r="F878" s="76"/>
      <c r="G878" s="76"/>
      <c r="H878" s="76"/>
      <c r="I878" s="76"/>
      <c r="J878" s="76"/>
      <c r="K878" s="76"/>
      <c r="L878" s="76"/>
      <c r="M878" s="76"/>
      <c r="N878" s="76"/>
      <c r="O878" s="76"/>
      <c r="P878" s="76"/>
      <c r="Q878" s="76"/>
      <c r="R878" s="76"/>
      <c r="S878" s="76"/>
      <c r="T878" s="76"/>
      <c r="U878" s="76"/>
      <c r="V878" s="76"/>
      <c r="W878" s="76"/>
      <c r="X878" s="76"/>
      <c r="Y878" s="76"/>
    </row>
    <row r="879" spans="1:25" ht="13.5" customHeight="1">
      <c r="A879" s="76"/>
      <c r="B879" s="76"/>
      <c r="C879" s="76"/>
      <c r="D879" s="76"/>
      <c r="E879" s="76"/>
      <c r="F879" s="76"/>
      <c r="G879" s="76"/>
      <c r="H879" s="76"/>
      <c r="I879" s="76"/>
      <c r="J879" s="76"/>
      <c r="K879" s="76"/>
      <c r="L879" s="76"/>
      <c r="M879" s="76"/>
      <c r="N879" s="76"/>
      <c r="O879" s="76"/>
      <c r="P879" s="76"/>
      <c r="Q879" s="76"/>
      <c r="R879" s="76"/>
      <c r="S879" s="76"/>
      <c r="T879" s="76"/>
      <c r="U879" s="76"/>
      <c r="V879" s="76"/>
      <c r="W879" s="76"/>
      <c r="X879" s="76"/>
      <c r="Y879" s="76"/>
    </row>
    <row r="880" spans="1:25" ht="13.5" customHeight="1">
      <c r="A880" s="76"/>
      <c r="B880" s="76"/>
      <c r="C880" s="76"/>
      <c r="D880" s="76"/>
      <c r="E880" s="76"/>
      <c r="F880" s="76"/>
      <c r="G880" s="76"/>
      <c r="H880" s="76"/>
      <c r="I880" s="76"/>
      <c r="J880" s="76"/>
      <c r="K880" s="76"/>
      <c r="L880" s="76"/>
      <c r="M880" s="76"/>
      <c r="N880" s="76"/>
      <c r="O880" s="76"/>
      <c r="P880" s="76"/>
      <c r="Q880" s="76"/>
      <c r="R880" s="76"/>
      <c r="S880" s="76"/>
      <c r="T880" s="76"/>
      <c r="U880" s="76"/>
      <c r="V880" s="76"/>
      <c r="W880" s="76"/>
      <c r="X880" s="76"/>
      <c r="Y880" s="76"/>
    </row>
    <row r="881" spans="1:25" ht="13.5" customHeight="1">
      <c r="A881" s="76"/>
      <c r="B881" s="76"/>
      <c r="C881" s="76"/>
      <c r="D881" s="76"/>
      <c r="E881" s="76"/>
      <c r="F881" s="76"/>
      <c r="G881" s="76"/>
      <c r="H881" s="76"/>
      <c r="I881" s="76"/>
      <c r="J881" s="76"/>
      <c r="K881" s="76"/>
      <c r="L881" s="76"/>
      <c r="M881" s="76"/>
      <c r="N881" s="76"/>
      <c r="O881" s="76"/>
      <c r="P881" s="76"/>
      <c r="Q881" s="76"/>
      <c r="R881" s="76"/>
      <c r="S881" s="76"/>
      <c r="T881" s="76"/>
      <c r="U881" s="76"/>
      <c r="V881" s="76"/>
      <c r="W881" s="76"/>
      <c r="X881" s="76"/>
      <c r="Y881" s="76"/>
    </row>
    <row r="882" spans="1:25" ht="13.5" customHeight="1">
      <c r="A882" s="76"/>
      <c r="B882" s="76"/>
      <c r="C882" s="76"/>
      <c r="D882" s="76"/>
      <c r="E882" s="76"/>
      <c r="F882" s="76"/>
      <c r="G882" s="76"/>
      <c r="H882" s="76"/>
      <c r="I882" s="76"/>
      <c r="J882" s="76"/>
      <c r="K882" s="76"/>
      <c r="L882" s="76"/>
      <c r="M882" s="76"/>
      <c r="N882" s="76"/>
      <c r="O882" s="76"/>
      <c r="P882" s="76"/>
      <c r="Q882" s="76"/>
      <c r="R882" s="76"/>
      <c r="S882" s="76"/>
      <c r="T882" s="76"/>
      <c r="U882" s="76"/>
      <c r="V882" s="76"/>
      <c r="W882" s="76"/>
      <c r="X882" s="76"/>
      <c r="Y882" s="76"/>
    </row>
    <row r="883" spans="1:25" ht="13.5" customHeight="1">
      <c r="A883" s="76"/>
      <c r="B883" s="76"/>
      <c r="C883" s="76"/>
      <c r="D883" s="76"/>
      <c r="E883" s="76"/>
      <c r="F883" s="76"/>
      <c r="G883" s="76"/>
      <c r="H883" s="76"/>
      <c r="I883" s="76"/>
      <c r="J883" s="76"/>
      <c r="K883" s="76"/>
      <c r="L883" s="76"/>
      <c r="M883" s="76"/>
      <c r="N883" s="76"/>
      <c r="O883" s="76"/>
      <c r="P883" s="76"/>
      <c r="Q883" s="76"/>
      <c r="R883" s="76"/>
      <c r="S883" s="76"/>
      <c r="T883" s="76"/>
      <c r="U883" s="76"/>
      <c r="V883" s="76"/>
      <c r="W883" s="76"/>
      <c r="X883" s="76"/>
      <c r="Y883" s="76"/>
    </row>
    <row r="884" spans="1:25" ht="13.5" customHeight="1">
      <c r="A884" s="76"/>
      <c r="B884" s="76"/>
      <c r="C884" s="76"/>
      <c r="D884" s="76"/>
      <c r="E884" s="76"/>
      <c r="F884" s="76"/>
      <c r="G884" s="76"/>
      <c r="H884" s="76"/>
      <c r="I884" s="76"/>
      <c r="J884" s="76"/>
      <c r="K884" s="76"/>
      <c r="L884" s="76"/>
      <c r="M884" s="76"/>
      <c r="N884" s="76"/>
      <c r="O884" s="76"/>
      <c r="P884" s="76"/>
      <c r="Q884" s="76"/>
      <c r="R884" s="76"/>
      <c r="S884" s="76"/>
      <c r="T884" s="76"/>
      <c r="U884" s="76"/>
      <c r="V884" s="76"/>
      <c r="W884" s="76"/>
      <c r="X884" s="76"/>
      <c r="Y884" s="76"/>
    </row>
    <row r="885" spans="1:25" ht="13.5" customHeight="1">
      <c r="A885" s="76"/>
      <c r="B885" s="76"/>
      <c r="C885" s="76"/>
      <c r="D885" s="76"/>
      <c r="E885" s="76"/>
      <c r="F885" s="76"/>
      <c r="G885" s="76"/>
      <c r="H885" s="76"/>
      <c r="I885" s="76"/>
      <c r="J885" s="76"/>
      <c r="K885" s="76"/>
      <c r="L885" s="76"/>
      <c r="M885" s="76"/>
      <c r="N885" s="76"/>
      <c r="O885" s="76"/>
      <c r="P885" s="76"/>
      <c r="Q885" s="76"/>
      <c r="R885" s="76"/>
      <c r="S885" s="76"/>
      <c r="T885" s="76"/>
      <c r="U885" s="76"/>
      <c r="V885" s="76"/>
      <c r="W885" s="76"/>
      <c r="X885" s="76"/>
      <c r="Y885" s="76"/>
    </row>
    <row r="886" spans="1:25" ht="13.5" customHeight="1">
      <c r="A886" s="76"/>
      <c r="B886" s="76"/>
      <c r="C886" s="76"/>
      <c r="D886" s="76"/>
      <c r="E886" s="76"/>
      <c r="F886" s="76"/>
      <c r="G886" s="76"/>
      <c r="H886" s="76"/>
      <c r="I886" s="76"/>
      <c r="J886" s="76"/>
      <c r="K886" s="76"/>
      <c r="L886" s="76"/>
      <c r="M886" s="76"/>
      <c r="N886" s="76"/>
      <c r="O886" s="76"/>
      <c r="P886" s="76"/>
      <c r="Q886" s="76"/>
      <c r="R886" s="76"/>
      <c r="S886" s="76"/>
      <c r="T886" s="76"/>
      <c r="U886" s="76"/>
      <c r="V886" s="76"/>
      <c r="W886" s="76"/>
      <c r="X886" s="76"/>
      <c r="Y886" s="76"/>
    </row>
    <row r="887" spans="1:25" ht="13.5" customHeight="1">
      <c r="A887" s="76"/>
      <c r="B887" s="76"/>
      <c r="C887" s="76"/>
      <c r="D887" s="76"/>
      <c r="E887" s="76"/>
      <c r="F887" s="76"/>
      <c r="G887" s="76"/>
      <c r="H887" s="76"/>
      <c r="I887" s="76"/>
      <c r="J887" s="76"/>
      <c r="K887" s="76"/>
      <c r="L887" s="76"/>
      <c r="M887" s="76"/>
      <c r="N887" s="76"/>
      <c r="O887" s="76"/>
      <c r="P887" s="76"/>
      <c r="Q887" s="76"/>
      <c r="R887" s="76"/>
      <c r="S887" s="76"/>
      <c r="T887" s="76"/>
      <c r="U887" s="76"/>
      <c r="V887" s="76"/>
      <c r="W887" s="76"/>
      <c r="X887" s="76"/>
      <c r="Y887" s="76"/>
    </row>
    <row r="888" spans="1:25" ht="13.5" customHeight="1">
      <c r="A888" s="76"/>
      <c r="B888" s="76"/>
      <c r="C888" s="76"/>
      <c r="D888" s="76"/>
      <c r="E888" s="76"/>
      <c r="F888" s="76"/>
      <c r="G888" s="76"/>
      <c r="H888" s="76"/>
      <c r="I888" s="76"/>
      <c r="J888" s="76"/>
      <c r="K888" s="76"/>
      <c r="L888" s="76"/>
      <c r="M888" s="76"/>
      <c r="N888" s="76"/>
      <c r="O888" s="76"/>
      <c r="P888" s="76"/>
      <c r="Q888" s="76"/>
      <c r="R888" s="76"/>
      <c r="S888" s="76"/>
      <c r="T888" s="76"/>
      <c r="U888" s="76"/>
      <c r="V888" s="76"/>
      <c r="W888" s="76"/>
      <c r="X888" s="76"/>
      <c r="Y888" s="76"/>
    </row>
    <row r="889" spans="1:25" ht="13.5" customHeight="1">
      <c r="A889" s="76"/>
      <c r="B889" s="76"/>
      <c r="C889" s="76"/>
      <c r="D889" s="76"/>
      <c r="E889" s="76"/>
      <c r="F889" s="76"/>
      <c r="G889" s="76"/>
      <c r="H889" s="76"/>
      <c r="I889" s="76"/>
      <c r="J889" s="76"/>
      <c r="K889" s="76"/>
      <c r="L889" s="76"/>
      <c r="M889" s="76"/>
      <c r="N889" s="76"/>
      <c r="O889" s="76"/>
      <c r="P889" s="76"/>
      <c r="Q889" s="76"/>
      <c r="R889" s="76"/>
      <c r="S889" s="76"/>
      <c r="T889" s="76"/>
      <c r="U889" s="76"/>
      <c r="V889" s="76"/>
      <c r="W889" s="76"/>
      <c r="X889" s="76"/>
      <c r="Y889" s="76"/>
    </row>
    <row r="890" spans="1:25" ht="13.5" customHeight="1">
      <c r="A890" s="76"/>
      <c r="B890" s="76"/>
      <c r="C890" s="76"/>
      <c r="D890" s="76"/>
      <c r="E890" s="76"/>
      <c r="F890" s="76"/>
      <c r="G890" s="76"/>
      <c r="H890" s="76"/>
      <c r="I890" s="76"/>
      <c r="J890" s="76"/>
      <c r="K890" s="76"/>
      <c r="L890" s="76"/>
      <c r="M890" s="76"/>
      <c r="N890" s="76"/>
      <c r="O890" s="76"/>
      <c r="P890" s="76"/>
      <c r="Q890" s="76"/>
      <c r="R890" s="76"/>
      <c r="S890" s="76"/>
      <c r="T890" s="76"/>
      <c r="U890" s="76"/>
      <c r="V890" s="76"/>
      <c r="W890" s="76"/>
      <c r="X890" s="76"/>
      <c r="Y890" s="76"/>
    </row>
    <row r="891" spans="1:25" ht="13.5" customHeight="1">
      <c r="A891" s="76"/>
      <c r="B891" s="76"/>
      <c r="C891" s="76"/>
      <c r="D891" s="76"/>
      <c r="E891" s="76"/>
      <c r="F891" s="76"/>
      <c r="G891" s="76"/>
      <c r="H891" s="76"/>
      <c r="I891" s="76"/>
      <c r="J891" s="76"/>
      <c r="K891" s="76"/>
      <c r="L891" s="76"/>
      <c r="M891" s="76"/>
      <c r="N891" s="76"/>
      <c r="O891" s="76"/>
      <c r="P891" s="76"/>
      <c r="Q891" s="76"/>
      <c r="R891" s="76"/>
      <c r="S891" s="76"/>
      <c r="T891" s="76"/>
      <c r="U891" s="76"/>
      <c r="V891" s="76"/>
      <c r="W891" s="76"/>
      <c r="X891" s="76"/>
      <c r="Y891" s="76"/>
    </row>
    <row r="892" spans="1:25" ht="13.5" customHeight="1">
      <c r="A892" s="76"/>
      <c r="B892" s="76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/>
      <c r="O892" s="76"/>
      <c r="P892" s="76"/>
      <c r="Q892" s="76"/>
      <c r="R892" s="76"/>
      <c r="S892" s="76"/>
      <c r="T892" s="76"/>
      <c r="U892" s="76"/>
      <c r="V892" s="76"/>
      <c r="W892" s="76"/>
      <c r="X892" s="76"/>
      <c r="Y892" s="76"/>
    </row>
    <row r="893" spans="1:25" ht="13.5" customHeight="1">
      <c r="A893" s="76"/>
      <c r="B893" s="76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/>
      <c r="O893" s="76"/>
      <c r="P893" s="76"/>
      <c r="Q893" s="76"/>
      <c r="R893" s="76"/>
      <c r="S893" s="76"/>
      <c r="T893" s="76"/>
      <c r="U893" s="76"/>
      <c r="V893" s="76"/>
      <c r="W893" s="76"/>
      <c r="X893" s="76"/>
      <c r="Y893" s="76"/>
    </row>
    <row r="894" spans="1:25" ht="13.5" customHeight="1">
      <c r="A894" s="76"/>
      <c r="B894" s="76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/>
      <c r="O894" s="76"/>
      <c r="P894" s="76"/>
      <c r="Q894" s="76"/>
      <c r="R894" s="76"/>
      <c r="S894" s="76"/>
      <c r="T894" s="76"/>
      <c r="U894" s="76"/>
      <c r="V894" s="76"/>
      <c r="W894" s="76"/>
      <c r="X894" s="76"/>
      <c r="Y894" s="76"/>
    </row>
    <row r="895" spans="1:25" ht="13.5" customHeight="1">
      <c r="A895" s="76"/>
      <c r="B895" s="76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/>
      <c r="O895" s="76"/>
      <c r="P895" s="76"/>
      <c r="Q895" s="76"/>
      <c r="R895" s="76"/>
      <c r="S895" s="76"/>
      <c r="T895" s="76"/>
      <c r="U895" s="76"/>
      <c r="V895" s="76"/>
      <c r="W895" s="76"/>
      <c r="X895" s="76"/>
      <c r="Y895" s="76"/>
    </row>
    <row r="896" spans="1:25" ht="13.5" customHeight="1">
      <c r="A896" s="76"/>
      <c r="B896" s="76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/>
      <c r="O896" s="76"/>
      <c r="P896" s="76"/>
      <c r="Q896" s="76"/>
      <c r="R896" s="76"/>
      <c r="S896" s="76"/>
      <c r="T896" s="76"/>
      <c r="U896" s="76"/>
      <c r="V896" s="76"/>
      <c r="W896" s="76"/>
      <c r="X896" s="76"/>
      <c r="Y896" s="76"/>
    </row>
    <row r="897" spans="1:25" ht="13.5" customHeight="1">
      <c r="A897" s="76"/>
      <c r="B897" s="76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/>
      <c r="O897" s="76"/>
      <c r="P897" s="76"/>
      <c r="Q897" s="76"/>
      <c r="R897" s="76"/>
      <c r="S897" s="76"/>
      <c r="T897" s="76"/>
      <c r="U897" s="76"/>
      <c r="V897" s="76"/>
      <c r="W897" s="76"/>
      <c r="X897" s="76"/>
      <c r="Y897" s="76"/>
    </row>
    <row r="898" spans="1:25" ht="13.5" customHeight="1">
      <c r="A898" s="76"/>
      <c r="B898" s="76"/>
      <c r="C898" s="76"/>
      <c r="D898" s="76"/>
      <c r="E898" s="76"/>
      <c r="F898" s="76"/>
      <c r="G898" s="76"/>
      <c r="H898" s="76"/>
      <c r="I898" s="76"/>
      <c r="J898" s="76"/>
      <c r="K898" s="76"/>
      <c r="L898" s="76"/>
      <c r="M898" s="76"/>
      <c r="N898" s="76"/>
      <c r="O898" s="76"/>
      <c r="P898" s="76"/>
      <c r="Q898" s="76"/>
      <c r="R898" s="76"/>
      <c r="S898" s="76"/>
      <c r="T898" s="76"/>
      <c r="U898" s="76"/>
      <c r="V898" s="76"/>
      <c r="W898" s="76"/>
      <c r="X898" s="76"/>
      <c r="Y898" s="76"/>
    </row>
    <row r="899" spans="1:25" ht="13.5" customHeight="1">
      <c r="A899" s="76"/>
      <c r="B899" s="76"/>
      <c r="C899" s="76"/>
      <c r="D899" s="76"/>
      <c r="E899" s="76"/>
      <c r="F899" s="76"/>
      <c r="G899" s="76"/>
      <c r="H899" s="76"/>
      <c r="I899" s="76"/>
      <c r="J899" s="76"/>
      <c r="K899" s="76"/>
      <c r="L899" s="76"/>
      <c r="M899" s="76"/>
      <c r="N899" s="76"/>
      <c r="O899" s="76"/>
      <c r="P899" s="76"/>
      <c r="Q899" s="76"/>
      <c r="R899" s="76"/>
      <c r="S899" s="76"/>
      <c r="T899" s="76"/>
      <c r="U899" s="76"/>
      <c r="V899" s="76"/>
      <c r="W899" s="76"/>
      <c r="X899" s="76"/>
      <c r="Y899" s="76"/>
    </row>
    <row r="900" spans="1:25" ht="13.5" customHeight="1">
      <c r="A900" s="76"/>
      <c r="B900" s="76"/>
      <c r="C900" s="76"/>
      <c r="D900" s="76"/>
      <c r="E900" s="76"/>
      <c r="F900" s="76"/>
      <c r="G900" s="76"/>
      <c r="H900" s="76"/>
      <c r="I900" s="76"/>
      <c r="J900" s="76"/>
      <c r="K900" s="76"/>
      <c r="L900" s="76"/>
      <c r="M900" s="76"/>
      <c r="N900" s="76"/>
      <c r="O900" s="76"/>
      <c r="P900" s="76"/>
      <c r="Q900" s="76"/>
      <c r="R900" s="76"/>
      <c r="S900" s="76"/>
      <c r="T900" s="76"/>
      <c r="U900" s="76"/>
      <c r="V900" s="76"/>
      <c r="W900" s="76"/>
      <c r="X900" s="76"/>
      <c r="Y900" s="76"/>
    </row>
    <row r="901" spans="1:25" ht="13.5" customHeight="1">
      <c r="A901" s="76"/>
      <c r="B901" s="76"/>
      <c r="C901" s="76"/>
      <c r="D901" s="76"/>
      <c r="E901" s="76"/>
      <c r="F901" s="76"/>
      <c r="G901" s="76"/>
      <c r="H901" s="76"/>
      <c r="I901" s="76"/>
      <c r="J901" s="76"/>
      <c r="K901" s="76"/>
      <c r="L901" s="76"/>
      <c r="M901" s="76"/>
      <c r="N901" s="76"/>
      <c r="O901" s="76"/>
      <c r="P901" s="76"/>
      <c r="Q901" s="76"/>
      <c r="R901" s="76"/>
      <c r="S901" s="76"/>
      <c r="T901" s="76"/>
      <c r="U901" s="76"/>
      <c r="V901" s="76"/>
      <c r="W901" s="76"/>
      <c r="X901" s="76"/>
      <c r="Y901" s="76"/>
    </row>
    <row r="902" spans="1:25" ht="13.5" customHeight="1">
      <c r="A902" s="76"/>
      <c r="B902" s="76"/>
      <c r="C902" s="76"/>
      <c r="D902" s="76"/>
      <c r="E902" s="76"/>
      <c r="F902" s="76"/>
      <c r="G902" s="76"/>
      <c r="H902" s="76"/>
      <c r="I902" s="76"/>
      <c r="J902" s="76"/>
      <c r="K902" s="76"/>
      <c r="L902" s="76"/>
      <c r="M902" s="76"/>
      <c r="N902" s="76"/>
      <c r="O902" s="76"/>
      <c r="P902" s="76"/>
      <c r="Q902" s="76"/>
      <c r="R902" s="76"/>
      <c r="S902" s="76"/>
      <c r="T902" s="76"/>
      <c r="U902" s="76"/>
      <c r="V902" s="76"/>
      <c r="W902" s="76"/>
      <c r="X902" s="76"/>
      <c r="Y902" s="76"/>
    </row>
    <row r="903" spans="1:25" ht="13.5" customHeight="1">
      <c r="A903" s="76"/>
      <c r="B903" s="76"/>
      <c r="C903" s="76"/>
      <c r="D903" s="76"/>
      <c r="E903" s="76"/>
      <c r="F903" s="76"/>
      <c r="G903" s="76"/>
      <c r="H903" s="76"/>
      <c r="I903" s="76"/>
      <c r="J903" s="76"/>
      <c r="K903" s="76"/>
      <c r="L903" s="76"/>
      <c r="M903" s="76"/>
      <c r="N903" s="76"/>
      <c r="O903" s="76"/>
      <c r="P903" s="76"/>
      <c r="Q903" s="76"/>
      <c r="R903" s="76"/>
      <c r="S903" s="76"/>
      <c r="T903" s="76"/>
      <c r="U903" s="76"/>
      <c r="V903" s="76"/>
      <c r="W903" s="76"/>
      <c r="X903" s="76"/>
      <c r="Y903" s="76"/>
    </row>
    <row r="904" spans="1:25" ht="13.5" customHeight="1">
      <c r="A904" s="76"/>
      <c r="B904" s="76"/>
      <c r="C904" s="76"/>
      <c r="D904" s="76"/>
      <c r="E904" s="76"/>
      <c r="F904" s="76"/>
      <c r="G904" s="76"/>
      <c r="H904" s="76"/>
      <c r="I904" s="76"/>
      <c r="J904" s="76"/>
      <c r="K904" s="76"/>
      <c r="L904" s="76"/>
      <c r="M904" s="76"/>
      <c r="N904" s="76"/>
      <c r="O904" s="76"/>
      <c r="P904" s="76"/>
      <c r="Q904" s="76"/>
      <c r="R904" s="76"/>
      <c r="S904" s="76"/>
      <c r="T904" s="76"/>
      <c r="U904" s="76"/>
      <c r="V904" s="76"/>
      <c r="W904" s="76"/>
      <c r="X904" s="76"/>
      <c r="Y904" s="76"/>
    </row>
    <row r="905" spans="1:25" ht="13.5" customHeight="1">
      <c r="A905" s="76"/>
      <c r="B905" s="76"/>
      <c r="C905" s="76"/>
      <c r="D905" s="76"/>
      <c r="E905" s="76"/>
      <c r="F905" s="76"/>
      <c r="G905" s="76"/>
      <c r="H905" s="76"/>
      <c r="I905" s="76"/>
      <c r="J905" s="76"/>
      <c r="K905" s="76"/>
      <c r="L905" s="76"/>
      <c r="M905" s="76"/>
      <c r="N905" s="76"/>
      <c r="O905" s="76"/>
      <c r="P905" s="76"/>
      <c r="Q905" s="76"/>
      <c r="R905" s="76"/>
      <c r="S905" s="76"/>
      <c r="T905" s="76"/>
      <c r="U905" s="76"/>
      <c r="V905" s="76"/>
      <c r="W905" s="76"/>
      <c r="X905" s="76"/>
      <c r="Y905" s="76"/>
    </row>
    <row r="906" spans="1:25" ht="13.5" customHeight="1">
      <c r="A906" s="76"/>
      <c r="B906" s="76"/>
      <c r="C906" s="76"/>
      <c r="D906" s="76"/>
      <c r="E906" s="76"/>
      <c r="F906" s="76"/>
      <c r="G906" s="76"/>
      <c r="H906" s="76"/>
      <c r="I906" s="76"/>
      <c r="J906" s="76"/>
      <c r="K906" s="76"/>
      <c r="L906" s="76"/>
      <c r="M906" s="76"/>
      <c r="N906" s="76"/>
      <c r="O906" s="76"/>
      <c r="P906" s="76"/>
      <c r="Q906" s="76"/>
      <c r="R906" s="76"/>
      <c r="S906" s="76"/>
      <c r="T906" s="76"/>
      <c r="U906" s="76"/>
      <c r="V906" s="76"/>
      <c r="W906" s="76"/>
      <c r="X906" s="76"/>
      <c r="Y906" s="76"/>
    </row>
    <row r="907" spans="1:25" ht="13.5" customHeight="1">
      <c r="A907" s="76"/>
      <c r="B907" s="76"/>
      <c r="C907" s="76"/>
      <c r="D907" s="76"/>
      <c r="E907" s="76"/>
      <c r="F907" s="76"/>
      <c r="G907" s="76"/>
      <c r="H907" s="76"/>
      <c r="I907" s="76"/>
      <c r="J907" s="76"/>
      <c r="K907" s="76"/>
      <c r="L907" s="76"/>
      <c r="M907" s="76"/>
      <c r="N907" s="76"/>
      <c r="O907" s="76"/>
      <c r="P907" s="76"/>
      <c r="Q907" s="76"/>
      <c r="R907" s="76"/>
      <c r="S907" s="76"/>
      <c r="T907" s="76"/>
      <c r="U907" s="76"/>
      <c r="V907" s="76"/>
      <c r="W907" s="76"/>
      <c r="X907" s="76"/>
      <c r="Y907" s="76"/>
    </row>
    <row r="908" spans="1:25" ht="13.5" customHeight="1">
      <c r="A908" s="76"/>
      <c r="B908" s="76"/>
      <c r="C908" s="76"/>
      <c r="D908" s="76"/>
      <c r="E908" s="76"/>
      <c r="F908" s="76"/>
      <c r="G908" s="76"/>
      <c r="H908" s="76"/>
      <c r="I908" s="76"/>
      <c r="J908" s="76"/>
      <c r="K908" s="76"/>
      <c r="L908" s="76"/>
      <c r="M908" s="76"/>
      <c r="N908" s="76"/>
      <c r="O908" s="76"/>
      <c r="P908" s="76"/>
      <c r="Q908" s="76"/>
      <c r="R908" s="76"/>
      <c r="S908" s="76"/>
      <c r="T908" s="76"/>
      <c r="U908" s="76"/>
      <c r="V908" s="76"/>
      <c r="W908" s="76"/>
      <c r="X908" s="76"/>
      <c r="Y908" s="76"/>
    </row>
    <row r="909" spans="1:25" ht="13.5" customHeight="1">
      <c r="A909" s="76"/>
      <c r="B909" s="76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76"/>
      <c r="P909" s="76"/>
      <c r="Q909" s="76"/>
      <c r="R909" s="76"/>
      <c r="S909" s="76"/>
      <c r="T909" s="76"/>
      <c r="U909" s="76"/>
      <c r="V909" s="76"/>
      <c r="W909" s="76"/>
      <c r="X909" s="76"/>
      <c r="Y909" s="76"/>
    </row>
    <row r="910" spans="1:25" ht="13.5" customHeight="1">
      <c r="A910" s="76"/>
      <c r="B910" s="76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76"/>
      <c r="P910" s="76"/>
      <c r="Q910" s="76"/>
      <c r="R910" s="76"/>
      <c r="S910" s="76"/>
      <c r="T910" s="76"/>
      <c r="U910" s="76"/>
      <c r="V910" s="76"/>
      <c r="W910" s="76"/>
      <c r="X910" s="76"/>
      <c r="Y910" s="76"/>
    </row>
    <row r="911" spans="1:25" ht="13.5" customHeight="1">
      <c r="A911" s="76"/>
      <c r="B911" s="76"/>
      <c r="C911" s="76"/>
      <c r="D911" s="76"/>
      <c r="E911" s="76"/>
      <c r="F911" s="76"/>
      <c r="G911" s="76"/>
      <c r="H911" s="76"/>
      <c r="I911" s="76"/>
      <c r="J911" s="76"/>
      <c r="K911" s="76"/>
      <c r="L911" s="76"/>
      <c r="M911" s="76"/>
      <c r="N911" s="76"/>
      <c r="O911" s="76"/>
      <c r="P911" s="76"/>
      <c r="Q911" s="76"/>
      <c r="R911" s="76"/>
      <c r="S911" s="76"/>
      <c r="T911" s="76"/>
      <c r="U911" s="76"/>
      <c r="V911" s="76"/>
      <c r="W911" s="76"/>
      <c r="X911" s="76"/>
      <c r="Y911" s="76"/>
    </row>
    <row r="912" spans="1:25" ht="13.5" customHeight="1">
      <c r="A912" s="76"/>
      <c r="B912" s="76"/>
      <c r="C912" s="76"/>
      <c r="D912" s="76"/>
      <c r="E912" s="76"/>
      <c r="F912" s="76"/>
      <c r="G912" s="76"/>
      <c r="H912" s="76"/>
      <c r="I912" s="76"/>
      <c r="J912" s="76"/>
      <c r="K912" s="76"/>
      <c r="L912" s="76"/>
      <c r="M912" s="76"/>
      <c r="N912" s="76"/>
      <c r="O912" s="76"/>
      <c r="P912" s="76"/>
      <c r="Q912" s="76"/>
      <c r="R912" s="76"/>
      <c r="S912" s="76"/>
      <c r="T912" s="76"/>
      <c r="U912" s="76"/>
      <c r="V912" s="76"/>
      <c r="W912" s="76"/>
      <c r="X912" s="76"/>
      <c r="Y912" s="76"/>
    </row>
    <row r="913" spans="1:25" ht="13.5" customHeight="1">
      <c r="A913" s="76"/>
      <c r="B913" s="76"/>
      <c r="C913" s="76"/>
      <c r="D913" s="76"/>
      <c r="E913" s="76"/>
      <c r="F913" s="76"/>
      <c r="G913" s="76"/>
      <c r="H913" s="76"/>
      <c r="I913" s="76"/>
      <c r="J913" s="76"/>
      <c r="K913" s="76"/>
      <c r="L913" s="76"/>
      <c r="M913" s="76"/>
      <c r="N913" s="76"/>
      <c r="O913" s="76"/>
      <c r="P913" s="76"/>
      <c r="Q913" s="76"/>
      <c r="R913" s="76"/>
      <c r="S913" s="76"/>
      <c r="T913" s="76"/>
      <c r="U913" s="76"/>
      <c r="V913" s="76"/>
      <c r="W913" s="76"/>
      <c r="X913" s="76"/>
      <c r="Y913" s="76"/>
    </row>
    <row r="914" spans="1:25" ht="13.5" customHeight="1">
      <c r="A914" s="76"/>
      <c r="B914" s="76"/>
      <c r="C914" s="76"/>
      <c r="D914" s="76"/>
      <c r="E914" s="76"/>
      <c r="F914" s="76"/>
      <c r="G914" s="76"/>
      <c r="H914" s="76"/>
      <c r="I914" s="76"/>
      <c r="J914" s="76"/>
      <c r="K914" s="76"/>
      <c r="L914" s="76"/>
      <c r="M914" s="76"/>
      <c r="N914" s="76"/>
      <c r="O914" s="76"/>
      <c r="P914" s="76"/>
      <c r="Q914" s="76"/>
      <c r="R914" s="76"/>
      <c r="S914" s="76"/>
      <c r="T914" s="76"/>
      <c r="U914" s="76"/>
      <c r="V914" s="76"/>
      <c r="W914" s="76"/>
      <c r="X914" s="76"/>
      <c r="Y914" s="76"/>
    </row>
    <row r="915" spans="1:25" ht="13.5" customHeight="1">
      <c r="A915" s="76"/>
      <c r="B915" s="76"/>
      <c r="C915" s="76"/>
      <c r="D915" s="76"/>
      <c r="E915" s="76"/>
      <c r="F915" s="76"/>
      <c r="G915" s="76"/>
      <c r="H915" s="76"/>
      <c r="I915" s="76"/>
      <c r="J915" s="76"/>
      <c r="K915" s="76"/>
      <c r="L915" s="76"/>
      <c r="M915" s="76"/>
      <c r="N915" s="76"/>
      <c r="O915" s="76"/>
      <c r="P915" s="76"/>
      <c r="Q915" s="76"/>
      <c r="R915" s="76"/>
      <c r="S915" s="76"/>
      <c r="T915" s="76"/>
      <c r="U915" s="76"/>
      <c r="V915" s="76"/>
      <c r="W915" s="76"/>
      <c r="X915" s="76"/>
      <c r="Y915" s="76"/>
    </row>
    <row r="916" spans="1:25" ht="13.5" customHeight="1">
      <c r="A916" s="76"/>
      <c r="B916" s="76"/>
      <c r="C916" s="76"/>
      <c r="D916" s="76"/>
      <c r="E916" s="76"/>
      <c r="F916" s="76"/>
      <c r="G916" s="76"/>
      <c r="H916" s="76"/>
      <c r="I916" s="76"/>
      <c r="J916" s="76"/>
      <c r="K916" s="76"/>
      <c r="L916" s="76"/>
      <c r="M916" s="76"/>
      <c r="N916" s="76"/>
      <c r="O916" s="76"/>
      <c r="P916" s="76"/>
      <c r="Q916" s="76"/>
      <c r="R916" s="76"/>
      <c r="S916" s="76"/>
      <c r="T916" s="76"/>
      <c r="U916" s="76"/>
      <c r="V916" s="76"/>
      <c r="W916" s="76"/>
      <c r="X916" s="76"/>
      <c r="Y916" s="76"/>
    </row>
    <row r="917" spans="1:25" ht="13.5" customHeight="1">
      <c r="A917" s="76"/>
      <c r="B917" s="76"/>
      <c r="C917" s="76"/>
      <c r="D917" s="76"/>
      <c r="E917" s="76"/>
      <c r="F917" s="76"/>
      <c r="G917" s="76"/>
      <c r="H917" s="76"/>
      <c r="I917" s="76"/>
      <c r="J917" s="76"/>
      <c r="K917" s="76"/>
      <c r="L917" s="76"/>
      <c r="M917" s="76"/>
      <c r="N917" s="76"/>
      <c r="O917" s="76"/>
      <c r="P917" s="76"/>
      <c r="Q917" s="76"/>
      <c r="R917" s="76"/>
      <c r="S917" s="76"/>
      <c r="T917" s="76"/>
      <c r="U917" s="76"/>
      <c r="V917" s="76"/>
      <c r="W917" s="76"/>
      <c r="X917" s="76"/>
      <c r="Y917" s="76"/>
    </row>
    <row r="918" spans="1:25" ht="13.5" customHeight="1">
      <c r="A918" s="76"/>
      <c r="B918" s="76"/>
      <c r="C918" s="76"/>
      <c r="D918" s="76"/>
      <c r="E918" s="76"/>
      <c r="F918" s="76"/>
      <c r="G918" s="76"/>
      <c r="H918" s="76"/>
      <c r="I918" s="76"/>
      <c r="J918" s="76"/>
      <c r="K918" s="76"/>
      <c r="L918" s="76"/>
      <c r="M918" s="76"/>
      <c r="N918" s="76"/>
      <c r="O918" s="76"/>
      <c r="P918" s="76"/>
      <c r="Q918" s="76"/>
      <c r="R918" s="76"/>
      <c r="S918" s="76"/>
      <c r="T918" s="76"/>
      <c r="U918" s="76"/>
      <c r="V918" s="76"/>
      <c r="W918" s="76"/>
      <c r="X918" s="76"/>
      <c r="Y918" s="76"/>
    </row>
    <row r="919" spans="1:25" ht="13.5" customHeight="1">
      <c r="A919" s="76"/>
      <c r="B919" s="76"/>
      <c r="C919" s="76"/>
      <c r="D919" s="76"/>
      <c r="E919" s="76"/>
      <c r="F919" s="76"/>
      <c r="G919" s="76"/>
      <c r="H919" s="76"/>
      <c r="I919" s="76"/>
      <c r="J919" s="76"/>
      <c r="K919" s="76"/>
      <c r="L919" s="76"/>
      <c r="M919" s="76"/>
      <c r="N919" s="76"/>
      <c r="O919" s="76"/>
      <c r="P919" s="76"/>
      <c r="Q919" s="76"/>
      <c r="R919" s="76"/>
      <c r="S919" s="76"/>
      <c r="T919" s="76"/>
      <c r="U919" s="76"/>
      <c r="V919" s="76"/>
      <c r="W919" s="76"/>
      <c r="X919" s="76"/>
      <c r="Y919" s="76"/>
    </row>
    <row r="920" spans="1:25" ht="13.5" customHeight="1">
      <c r="A920" s="76"/>
      <c r="B920" s="76"/>
      <c r="C920" s="76"/>
      <c r="D920" s="76"/>
      <c r="E920" s="76"/>
      <c r="F920" s="76"/>
      <c r="G920" s="76"/>
      <c r="H920" s="76"/>
      <c r="I920" s="76"/>
      <c r="J920" s="76"/>
      <c r="K920" s="76"/>
      <c r="L920" s="76"/>
      <c r="M920" s="76"/>
      <c r="N920" s="76"/>
      <c r="O920" s="76"/>
      <c r="P920" s="76"/>
      <c r="Q920" s="76"/>
      <c r="R920" s="76"/>
      <c r="S920" s="76"/>
      <c r="T920" s="76"/>
      <c r="U920" s="76"/>
      <c r="V920" s="76"/>
      <c r="W920" s="76"/>
      <c r="X920" s="76"/>
      <c r="Y920" s="76"/>
    </row>
    <row r="921" spans="1:25" ht="13.5" customHeight="1">
      <c r="A921" s="76"/>
      <c r="B921" s="76"/>
      <c r="C921" s="76"/>
      <c r="D921" s="76"/>
      <c r="E921" s="76"/>
      <c r="F921" s="76"/>
      <c r="G921" s="76"/>
      <c r="H921" s="76"/>
      <c r="I921" s="76"/>
      <c r="J921" s="76"/>
      <c r="K921" s="76"/>
      <c r="L921" s="76"/>
      <c r="M921" s="76"/>
      <c r="N921" s="76"/>
      <c r="O921" s="76"/>
      <c r="P921" s="76"/>
      <c r="Q921" s="76"/>
      <c r="R921" s="76"/>
      <c r="S921" s="76"/>
      <c r="T921" s="76"/>
      <c r="U921" s="76"/>
      <c r="V921" s="76"/>
      <c r="W921" s="76"/>
      <c r="X921" s="76"/>
      <c r="Y921" s="76"/>
    </row>
    <row r="922" spans="1:25" ht="13.5" customHeight="1">
      <c r="A922" s="76"/>
      <c r="B922" s="76"/>
      <c r="C922" s="76"/>
      <c r="D922" s="76"/>
      <c r="E922" s="76"/>
      <c r="F922" s="76"/>
      <c r="G922" s="76"/>
      <c r="H922" s="76"/>
      <c r="I922" s="76"/>
      <c r="J922" s="76"/>
      <c r="K922" s="76"/>
      <c r="L922" s="76"/>
      <c r="M922" s="76"/>
      <c r="N922" s="76"/>
      <c r="O922" s="76"/>
      <c r="P922" s="76"/>
      <c r="Q922" s="76"/>
      <c r="R922" s="76"/>
      <c r="S922" s="76"/>
      <c r="T922" s="76"/>
      <c r="U922" s="76"/>
      <c r="V922" s="76"/>
      <c r="W922" s="76"/>
      <c r="X922" s="76"/>
      <c r="Y922" s="76"/>
    </row>
    <row r="923" spans="1:25" ht="13.5" customHeight="1">
      <c r="A923" s="76"/>
      <c r="B923" s="76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76"/>
      <c r="P923" s="76"/>
      <c r="Q923" s="76"/>
      <c r="R923" s="76"/>
      <c r="S923" s="76"/>
      <c r="T923" s="76"/>
      <c r="U923" s="76"/>
      <c r="V923" s="76"/>
      <c r="W923" s="76"/>
      <c r="X923" s="76"/>
      <c r="Y923" s="76"/>
    </row>
    <row r="924" spans="1:25" ht="13.5" customHeight="1">
      <c r="A924" s="76"/>
      <c r="B924" s="76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76"/>
      <c r="P924" s="76"/>
      <c r="Q924" s="76"/>
      <c r="R924" s="76"/>
      <c r="S924" s="76"/>
      <c r="T924" s="76"/>
      <c r="U924" s="76"/>
      <c r="V924" s="76"/>
      <c r="W924" s="76"/>
      <c r="X924" s="76"/>
      <c r="Y924" s="76"/>
    </row>
    <row r="925" spans="1:25" ht="13.5" customHeight="1">
      <c r="A925" s="76"/>
      <c r="B925" s="76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76"/>
      <c r="P925" s="76"/>
      <c r="Q925" s="76"/>
      <c r="R925" s="76"/>
      <c r="S925" s="76"/>
      <c r="T925" s="76"/>
      <c r="U925" s="76"/>
      <c r="V925" s="76"/>
      <c r="W925" s="76"/>
      <c r="X925" s="76"/>
      <c r="Y925" s="76"/>
    </row>
    <row r="926" spans="1:25" ht="13.5" customHeight="1">
      <c r="A926" s="76"/>
      <c r="B926" s="76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76"/>
      <c r="P926" s="76"/>
      <c r="Q926" s="76"/>
      <c r="R926" s="76"/>
      <c r="S926" s="76"/>
      <c r="T926" s="76"/>
      <c r="U926" s="76"/>
      <c r="V926" s="76"/>
      <c r="W926" s="76"/>
      <c r="X926" s="76"/>
      <c r="Y926" s="76"/>
    </row>
    <row r="927" spans="1:25" ht="13.5" customHeight="1">
      <c r="A927" s="76"/>
      <c r="B927" s="76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76"/>
      <c r="P927" s="76"/>
      <c r="Q927" s="76"/>
      <c r="R927" s="76"/>
      <c r="S927" s="76"/>
      <c r="T927" s="76"/>
      <c r="U927" s="76"/>
      <c r="V927" s="76"/>
      <c r="W927" s="76"/>
      <c r="X927" s="76"/>
      <c r="Y927" s="76"/>
    </row>
    <row r="928" spans="1:25" ht="13.5" customHeight="1">
      <c r="A928" s="76"/>
      <c r="B928" s="76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76"/>
      <c r="P928" s="76"/>
      <c r="Q928" s="76"/>
      <c r="R928" s="76"/>
      <c r="S928" s="76"/>
      <c r="T928" s="76"/>
      <c r="U928" s="76"/>
      <c r="V928" s="76"/>
      <c r="W928" s="76"/>
      <c r="X928" s="76"/>
      <c r="Y928" s="76"/>
    </row>
    <row r="929" spans="1:25" ht="13.5" customHeight="1">
      <c r="A929" s="76"/>
      <c r="B929" s="76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76"/>
      <c r="P929" s="76"/>
      <c r="Q929" s="76"/>
      <c r="R929" s="76"/>
      <c r="S929" s="76"/>
      <c r="T929" s="76"/>
      <c r="U929" s="76"/>
      <c r="V929" s="76"/>
      <c r="W929" s="76"/>
      <c r="X929" s="76"/>
      <c r="Y929" s="76"/>
    </row>
    <row r="930" spans="1:25" ht="13.5" customHeight="1">
      <c r="A930" s="76"/>
      <c r="B930" s="76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76"/>
      <c r="P930" s="76"/>
      <c r="Q930" s="76"/>
      <c r="R930" s="76"/>
      <c r="S930" s="76"/>
      <c r="T930" s="76"/>
      <c r="U930" s="76"/>
      <c r="V930" s="76"/>
      <c r="W930" s="76"/>
      <c r="X930" s="76"/>
      <c r="Y930" s="76"/>
    </row>
    <row r="931" spans="1:25" ht="13.5" customHeight="1">
      <c r="A931" s="76"/>
      <c r="B931" s="76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76"/>
      <c r="P931" s="76"/>
      <c r="Q931" s="76"/>
      <c r="R931" s="76"/>
      <c r="S931" s="76"/>
      <c r="T931" s="76"/>
      <c r="U931" s="76"/>
      <c r="V931" s="76"/>
      <c r="W931" s="76"/>
      <c r="X931" s="76"/>
      <c r="Y931" s="76"/>
    </row>
    <row r="932" spans="1:25" ht="13.5" customHeight="1">
      <c r="A932" s="76"/>
      <c r="B932" s="76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76"/>
      <c r="P932" s="76"/>
      <c r="Q932" s="76"/>
      <c r="R932" s="76"/>
      <c r="S932" s="76"/>
      <c r="T932" s="76"/>
      <c r="U932" s="76"/>
      <c r="V932" s="76"/>
      <c r="W932" s="76"/>
      <c r="X932" s="76"/>
      <c r="Y932" s="76"/>
    </row>
    <row r="933" spans="1:25" ht="13.5" customHeight="1">
      <c r="A933" s="76"/>
      <c r="B933" s="76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76"/>
      <c r="P933" s="76"/>
      <c r="Q933" s="76"/>
      <c r="R933" s="76"/>
      <c r="S933" s="76"/>
      <c r="T933" s="76"/>
      <c r="U933" s="76"/>
      <c r="V933" s="76"/>
      <c r="W933" s="76"/>
      <c r="X933" s="76"/>
      <c r="Y933" s="76"/>
    </row>
    <row r="934" spans="1:25" ht="13.5" customHeight="1">
      <c r="A934" s="76"/>
      <c r="B934" s="76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76"/>
      <c r="P934" s="76"/>
      <c r="Q934" s="76"/>
      <c r="R934" s="76"/>
      <c r="S934" s="76"/>
      <c r="T934" s="76"/>
      <c r="U934" s="76"/>
      <c r="V934" s="76"/>
      <c r="W934" s="76"/>
      <c r="X934" s="76"/>
      <c r="Y934" s="76"/>
    </row>
    <row r="935" spans="1:25" ht="13.5" customHeight="1">
      <c r="A935" s="76"/>
      <c r="B935" s="76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76"/>
      <c r="P935" s="76"/>
      <c r="Q935" s="76"/>
      <c r="R935" s="76"/>
      <c r="S935" s="76"/>
      <c r="T935" s="76"/>
      <c r="U935" s="76"/>
      <c r="V935" s="76"/>
      <c r="W935" s="76"/>
      <c r="X935" s="76"/>
      <c r="Y935" s="76"/>
    </row>
    <row r="936" spans="1:25" ht="13.5" customHeight="1">
      <c r="A936" s="76"/>
      <c r="B936" s="76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76"/>
      <c r="P936" s="76"/>
      <c r="Q936" s="76"/>
      <c r="R936" s="76"/>
      <c r="S936" s="76"/>
      <c r="T936" s="76"/>
      <c r="U936" s="76"/>
      <c r="V936" s="76"/>
      <c r="W936" s="76"/>
      <c r="X936" s="76"/>
      <c r="Y936" s="76"/>
    </row>
    <row r="937" spans="1:25" ht="13.5" customHeight="1">
      <c r="A937" s="76"/>
      <c r="B937" s="76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76"/>
      <c r="P937" s="76"/>
      <c r="Q937" s="76"/>
      <c r="R937" s="76"/>
      <c r="S937" s="76"/>
      <c r="T937" s="76"/>
      <c r="U937" s="76"/>
      <c r="V937" s="76"/>
      <c r="W937" s="76"/>
      <c r="X937" s="76"/>
      <c r="Y937" s="76"/>
    </row>
    <row r="938" spans="1:25" ht="13.5" customHeight="1">
      <c r="A938" s="76"/>
      <c r="B938" s="76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76"/>
      <c r="P938" s="76"/>
      <c r="Q938" s="76"/>
      <c r="R938" s="76"/>
      <c r="S938" s="76"/>
      <c r="T938" s="76"/>
      <c r="U938" s="76"/>
      <c r="V938" s="76"/>
      <c r="W938" s="76"/>
      <c r="X938" s="76"/>
      <c r="Y938" s="76"/>
    </row>
    <row r="939" spans="1:25" ht="13.5" customHeight="1">
      <c r="A939" s="76"/>
      <c r="B939" s="76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76"/>
      <c r="P939" s="76"/>
      <c r="Q939" s="76"/>
      <c r="R939" s="76"/>
      <c r="S939" s="76"/>
      <c r="T939" s="76"/>
      <c r="U939" s="76"/>
      <c r="V939" s="76"/>
      <c r="W939" s="76"/>
      <c r="X939" s="76"/>
      <c r="Y939" s="76"/>
    </row>
    <row r="940" spans="1:25" ht="13.5" customHeight="1">
      <c r="A940" s="76"/>
      <c r="B940" s="76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76"/>
      <c r="P940" s="76"/>
      <c r="Q940" s="76"/>
      <c r="R940" s="76"/>
      <c r="S940" s="76"/>
      <c r="T940" s="76"/>
      <c r="U940" s="76"/>
      <c r="V940" s="76"/>
      <c r="W940" s="76"/>
      <c r="X940" s="76"/>
      <c r="Y940" s="76"/>
    </row>
    <row r="941" spans="1:25" ht="13.5" customHeight="1">
      <c r="A941" s="76"/>
      <c r="B941" s="76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76"/>
      <c r="P941" s="76"/>
      <c r="Q941" s="76"/>
      <c r="R941" s="76"/>
      <c r="S941" s="76"/>
      <c r="T941" s="76"/>
      <c r="U941" s="76"/>
      <c r="V941" s="76"/>
      <c r="W941" s="76"/>
      <c r="X941" s="76"/>
      <c r="Y941" s="76"/>
    </row>
    <row r="942" spans="1:25" ht="13.5" customHeight="1">
      <c r="A942" s="76"/>
      <c r="B942" s="76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76"/>
      <c r="P942" s="76"/>
      <c r="Q942" s="76"/>
      <c r="R942" s="76"/>
      <c r="S942" s="76"/>
      <c r="T942" s="76"/>
      <c r="U942" s="76"/>
      <c r="V942" s="76"/>
      <c r="W942" s="76"/>
      <c r="X942" s="76"/>
      <c r="Y942" s="76"/>
    </row>
    <row r="943" spans="1:25" ht="13.5" customHeight="1">
      <c r="A943" s="76"/>
      <c r="B943" s="76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76"/>
      <c r="P943" s="76"/>
      <c r="Q943" s="76"/>
      <c r="R943" s="76"/>
      <c r="S943" s="76"/>
      <c r="T943" s="76"/>
      <c r="U943" s="76"/>
      <c r="V943" s="76"/>
      <c r="W943" s="76"/>
      <c r="X943" s="76"/>
      <c r="Y943" s="76"/>
    </row>
    <row r="944" spans="1:25" ht="13.5" customHeight="1">
      <c r="A944" s="76"/>
      <c r="B944" s="76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76"/>
      <c r="P944" s="76"/>
      <c r="Q944" s="76"/>
      <c r="R944" s="76"/>
      <c r="S944" s="76"/>
      <c r="T944" s="76"/>
      <c r="U944" s="76"/>
      <c r="V944" s="76"/>
      <c r="W944" s="76"/>
      <c r="X944" s="76"/>
      <c r="Y944" s="76"/>
    </row>
    <row r="945" spans="1:25" ht="13.5" customHeight="1">
      <c r="A945" s="76"/>
      <c r="B945" s="76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76"/>
      <c r="P945" s="76"/>
      <c r="Q945" s="76"/>
      <c r="R945" s="76"/>
      <c r="S945" s="76"/>
      <c r="T945" s="76"/>
      <c r="U945" s="76"/>
      <c r="V945" s="76"/>
      <c r="W945" s="76"/>
      <c r="X945" s="76"/>
      <c r="Y945" s="76"/>
    </row>
    <row r="946" spans="1:25" ht="13.5" customHeight="1">
      <c r="A946" s="76"/>
      <c r="B946" s="76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76"/>
      <c r="P946" s="76"/>
      <c r="Q946" s="76"/>
      <c r="R946" s="76"/>
      <c r="S946" s="76"/>
      <c r="T946" s="76"/>
      <c r="U946" s="76"/>
      <c r="V946" s="76"/>
      <c r="W946" s="76"/>
      <c r="X946" s="76"/>
      <c r="Y946" s="76"/>
    </row>
    <row r="947" spans="1:25" ht="13.5" customHeight="1">
      <c r="A947" s="76"/>
      <c r="B947" s="76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76"/>
      <c r="P947" s="76"/>
      <c r="Q947" s="76"/>
      <c r="R947" s="76"/>
      <c r="S947" s="76"/>
      <c r="T947" s="76"/>
      <c r="U947" s="76"/>
      <c r="V947" s="76"/>
      <c r="W947" s="76"/>
      <c r="X947" s="76"/>
      <c r="Y947" s="76"/>
    </row>
    <row r="948" spans="1:25" ht="13.5" customHeight="1">
      <c r="A948" s="76"/>
      <c r="B948" s="76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76"/>
      <c r="P948" s="76"/>
      <c r="Q948" s="76"/>
      <c r="R948" s="76"/>
      <c r="S948" s="76"/>
      <c r="T948" s="76"/>
      <c r="U948" s="76"/>
      <c r="V948" s="76"/>
      <c r="W948" s="76"/>
      <c r="X948" s="76"/>
      <c r="Y948" s="76"/>
    </row>
    <row r="949" spans="1:25" ht="13.5" customHeight="1">
      <c r="A949" s="76"/>
      <c r="B949" s="76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76"/>
      <c r="P949" s="76"/>
      <c r="Q949" s="76"/>
      <c r="R949" s="76"/>
      <c r="S949" s="76"/>
      <c r="T949" s="76"/>
      <c r="U949" s="76"/>
      <c r="V949" s="76"/>
      <c r="W949" s="76"/>
      <c r="X949" s="76"/>
      <c r="Y949" s="76"/>
    </row>
    <row r="950" spans="1:25" ht="13.5" customHeight="1">
      <c r="A950" s="76"/>
      <c r="B950" s="76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76"/>
      <c r="P950" s="76"/>
      <c r="Q950" s="76"/>
      <c r="R950" s="76"/>
      <c r="S950" s="76"/>
      <c r="T950" s="76"/>
      <c r="U950" s="76"/>
      <c r="V950" s="76"/>
      <c r="W950" s="76"/>
      <c r="X950" s="76"/>
      <c r="Y950" s="76"/>
    </row>
    <row r="951" spans="1:25" ht="13.5" customHeight="1">
      <c r="A951" s="76"/>
      <c r="B951" s="76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76"/>
      <c r="P951" s="76"/>
      <c r="Q951" s="76"/>
      <c r="R951" s="76"/>
      <c r="S951" s="76"/>
      <c r="T951" s="76"/>
      <c r="U951" s="76"/>
      <c r="V951" s="76"/>
      <c r="W951" s="76"/>
      <c r="X951" s="76"/>
      <c r="Y951" s="76"/>
    </row>
    <row r="952" spans="1:25" ht="13.5" customHeight="1">
      <c r="A952" s="76"/>
      <c r="B952" s="76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76"/>
      <c r="P952" s="76"/>
      <c r="Q952" s="76"/>
      <c r="R952" s="76"/>
      <c r="S952" s="76"/>
      <c r="T952" s="76"/>
      <c r="U952" s="76"/>
      <c r="V952" s="76"/>
      <c r="W952" s="76"/>
      <c r="X952" s="76"/>
      <c r="Y952" s="76"/>
    </row>
    <row r="953" spans="1:25" ht="13.5" customHeight="1">
      <c r="A953" s="76"/>
      <c r="B953" s="76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76"/>
      <c r="P953" s="76"/>
      <c r="Q953" s="76"/>
      <c r="R953" s="76"/>
      <c r="S953" s="76"/>
      <c r="T953" s="76"/>
      <c r="U953" s="76"/>
      <c r="V953" s="76"/>
      <c r="W953" s="76"/>
      <c r="X953" s="76"/>
      <c r="Y953" s="76"/>
    </row>
    <row r="954" spans="1:25" ht="13.5" customHeight="1">
      <c r="A954" s="76"/>
      <c r="B954" s="76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76"/>
      <c r="P954" s="76"/>
      <c r="Q954" s="76"/>
      <c r="R954" s="76"/>
      <c r="S954" s="76"/>
      <c r="T954" s="76"/>
      <c r="U954" s="76"/>
      <c r="V954" s="76"/>
      <c r="W954" s="76"/>
      <c r="X954" s="76"/>
      <c r="Y954" s="76"/>
    </row>
    <row r="955" spans="1:25" ht="13.5" customHeight="1">
      <c r="A955" s="76"/>
      <c r="B955" s="76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76"/>
      <c r="P955" s="76"/>
      <c r="Q955" s="76"/>
      <c r="R955" s="76"/>
      <c r="S955" s="76"/>
      <c r="T955" s="76"/>
      <c r="U955" s="76"/>
      <c r="V955" s="76"/>
      <c r="W955" s="76"/>
      <c r="X955" s="76"/>
      <c r="Y955" s="76"/>
    </row>
    <row r="956" spans="1:25" ht="13.5" customHeight="1">
      <c r="A956" s="76"/>
      <c r="B956" s="76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76"/>
      <c r="P956" s="76"/>
      <c r="Q956" s="76"/>
      <c r="R956" s="76"/>
      <c r="S956" s="76"/>
      <c r="T956" s="76"/>
      <c r="U956" s="76"/>
      <c r="V956" s="76"/>
      <c r="W956" s="76"/>
      <c r="X956" s="76"/>
      <c r="Y956" s="76"/>
    </row>
    <row r="957" spans="1:25" ht="13.5" customHeight="1">
      <c r="A957" s="76"/>
      <c r="B957" s="76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76"/>
      <c r="P957" s="76"/>
      <c r="Q957" s="76"/>
      <c r="R957" s="76"/>
      <c r="S957" s="76"/>
      <c r="T957" s="76"/>
      <c r="U957" s="76"/>
      <c r="V957" s="76"/>
      <c r="W957" s="76"/>
      <c r="X957" s="76"/>
      <c r="Y957" s="76"/>
    </row>
    <row r="958" spans="1:25" ht="13.5" customHeight="1">
      <c r="A958" s="76"/>
      <c r="B958" s="76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76"/>
      <c r="P958" s="76"/>
      <c r="Q958" s="76"/>
      <c r="R958" s="76"/>
      <c r="S958" s="76"/>
      <c r="T958" s="76"/>
      <c r="U958" s="76"/>
      <c r="V958" s="76"/>
      <c r="W958" s="76"/>
      <c r="X958" s="76"/>
      <c r="Y958" s="76"/>
    </row>
    <row r="959" spans="1:25" ht="13.5" customHeight="1">
      <c r="A959" s="76"/>
      <c r="B959" s="76"/>
      <c r="C959" s="76"/>
      <c r="D959" s="76"/>
      <c r="E959" s="76"/>
      <c r="F959" s="76"/>
      <c r="G959" s="76"/>
      <c r="H959" s="76"/>
      <c r="I959" s="76"/>
      <c r="J959" s="76"/>
      <c r="K959" s="76"/>
      <c r="L959" s="76"/>
      <c r="M959" s="76"/>
      <c r="N959" s="76"/>
      <c r="O959" s="76"/>
      <c r="P959" s="76"/>
      <c r="Q959" s="76"/>
      <c r="R959" s="76"/>
      <c r="S959" s="76"/>
      <c r="T959" s="76"/>
      <c r="U959" s="76"/>
      <c r="V959" s="76"/>
      <c r="W959" s="76"/>
      <c r="X959" s="76"/>
      <c r="Y959" s="76"/>
    </row>
    <row r="960" spans="1:25" ht="13.5" customHeight="1">
      <c r="A960" s="76"/>
      <c r="B960" s="76"/>
      <c r="C960" s="76"/>
      <c r="D960" s="76"/>
      <c r="E960" s="76"/>
      <c r="F960" s="76"/>
      <c r="G960" s="76"/>
      <c r="H960" s="76"/>
      <c r="I960" s="76"/>
      <c r="J960" s="76"/>
      <c r="K960" s="76"/>
      <c r="L960" s="76"/>
      <c r="M960" s="76"/>
      <c r="N960" s="76"/>
      <c r="O960" s="76"/>
      <c r="P960" s="76"/>
      <c r="Q960" s="76"/>
      <c r="R960" s="76"/>
      <c r="S960" s="76"/>
      <c r="T960" s="76"/>
      <c r="U960" s="76"/>
      <c r="V960" s="76"/>
      <c r="W960" s="76"/>
      <c r="X960" s="76"/>
      <c r="Y960" s="76"/>
    </row>
    <row r="961" spans="1:25" ht="13.5" customHeight="1">
      <c r="A961" s="76"/>
      <c r="B961" s="76"/>
      <c r="C961" s="76"/>
      <c r="D961" s="76"/>
      <c r="E961" s="76"/>
      <c r="F961" s="76"/>
      <c r="G961" s="76"/>
      <c r="H961" s="76"/>
      <c r="I961" s="76"/>
      <c r="J961" s="76"/>
      <c r="K961" s="76"/>
      <c r="L961" s="76"/>
      <c r="M961" s="76"/>
      <c r="N961" s="76"/>
      <c r="O961" s="76"/>
      <c r="P961" s="76"/>
      <c r="Q961" s="76"/>
      <c r="R961" s="76"/>
      <c r="S961" s="76"/>
      <c r="T961" s="76"/>
      <c r="U961" s="76"/>
      <c r="V961" s="76"/>
      <c r="W961" s="76"/>
      <c r="X961" s="76"/>
      <c r="Y961" s="76"/>
    </row>
    <row r="962" spans="1:25" ht="13.5" customHeight="1">
      <c r="A962" s="76"/>
      <c r="B962" s="76"/>
      <c r="C962" s="76"/>
      <c r="D962" s="76"/>
      <c r="E962" s="76"/>
      <c r="F962" s="76"/>
      <c r="G962" s="76"/>
      <c r="H962" s="76"/>
      <c r="I962" s="76"/>
      <c r="J962" s="76"/>
      <c r="K962" s="76"/>
      <c r="L962" s="76"/>
      <c r="M962" s="76"/>
      <c r="N962" s="76"/>
      <c r="O962" s="76"/>
      <c r="P962" s="76"/>
      <c r="Q962" s="76"/>
      <c r="R962" s="76"/>
      <c r="S962" s="76"/>
      <c r="T962" s="76"/>
      <c r="U962" s="76"/>
      <c r="V962" s="76"/>
      <c r="W962" s="76"/>
      <c r="X962" s="76"/>
      <c r="Y962" s="76"/>
    </row>
    <row r="963" spans="1:25" ht="13.5" customHeight="1">
      <c r="A963" s="76"/>
      <c r="B963" s="76"/>
      <c r="C963" s="76"/>
      <c r="D963" s="76"/>
      <c r="E963" s="76"/>
      <c r="F963" s="76"/>
      <c r="G963" s="76"/>
      <c r="H963" s="76"/>
      <c r="I963" s="76"/>
      <c r="J963" s="76"/>
      <c r="K963" s="76"/>
      <c r="L963" s="76"/>
      <c r="M963" s="76"/>
      <c r="N963" s="76"/>
      <c r="O963" s="76"/>
      <c r="P963" s="76"/>
      <c r="Q963" s="76"/>
      <c r="R963" s="76"/>
      <c r="S963" s="76"/>
      <c r="T963" s="76"/>
      <c r="U963" s="76"/>
      <c r="V963" s="76"/>
      <c r="W963" s="76"/>
      <c r="X963" s="76"/>
      <c r="Y963" s="76"/>
    </row>
    <row r="964" spans="1:25" ht="13.5" customHeight="1">
      <c r="A964" s="76"/>
      <c r="B964" s="76"/>
      <c r="C964" s="76"/>
      <c r="D964" s="76"/>
      <c r="E964" s="76"/>
      <c r="F964" s="76"/>
      <c r="G964" s="76"/>
      <c r="H964" s="76"/>
      <c r="I964" s="76"/>
      <c r="J964" s="76"/>
      <c r="K964" s="76"/>
      <c r="L964" s="76"/>
      <c r="M964" s="76"/>
      <c r="N964" s="76"/>
      <c r="O964" s="76"/>
      <c r="P964" s="76"/>
      <c r="Q964" s="76"/>
      <c r="R964" s="76"/>
      <c r="S964" s="76"/>
      <c r="T964" s="76"/>
      <c r="U964" s="76"/>
      <c r="V964" s="76"/>
      <c r="W964" s="76"/>
      <c r="X964" s="76"/>
      <c r="Y964" s="76"/>
    </row>
    <row r="965" spans="1:25" ht="13.5" customHeight="1">
      <c r="A965" s="76"/>
      <c r="B965" s="76"/>
      <c r="C965" s="76"/>
      <c r="D965" s="76"/>
      <c r="E965" s="76"/>
      <c r="F965" s="76"/>
      <c r="G965" s="76"/>
      <c r="H965" s="76"/>
      <c r="I965" s="76"/>
      <c r="J965" s="76"/>
      <c r="K965" s="76"/>
      <c r="L965" s="76"/>
      <c r="M965" s="76"/>
      <c r="N965" s="76"/>
      <c r="O965" s="76"/>
      <c r="P965" s="76"/>
      <c r="Q965" s="76"/>
      <c r="R965" s="76"/>
      <c r="S965" s="76"/>
      <c r="T965" s="76"/>
      <c r="U965" s="76"/>
      <c r="V965" s="76"/>
      <c r="W965" s="76"/>
      <c r="X965" s="76"/>
      <c r="Y965" s="76"/>
    </row>
    <row r="966" spans="1:25" ht="13.5" customHeight="1">
      <c r="A966" s="76"/>
      <c r="B966" s="76"/>
      <c r="C966" s="76"/>
      <c r="D966" s="76"/>
      <c r="E966" s="76"/>
      <c r="F966" s="76"/>
      <c r="G966" s="76"/>
      <c r="H966" s="76"/>
      <c r="I966" s="76"/>
      <c r="J966" s="76"/>
      <c r="K966" s="76"/>
      <c r="L966" s="76"/>
      <c r="M966" s="76"/>
      <c r="N966" s="76"/>
      <c r="O966" s="76"/>
      <c r="P966" s="76"/>
      <c r="Q966" s="76"/>
      <c r="R966" s="76"/>
      <c r="S966" s="76"/>
      <c r="T966" s="76"/>
      <c r="U966" s="76"/>
      <c r="V966" s="76"/>
      <c r="W966" s="76"/>
      <c r="X966" s="76"/>
      <c r="Y966" s="76"/>
    </row>
    <row r="967" spans="1:25" ht="13.5" customHeight="1">
      <c r="A967" s="76"/>
      <c r="B967" s="76"/>
      <c r="C967" s="76"/>
      <c r="D967" s="76"/>
      <c r="E967" s="76"/>
      <c r="F967" s="76"/>
      <c r="G967" s="76"/>
      <c r="H967" s="76"/>
      <c r="I967" s="76"/>
      <c r="J967" s="76"/>
      <c r="K967" s="76"/>
      <c r="L967" s="76"/>
      <c r="M967" s="76"/>
      <c r="N967" s="76"/>
      <c r="O967" s="76"/>
      <c r="P967" s="76"/>
      <c r="Q967" s="76"/>
      <c r="R967" s="76"/>
      <c r="S967" s="76"/>
      <c r="T967" s="76"/>
      <c r="U967" s="76"/>
      <c r="V967" s="76"/>
      <c r="W967" s="76"/>
      <c r="X967" s="76"/>
      <c r="Y967" s="76"/>
    </row>
    <row r="968" spans="1:25" ht="13.5" customHeight="1">
      <c r="A968" s="76"/>
      <c r="B968" s="76"/>
      <c r="C968" s="76"/>
      <c r="D968" s="76"/>
      <c r="E968" s="76"/>
      <c r="F968" s="76"/>
      <c r="G968" s="76"/>
      <c r="H968" s="76"/>
      <c r="I968" s="76"/>
      <c r="J968" s="76"/>
      <c r="K968" s="76"/>
      <c r="L968" s="76"/>
      <c r="M968" s="76"/>
      <c r="N968" s="76"/>
      <c r="O968" s="76"/>
      <c r="P968" s="76"/>
      <c r="Q968" s="76"/>
      <c r="R968" s="76"/>
      <c r="S968" s="76"/>
      <c r="T968" s="76"/>
      <c r="U968" s="76"/>
      <c r="V968" s="76"/>
      <c r="W968" s="76"/>
      <c r="X968" s="76"/>
      <c r="Y968" s="76"/>
    </row>
    <row r="969" spans="1:25" ht="13.5" customHeight="1">
      <c r="A969" s="76"/>
      <c r="B969" s="76"/>
      <c r="C969" s="76"/>
      <c r="D969" s="76"/>
      <c r="E969" s="76"/>
      <c r="F969" s="76"/>
      <c r="G969" s="76"/>
      <c r="H969" s="76"/>
      <c r="I969" s="76"/>
      <c r="J969" s="76"/>
      <c r="K969" s="76"/>
      <c r="L969" s="76"/>
      <c r="M969" s="76"/>
      <c r="N969" s="76"/>
      <c r="O969" s="76"/>
      <c r="P969" s="76"/>
      <c r="Q969" s="76"/>
      <c r="R969" s="76"/>
      <c r="S969" s="76"/>
      <c r="T969" s="76"/>
      <c r="U969" s="76"/>
      <c r="V969" s="76"/>
      <c r="W969" s="76"/>
      <c r="X969" s="76"/>
      <c r="Y969" s="76"/>
    </row>
    <row r="970" spans="1:25" ht="13.5" customHeight="1">
      <c r="A970" s="76"/>
      <c r="B970" s="76"/>
      <c r="C970" s="76"/>
      <c r="D970" s="76"/>
      <c r="E970" s="76"/>
      <c r="F970" s="76"/>
      <c r="G970" s="76"/>
      <c r="H970" s="76"/>
      <c r="I970" s="76"/>
      <c r="J970" s="76"/>
      <c r="K970" s="76"/>
      <c r="L970" s="76"/>
      <c r="M970" s="76"/>
      <c r="N970" s="76"/>
      <c r="O970" s="76"/>
      <c r="P970" s="76"/>
      <c r="Q970" s="76"/>
      <c r="R970" s="76"/>
      <c r="S970" s="76"/>
      <c r="T970" s="76"/>
      <c r="U970" s="76"/>
      <c r="V970" s="76"/>
      <c r="W970" s="76"/>
      <c r="X970" s="76"/>
      <c r="Y970" s="76"/>
    </row>
    <row r="971" spans="1:25" ht="13.5" customHeight="1">
      <c r="A971" s="76"/>
      <c r="B971" s="76"/>
      <c r="C971" s="76"/>
      <c r="D971" s="76"/>
      <c r="E971" s="76"/>
      <c r="F971" s="76"/>
      <c r="G971" s="76"/>
      <c r="H971" s="76"/>
      <c r="I971" s="76"/>
      <c r="J971" s="76"/>
      <c r="K971" s="76"/>
      <c r="L971" s="76"/>
      <c r="M971" s="76"/>
      <c r="N971" s="76"/>
      <c r="O971" s="76"/>
      <c r="P971" s="76"/>
      <c r="Q971" s="76"/>
      <c r="R971" s="76"/>
      <c r="S971" s="76"/>
      <c r="T971" s="76"/>
      <c r="U971" s="76"/>
      <c r="V971" s="76"/>
      <c r="W971" s="76"/>
      <c r="X971" s="76"/>
      <c r="Y971" s="76"/>
    </row>
    <row r="972" spans="1:25" ht="13.5" customHeight="1">
      <c r="A972" s="76"/>
      <c r="B972" s="76"/>
      <c r="C972" s="76"/>
      <c r="D972" s="76"/>
      <c r="E972" s="76"/>
      <c r="F972" s="76"/>
      <c r="G972" s="76"/>
      <c r="H972" s="76"/>
      <c r="I972" s="76"/>
      <c r="J972" s="76"/>
      <c r="K972" s="76"/>
      <c r="L972" s="76"/>
      <c r="M972" s="76"/>
      <c r="N972" s="76"/>
      <c r="O972" s="76"/>
      <c r="P972" s="76"/>
      <c r="Q972" s="76"/>
      <c r="R972" s="76"/>
      <c r="S972" s="76"/>
      <c r="T972" s="76"/>
      <c r="U972" s="76"/>
      <c r="V972" s="76"/>
      <c r="W972" s="76"/>
      <c r="X972" s="76"/>
      <c r="Y972" s="76"/>
    </row>
    <row r="973" spans="1:25" ht="13.5" customHeight="1">
      <c r="A973" s="76"/>
      <c r="B973" s="76"/>
      <c r="C973" s="76"/>
      <c r="D973" s="76"/>
      <c r="E973" s="76"/>
      <c r="F973" s="76"/>
      <c r="G973" s="76"/>
      <c r="H973" s="76"/>
      <c r="I973" s="76"/>
      <c r="J973" s="76"/>
      <c r="K973" s="76"/>
      <c r="L973" s="76"/>
      <c r="M973" s="76"/>
      <c r="N973" s="76"/>
      <c r="O973" s="76"/>
      <c r="P973" s="76"/>
      <c r="Q973" s="76"/>
      <c r="R973" s="76"/>
      <c r="S973" s="76"/>
      <c r="T973" s="76"/>
      <c r="U973" s="76"/>
      <c r="V973" s="76"/>
      <c r="W973" s="76"/>
      <c r="X973" s="76"/>
      <c r="Y973" s="76"/>
    </row>
    <row r="974" spans="1:25" ht="13.5" customHeight="1">
      <c r="A974" s="76"/>
      <c r="B974" s="76"/>
      <c r="C974" s="76"/>
      <c r="D974" s="76"/>
      <c r="E974" s="76"/>
      <c r="F974" s="76"/>
      <c r="G974" s="76"/>
      <c r="H974" s="76"/>
      <c r="I974" s="76"/>
      <c r="J974" s="76"/>
      <c r="K974" s="76"/>
      <c r="L974" s="76"/>
      <c r="M974" s="76"/>
      <c r="N974" s="76"/>
      <c r="O974" s="76"/>
      <c r="P974" s="76"/>
      <c r="Q974" s="76"/>
      <c r="R974" s="76"/>
      <c r="S974" s="76"/>
      <c r="T974" s="76"/>
      <c r="U974" s="76"/>
      <c r="V974" s="76"/>
      <c r="W974" s="76"/>
      <c r="X974" s="76"/>
      <c r="Y974" s="76"/>
    </row>
    <row r="975" spans="1:25" ht="13.5" customHeight="1">
      <c r="A975" s="76"/>
      <c r="B975" s="76"/>
      <c r="C975" s="76"/>
      <c r="D975" s="76"/>
      <c r="E975" s="76"/>
      <c r="F975" s="76"/>
      <c r="G975" s="76"/>
      <c r="H975" s="76"/>
      <c r="I975" s="76"/>
      <c r="J975" s="76"/>
      <c r="K975" s="76"/>
      <c r="L975" s="76"/>
      <c r="M975" s="76"/>
      <c r="N975" s="76"/>
      <c r="O975" s="76"/>
      <c r="P975" s="76"/>
      <c r="Q975" s="76"/>
      <c r="R975" s="76"/>
      <c r="S975" s="76"/>
      <c r="T975" s="76"/>
      <c r="U975" s="76"/>
      <c r="V975" s="76"/>
      <c r="W975" s="76"/>
      <c r="X975" s="76"/>
      <c r="Y975" s="76"/>
    </row>
    <row r="976" spans="1:25" ht="13.5" customHeight="1">
      <c r="A976" s="76"/>
      <c r="B976" s="76"/>
      <c r="C976" s="76"/>
      <c r="D976" s="76"/>
      <c r="E976" s="76"/>
      <c r="F976" s="76"/>
      <c r="G976" s="76"/>
      <c r="H976" s="76"/>
      <c r="I976" s="76"/>
      <c r="J976" s="76"/>
      <c r="K976" s="76"/>
      <c r="L976" s="76"/>
      <c r="M976" s="76"/>
      <c r="N976" s="76"/>
      <c r="O976" s="76"/>
      <c r="P976" s="76"/>
      <c r="Q976" s="76"/>
      <c r="R976" s="76"/>
      <c r="S976" s="76"/>
      <c r="T976" s="76"/>
      <c r="U976" s="76"/>
      <c r="V976" s="76"/>
      <c r="W976" s="76"/>
      <c r="X976" s="76"/>
      <c r="Y976" s="76"/>
    </row>
    <row r="977" spans="1:25" ht="13.5" customHeight="1">
      <c r="A977" s="76"/>
      <c r="B977" s="76"/>
      <c r="C977" s="76"/>
      <c r="D977" s="76"/>
      <c r="E977" s="76"/>
      <c r="F977" s="76"/>
      <c r="G977" s="76"/>
      <c r="H977" s="76"/>
      <c r="I977" s="76"/>
      <c r="J977" s="76"/>
      <c r="K977" s="76"/>
      <c r="L977" s="76"/>
      <c r="M977" s="76"/>
      <c r="N977" s="76"/>
      <c r="O977" s="76"/>
      <c r="P977" s="76"/>
      <c r="Q977" s="76"/>
      <c r="R977" s="76"/>
      <c r="S977" s="76"/>
      <c r="T977" s="76"/>
      <c r="U977" s="76"/>
      <c r="V977" s="76"/>
      <c r="W977" s="76"/>
      <c r="X977" s="76"/>
      <c r="Y977" s="76"/>
    </row>
    <row r="978" spans="1:25" ht="13.5" customHeight="1">
      <c r="A978" s="76"/>
      <c r="B978" s="76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/>
      <c r="W978" s="76"/>
      <c r="X978" s="76"/>
      <c r="Y978" s="76"/>
    </row>
    <row r="979" spans="1:25" ht="13.5" customHeight="1">
      <c r="A979" s="76"/>
      <c r="B979" s="76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76"/>
      <c r="P979" s="76"/>
      <c r="Q979" s="76"/>
      <c r="R979" s="76"/>
      <c r="S979" s="76"/>
      <c r="T979" s="76"/>
      <c r="U979" s="76"/>
      <c r="V979" s="76"/>
      <c r="W979" s="76"/>
      <c r="X979" s="76"/>
      <c r="Y979" s="76"/>
    </row>
    <row r="980" spans="1:25" ht="13.5" customHeight="1">
      <c r="A980" s="76"/>
      <c r="B980" s="76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76"/>
      <c r="P980" s="76"/>
      <c r="Q980" s="76"/>
      <c r="R980" s="76"/>
      <c r="S980" s="76"/>
      <c r="T980" s="76"/>
      <c r="U980" s="76"/>
      <c r="V980" s="76"/>
      <c r="W980" s="76"/>
      <c r="X980" s="76"/>
      <c r="Y980" s="76"/>
    </row>
    <row r="981" spans="1:25" ht="13.5" customHeight="1">
      <c r="A981" s="76"/>
      <c r="B981" s="76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  <c r="X981" s="76"/>
      <c r="Y981" s="76"/>
    </row>
    <row r="982" spans="1:25" ht="13.5" customHeight="1">
      <c r="A982" s="76"/>
      <c r="B982" s="76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  <c r="X982" s="76"/>
      <c r="Y982" s="76"/>
    </row>
    <row r="983" spans="1:25" ht="13.5" customHeight="1">
      <c r="A983" s="76"/>
      <c r="B983" s="76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  <c r="X983" s="76"/>
      <c r="Y983" s="76"/>
    </row>
    <row r="984" spans="1:25" ht="13.5" customHeight="1">
      <c r="A984" s="76"/>
      <c r="B984" s="76"/>
      <c r="C984" s="76"/>
      <c r="D984" s="76"/>
      <c r="E984" s="76"/>
      <c r="F984" s="76"/>
      <c r="G984" s="76"/>
      <c r="H984" s="76"/>
      <c r="I984" s="76"/>
      <c r="J984" s="76"/>
      <c r="K984" s="76"/>
      <c r="L984" s="76"/>
      <c r="M984" s="76"/>
      <c r="N984" s="76"/>
      <c r="O984" s="76"/>
      <c r="P984" s="76"/>
      <c r="Q984" s="76"/>
      <c r="R984" s="76"/>
      <c r="S984" s="76"/>
      <c r="T984" s="76"/>
      <c r="U984" s="76"/>
      <c r="V984" s="76"/>
      <c r="W984" s="76"/>
      <c r="X984" s="76"/>
      <c r="Y984" s="76"/>
    </row>
    <row r="985" spans="1:25" ht="13.5" customHeight="1">
      <c r="A985" s="76"/>
      <c r="B985" s="76"/>
      <c r="C985" s="76"/>
      <c r="D985" s="76"/>
      <c r="E985" s="76"/>
      <c r="F985" s="76"/>
      <c r="G985" s="76"/>
      <c r="H985" s="76"/>
      <c r="I985" s="76"/>
      <c r="J985" s="76"/>
      <c r="K985" s="76"/>
      <c r="L985" s="76"/>
      <c r="M985" s="76"/>
      <c r="N985" s="76"/>
      <c r="O985" s="76"/>
      <c r="P985" s="76"/>
      <c r="Q985" s="76"/>
      <c r="R985" s="76"/>
      <c r="S985" s="76"/>
      <c r="T985" s="76"/>
      <c r="U985" s="76"/>
      <c r="V985" s="76"/>
      <c r="W985" s="76"/>
      <c r="X985" s="76"/>
      <c r="Y985" s="76"/>
    </row>
    <row r="986" spans="1:25" ht="13.5" customHeight="1">
      <c r="A986" s="76"/>
      <c r="B986" s="76"/>
      <c r="C986" s="76"/>
      <c r="D986" s="76"/>
      <c r="E986" s="76"/>
      <c r="F986" s="76"/>
      <c r="G986" s="76"/>
      <c r="H986" s="76"/>
      <c r="I986" s="76"/>
      <c r="J986" s="76"/>
      <c r="K986" s="76"/>
      <c r="L986" s="76"/>
      <c r="M986" s="76"/>
      <c r="N986" s="76"/>
      <c r="O986" s="76"/>
      <c r="P986" s="76"/>
      <c r="Q986" s="76"/>
      <c r="R986" s="76"/>
      <c r="S986" s="76"/>
      <c r="T986" s="76"/>
      <c r="U986" s="76"/>
      <c r="V986" s="76"/>
      <c r="W986" s="76"/>
      <c r="X986" s="76"/>
      <c r="Y986" s="76"/>
    </row>
    <row r="987" spans="1:25" ht="13.5" customHeight="1">
      <c r="A987" s="76"/>
      <c r="B987" s="76"/>
      <c r="C987" s="76"/>
      <c r="D987" s="76"/>
      <c r="E987" s="76"/>
      <c r="F987" s="76"/>
      <c r="G987" s="76"/>
      <c r="H987" s="76"/>
      <c r="I987" s="76"/>
      <c r="J987" s="76"/>
      <c r="K987" s="76"/>
      <c r="L987" s="76"/>
      <c r="M987" s="76"/>
      <c r="N987" s="76"/>
      <c r="O987" s="76"/>
      <c r="P987" s="76"/>
      <c r="Q987" s="76"/>
      <c r="R987" s="76"/>
      <c r="S987" s="76"/>
      <c r="T987" s="76"/>
      <c r="U987" s="76"/>
      <c r="V987" s="76"/>
      <c r="W987" s="76"/>
      <c r="X987" s="76"/>
      <c r="Y987" s="76"/>
    </row>
    <row r="988" spans="1:25" ht="13.5" customHeight="1">
      <c r="A988" s="76"/>
      <c r="B988" s="76"/>
      <c r="C988" s="76"/>
      <c r="D988" s="76"/>
      <c r="E988" s="76"/>
      <c r="F988" s="76"/>
      <c r="G988" s="76"/>
      <c r="H988" s="76"/>
      <c r="I988" s="76"/>
      <c r="J988" s="76"/>
      <c r="K988" s="76"/>
      <c r="L988" s="76"/>
      <c r="M988" s="76"/>
      <c r="N988" s="76"/>
      <c r="O988" s="76"/>
      <c r="P988" s="76"/>
      <c r="Q988" s="76"/>
      <c r="R988" s="76"/>
      <c r="S988" s="76"/>
      <c r="T988" s="76"/>
      <c r="U988" s="76"/>
      <c r="V988" s="76"/>
      <c r="W988" s="76"/>
      <c r="X988" s="76"/>
      <c r="Y988" s="76"/>
    </row>
    <row r="989" spans="1:25" ht="13.5" customHeight="1">
      <c r="A989" s="76"/>
      <c r="B989" s="76"/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76"/>
      <c r="P989" s="76"/>
      <c r="Q989" s="76"/>
      <c r="R989" s="76"/>
      <c r="S989" s="76"/>
      <c r="T989" s="76"/>
      <c r="U989" s="76"/>
      <c r="V989" s="76"/>
      <c r="W989" s="76"/>
      <c r="X989" s="76"/>
      <c r="Y989" s="76"/>
    </row>
    <row r="990" spans="1:25" ht="13.5" customHeight="1">
      <c r="A990" s="76"/>
      <c r="B990" s="76"/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76"/>
      <c r="P990" s="76"/>
      <c r="Q990" s="76"/>
      <c r="R990" s="76"/>
      <c r="S990" s="76"/>
      <c r="T990" s="76"/>
      <c r="U990" s="76"/>
      <c r="V990" s="76"/>
      <c r="W990" s="76"/>
      <c r="X990" s="76"/>
      <c r="Y990" s="76"/>
    </row>
    <row r="991" spans="1:25" ht="13.5" customHeight="1">
      <c r="A991" s="76"/>
      <c r="B991" s="76"/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76"/>
      <c r="P991" s="76"/>
      <c r="Q991" s="76"/>
      <c r="R991" s="76"/>
      <c r="S991" s="76"/>
      <c r="T991" s="76"/>
      <c r="U991" s="76"/>
      <c r="V991" s="76"/>
      <c r="W991" s="76"/>
      <c r="X991" s="76"/>
      <c r="Y991" s="76"/>
    </row>
    <row r="992" spans="1:25" ht="13.5" customHeight="1">
      <c r="A992" s="76"/>
      <c r="B992" s="76"/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76"/>
      <c r="P992" s="76"/>
      <c r="Q992" s="76"/>
      <c r="R992" s="76"/>
      <c r="S992" s="76"/>
      <c r="T992" s="76"/>
      <c r="U992" s="76"/>
      <c r="V992" s="76"/>
      <c r="W992" s="76"/>
      <c r="X992" s="76"/>
      <c r="Y992" s="76"/>
    </row>
    <row r="993" spans="1:25" ht="13.5" customHeight="1">
      <c r="A993" s="76"/>
      <c r="B993" s="76"/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76"/>
      <c r="P993" s="76"/>
      <c r="Q993" s="76"/>
      <c r="R993" s="76"/>
      <c r="S993" s="76"/>
      <c r="T993" s="76"/>
      <c r="U993" s="76"/>
      <c r="V993" s="76"/>
      <c r="W993" s="76"/>
      <c r="X993" s="76"/>
      <c r="Y993" s="76"/>
    </row>
    <row r="994" spans="1:25" ht="13.5" customHeight="1">
      <c r="A994" s="76"/>
      <c r="B994" s="76"/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76"/>
      <c r="P994" s="76"/>
      <c r="Q994" s="76"/>
      <c r="R994" s="76"/>
      <c r="S994" s="76"/>
      <c r="T994" s="76"/>
      <c r="U994" s="76"/>
      <c r="V994" s="76"/>
      <c r="W994" s="76"/>
      <c r="X994" s="76"/>
      <c r="Y994" s="76"/>
    </row>
    <row r="995" spans="1:25" ht="13.5" customHeight="1">
      <c r="A995" s="76"/>
      <c r="B995" s="76"/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76"/>
      <c r="P995" s="76"/>
      <c r="Q995" s="76"/>
      <c r="R995" s="76"/>
      <c r="S995" s="76"/>
      <c r="T995" s="76"/>
      <c r="U995" s="76"/>
      <c r="V995" s="76"/>
      <c r="W995" s="76"/>
      <c r="X995" s="76"/>
      <c r="Y995" s="76"/>
    </row>
    <row r="996" spans="1:25" ht="13.5" customHeight="1">
      <c r="A996" s="76"/>
      <c r="B996" s="76"/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76"/>
      <c r="P996" s="76"/>
      <c r="Q996" s="76"/>
      <c r="R996" s="76"/>
      <c r="S996" s="76"/>
      <c r="T996" s="76"/>
      <c r="U996" s="76"/>
      <c r="V996" s="76"/>
      <c r="W996" s="76"/>
      <c r="X996" s="76"/>
      <c r="Y996" s="76"/>
    </row>
    <row r="997" spans="1:25" ht="13.5" customHeight="1">
      <c r="A997" s="76"/>
      <c r="B997" s="76"/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76"/>
      <c r="P997" s="76"/>
      <c r="Q997" s="76"/>
      <c r="R997" s="76"/>
      <c r="S997" s="76"/>
      <c r="T997" s="76"/>
      <c r="U997" s="76"/>
      <c r="V997" s="76"/>
      <c r="W997" s="76"/>
      <c r="X997" s="76"/>
      <c r="Y997" s="76"/>
    </row>
    <row r="998" spans="1:25" ht="13.5" customHeight="1">
      <c r="A998" s="76"/>
      <c r="B998" s="76"/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76"/>
      <c r="P998" s="76"/>
      <c r="Q998" s="76"/>
      <c r="R998" s="76"/>
      <c r="S998" s="76"/>
      <c r="T998" s="76"/>
      <c r="U998" s="76"/>
      <c r="V998" s="76"/>
      <c r="W998" s="76"/>
      <c r="X998" s="76"/>
      <c r="Y998" s="76"/>
    </row>
    <row r="999" spans="1:25" ht="13.5" customHeight="1">
      <c r="A999" s="76"/>
      <c r="B999" s="76"/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76"/>
      <c r="P999" s="76"/>
      <c r="Q999" s="76"/>
      <c r="R999" s="76"/>
      <c r="S999" s="76"/>
      <c r="T999" s="76"/>
      <c r="U999" s="76"/>
      <c r="V999" s="76"/>
      <c r="W999" s="76"/>
      <c r="X999" s="76"/>
      <c r="Y999" s="76"/>
    </row>
    <row r="1000" spans="1:25" ht="13.5" customHeight="1">
      <c r="A1000" s="76"/>
      <c r="B1000" s="76"/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76"/>
      <c r="P1000" s="76"/>
      <c r="Q1000" s="76"/>
      <c r="R1000" s="76"/>
      <c r="S1000" s="76"/>
      <c r="T1000" s="76"/>
      <c r="U1000" s="76"/>
      <c r="V1000" s="76"/>
      <c r="W1000" s="76"/>
      <c r="X1000" s="76"/>
      <c r="Y1000" s="76"/>
    </row>
    <row r="1001" spans="1:25" ht="13.5" customHeight="1">
      <c r="A1001" s="76"/>
      <c r="B1001" s="76"/>
      <c r="C1001" s="76"/>
      <c r="D1001" s="76"/>
      <c r="E1001" s="76"/>
      <c r="F1001" s="76"/>
      <c r="G1001" s="76"/>
      <c r="H1001" s="76"/>
      <c r="I1001" s="76"/>
      <c r="J1001" s="76"/>
      <c r="K1001" s="76"/>
      <c r="L1001" s="76"/>
      <c r="M1001" s="76"/>
      <c r="N1001" s="76"/>
      <c r="O1001" s="76"/>
      <c r="P1001" s="76"/>
      <c r="Q1001" s="76"/>
      <c r="R1001" s="76"/>
      <c r="S1001" s="76"/>
      <c r="T1001" s="76"/>
      <c r="U1001" s="76"/>
      <c r="V1001" s="76"/>
      <c r="W1001" s="76"/>
      <c r="X1001" s="76"/>
      <c r="Y1001" s="76"/>
    </row>
    <row r="1002" spans="1:25" ht="13.5" customHeight="1">
      <c r="A1002" s="76"/>
      <c r="B1002" s="76"/>
      <c r="C1002" s="76"/>
      <c r="D1002" s="76"/>
      <c r="E1002" s="76"/>
      <c r="F1002" s="76"/>
      <c r="G1002" s="76"/>
      <c r="H1002" s="76"/>
      <c r="I1002" s="76"/>
      <c r="J1002" s="76"/>
      <c r="K1002" s="76"/>
      <c r="L1002" s="76"/>
      <c r="M1002" s="76"/>
      <c r="N1002" s="76"/>
      <c r="O1002" s="76"/>
      <c r="P1002" s="76"/>
      <c r="Q1002" s="76"/>
      <c r="R1002" s="76"/>
      <c r="S1002" s="76"/>
      <c r="T1002" s="76"/>
      <c r="U1002" s="76"/>
      <c r="V1002" s="76"/>
      <c r="W1002" s="76"/>
      <c r="X1002" s="76"/>
      <c r="Y1002" s="76"/>
    </row>
    <row r="1003" spans="1:25" ht="13.5" customHeight="1">
      <c r="A1003" s="76"/>
      <c r="B1003" s="76"/>
      <c r="C1003" s="76"/>
      <c r="D1003" s="76"/>
      <c r="E1003" s="76"/>
      <c r="F1003" s="76"/>
      <c r="G1003" s="76"/>
      <c r="H1003" s="76"/>
      <c r="I1003" s="76"/>
      <c r="J1003" s="76"/>
      <c r="K1003" s="76"/>
      <c r="L1003" s="76"/>
      <c r="M1003" s="76"/>
      <c r="N1003" s="76"/>
      <c r="O1003" s="76"/>
      <c r="P1003" s="76"/>
      <c r="Q1003" s="76"/>
      <c r="R1003" s="76"/>
      <c r="S1003" s="76"/>
      <c r="T1003" s="76"/>
      <c r="U1003" s="76"/>
      <c r="V1003" s="76"/>
      <c r="W1003" s="76"/>
      <c r="X1003" s="76"/>
      <c r="Y1003" s="76"/>
    </row>
    <row r="1004" spans="1:25" ht="13.5" customHeight="1">
      <c r="A1004" s="76"/>
      <c r="B1004" s="76"/>
      <c r="C1004" s="76"/>
      <c r="D1004" s="76"/>
      <c r="E1004" s="76"/>
      <c r="F1004" s="76"/>
      <c r="G1004" s="76"/>
      <c r="H1004" s="76"/>
      <c r="I1004" s="76"/>
      <c r="J1004" s="76"/>
      <c r="K1004" s="76"/>
      <c r="L1004" s="76"/>
      <c r="M1004" s="76"/>
      <c r="N1004" s="76"/>
      <c r="O1004" s="76"/>
      <c r="P1004" s="76"/>
      <c r="Q1004" s="76"/>
      <c r="R1004" s="76"/>
      <c r="S1004" s="76"/>
      <c r="T1004" s="76"/>
      <c r="U1004" s="76"/>
      <c r="V1004" s="76"/>
      <c r="W1004" s="76"/>
      <c r="X1004" s="76"/>
      <c r="Y1004" s="76"/>
    </row>
    <row r="1005" spans="1:25" ht="13.5" customHeight="1">
      <c r="A1005" s="76"/>
      <c r="B1005" s="76"/>
      <c r="C1005" s="76"/>
      <c r="D1005" s="76"/>
      <c r="E1005" s="76"/>
      <c r="F1005" s="76"/>
      <c r="G1005" s="76"/>
      <c r="H1005" s="76"/>
      <c r="I1005" s="76"/>
      <c r="J1005" s="76"/>
      <c r="K1005" s="76"/>
      <c r="L1005" s="76"/>
      <c r="M1005" s="76"/>
      <c r="N1005" s="76"/>
      <c r="O1005" s="76"/>
      <c r="P1005" s="76"/>
      <c r="Q1005" s="76"/>
      <c r="R1005" s="76"/>
      <c r="S1005" s="76"/>
      <c r="T1005" s="76"/>
      <c r="U1005" s="76"/>
      <c r="V1005" s="76"/>
      <c r="W1005" s="76"/>
      <c r="X1005" s="76"/>
      <c r="Y1005" s="76"/>
    </row>
    <row r="1006" spans="1:25" ht="13.5" customHeight="1">
      <c r="A1006" s="76"/>
      <c r="B1006" s="76"/>
      <c r="C1006" s="76"/>
      <c r="D1006" s="76"/>
      <c r="E1006" s="76"/>
      <c r="F1006" s="76"/>
      <c r="G1006" s="76"/>
      <c r="H1006" s="76"/>
      <c r="I1006" s="76"/>
      <c r="J1006" s="76"/>
      <c r="K1006" s="76"/>
      <c r="L1006" s="76"/>
      <c r="M1006" s="76"/>
      <c r="N1006" s="76"/>
      <c r="O1006" s="76"/>
      <c r="P1006" s="76"/>
      <c r="Q1006" s="76"/>
      <c r="R1006" s="76"/>
      <c r="S1006" s="76"/>
      <c r="T1006" s="76"/>
      <c r="U1006" s="76"/>
      <c r="V1006" s="76"/>
      <c r="W1006" s="76"/>
      <c r="X1006" s="76"/>
      <c r="Y1006" s="76"/>
    </row>
    <row r="1007" spans="1:25" ht="13.5" customHeight="1">
      <c r="A1007" s="76"/>
      <c r="B1007" s="76"/>
      <c r="C1007" s="76"/>
      <c r="D1007" s="76"/>
      <c r="E1007" s="76"/>
      <c r="F1007" s="76"/>
      <c r="G1007" s="76"/>
      <c r="H1007" s="76"/>
      <c r="I1007" s="76"/>
      <c r="J1007" s="76"/>
      <c r="K1007" s="76"/>
      <c r="L1007" s="76"/>
      <c r="M1007" s="76"/>
      <c r="N1007" s="76"/>
      <c r="O1007" s="76"/>
      <c r="P1007" s="76"/>
      <c r="Q1007" s="76"/>
      <c r="R1007" s="76"/>
      <c r="S1007" s="76"/>
      <c r="T1007" s="76"/>
      <c r="U1007" s="76"/>
      <c r="V1007" s="76"/>
      <c r="W1007" s="76"/>
      <c r="X1007" s="76"/>
      <c r="Y1007" s="76"/>
    </row>
    <row r="1008" spans="1:25" ht="13.5" customHeight="1">
      <c r="A1008" s="76"/>
      <c r="B1008" s="76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/>
      <c r="M1008" s="76"/>
      <c r="N1008" s="76"/>
      <c r="O1008" s="76"/>
      <c r="P1008" s="76"/>
      <c r="Q1008" s="76"/>
      <c r="R1008" s="76"/>
      <c r="S1008" s="76"/>
      <c r="T1008" s="76"/>
      <c r="U1008" s="76"/>
      <c r="V1008" s="76"/>
      <c r="W1008" s="76"/>
      <c r="X1008" s="76"/>
      <c r="Y1008" s="76"/>
    </row>
    <row r="1009" spans="1:25" ht="13.5" customHeight="1">
      <c r="A1009" s="76"/>
      <c r="B1009" s="76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76"/>
      <c r="P1009" s="76"/>
      <c r="Q1009" s="76"/>
      <c r="R1009" s="76"/>
      <c r="S1009" s="76"/>
      <c r="T1009" s="76"/>
      <c r="U1009" s="76"/>
      <c r="V1009" s="76"/>
      <c r="W1009" s="76"/>
      <c r="X1009" s="76"/>
      <c r="Y1009" s="76"/>
    </row>
    <row r="1010" spans="1:25" ht="13.5" customHeight="1">
      <c r="A1010" s="76"/>
      <c r="B1010" s="76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76"/>
      <c r="P1010" s="76"/>
      <c r="Q1010" s="76"/>
      <c r="R1010" s="76"/>
      <c r="S1010" s="76"/>
      <c r="T1010" s="76"/>
      <c r="U1010" s="76"/>
      <c r="V1010" s="76"/>
      <c r="W1010" s="76"/>
      <c r="X1010" s="76"/>
      <c r="Y1010" s="76"/>
    </row>
    <row r="1011" spans="1:25" ht="13.5" customHeight="1">
      <c r="A1011" s="76"/>
      <c r="B1011" s="76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76"/>
      <c r="P1011" s="76"/>
      <c r="Q1011" s="76"/>
      <c r="R1011" s="76"/>
      <c r="S1011" s="76"/>
      <c r="T1011" s="76"/>
      <c r="U1011" s="76"/>
      <c r="V1011" s="76"/>
      <c r="W1011" s="76"/>
      <c r="X1011" s="76"/>
      <c r="Y1011" s="76"/>
    </row>
    <row r="1012" spans="1:25" ht="13.5" customHeight="1">
      <c r="A1012" s="76"/>
      <c r="B1012" s="76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76"/>
      <c r="P1012" s="76"/>
      <c r="Q1012" s="76"/>
      <c r="R1012" s="76"/>
      <c r="S1012" s="76"/>
      <c r="T1012" s="76"/>
      <c r="U1012" s="76"/>
      <c r="V1012" s="76"/>
      <c r="W1012" s="76"/>
      <c r="X1012" s="76"/>
      <c r="Y1012" s="76"/>
    </row>
    <row r="1013" spans="1:25" ht="13.5" customHeight="1">
      <c r="A1013" s="76"/>
      <c r="B1013" s="76"/>
      <c r="C1013" s="76"/>
      <c r="D1013" s="76"/>
      <c r="E1013" s="76"/>
      <c r="F1013" s="76"/>
      <c r="G1013" s="76"/>
      <c r="H1013" s="76"/>
      <c r="I1013" s="76"/>
      <c r="J1013" s="76"/>
      <c r="K1013" s="76"/>
      <c r="L1013" s="76"/>
      <c r="M1013" s="76"/>
      <c r="N1013" s="76"/>
      <c r="O1013" s="76"/>
      <c r="P1013" s="76"/>
      <c r="Q1013" s="76"/>
      <c r="R1013" s="76"/>
      <c r="S1013" s="76"/>
      <c r="T1013" s="76"/>
      <c r="U1013" s="76"/>
      <c r="V1013" s="76"/>
      <c r="W1013" s="76"/>
      <c r="X1013" s="76"/>
      <c r="Y1013" s="76"/>
    </row>
    <row r="1014" spans="1:25" ht="13.5" customHeight="1">
      <c r="A1014" s="76"/>
      <c r="B1014" s="76"/>
      <c r="C1014" s="76"/>
      <c r="D1014" s="76"/>
      <c r="E1014" s="76"/>
      <c r="F1014" s="76"/>
      <c r="G1014" s="76"/>
      <c r="H1014" s="76"/>
      <c r="I1014" s="76"/>
      <c r="J1014" s="76"/>
      <c r="K1014" s="76"/>
      <c r="L1014" s="76"/>
      <c r="M1014" s="76"/>
      <c r="N1014" s="76"/>
      <c r="O1014" s="76"/>
      <c r="P1014" s="76"/>
      <c r="Q1014" s="76"/>
      <c r="R1014" s="76"/>
      <c r="S1014" s="76"/>
      <c r="T1014" s="76"/>
      <c r="U1014" s="76"/>
      <c r="V1014" s="76"/>
      <c r="W1014" s="76"/>
      <c r="X1014" s="76"/>
      <c r="Y1014" s="76"/>
    </row>
  </sheetData>
  <sheetProtection algorithmName="SHA-512" hashValue="kVzK8C5BhNUna4kmptAR1EwDcWsj4MWADgF0vZNw/TqjxVo+ntPHjZXLVu7qqifzF1/Xi4JbZ5okDD1SWyV8uQ==" saltValue="SiFL4ZYpfOC6XFsDDWDoYA==" spinCount="100000" sheet="1" objects="1" scenarios="1" formatColumns="0" formatRows="0" sort="0" autoFilter="0"/>
  <mergeCells count="12">
    <mergeCell ref="B46:F46"/>
    <mergeCell ref="B51:F51"/>
    <mergeCell ref="B22:F22"/>
    <mergeCell ref="B28:F28"/>
    <mergeCell ref="B33:F33"/>
    <mergeCell ref="B39:F39"/>
    <mergeCell ref="B44:F44"/>
    <mergeCell ref="B12:F12"/>
    <mergeCell ref="B13:F13"/>
    <mergeCell ref="B14:F14"/>
    <mergeCell ref="B15:F15"/>
    <mergeCell ref="B18:F18"/>
  </mergeCells>
  <dataValidations count="1">
    <dataValidation type="decimal" operator="greaterThanOrEqual" allowBlank="1" showInputMessage="1" showErrorMessage="1" sqref="E32 E37:E38 E45 E34:E36 E40:E43 E23:F27 E47:F50 E52:F57 D61:F75">
      <formula1>0</formula1>
    </dataValidation>
  </dataValidations>
  <pageMargins left="0.69930555555555596" right="0.69930555555555596" top="0.75" bottom="0.75" header="0" footer="0"/>
  <pageSetup scale="98" orientation="landscape" r:id="rId1"/>
  <rowBreaks count="1" manualBreakCount="1">
    <brk id="59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1"/>
  <sheetViews>
    <sheetView topLeftCell="A9" workbookViewId="0">
      <selection activeCell="J26" sqref="J26"/>
    </sheetView>
  </sheetViews>
  <sheetFormatPr defaultColWidth="14.42578125" defaultRowHeight="15" customHeight="1" outlineLevelRow="1"/>
  <cols>
    <col min="1" max="1" width="4.140625" style="51" customWidth="1"/>
    <col min="2" max="2" width="23.5703125" style="51" customWidth="1"/>
    <col min="3" max="3" width="33.42578125" style="51" customWidth="1"/>
    <col min="4" max="4" width="20.5703125" style="51" customWidth="1"/>
    <col min="5" max="7" width="18.140625" style="51" customWidth="1"/>
    <col min="8" max="8" width="14.140625" style="51" customWidth="1"/>
    <col min="9" max="9" width="13.5703125" style="51" customWidth="1"/>
    <col min="10" max="10" width="9.85546875" style="51" customWidth="1"/>
    <col min="11" max="19" width="8.7109375" style="51" customWidth="1"/>
    <col min="20" max="16384" width="14.42578125" style="51"/>
  </cols>
  <sheetData>
    <row r="1" spans="1:20" ht="12.75" customHeight="1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20" ht="12.75" customHeight="1">
      <c r="A2" s="61"/>
      <c r="B2" s="53" t="s">
        <v>42</v>
      </c>
      <c r="C2" s="63"/>
      <c r="D2" s="64" t="str">
        <f>'1.1 Case data_general'!D2</f>
        <v>CESARIAN DELIVERY</v>
      </c>
      <c r="E2" s="65"/>
      <c r="F2" s="65"/>
      <c r="G2" s="65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</row>
    <row r="3" spans="1:20" ht="12.75" customHeight="1" collapsed="1">
      <c r="A3" s="61"/>
      <c r="B3" s="23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</row>
    <row r="4" spans="1:20" ht="12.75" hidden="1" customHeight="1" outlineLevel="1">
      <c r="A4" s="61"/>
      <c r="B4" s="23" t="s">
        <v>43</v>
      </c>
      <c r="C4" s="62">
        <v>20</v>
      </c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</row>
    <row r="5" spans="1:20" ht="12.75" customHeight="1">
      <c r="A5" s="61"/>
      <c r="B5" s="66" t="s">
        <v>44</v>
      </c>
      <c r="C5" s="67"/>
      <c r="D5" s="67"/>
      <c r="E5" s="67"/>
      <c r="F5" s="67"/>
      <c r="G5" s="67"/>
      <c r="H5" s="67"/>
      <c r="I5" s="67"/>
      <c r="J5" s="74"/>
      <c r="K5" s="62"/>
      <c r="L5" s="62"/>
      <c r="M5" s="62"/>
      <c r="N5" s="62"/>
      <c r="O5" s="62"/>
      <c r="P5" s="62"/>
      <c r="Q5" s="62"/>
      <c r="R5" s="62"/>
      <c r="S5" s="62"/>
    </row>
    <row r="6" spans="1:20" ht="12.75" customHeight="1">
      <c r="A6" s="61"/>
      <c r="B6" s="29" t="s">
        <v>45</v>
      </c>
      <c r="C6" s="68"/>
      <c r="D6" s="68"/>
      <c r="E6" s="68"/>
      <c r="F6" s="68"/>
      <c r="G6" s="68"/>
      <c r="H6" s="68"/>
      <c r="I6" s="68"/>
      <c r="J6" s="75"/>
      <c r="K6" s="62"/>
      <c r="L6" s="62"/>
      <c r="M6" s="62"/>
      <c r="N6" s="62"/>
      <c r="O6" s="62"/>
      <c r="P6" s="62"/>
      <c r="Q6" s="62"/>
      <c r="R6" s="62"/>
      <c r="S6" s="62"/>
    </row>
    <row r="7" spans="1:20" ht="12.75" customHeight="1">
      <c r="A7" s="61"/>
      <c r="B7" s="69" t="s">
        <v>46</v>
      </c>
      <c r="C7" s="68"/>
      <c r="D7" s="68"/>
      <c r="E7" s="68"/>
      <c r="F7" s="68"/>
      <c r="G7" s="68"/>
      <c r="H7" s="68"/>
      <c r="I7" s="68"/>
      <c r="J7" s="75"/>
      <c r="K7" s="62"/>
      <c r="L7" s="62"/>
      <c r="M7" s="62"/>
      <c r="N7" s="62"/>
      <c r="O7" s="62"/>
      <c r="P7" s="62"/>
      <c r="Q7" s="62"/>
      <c r="R7" s="62"/>
      <c r="S7" s="62"/>
    </row>
    <row r="8" spans="1:20" ht="30.4" customHeight="1">
      <c r="A8" s="61"/>
      <c r="B8" s="135" t="s">
        <v>47</v>
      </c>
      <c r="C8" s="136"/>
      <c r="D8" s="136"/>
      <c r="E8" s="136"/>
      <c r="F8" s="136"/>
      <c r="G8" s="136"/>
      <c r="H8" s="136"/>
      <c r="I8" s="136"/>
      <c r="J8" s="137"/>
      <c r="K8" s="62"/>
      <c r="L8" s="62"/>
      <c r="M8" s="62"/>
      <c r="N8" s="62"/>
      <c r="O8" s="62"/>
      <c r="P8" s="62"/>
      <c r="Q8" s="62"/>
      <c r="R8" s="62"/>
      <c r="S8" s="62"/>
    </row>
    <row r="9" spans="1:20" ht="12.75" customHeight="1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</row>
    <row r="10" spans="1:20" ht="42.75" customHeight="1">
      <c r="B10" s="70" t="s">
        <v>48</v>
      </c>
      <c r="C10" s="71" t="s">
        <v>49</v>
      </c>
      <c r="D10" s="71" t="s">
        <v>50</v>
      </c>
      <c r="E10" s="71" t="s">
        <v>51</v>
      </c>
      <c r="F10" s="71" t="s">
        <v>52</v>
      </c>
      <c r="G10" s="71" t="s">
        <v>53</v>
      </c>
      <c r="H10" s="71" t="s">
        <v>54</v>
      </c>
      <c r="I10" s="71" t="s">
        <v>55</v>
      </c>
      <c r="J10" s="71" t="s">
        <v>56</v>
      </c>
      <c r="K10" s="62"/>
      <c r="L10" s="62"/>
      <c r="M10" s="62"/>
      <c r="N10" s="62"/>
      <c r="O10" s="62"/>
      <c r="P10" s="62"/>
      <c r="Q10" s="62"/>
      <c r="R10" s="62"/>
      <c r="S10" s="62"/>
      <c r="T10" s="62"/>
    </row>
    <row r="11" spans="1:20" ht="12.75" customHeight="1">
      <c r="B11" s="72">
        <v>1</v>
      </c>
      <c r="C11" s="116" t="s">
        <v>182</v>
      </c>
      <c r="D11" s="116" t="s">
        <v>183</v>
      </c>
      <c r="E11" s="116" t="s">
        <v>184</v>
      </c>
      <c r="F11" s="41">
        <v>0</v>
      </c>
      <c r="G11" s="41">
        <v>0</v>
      </c>
      <c r="H11" s="41">
        <v>13</v>
      </c>
      <c r="I11" s="41">
        <v>80</v>
      </c>
      <c r="J11" s="41">
        <f>H11*I11</f>
        <v>1040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</row>
    <row r="12" spans="1:20" ht="12.75" customHeight="1">
      <c r="B12" s="72">
        <v>2</v>
      </c>
      <c r="C12" s="73" t="s">
        <v>229</v>
      </c>
      <c r="D12" s="73" t="s">
        <v>230</v>
      </c>
      <c r="E12" s="73" t="s">
        <v>167</v>
      </c>
      <c r="F12" s="41">
        <v>0</v>
      </c>
      <c r="G12" s="41">
        <v>0</v>
      </c>
      <c r="H12" s="41">
        <v>7</v>
      </c>
      <c r="I12" s="41">
        <v>23</v>
      </c>
      <c r="J12" s="41">
        <f t="shared" ref="J12" si="0">H12*I12</f>
        <v>161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</row>
    <row r="13" spans="1:20" ht="12.75" customHeight="1">
      <c r="B13" s="72">
        <v>3</v>
      </c>
      <c r="C13" s="116" t="s">
        <v>187</v>
      </c>
      <c r="D13" s="116" t="s">
        <v>173</v>
      </c>
      <c r="E13" s="116" t="s">
        <v>188</v>
      </c>
      <c r="F13" s="41">
        <v>0</v>
      </c>
      <c r="G13" s="41">
        <v>0</v>
      </c>
      <c r="H13" s="41">
        <v>1</v>
      </c>
      <c r="I13" s="41">
        <v>650</v>
      </c>
      <c r="J13" s="41">
        <f t="shared" ref="J13:J25" si="1">H13*I13</f>
        <v>650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</row>
    <row r="14" spans="1:20" ht="12.75" customHeight="1">
      <c r="B14" s="72">
        <v>4</v>
      </c>
      <c r="C14" s="116" t="s">
        <v>190</v>
      </c>
      <c r="D14" s="116" t="s">
        <v>189</v>
      </c>
      <c r="E14" s="116" t="s">
        <v>191</v>
      </c>
      <c r="F14" s="41">
        <v>0</v>
      </c>
      <c r="G14" s="41">
        <v>0</v>
      </c>
      <c r="H14" s="41">
        <v>3</v>
      </c>
      <c r="I14" s="41">
        <v>40</v>
      </c>
      <c r="J14" s="41">
        <f t="shared" si="1"/>
        <v>120</v>
      </c>
      <c r="K14" s="62"/>
      <c r="L14" s="62"/>
      <c r="M14" s="62"/>
      <c r="N14" s="62"/>
      <c r="O14" s="62"/>
      <c r="P14" s="62"/>
      <c r="Q14" s="62"/>
      <c r="R14" s="62"/>
      <c r="S14" s="62"/>
      <c r="T14" s="62"/>
    </row>
    <row r="15" spans="1:20" ht="12.75" customHeight="1">
      <c r="B15" s="72">
        <v>5</v>
      </c>
      <c r="C15" s="116" t="s">
        <v>220</v>
      </c>
      <c r="D15" s="116" t="s">
        <v>185</v>
      </c>
      <c r="E15" s="116" t="s">
        <v>186</v>
      </c>
      <c r="F15" s="41">
        <v>0</v>
      </c>
      <c r="G15" s="41">
        <v>0</v>
      </c>
      <c r="H15" s="41">
        <v>2</v>
      </c>
      <c r="I15" s="41">
        <v>30</v>
      </c>
      <c r="J15" s="41">
        <f t="shared" si="1"/>
        <v>60</v>
      </c>
      <c r="K15" s="62"/>
      <c r="L15" s="62"/>
      <c r="M15" s="62"/>
      <c r="N15" s="62"/>
      <c r="O15" s="62"/>
      <c r="P15" s="62"/>
      <c r="Q15" s="62"/>
      <c r="R15" s="62"/>
      <c r="S15" s="62"/>
      <c r="T15" s="62"/>
    </row>
    <row r="16" spans="1:20" ht="12.75" customHeight="1">
      <c r="B16" s="72">
        <v>6</v>
      </c>
      <c r="C16" s="116" t="s">
        <v>192</v>
      </c>
      <c r="D16" s="116" t="s">
        <v>185</v>
      </c>
      <c r="E16" s="116" t="s">
        <v>193</v>
      </c>
      <c r="F16" s="41">
        <v>0</v>
      </c>
      <c r="G16" s="41">
        <v>0</v>
      </c>
      <c r="H16" s="41">
        <v>1</v>
      </c>
      <c r="I16" s="41">
        <v>125</v>
      </c>
      <c r="J16" s="41">
        <f t="shared" si="1"/>
        <v>125</v>
      </c>
      <c r="K16" s="62"/>
      <c r="L16" s="62"/>
      <c r="M16" s="62"/>
      <c r="N16" s="62"/>
      <c r="O16" s="62"/>
      <c r="P16" s="62"/>
      <c r="Q16" s="62"/>
      <c r="R16" s="62"/>
      <c r="S16" s="62"/>
      <c r="T16" s="62"/>
    </row>
    <row r="17" spans="1:20" ht="12.75" customHeight="1">
      <c r="B17" s="72">
        <v>7</v>
      </c>
      <c r="C17" s="116" t="s">
        <v>194</v>
      </c>
      <c r="D17" s="116" t="s">
        <v>185</v>
      </c>
      <c r="E17" s="116" t="s">
        <v>188</v>
      </c>
      <c r="F17" s="41">
        <v>0</v>
      </c>
      <c r="G17" s="41">
        <v>0</v>
      </c>
      <c r="H17" s="41">
        <v>1</v>
      </c>
      <c r="I17" s="41">
        <v>135</v>
      </c>
      <c r="J17" s="41">
        <f t="shared" si="1"/>
        <v>135</v>
      </c>
      <c r="K17" s="62"/>
      <c r="L17" s="62"/>
      <c r="M17" s="62"/>
      <c r="N17" s="62"/>
      <c r="O17" s="62"/>
      <c r="P17" s="62"/>
      <c r="Q17" s="62"/>
      <c r="R17" s="62"/>
      <c r="S17" s="62"/>
      <c r="T17" s="62"/>
    </row>
    <row r="18" spans="1:20" ht="12.75" customHeight="1">
      <c r="B18" s="72">
        <v>8</v>
      </c>
      <c r="C18" s="116" t="s">
        <v>195</v>
      </c>
      <c r="D18" s="116" t="s">
        <v>196</v>
      </c>
      <c r="E18" s="116" t="s">
        <v>167</v>
      </c>
      <c r="F18" s="41">
        <v>0</v>
      </c>
      <c r="G18" s="41">
        <v>0</v>
      </c>
      <c r="H18" s="41">
        <v>21</v>
      </c>
      <c r="I18" s="41">
        <v>8</v>
      </c>
      <c r="J18" s="41">
        <f t="shared" si="1"/>
        <v>168</v>
      </c>
      <c r="K18" s="62"/>
      <c r="L18" s="62"/>
      <c r="M18" s="62"/>
      <c r="N18" s="62"/>
      <c r="O18" s="62"/>
      <c r="P18" s="62"/>
      <c r="Q18" s="62"/>
      <c r="R18" s="62"/>
      <c r="S18" s="62"/>
      <c r="T18" s="62"/>
    </row>
    <row r="19" spans="1:20" ht="12.75" customHeight="1">
      <c r="B19" s="72">
        <v>9</v>
      </c>
      <c r="C19" s="116" t="s">
        <v>197</v>
      </c>
      <c r="D19" s="116" t="s">
        <v>196</v>
      </c>
      <c r="E19" s="116" t="s">
        <v>167</v>
      </c>
      <c r="F19" s="41">
        <v>0</v>
      </c>
      <c r="G19" s="41">
        <v>0</v>
      </c>
      <c r="H19" s="41">
        <v>9</v>
      </c>
      <c r="I19" s="41">
        <v>4</v>
      </c>
      <c r="J19" s="41">
        <f t="shared" si="1"/>
        <v>36</v>
      </c>
      <c r="K19" s="62"/>
      <c r="L19" s="62"/>
      <c r="M19" s="62"/>
      <c r="N19" s="62"/>
      <c r="O19" s="62"/>
      <c r="P19" s="62"/>
      <c r="Q19" s="62"/>
      <c r="R19" s="62"/>
      <c r="S19" s="62"/>
      <c r="T19" s="62"/>
    </row>
    <row r="20" spans="1:20" ht="12.75" customHeight="1">
      <c r="B20" s="72">
        <v>10</v>
      </c>
      <c r="C20" s="116" t="s">
        <v>198</v>
      </c>
      <c r="D20" s="116" t="s">
        <v>199</v>
      </c>
      <c r="E20" s="116" t="s">
        <v>200</v>
      </c>
      <c r="F20" s="41">
        <v>0</v>
      </c>
      <c r="G20" s="41">
        <v>0</v>
      </c>
      <c r="H20" s="41">
        <v>2</v>
      </c>
      <c r="I20" s="41">
        <v>55</v>
      </c>
      <c r="J20" s="41">
        <f t="shared" si="1"/>
        <v>110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</row>
    <row r="21" spans="1:20" ht="12.75" customHeight="1">
      <c r="B21" s="72">
        <v>11</v>
      </c>
      <c r="C21" s="116" t="s">
        <v>217</v>
      </c>
      <c r="D21" s="116" t="s">
        <v>218</v>
      </c>
      <c r="E21" s="116" t="s">
        <v>219</v>
      </c>
      <c r="F21" s="41">
        <v>0</v>
      </c>
      <c r="G21" s="41">
        <v>0</v>
      </c>
      <c r="H21" s="41">
        <v>1</v>
      </c>
      <c r="I21" s="41">
        <v>50</v>
      </c>
      <c r="J21" s="41">
        <f t="shared" si="1"/>
        <v>50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</row>
    <row r="22" spans="1:20" ht="12.75" customHeight="1">
      <c r="B22" s="72">
        <v>12</v>
      </c>
      <c r="C22" s="116" t="s">
        <v>221</v>
      </c>
      <c r="D22" s="116" t="s">
        <v>183</v>
      </c>
      <c r="E22" s="116" t="s">
        <v>184</v>
      </c>
      <c r="F22" s="41">
        <v>0</v>
      </c>
      <c r="G22" s="41">
        <v>0</v>
      </c>
      <c r="H22" s="41">
        <v>1</v>
      </c>
      <c r="I22" s="41">
        <v>80</v>
      </c>
      <c r="J22" s="41">
        <f t="shared" si="1"/>
        <v>80</v>
      </c>
      <c r="K22" s="62"/>
      <c r="L22" s="62"/>
      <c r="M22" s="62"/>
      <c r="N22" s="62"/>
      <c r="O22" s="62"/>
      <c r="P22" s="62"/>
      <c r="Q22" s="62"/>
      <c r="R22" s="62"/>
      <c r="S22" s="62"/>
      <c r="T22" s="62"/>
    </row>
    <row r="23" spans="1:20" ht="12.75" customHeight="1">
      <c r="B23" s="72">
        <v>13</v>
      </c>
      <c r="C23" s="116" t="s">
        <v>222</v>
      </c>
      <c r="D23" s="116" t="s">
        <v>185</v>
      </c>
      <c r="E23" s="116" t="s">
        <v>223</v>
      </c>
      <c r="F23" s="41">
        <v>0</v>
      </c>
      <c r="G23" s="41">
        <v>0</v>
      </c>
      <c r="H23" s="41">
        <v>1</v>
      </c>
      <c r="I23" s="41">
        <v>760</v>
      </c>
      <c r="J23" s="41">
        <f t="shared" si="1"/>
        <v>760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</row>
    <row r="24" spans="1:20" ht="12.75" customHeight="1">
      <c r="B24" s="72">
        <v>14</v>
      </c>
      <c r="C24" s="73" t="s">
        <v>239</v>
      </c>
      <c r="D24" s="116" t="s">
        <v>185</v>
      </c>
      <c r="E24" s="73" t="s">
        <v>240</v>
      </c>
      <c r="F24" s="41">
        <v>0</v>
      </c>
      <c r="G24" s="41">
        <v>0</v>
      </c>
      <c r="H24" s="41">
        <v>1</v>
      </c>
      <c r="I24" s="41">
        <v>75</v>
      </c>
      <c r="J24" s="41">
        <f t="shared" si="1"/>
        <v>75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</row>
    <row r="25" spans="1:20" ht="12.75" customHeight="1">
      <c r="B25" s="72">
        <v>15</v>
      </c>
      <c r="C25" s="73" t="s">
        <v>241</v>
      </c>
      <c r="D25" s="73" t="s">
        <v>173</v>
      </c>
      <c r="E25" s="73" t="s">
        <v>242</v>
      </c>
      <c r="F25" s="41">
        <v>0</v>
      </c>
      <c r="G25" s="41">
        <v>0</v>
      </c>
      <c r="H25" s="41">
        <v>1</v>
      </c>
      <c r="I25" s="41">
        <v>40</v>
      </c>
      <c r="J25" s="41">
        <f t="shared" si="1"/>
        <v>40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</row>
    <row r="26" spans="1:20" ht="12.75" customHeight="1">
      <c r="B26" s="72">
        <v>16</v>
      </c>
      <c r="C26" s="73"/>
      <c r="D26" s="73"/>
      <c r="E26" s="73"/>
      <c r="F26" s="41">
        <v>0</v>
      </c>
      <c r="G26" s="41">
        <v>0</v>
      </c>
      <c r="H26" s="41"/>
      <c r="I26" s="41"/>
      <c r="J26" s="41">
        <f t="shared" ref="J26:J28" si="2">H26*I26</f>
        <v>0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</row>
    <row r="27" spans="1:20" ht="12.75" customHeight="1">
      <c r="B27" s="72">
        <v>17</v>
      </c>
      <c r="C27" s="73"/>
      <c r="D27" s="73"/>
      <c r="E27" s="73"/>
      <c r="F27" s="41">
        <v>0</v>
      </c>
      <c r="G27" s="41">
        <v>0</v>
      </c>
      <c r="H27" s="41"/>
      <c r="I27" s="41"/>
      <c r="J27" s="41">
        <f t="shared" si="2"/>
        <v>0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</row>
    <row r="28" spans="1:20" ht="12.75" customHeight="1">
      <c r="B28" s="72">
        <v>18</v>
      </c>
      <c r="C28" s="73"/>
      <c r="D28" s="73"/>
      <c r="E28" s="73"/>
      <c r="F28" s="41">
        <v>0</v>
      </c>
      <c r="G28" s="41">
        <v>0</v>
      </c>
      <c r="H28" s="41"/>
      <c r="I28" s="41"/>
      <c r="J28" s="41">
        <f t="shared" si="2"/>
        <v>0</v>
      </c>
      <c r="K28" s="62"/>
      <c r="L28" s="62"/>
      <c r="M28" s="62"/>
      <c r="N28" s="62"/>
      <c r="O28" s="62"/>
      <c r="P28" s="62"/>
      <c r="Q28" s="62"/>
      <c r="R28" s="62"/>
      <c r="S28" s="62"/>
      <c r="T28" s="62"/>
    </row>
    <row r="29" spans="1:20" ht="12.75" customHeight="1">
      <c r="B29" s="72">
        <v>19</v>
      </c>
      <c r="C29" s="116"/>
      <c r="D29" s="116"/>
      <c r="E29" s="116"/>
      <c r="F29" s="41"/>
      <c r="G29" s="41"/>
      <c r="H29" s="41"/>
      <c r="I29" s="41"/>
      <c r="J29" s="41"/>
      <c r="K29" s="62"/>
      <c r="L29" s="62"/>
      <c r="M29" s="62"/>
      <c r="N29" s="62"/>
      <c r="O29" s="62"/>
      <c r="P29" s="62"/>
      <c r="Q29" s="62"/>
      <c r="R29" s="62"/>
      <c r="S29" s="62"/>
      <c r="T29" s="62"/>
    </row>
    <row r="30" spans="1:20" ht="12.75" customHeight="1">
      <c r="B30" s="72">
        <v>20</v>
      </c>
      <c r="C30" s="116"/>
      <c r="D30" s="116"/>
      <c r="E30" s="116"/>
      <c r="F30" s="41"/>
      <c r="G30" s="41"/>
      <c r="H30" s="41"/>
      <c r="I30" s="41"/>
      <c r="J30" s="41">
        <f>SUM(J11:J29)</f>
        <v>3610</v>
      </c>
      <c r="K30" s="62"/>
      <c r="L30" s="62"/>
      <c r="M30" s="62"/>
      <c r="N30" s="62"/>
      <c r="O30" s="62"/>
      <c r="P30" s="62"/>
      <c r="Q30" s="62"/>
      <c r="R30" s="62"/>
      <c r="S30" s="62"/>
      <c r="T30" s="62"/>
    </row>
    <row r="31" spans="1:20" ht="12.75" customHeight="1">
      <c r="A31" s="61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</row>
    <row r="32" spans="1:20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6yGMmxsUULoltmrskGz7UmDOlvlR6WzkbkUu2uPvVDPGLV3+kxr78RHr1wTuJl244j/jGWa8mcYvqWF4BgNS1w==" saltValue="n7TBDm5E0vYOmAiLpHeGU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0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9"/>
  <sheetViews>
    <sheetView topLeftCell="A42" workbookViewId="0">
      <selection activeCell="F48" sqref="F48"/>
    </sheetView>
  </sheetViews>
  <sheetFormatPr defaultColWidth="14.42578125" defaultRowHeight="15" customHeight="1" outlineLevelRow="1"/>
  <cols>
    <col min="1" max="1" width="2.42578125" style="51" customWidth="1"/>
    <col min="2" max="2" width="27" style="51" customWidth="1"/>
    <col min="3" max="3" width="40.5703125" style="51" customWidth="1"/>
    <col min="4" max="4" width="27.7109375" style="51" customWidth="1"/>
    <col min="5" max="5" width="10.42578125" style="51" customWidth="1"/>
    <col min="6" max="6" width="18.28515625" style="51" customWidth="1"/>
    <col min="7" max="7" width="26.85546875" style="51" customWidth="1"/>
    <col min="8" max="16" width="8.7109375" style="51" customWidth="1"/>
    <col min="17" max="16384" width="14.42578125" style="51"/>
  </cols>
  <sheetData>
    <row r="1" spans="1:16" ht="14.25" customHeight="1">
      <c r="A1" s="52"/>
      <c r="B1" s="23"/>
      <c r="C1" s="52"/>
      <c r="D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4.25" customHeight="1">
      <c r="A2" s="52"/>
      <c r="B2" s="53" t="s">
        <v>57</v>
      </c>
      <c r="C2" s="53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14.25" customHeight="1" collapsed="1">
      <c r="A3" s="52"/>
      <c r="B3" s="23"/>
      <c r="C3" s="52"/>
      <c r="D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</row>
    <row r="4" spans="1:16" ht="14.25" hidden="1" customHeight="1" outlineLevel="1">
      <c r="A4" s="52"/>
      <c r="B4" s="23" t="s">
        <v>58</v>
      </c>
      <c r="C4" s="52">
        <v>10</v>
      </c>
      <c r="D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</row>
    <row r="5" spans="1:16" ht="14.25" hidden="1" customHeight="1" outlineLevel="1">
      <c r="A5" s="52"/>
      <c r="B5" s="23" t="s">
        <v>59</v>
      </c>
      <c r="C5" s="52">
        <v>38</v>
      </c>
      <c r="D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</row>
    <row r="6" spans="1:16" ht="14.25" hidden="1" customHeight="1" outlineLevel="1">
      <c r="A6" s="52"/>
      <c r="B6" s="23" t="s">
        <v>60</v>
      </c>
      <c r="C6" s="52">
        <v>10</v>
      </c>
      <c r="D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</row>
    <row r="7" spans="1:16" ht="14.25" customHeight="1">
      <c r="A7" s="52"/>
      <c r="B7" s="144" t="s">
        <v>61</v>
      </c>
      <c r="C7" s="145"/>
      <c r="D7" s="145"/>
      <c r="E7" s="145"/>
      <c r="F7" s="145"/>
      <c r="G7" s="146"/>
      <c r="H7" s="23"/>
      <c r="I7" s="23"/>
      <c r="J7" s="23"/>
      <c r="K7" s="23"/>
      <c r="L7" s="23"/>
      <c r="M7" s="23"/>
      <c r="N7" s="23"/>
      <c r="O7" s="23"/>
      <c r="P7" s="23"/>
    </row>
    <row r="8" spans="1:16" ht="14.25" customHeight="1">
      <c r="A8" s="52"/>
      <c r="B8" s="147" t="s">
        <v>62</v>
      </c>
      <c r="C8" s="148"/>
      <c r="D8" s="148"/>
      <c r="E8" s="148"/>
      <c r="F8" s="148"/>
      <c r="G8" s="149"/>
      <c r="H8" s="23"/>
      <c r="I8" s="23"/>
      <c r="J8" s="23"/>
      <c r="K8" s="23"/>
      <c r="L8" s="23"/>
      <c r="M8" s="23"/>
      <c r="N8" s="23"/>
      <c r="O8" s="23"/>
      <c r="P8" s="23"/>
    </row>
    <row r="9" spans="1:16" ht="14.25" customHeight="1">
      <c r="A9" s="52"/>
      <c r="B9" s="147" t="s">
        <v>63</v>
      </c>
      <c r="C9" s="148"/>
      <c r="D9" s="148"/>
      <c r="E9" s="148"/>
      <c r="F9" s="148"/>
      <c r="G9" s="149"/>
      <c r="H9" s="23"/>
      <c r="I9" s="23"/>
      <c r="J9" s="23"/>
      <c r="K9" s="23"/>
      <c r="L9" s="23"/>
      <c r="M9" s="23"/>
      <c r="N9" s="23"/>
      <c r="O9" s="23"/>
      <c r="P9" s="23"/>
    </row>
    <row r="10" spans="1:16" ht="14.25" customHeight="1">
      <c r="A10" s="52"/>
      <c r="B10" s="147" t="s">
        <v>64</v>
      </c>
      <c r="C10" s="148"/>
      <c r="D10" s="148"/>
      <c r="E10" s="148"/>
      <c r="F10" s="148"/>
      <c r="G10" s="149"/>
      <c r="H10" s="23"/>
      <c r="I10" s="23"/>
      <c r="J10" s="23"/>
      <c r="K10" s="23"/>
      <c r="L10" s="23"/>
      <c r="M10" s="23"/>
      <c r="N10" s="23"/>
      <c r="O10" s="23"/>
      <c r="P10" s="23"/>
    </row>
    <row r="11" spans="1:16" ht="13.5" customHeight="1">
      <c r="A11" s="54"/>
      <c r="B11" s="147" t="s">
        <v>65</v>
      </c>
      <c r="C11" s="148"/>
      <c r="D11" s="148"/>
      <c r="E11" s="148"/>
      <c r="F11" s="148"/>
      <c r="G11" s="149"/>
      <c r="H11" s="23"/>
      <c r="I11" s="23"/>
      <c r="J11" s="23"/>
      <c r="K11" s="23"/>
      <c r="L11" s="23"/>
      <c r="M11" s="23"/>
      <c r="N11" s="23"/>
      <c r="O11" s="23"/>
      <c r="P11" s="23"/>
    </row>
    <row r="12" spans="1:16" ht="14.25" customHeight="1">
      <c r="A12" s="52"/>
      <c r="B12" s="138" t="s">
        <v>66</v>
      </c>
      <c r="C12" s="139"/>
      <c r="D12" s="139"/>
      <c r="E12" s="139"/>
      <c r="F12" s="139"/>
      <c r="G12" s="140"/>
      <c r="H12" s="23"/>
      <c r="I12" s="23"/>
      <c r="J12" s="23"/>
      <c r="K12" s="23"/>
      <c r="L12" s="23"/>
      <c r="M12" s="23"/>
      <c r="N12" s="23"/>
      <c r="O12" s="23"/>
      <c r="P12" s="23"/>
    </row>
    <row r="13" spans="1:16" ht="14.25" customHeight="1">
      <c r="A13" s="52"/>
      <c r="B13" s="23"/>
      <c r="C13" s="52"/>
      <c r="D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</row>
    <row r="14" spans="1:16" ht="14.25" customHeight="1">
      <c r="B14" s="55" t="s">
        <v>48</v>
      </c>
      <c r="C14" s="56" t="s">
        <v>67</v>
      </c>
      <c r="D14" s="57" t="s">
        <v>68</v>
      </c>
      <c r="E14" s="57" t="s">
        <v>69</v>
      </c>
      <c r="F14" s="57" t="s">
        <v>55</v>
      </c>
      <c r="G14" s="57" t="s">
        <v>56</v>
      </c>
      <c r="H14" s="58"/>
      <c r="I14" s="23"/>
      <c r="J14" s="23"/>
      <c r="K14" s="23"/>
      <c r="L14" s="23"/>
      <c r="M14" s="23"/>
      <c r="N14" s="23"/>
      <c r="O14" s="23"/>
      <c r="P14" s="23"/>
    </row>
    <row r="15" spans="1:16" ht="14.25" customHeight="1">
      <c r="B15" s="141" t="s">
        <v>70</v>
      </c>
      <c r="C15" s="142"/>
      <c r="D15" s="142"/>
      <c r="E15" s="142"/>
      <c r="F15" s="142"/>
      <c r="G15" s="143"/>
      <c r="H15" s="23"/>
      <c r="I15" s="23"/>
      <c r="J15" s="23"/>
      <c r="K15" s="23"/>
      <c r="L15" s="23"/>
      <c r="M15" s="23"/>
      <c r="N15" s="23"/>
      <c r="O15" s="23"/>
      <c r="P15" s="23"/>
    </row>
    <row r="16" spans="1:16" ht="14.25" customHeight="1">
      <c r="B16" s="59">
        <v>1</v>
      </c>
      <c r="C16" s="117"/>
      <c r="D16" s="118"/>
      <c r="E16" s="41"/>
      <c r="F16" s="41"/>
      <c r="G16" s="41">
        <f>E16*F16</f>
        <v>0</v>
      </c>
      <c r="H16" s="23"/>
      <c r="I16" s="23"/>
      <c r="J16" s="23"/>
      <c r="K16" s="23"/>
      <c r="L16" s="23"/>
      <c r="M16" s="23"/>
      <c r="N16" s="23"/>
      <c r="O16" s="23"/>
      <c r="P16" s="23"/>
    </row>
    <row r="17" spans="2:16" ht="14.25" customHeight="1">
      <c r="B17" s="59">
        <v>2</v>
      </c>
      <c r="C17" s="117"/>
      <c r="D17" s="118"/>
      <c r="E17" s="41"/>
      <c r="F17" s="41"/>
      <c r="G17" s="41">
        <f t="shared" ref="G17:G25" si="0">E17*F17</f>
        <v>0</v>
      </c>
      <c r="H17" s="23"/>
      <c r="I17" s="23"/>
      <c r="J17" s="23"/>
      <c r="K17" s="23"/>
      <c r="L17" s="23"/>
      <c r="M17" s="23"/>
      <c r="N17" s="23"/>
      <c r="O17" s="23"/>
      <c r="P17" s="23"/>
    </row>
    <row r="18" spans="2:16" ht="14.25" customHeight="1">
      <c r="B18" s="59">
        <v>3</v>
      </c>
      <c r="C18" s="117"/>
      <c r="D18" s="118"/>
      <c r="E18" s="41"/>
      <c r="F18" s="41"/>
      <c r="G18" s="41">
        <f t="shared" si="0"/>
        <v>0</v>
      </c>
      <c r="H18" s="23"/>
      <c r="I18" s="23"/>
      <c r="J18" s="23"/>
      <c r="K18" s="23"/>
      <c r="L18" s="23"/>
      <c r="M18" s="23"/>
      <c r="N18" s="23"/>
      <c r="O18" s="23"/>
      <c r="P18" s="23"/>
    </row>
    <row r="19" spans="2:16" ht="14.25" customHeight="1">
      <c r="B19" s="59">
        <v>4</v>
      </c>
      <c r="C19" s="117"/>
      <c r="D19" s="118"/>
      <c r="E19" s="41"/>
      <c r="F19" s="41"/>
      <c r="G19" s="41">
        <f t="shared" si="0"/>
        <v>0</v>
      </c>
      <c r="H19" s="23"/>
      <c r="I19" s="23"/>
      <c r="J19" s="23"/>
      <c r="K19" s="23"/>
      <c r="L19" s="23"/>
      <c r="M19" s="23"/>
      <c r="N19" s="23"/>
      <c r="O19" s="23"/>
      <c r="P19" s="23"/>
    </row>
    <row r="20" spans="2:16" ht="14.25" customHeight="1">
      <c r="B20" s="59">
        <v>5</v>
      </c>
      <c r="C20" s="117"/>
      <c r="D20" s="118"/>
      <c r="E20" s="41"/>
      <c r="F20" s="41"/>
      <c r="G20" s="41">
        <f t="shared" si="0"/>
        <v>0</v>
      </c>
      <c r="H20" s="23"/>
      <c r="I20" s="23"/>
      <c r="J20" s="23"/>
      <c r="K20" s="23"/>
      <c r="L20" s="23"/>
      <c r="M20" s="23"/>
      <c r="N20" s="23"/>
      <c r="O20" s="23"/>
      <c r="P20" s="23"/>
    </row>
    <row r="21" spans="2:16" ht="14.25" customHeight="1">
      <c r="B21" s="59">
        <v>6</v>
      </c>
      <c r="C21" s="117"/>
      <c r="D21" s="118"/>
      <c r="E21" s="41"/>
      <c r="F21" s="41"/>
      <c r="G21" s="41">
        <f t="shared" si="0"/>
        <v>0</v>
      </c>
      <c r="H21" s="23"/>
      <c r="I21" s="23"/>
      <c r="J21" s="23"/>
      <c r="K21" s="23"/>
      <c r="L21" s="23"/>
      <c r="M21" s="23"/>
      <c r="N21" s="23"/>
      <c r="O21" s="23"/>
      <c r="P21" s="23"/>
    </row>
    <row r="22" spans="2:16" ht="14.25" customHeight="1">
      <c r="B22" s="59">
        <v>7</v>
      </c>
      <c r="C22" s="117"/>
      <c r="D22" s="118"/>
      <c r="E22" s="41"/>
      <c r="F22" s="41"/>
      <c r="G22" s="41">
        <f t="shared" si="0"/>
        <v>0</v>
      </c>
      <c r="H22" s="23"/>
      <c r="I22" s="23"/>
      <c r="J22" s="23"/>
      <c r="K22" s="23"/>
      <c r="L22" s="23"/>
      <c r="M22" s="23"/>
      <c r="N22" s="23"/>
      <c r="O22" s="23"/>
      <c r="P22" s="23"/>
    </row>
    <row r="23" spans="2:16" ht="14.25" customHeight="1">
      <c r="B23" s="59">
        <v>8</v>
      </c>
      <c r="C23" s="117"/>
      <c r="D23" s="118"/>
      <c r="E23" s="41"/>
      <c r="F23" s="41"/>
      <c r="G23" s="41">
        <f t="shared" si="0"/>
        <v>0</v>
      </c>
      <c r="H23" s="23"/>
      <c r="I23" s="23"/>
      <c r="J23" s="23"/>
      <c r="K23" s="23"/>
      <c r="L23" s="23"/>
      <c r="M23" s="23"/>
      <c r="N23" s="23"/>
      <c r="O23" s="23"/>
      <c r="P23" s="23"/>
    </row>
    <row r="24" spans="2:16" ht="14.25" customHeight="1">
      <c r="B24" s="59">
        <v>9</v>
      </c>
      <c r="C24" s="117"/>
      <c r="D24" s="118"/>
      <c r="E24" s="41"/>
      <c r="F24" s="41"/>
      <c r="G24" s="41">
        <f t="shared" si="0"/>
        <v>0</v>
      </c>
      <c r="H24" s="23"/>
      <c r="I24" s="23"/>
      <c r="J24" s="23"/>
      <c r="K24" s="23"/>
      <c r="L24" s="23"/>
      <c r="M24" s="23"/>
      <c r="N24" s="23"/>
      <c r="O24" s="23"/>
      <c r="P24" s="23"/>
    </row>
    <row r="25" spans="2:16" ht="14.25" customHeight="1">
      <c r="B25" s="59">
        <v>10</v>
      </c>
      <c r="C25" s="117"/>
      <c r="D25" s="118"/>
      <c r="E25" s="41"/>
      <c r="F25" s="41"/>
      <c r="G25" s="41">
        <f t="shared" si="0"/>
        <v>0</v>
      </c>
      <c r="H25" s="23"/>
      <c r="I25" s="23"/>
      <c r="J25" s="23"/>
      <c r="K25" s="23"/>
      <c r="L25" s="23"/>
      <c r="M25" s="23"/>
      <c r="N25" s="23"/>
      <c r="O25" s="23"/>
      <c r="P25" s="23"/>
    </row>
    <row r="26" spans="2:16" ht="14.25" customHeight="1">
      <c r="B26" s="141" t="s">
        <v>71</v>
      </c>
      <c r="C26" s="142"/>
      <c r="D26" s="142"/>
      <c r="E26" s="142"/>
      <c r="F26" s="142"/>
      <c r="G26" s="143"/>
      <c r="H26" s="23"/>
      <c r="I26" s="23"/>
      <c r="J26" s="23"/>
      <c r="K26" s="23"/>
      <c r="L26" s="23"/>
      <c r="M26" s="23"/>
      <c r="N26" s="23"/>
      <c r="O26" s="23"/>
      <c r="P26" s="23"/>
    </row>
    <row r="27" spans="2:16" ht="14.25" customHeight="1">
      <c r="B27" s="59">
        <v>1</v>
      </c>
      <c r="C27" s="40" t="s">
        <v>231</v>
      </c>
      <c r="D27" s="118" t="s">
        <v>168</v>
      </c>
      <c r="E27" s="41">
        <v>1</v>
      </c>
      <c r="F27" s="41">
        <v>32</v>
      </c>
      <c r="G27" s="41">
        <f>E27*F27</f>
        <v>32</v>
      </c>
      <c r="H27" s="23"/>
      <c r="I27" s="23"/>
      <c r="J27" s="23"/>
      <c r="K27" s="23"/>
      <c r="L27" s="23"/>
      <c r="M27" s="23"/>
      <c r="N27" s="23"/>
      <c r="O27" s="23"/>
      <c r="P27" s="23"/>
    </row>
    <row r="28" spans="2:16" ht="14.25" customHeight="1">
      <c r="B28" s="59">
        <v>2</v>
      </c>
      <c r="C28" s="40" t="s">
        <v>232</v>
      </c>
      <c r="D28" s="118" t="s">
        <v>168</v>
      </c>
      <c r="E28" s="41">
        <v>2</v>
      </c>
      <c r="F28" s="41">
        <v>61</v>
      </c>
      <c r="G28" s="41">
        <f>E28*F28</f>
        <v>122</v>
      </c>
      <c r="H28" s="23"/>
      <c r="I28" s="23"/>
      <c r="J28" s="23"/>
      <c r="K28" s="23"/>
      <c r="L28" s="23"/>
      <c r="M28" s="23"/>
      <c r="N28" s="23"/>
      <c r="O28" s="23"/>
      <c r="P28" s="23"/>
    </row>
    <row r="29" spans="2:16" ht="14.25" customHeight="1">
      <c r="B29" s="59">
        <v>3</v>
      </c>
      <c r="C29" s="40" t="s">
        <v>210</v>
      </c>
      <c r="D29" s="60" t="s">
        <v>168</v>
      </c>
      <c r="E29" s="41">
        <v>1</v>
      </c>
      <c r="F29" s="41">
        <v>25</v>
      </c>
      <c r="G29" s="41">
        <f t="shared" ref="G29:G30" si="1">E29*F29</f>
        <v>25</v>
      </c>
      <c r="H29" s="23"/>
      <c r="I29" s="23"/>
      <c r="J29" s="23"/>
      <c r="K29" s="23"/>
      <c r="L29" s="23"/>
      <c r="M29" s="23"/>
      <c r="N29" s="23"/>
      <c r="O29" s="23"/>
      <c r="P29" s="23"/>
    </row>
    <row r="30" spans="2:16" ht="14.25" customHeight="1">
      <c r="B30" s="59">
        <v>4</v>
      </c>
      <c r="C30" s="117" t="s">
        <v>201</v>
      </c>
      <c r="D30" s="118" t="s">
        <v>168</v>
      </c>
      <c r="E30" s="41">
        <v>1</v>
      </c>
      <c r="F30" s="41">
        <v>65</v>
      </c>
      <c r="G30" s="41">
        <f t="shared" si="1"/>
        <v>65</v>
      </c>
      <c r="H30" s="23"/>
      <c r="I30" s="23"/>
      <c r="J30" s="23"/>
      <c r="K30" s="23"/>
      <c r="L30" s="23"/>
      <c r="M30" s="23"/>
      <c r="N30" s="23"/>
      <c r="O30" s="23"/>
      <c r="P30" s="23"/>
    </row>
    <row r="31" spans="2:16" ht="14.25" customHeight="1">
      <c r="B31" s="59">
        <v>5</v>
      </c>
      <c r="C31" s="117" t="s">
        <v>202</v>
      </c>
      <c r="D31" s="118" t="s">
        <v>168</v>
      </c>
      <c r="E31" s="41">
        <v>2</v>
      </c>
      <c r="F31" s="41">
        <v>6</v>
      </c>
      <c r="G31" s="41">
        <f t="shared" ref="G31:G43" si="2">E31*F31</f>
        <v>12</v>
      </c>
      <c r="H31" s="23"/>
      <c r="I31" s="23"/>
      <c r="J31" s="23"/>
      <c r="K31" s="23"/>
      <c r="L31" s="23"/>
      <c r="M31" s="23"/>
      <c r="N31" s="23"/>
      <c r="O31" s="23"/>
      <c r="P31" s="23"/>
    </row>
    <row r="32" spans="2:16" ht="14.25" customHeight="1">
      <c r="B32" s="59">
        <v>6</v>
      </c>
      <c r="C32" s="117" t="s">
        <v>203</v>
      </c>
      <c r="D32" s="118" t="s">
        <v>168</v>
      </c>
      <c r="E32" s="41">
        <v>1</v>
      </c>
      <c r="F32" s="41">
        <v>40</v>
      </c>
      <c r="G32" s="41">
        <f t="shared" si="2"/>
        <v>40</v>
      </c>
      <c r="H32" s="23"/>
      <c r="I32" s="23"/>
      <c r="J32" s="23"/>
      <c r="K32" s="23"/>
      <c r="L32" s="23"/>
      <c r="M32" s="23"/>
      <c r="N32" s="23"/>
      <c r="O32" s="23"/>
      <c r="P32" s="23"/>
    </row>
    <row r="33" spans="2:16" ht="14.25" customHeight="1">
      <c r="B33" s="59">
        <v>7</v>
      </c>
      <c r="C33" s="117" t="s">
        <v>204</v>
      </c>
      <c r="D33" s="118" t="s">
        <v>224</v>
      </c>
      <c r="E33" s="41">
        <v>5</v>
      </c>
      <c r="F33" s="41">
        <v>45</v>
      </c>
      <c r="G33" s="41">
        <f t="shared" si="2"/>
        <v>225</v>
      </c>
      <c r="H33" s="23"/>
      <c r="I33" s="23"/>
      <c r="J33" s="23"/>
      <c r="K33" s="23"/>
      <c r="L33" s="23"/>
      <c r="M33" s="23"/>
      <c r="N33" s="23"/>
      <c r="O33" s="23"/>
      <c r="P33" s="23"/>
    </row>
    <row r="34" spans="2:16" ht="14.25" customHeight="1">
      <c r="B34" s="59">
        <v>8</v>
      </c>
      <c r="C34" s="117" t="s">
        <v>169</v>
      </c>
      <c r="D34" s="118" t="s">
        <v>168</v>
      </c>
      <c r="E34" s="41">
        <v>2</v>
      </c>
      <c r="F34" s="41">
        <v>6</v>
      </c>
      <c r="G34" s="41">
        <f t="shared" si="2"/>
        <v>12</v>
      </c>
      <c r="H34" s="23"/>
      <c r="I34" s="23"/>
      <c r="J34" s="23"/>
      <c r="K34" s="23"/>
      <c r="L34" s="23"/>
      <c r="M34" s="23"/>
      <c r="N34" s="23"/>
      <c r="O34" s="23"/>
      <c r="P34" s="23"/>
    </row>
    <row r="35" spans="2:16" ht="14.25" customHeight="1">
      <c r="B35" s="59">
        <v>9</v>
      </c>
      <c r="C35" s="117" t="s">
        <v>205</v>
      </c>
      <c r="D35" s="118" t="s">
        <v>168</v>
      </c>
      <c r="E35" s="41">
        <v>40</v>
      </c>
      <c r="F35" s="41">
        <v>3</v>
      </c>
      <c r="G35" s="41">
        <f>E35*F35</f>
        <v>120</v>
      </c>
      <c r="H35" s="23"/>
      <c r="I35" s="23"/>
      <c r="J35" s="23"/>
      <c r="K35" s="23"/>
      <c r="L35" s="23"/>
      <c r="M35" s="23"/>
      <c r="N35" s="23"/>
      <c r="O35" s="23"/>
      <c r="P35" s="23"/>
    </row>
    <row r="36" spans="2:16" ht="14.25" customHeight="1">
      <c r="B36" s="59">
        <v>10</v>
      </c>
      <c r="C36" s="117" t="s">
        <v>206</v>
      </c>
      <c r="D36" s="118" t="s">
        <v>168</v>
      </c>
      <c r="E36" s="41">
        <v>4</v>
      </c>
      <c r="F36" s="41">
        <v>65</v>
      </c>
      <c r="G36" s="41">
        <f t="shared" si="2"/>
        <v>260</v>
      </c>
      <c r="H36" s="23"/>
      <c r="I36" s="23"/>
      <c r="J36" s="23"/>
      <c r="K36" s="23"/>
      <c r="L36" s="23"/>
      <c r="M36" s="23"/>
      <c r="N36" s="23"/>
      <c r="O36" s="23"/>
      <c r="P36" s="23"/>
    </row>
    <row r="37" spans="2:16" ht="14.25" customHeight="1">
      <c r="B37" s="59">
        <v>11</v>
      </c>
      <c r="C37" s="117" t="s">
        <v>211</v>
      </c>
      <c r="D37" s="118" t="s">
        <v>168</v>
      </c>
      <c r="E37" s="41">
        <v>1</v>
      </c>
      <c r="F37" s="41">
        <v>110</v>
      </c>
      <c r="G37" s="41">
        <f t="shared" si="2"/>
        <v>110</v>
      </c>
      <c r="H37" s="23"/>
      <c r="I37" s="23"/>
      <c r="J37" s="23"/>
      <c r="K37" s="23"/>
      <c r="L37" s="23"/>
      <c r="M37" s="23"/>
      <c r="N37" s="23"/>
      <c r="O37" s="23"/>
      <c r="P37" s="23"/>
    </row>
    <row r="38" spans="2:16" ht="14.25" customHeight="1">
      <c r="B38" s="59">
        <v>12</v>
      </c>
      <c r="C38" s="117" t="s">
        <v>207</v>
      </c>
      <c r="D38" s="118" t="s">
        <v>168</v>
      </c>
      <c r="E38" s="41">
        <v>1</v>
      </c>
      <c r="F38" s="41">
        <v>210</v>
      </c>
      <c r="G38" s="41">
        <f t="shared" si="2"/>
        <v>210</v>
      </c>
      <c r="H38" s="23"/>
      <c r="I38" s="23"/>
      <c r="J38" s="23"/>
      <c r="K38" s="23"/>
      <c r="L38" s="23"/>
      <c r="M38" s="23"/>
      <c r="N38" s="23"/>
      <c r="O38" s="23"/>
      <c r="P38" s="23"/>
    </row>
    <row r="39" spans="2:16" ht="14.25" customHeight="1">
      <c r="B39" s="59">
        <v>13</v>
      </c>
      <c r="C39" s="117" t="s">
        <v>208</v>
      </c>
      <c r="D39" s="118" t="s">
        <v>168</v>
      </c>
      <c r="E39" s="41">
        <v>1</v>
      </c>
      <c r="F39" s="41">
        <v>35</v>
      </c>
      <c r="G39" s="41">
        <f t="shared" si="2"/>
        <v>35</v>
      </c>
      <c r="H39" s="23"/>
      <c r="I39" s="23"/>
      <c r="J39" s="23"/>
      <c r="K39" s="23"/>
      <c r="L39" s="23"/>
      <c r="M39" s="23"/>
      <c r="N39" s="23"/>
      <c r="O39" s="23"/>
      <c r="P39" s="23"/>
    </row>
    <row r="40" spans="2:16" ht="14.25" customHeight="1">
      <c r="B40" s="59">
        <v>14</v>
      </c>
      <c r="C40" s="117" t="s">
        <v>209</v>
      </c>
      <c r="D40" s="118" t="s">
        <v>168</v>
      </c>
      <c r="E40" s="41">
        <v>2</v>
      </c>
      <c r="F40" s="41">
        <v>7</v>
      </c>
      <c r="G40" s="41">
        <f t="shared" si="2"/>
        <v>14</v>
      </c>
      <c r="H40" s="23"/>
      <c r="I40" s="23"/>
      <c r="J40" s="23"/>
      <c r="K40" s="23"/>
      <c r="L40" s="23"/>
      <c r="M40" s="23"/>
      <c r="N40" s="23"/>
      <c r="O40" s="23"/>
      <c r="P40" s="23"/>
    </row>
    <row r="41" spans="2:16" ht="14.25" customHeight="1">
      <c r="B41" s="59">
        <v>15</v>
      </c>
      <c r="C41" s="117" t="s">
        <v>170</v>
      </c>
      <c r="D41" s="118" t="s">
        <v>168</v>
      </c>
      <c r="E41" s="41">
        <v>2</v>
      </c>
      <c r="F41" s="41">
        <v>6</v>
      </c>
      <c r="G41" s="41">
        <f t="shared" si="2"/>
        <v>12</v>
      </c>
      <c r="H41" s="23"/>
      <c r="I41" s="23"/>
      <c r="J41" s="23"/>
      <c r="K41" s="23"/>
      <c r="L41" s="23"/>
      <c r="M41" s="23"/>
      <c r="N41" s="23"/>
      <c r="O41" s="23"/>
      <c r="P41" s="23"/>
    </row>
    <row r="42" spans="2:16" ht="14.25" customHeight="1">
      <c r="B42" s="59">
        <v>16</v>
      </c>
      <c r="C42" s="117" t="s">
        <v>171</v>
      </c>
      <c r="D42" s="118" t="s">
        <v>168</v>
      </c>
      <c r="E42" s="41">
        <v>2</v>
      </c>
      <c r="F42" s="41">
        <v>7</v>
      </c>
      <c r="G42" s="41">
        <f t="shared" si="2"/>
        <v>14</v>
      </c>
      <c r="H42" s="23"/>
      <c r="I42" s="23"/>
      <c r="J42" s="23"/>
      <c r="K42" s="23"/>
      <c r="L42" s="23"/>
      <c r="M42" s="23"/>
      <c r="N42" s="23"/>
      <c r="O42" s="23"/>
      <c r="P42" s="23"/>
    </row>
    <row r="43" spans="2:16" ht="14.25" customHeight="1">
      <c r="B43" s="59">
        <v>17</v>
      </c>
      <c r="C43" s="117" t="s">
        <v>212</v>
      </c>
      <c r="D43" s="118" t="s">
        <v>168</v>
      </c>
      <c r="E43" s="41">
        <v>3</v>
      </c>
      <c r="F43" s="41">
        <v>25</v>
      </c>
      <c r="G43" s="41">
        <f t="shared" si="2"/>
        <v>75</v>
      </c>
      <c r="H43" s="23"/>
      <c r="I43" s="23"/>
      <c r="J43" s="23"/>
      <c r="K43" s="23"/>
      <c r="L43" s="23"/>
      <c r="M43" s="23"/>
      <c r="N43" s="23"/>
      <c r="O43" s="23"/>
      <c r="P43" s="23"/>
    </row>
    <row r="44" spans="2:16" ht="14.25" customHeight="1">
      <c r="B44" s="59">
        <v>18</v>
      </c>
      <c r="C44" s="40" t="s">
        <v>227</v>
      </c>
      <c r="D44" s="118" t="s">
        <v>168</v>
      </c>
      <c r="E44" s="41">
        <v>2</v>
      </c>
      <c r="F44" s="41">
        <v>25</v>
      </c>
      <c r="G44" s="41">
        <f>E44*F44</f>
        <v>50</v>
      </c>
      <c r="H44" s="23"/>
      <c r="I44" s="23"/>
      <c r="J44" s="23"/>
      <c r="K44" s="23"/>
      <c r="L44" s="23"/>
      <c r="M44" s="23"/>
      <c r="N44" s="23"/>
      <c r="O44" s="23"/>
      <c r="P44" s="23"/>
    </row>
    <row r="45" spans="2:16" ht="14.25" customHeight="1">
      <c r="B45" s="59">
        <v>19</v>
      </c>
      <c r="C45" s="117" t="s">
        <v>225</v>
      </c>
      <c r="D45" s="118" t="s">
        <v>168</v>
      </c>
      <c r="E45" s="41">
        <v>1</v>
      </c>
      <c r="F45" s="41">
        <v>25</v>
      </c>
      <c r="G45" s="41">
        <f t="shared" ref="G45:G47" si="3">E45*F45</f>
        <v>25</v>
      </c>
      <c r="H45" s="23"/>
      <c r="I45" s="23"/>
      <c r="J45" s="23"/>
      <c r="K45" s="23"/>
      <c r="L45" s="23"/>
      <c r="M45" s="23"/>
      <c r="N45" s="23"/>
      <c r="O45" s="23"/>
      <c r="P45" s="23"/>
    </row>
    <row r="46" spans="2:16" ht="14.25" customHeight="1">
      <c r="B46" s="59">
        <v>20</v>
      </c>
      <c r="C46" s="117" t="s">
        <v>216</v>
      </c>
      <c r="D46" s="118" t="s">
        <v>168</v>
      </c>
      <c r="E46" s="41">
        <v>20</v>
      </c>
      <c r="F46" s="41">
        <v>4</v>
      </c>
      <c r="G46" s="41">
        <f t="shared" si="3"/>
        <v>80</v>
      </c>
      <c r="H46" s="23"/>
      <c r="I46" s="23"/>
      <c r="J46" s="23"/>
      <c r="K46" s="23"/>
      <c r="L46" s="23"/>
      <c r="M46" s="23"/>
      <c r="N46" s="23"/>
      <c r="O46" s="23"/>
      <c r="P46" s="23"/>
    </row>
    <row r="47" spans="2:16" ht="14.25" customHeight="1">
      <c r="B47" s="59">
        <v>21</v>
      </c>
      <c r="C47" s="40" t="s">
        <v>233</v>
      </c>
      <c r="D47" s="118" t="s">
        <v>168</v>
      </c>
      <c r="E47" s="41">
        <v>2</v>
      </c>
      <c r="F47" s="41">
        <v>85</v>
      </c>
      <c r="G47" s="41">
        <f t="shared" si="3"/>
        <v>170</v>
      </c>
      <c r="H47" s="23"/>
      <c r="I47" s="23"/>
      <c r="J47" s="23"/>
      <c r="K47" s="23"/>
      <c r="L47" s="23"/>
      <c r="M47" s="23"/>
      <c r="N47" s="23"/>
      <c r="O47" s="23"/>
      <c r="P47" s="23"/>
    </row>
    <row r="48" spans="2:16" ht="14.25" customHeight="1">
      <c r="B48" s="59">
        <v>22</v>
      </c>
      <c r="C48" s="40" t="s">
        <v>234</v>
      </c>
      <c r="D48" s="60" t="s">
        <v>168</v>
      </c>
      <c r="E48" s="41">
        <v>1</v>
      </c>
      <c r="F48" s="41">
        <v>410</v>
      </c>
      <c r="G48" s="41">
        <f t="shared" ref="G48:G53" si="4">E48*F48</f>
        <v>410</v>
      </c>
      <c r="H48" s="23"/>
      <c r="I48" s="23"/>
      <c r="J48" s="23"/>
      <c r="K48" s="23"/>
      <c r="L48" s="23"/>
      <c r="M48" s="23"/>
      <c r="N48" s="23"/>
      <c r="O48" s="23"/>
      <c r="P48" s="23"/>
    </row>
    <row r="49" spans="2:16" ht="14.25" customHeight="1">
      <c r="B49" s="59">
        <v>23</v>
      </c>
      <c r="C49" s="40" t="s">
        <v>235</v>
      </c>
      <c r="D49" s="60" t="s">
        <v>168</v>
      </c>
      <c r="E49" s="41">
        <v>1</v>
      </c>
      <c r="F49" s="41">
        <v>280</v>
      </c>
      <c r="G49" s="41">
        <f t="shared" si="4"/>
        <v>280</v>
      </c>
      <c r="H49" s="23"/>
      <c r="I49" s="23"/>
      <c r="J49" s="23"/>
      <c r="K49" s="23"/>
      <c r="L49" s="23"/>
      <c r="M49" s="23"/>
      <c r="N49" s="23"/>
      <c r="O49" s="23"/>
      <c r="P49" s="23"/>
    </row>
    <row r="50" spans="2:16" ht="14.25" customHeight="1">
      <c r="B50" s="59">
        <v>24</v>
      </c>
      <c r="C50" s="40" t="s">
        <v>236</v>
      </c>
      <c r="D50" s="60" t="s">
        <v>168</v>
      </c>
      <c r="E50" s="41">
        <v>2</v>
      </c>
      <c r="F50" s="41">
        <v>205</v>
      </c>
      <c r="G50" s="41">
        <f t="shared" si="4"/>
        <v>410</v>
      </c>
      <c r="H50" s="23"/>
      <c r="I50" s="23"/>
      <c r="J50" s="23"/>
      <c r="K50" s="23"/>
      <c r="L50" s="23"/>
      <c r="M50" s="23"/>
      <c r="N50" s="23"/>
      <c r="O50" s="23"/>
      <c r="P50" s="23"/>
    </row>
    <row r="51" spans="2:16" ht="14.25" customHeight="1">
      <c r="B51" s="59">
        <v>25</v>
      </c>
      <c r="C51" s="40" t="s">
        <v>237</v>
      </c>
      <c r="D51" s="60" t="s">
        <v>168</v>
      </c>
      <c r="E51" s="41">
        <v>1</v>
      </c>
      <c r="F51" s="41">
        <v>280</v>
      </c>
      <c r="G51" s="41">
        <f t="shared" si="4"/>
        <v>280</v>
      </c>
      <c r="H51" s="23"/>
      <c r="I51" s="23"/>
      <c r="J51" s="23"/>
      <c r="K51" s="23"/>
      <c r="L51" s="23"/>
      <c r="M51" s="23"/>
      <c r="N51" s="23"/>
      <c r="O51" s="23"/>
      <c r="P51" s="23"/>
    </row>
    <row r="52" spans="2:16" ht="14.25" customHeight="1">
      <c r="B52" s="59">
        <v>26</v>
      </c>
      <c r="C52" s="40" t="s">
        <v>243</v>
      </c>
      <c r="D52" s="60" t="s">
        <v>168</v>
      </c>
      <c r="E52" s="41">
        <v>1</v>
      </c>
      <c r="F52" s="41">
        <v>110</v>
      </c>
      <c r="G52" s="41">
        <f t="shared" si="4"/>
        <v>110</v>
      </c>
      <c r="H52" s="23"/>
      <c r="I52" s="23"/>
      <c r="J52" s="23"/>
      <c r="K52" s="23"/>
      <c r="L52" s="23"/>
      <c r="M52" s="23"/>
      <c r="N52" s="23"/>
      <c r="O52" s="23"/>
      <c r="P52" s="23"/>
    </row>
    <row r="53" spans="2:16" ht="14.25" customHeight="1">
      <c r="B53" s="59">
        <v>27</v>
      </c>
      <c r="C53" s="40" t="s">
        <v>244</v>
      </c>
      <c r="D53" s="60" t="s">
        <v>168</v>
      </c>
      <c r="E53" s="41">
        <v>2</v>
      </c>
      <c r="F53" s="41">
        <v>35</v>
      </c>
      <c r="G53" s="41">
        <f t="shared" si="4"/>
        <v>70</v>
      </c>
      <c r="H53" s="23"/>
      <c r="I53" s="23"/>
      <c r="J53" s="23"/>
      <c r="K53" s="23"/>
      <c r="L53" s="23"/>
      <c r="M53" s="23"/>
      <c r="N53" s="23"/>
      <c r="O53" s="23"/>
      <c r="P53" s="23"/>
    </row>
    <row r="54" spans="2:16" ht="14.25" customHeight="1">
      <c r="B54" s="59">
        <v>28</v>
      </c>
      <c r="C54" s="40" t="s">
        <v>245</v>
      </c>
      <c r="D54" s="60" t="s">
        <v>168</v>
      </c>
      <c r="E54" s="41">
        <v>3</v>
      </c>
      <c r="F54" s="41">
        <v>17</v>
      </c>
      <c r="G54" s="41">
        <f t="shared" ref="G54:G57" si="5">E54*F54</f>
        <v>51</v>
      </c>
      <c r="H54" s="23"/>
      <c r="I54" s="23"/>
      <c r="J54" s="23"/>
      <c r="K54" s="23"/>
      <c r="L54" s="23"/>
      <c r="M54" s="23"/>
      <c r="N54" s="23"/>
      <c r="O54" s="23"/>
      <c r="P54" s="23"/>
    </row>
    <row r="55" spans="2:16" ht="14.25" customHeight="1">
      <c r="B55" s="59">
        <v>29</v>
      </c>
      <c r="C55" s="40" t="s">
        <v>246</v>
      </c>
      <c r="D55" s="60" t="s">
        <v>168</v>
      </c>
      <c r="E55" s="41">
        <v>1</v>
      </c>
      <c r="F55" s="41">
        <v>510</v>
      </c>
      <c r="G55" s="41">
        <f t="shared" si="5"/>
        <v>510</v>
      </c>
      <c r="H55" s="23"/>
      <c r="I55" s="23"/>
      <c r="J55" s="23"/>
      <c r="K55" s="23"/>
      <c r="L55" s="23"/>
      <c r="M55" s="23"/>
      <c r="N55" s="23"/>
      <c r="O55" s="23"/>
      <c r="P55" s="23"/>
    </row>
    <row r="56" spans="2:16" ht="14.25" customHeight="1">
      <c r="B56" s="59">
        <v>30</v>
      </c>
      <c r="C56" s="117"/>
      <c r="D56" s="118"/>
      <c r="E56" s="41"/>
      <c r="F56" s="41"/>
      <c r="G56" s="41">
        <f t="shared" si="5"/>
        <v>0</v>
      </c>
      <c r="H56" s="23"/>
      <c r="I56" s="23"/>
      <c r="J56" s="23"/>
      <c r="K56" s="23"/>
      <c r="L56" s="23"/>
      <c r="M56" s="23"/>
      <c r="N56" s="23"/>
      <c r="O56" s="23"/>
      <c r="P56" s="23"/>
    </row>
    <row r="57" spans="2:16" ht="14.25" customHeight="1">
      <c r="B57" s="59">
        <v>31</v>
      </c>
      <c r="C57" s="117"/>
      <c r="D57" s="118"/>
      <c r="E57" s="41"/>
      <c r="F57" s="41"/>
      <c r="G57" s="41">
        <f t="shared" si="5"/>
        <v>0</v>
      </c>
      <c r="H57" s="23"/>
      <c r="I57" s="23"/>
      <c r="J57" s="23"/>
      <c r="K57" s="23"/>
      <c r="L57" s="23"/>
      <c r="M57" s="23"/>
      <c r="N57" s="23"/>
      <c r="O57" s="23"/>
      <c r="P57" s="23"/>
    </row>
    <row r="58" spans="2:16" ht="14.25" customHeight="1">
      <c r="B58" s="59">
        <v>32</v>
      </c>
      <c r="C58" s="117"/>
      <c r="D58" s="118"/>
      <c r="E58" s="41"/>
      <c r="F58" s="41"/>
      <c r="G58" s="41">
        <f t="shared" ref="G58" si="6">E58*F58</f>
        <v>0</v>
      </c>
      <c r="H58" s="23"/>
      <c r="I58" s="23"/>
      <c r="J58" s="23"/>
      <c r="K58" s="23"/>
      <c r="L58" s="23"/>
      <c r="M58" s="23"/>
      <c r="N58" s="23"/>
      <c r="O58" s="23"/>
      <c r="P58" s="23"/>
    </row>
    <row r="59" spans="2:16" ht="14.25" customHeight="1">
      <c r="B59" s="59">
        <v>33</v>
      </c>
      <c r="C59" s="117"/>
      <c r="D59" s="118"/>
      <c r="E59" s="41"/>
      <c r="F59" s="41"/>
      <c r="G59" s="41">
        <f t="shared" ref="G59:G63" si="7">E59*F59</f>
        <v>0</v>
      </c>
      <c r="H59" s="23"/>
      <c r="I59" s="23"/>
      <c r="J59" s="23"/>
      <c r="K59" s="23"/>
      <c r="L59" s="23"/>
      <c r="M59" s="23"/>
      <c r="N59" s="23"/>
      <c r="O59" s="23"/>
      <c r="P59" s="23"/>
    </row>
    <row r="60" spans="2:16" ht="14.25" customHeight="1">
      <c r="B60" s="59">
        <v>34</v>
      </c>
      <c r="C60" s="117"/>
      <c r="D60" s="118"/>
      <c r="E60" s="41"/>
      <c r="F60" s="41"/>
      <c r="G60" s="41">
        <f t="shared" si="7"/>
        <v>0</v>
      </c>
      <c r="H60" s="23"/>
      <c r="I60" s="23"/>
      <c r="J60" s="23"/>
      <c r="K60" s="23"/>
      <c r="L60" s="23"/>
      <c r="M60" s="23"/>
      <c r="N60" s="23"/>
      <c r="O60" s="23"/>
      <c r="P60" s="23"/>
    </row>
    <row r="61" spans="2:16" ht="14.25" customHeight="1">
      <c r="B61" s="59">
        <v>35</v>
      </c>
      <c r="C61" s="117"/>
      <c r="D61" s="118"/>
      <c r="E61" s="41"/>
      <c r="F61" s="41"/>
      <c r="G61" s="41">
        <f t="shared" si="7"/>
        <v>0</v>
      </c>
      <c r="H61" s="23"/>
      <c r="I61" s="23"/>
      <c r="J61" s="23"/>
      <c r="K61" s="23"/>
      <c r="L61" s="23"/>
      <c r="M61" s="23"/>
      <c r="N61" s="23"/>
      <c r="O61" s="23"/>
      <c r="P61" s="23"/>
    </row>
    <row r="62" spans="2:16" ht="14.25" customHeight="1">
      <c r="B62" s="59">
        <v>36</v>
      </c>
      <c r="C62" s="117"/>
      <c r="D62" s="118"/>
      <c r="E62" s="41"/>
      <c r="F62" s="41"/>
      <c r="G62" s="41">
        <f t="shared" si="7"/>
        <v>0</v>
      </c>
      <c r="H62" s="23"/>
      <c r="I62" s="23"/>
      <c r="J62" s="23"/>
      <c r="K62" s="23"/>
      <c r="L62" s="23"/>
      <c r="M62" s="23"/>
      <c r="N62" s="23"/>
      <c r="O62" s="23"/>
      <c r="P62" s="23"/>
    </row>
    <row r="63" spans="2:16" ht="14.25" customHeight="1">
      <c r="B63" s="59">
        <v>37</v>
      </c>
      <c r="C63" s="40"/>
      <c r="D63" s="118"/>
      <c r="E63" s="41"/>
      <c r="F63" s="41"/>
      <c r="G63" s="41">
        <f t="shared" si="7"/>
        <v>0</v>
      </c>
      <c r="H63" s="23"/>
      <c r="I63" s="23"/>
      <c r="J63" s="23"/>
      <c r="K63" s="23"/>
      <c r="L63" s="23"/>
      <c r="M63" s="23"/>
      <c r="N63" s="23"/>
      <c r="O63" s="23"/>
      <c r="P63" s="23"/>
    </row>
    <row r="64" spans="2:16" ht="14.25" customHeight="1">
      <c r="B64" s="59">
        <v>38</v>
      </c>
      <c r="C64" s="40"/>
      <c r="D64" s="118"/>
      <c r="E64" s="41"/>
      <c r="F64" s="41"/>
      <c r="G64" s="41">
        <f>SUM(G27:G63)</f>
        <v>3829</v>
      </c>
      <c r="H64" s="23"/>
      <c r="I64" s="23"/>
      <c r="J64" s="23"/>
      <c r="K64" s="23"/>
      <c r="L64" s="23"/>
      <c r="M64" s="23"/>
      <c r="N64" s="23"/>
      <c r="O64" s="23"/>
      <c r="P64" s="23"/>
    </row>
    <row r="65" spans="1:16" ht="14.25" customHeight="1">
      <c r="B65" s="141" t="s">
        <v>72</v>
      </c>
      <c r="C65" s="142"/>
      <c r="D65" s="142"/>
      <c r="E65" s="142"/>
      <c r="F65" s="142"/>
      <c r="G65" s="143"/>
      <c r="H65" s="23"/>
      <c r="I65" s="23"/>
      <c r="J65" s="23"/>
      <c r="K65" s="23"/>
      <c r="L65" s="23"/>
      <c r="M65" s="23"/>
      <c r="N65" s="23"/>
      <c r="O65" s="23"/>
      <c r="P65" s="23"/>
    </row>
    <row r="66" spans="1:16" ht="14.25" customHeight="1">
      <c r="B66" s="59">
        <v>1</v>
      </c>
      <c r="C66" s="40"/>
      <c r="D66" s="60"/>
      <c r="E66" s="41"/>
      <c r="F66" s="41"/>
      <c r="G66" s="41"/>
      <c r="H66" s="23"/>
      <c r="I66" s="23"/>
      <c r="J66" s="23"/>
      <c r="K66" s="23"/>
      <c r="L66" s="23"/>
      <c r="M66" s="23"/>
      <c r="N66" s="23"/>
      <c r="O66" s="23"/>
      <c r="P66" s="23"/>
    </row>
    <row r="67" spans="1:16" ht="14.25" customHeight="1">
      <c r="B67" s="59">
        <v>2</v>
      </c>
      <c r="C67" s="40"/>
      <c r="D67" s="60"/>
      <c r="E67" s="41"/>
      <c r="F67" s="41"/>
      <c r="G67" s="41"/>
      <c r="H67" s="23"/>
      <c r="I67" s="23"/>
      <c r="J67" s="23"/>
      <c r="K67" s="23"/>
      <c r="L67" s="23"/>
      <c r="M67" s="23"/>
      <c r="N67" s="23"/>
      <c r="O67" s="23"/>
      <c r="P67" s="23"/>
    </row>
    <row r="68" spans="1:16" ht="14.25" customHeight="1">
      <c r="B68" s="59">
        <v>3</v>
      </c>
      <c r="C68" s="40"/>
      <c r="D68" s="60"/>
      <c r="E68" s="41"/>
      <c r="F68" s="41"/>
      <c r="G68" s="41"/>
      <c r="H68" s="23"/>
      <c r="I68" s="23"/>
      <c r="J68" s="23"/>
      <c r="K68" s="23"/>
      <c r="L68" s="23"/>
      <c r="M68" s="23"/>
      <c r="N68" s="23"/>
      <c r="O68" s="23"/>
      <c r="P68" s="23"/>
    </row>
    <row r="69" spans="1:16" ht="14.25" customHeight="1">
      <c r="B69" s="59">
        <v>4</v>
      </c>
      <c r="C69" s="40"/>
      <c r="D69" s="60"/>
      <c r="E69" s="41"/>
      <c r="F69" s="41"/>
      <c r="G69" s="41"/>
      <c r="H69" s="23"/>
      <c r="I69" s="23"/>
      <c r="J69" s="23"/>
      <c r="K69" s="23"/>
      <c r="L69" s="23"/>
      <c r="M69" s="23"/>
      <c r="N69" s="23"/>
      <c r="O69" s="23"/>
      <c r="P69" s="23"/>
    </row>
    <row r="70" spans="1:16" ht="14.25" customHeight="1">
      <c r="B70" s="59">
        <v>5</v>
      </c>
      <c r="C70" s="40"/>
      <c r="D70" s="60"/>
      <c r="E70" s="41"/>
      <c r="F70" s="41"/>
      <c r="G70" s="41"/>
      <c r="H70" s="23"/>
      <c r="I70" s="23"/>
      <c r="J70" s="23"/>
      <c r="K70" s="23"/>
      <c r="L70" s="23"/>
      <c r="M70" s="23"/>
      <c r="N70" s="23"/>
      <c r="O70" s="23"/>
      <c r="P70" s="23"/>
    </row>
    <row r="71" spans="1:16" ht="14.25" customHeight="1">
      <c r="B71" s="59">
        <v>6</v>
      </c>
      <c r="C71" s="40"/>
      <c r="D71" s="60"/>
      <c r="E71" s="41"/>
      <c r="F71" s="41"/>
      <c r="G71" s="41"/>
      <c r="H71" s="23"/>
      <c r="I71" s="23"/>
      <c r="J71" s="23"/>
      <c r="K71" s="23"/>
      <c r="L71" s="23"/>
      <c r="M71" s="23"/>
      <c r="N71" s="23"/>
      <c r="O71" s="23"/>
      <c r="P71" s="23"/>
    </row>
    <row r="72" spans="1:16" ht="14.25" customHeight="1">
      <c r="B72" s="59">
        <v>7</v>
      </c>
      <c r="C72" s="40"/>
      <c r="D72" s="60"/>
      <c r="E72" s="41"/>
      <c r="F72" s="41"/>
      <c r="G72" s="41"/>
      <c r="H72" s="23"/>
      <c r="I72" s="23"/>
      <c r="J72" s="23"/>
      <c r="K72" s="23"/>
      <c r="L72" s="23"/>
      <c r="M72" s="23"/>
      <c r="N72" s="23"/>
      <c r="O72" s="23"/>
      <c r="P72" s="23"/>
    </row>
    <row r="73" spans="1:16" ht="14.25" customHeight="1">
      <c r="B73" s="59">
        <v>8</v>
      </c>
      <c r="C73" s="40"/>
      <c r="D73" s="60"/>
      <c r="E73" s="41"/>
      <c r="F73" s="41"/>
      <c r="G73" s="41"/>
      <c r="H73" s="23"/>
      <c r="I73" s="23"/>
      <c r="J73" s="23"/>
      <c r="K73" s="23"/>
      <c r="L73" s="23"/>
      <c r="M73" s="23"/>
      <c r="N73" s="23"/>
      <c r="O73" s="23"/>
      <c r="P73" s="23"/>
    </row>
    <row r="74" spans="1:16" ht="14.25" customHeight="1">
      <c r="B74" s="59">
        <v>9</v>
      </c>
      <c r="C74" s="40"/>
      <c r="D74" s="60"/>
      <c r="E74" s="41"/>
      <c r="F74" s="41"/>
      <c r="G74" s="41"/>
      <c r="H74" s="23"/>
      <c r="I74" s="23"/>
      <c r="J74" s="23"/>
      <c r="K74" s="23"/>
      <c r="L74" s="23"/>
      <c r="M74" s="23"/>
      <c r="N74" s="23"/>
      <c r="O74" s="23"/>
      <c r="P74" s="23"/>
    </row>
    <row r="75" spans="1:16" ht="14.25" customHeight="1">
      <c r="B75" s="59">
        <v>10</v>
      </c>
      <c r="C75" s="40"/>
      <c r="D75" s="60"/>
      <c r="E75" s="41"/>
      <c r="F75" s="41"/>
      <c r="G75" s="41"/>
      <c r="H75" s="23"/>
      <c r="I75" s="23"/>
      <c r="J75" s="23"/>
      <c r="K75" s="23"/>
      <c r="L75" s="23"/>
      <c r="M75" s="23"/>
      <c r="N75" s="23"/>
      <c r="O75" s="23"/>
      <c r="P75" s="23"/>
    </row>
    <row r="76" spans="1:16" ht="14.25" customHeight="1">
      <c r="A76" s="52"/>
      <c r="B76" s="23"/>
      <c r="C76" s="52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</row>
    <row r="77" spans="1:16" ht="14.25" customHeight="1">
      <c r="A77" s="52"/>
      <c r="B77" s="23"/>
      <c r="C77" s="52"/>
      <c r="D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</row>
    <row r="78" spans="1:16" ht="15.75" customHeight="1"/>
    <row r="79" spans="1:16" ht="15.75" customHeight="1"/>
    <row r="80" spans="1:16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heetProtection algorithmName="SHA-512" hashValue="IZXJ9MeAOEpBhD6bc5nc0CLonZfjW7A3TcwEiTx2q+RjdynhrtAIenKYaFKIFBhEDwpbdTS3okQFH8K+bGJBKw==" saltValue="Xh1dMX38saMAvvS4MB/xeg==" spinCount="100000" sheet="1" objects="1" scenarios="1" formatColumns="0" formatRows="0" sort="0" autoFilter="0"/>
  <mergeCells count="9">
    <mergeCell ref="B12:G12"/>
    <mergeCell ref="B15:G15"/>
    <mergeCell ref="B26:G26"/>
    <mergeCell ref="B65:G65"/>
    <mergeCell ref="B7:G7"/>
    <mergeCell ref="B8:G8"/>
    <mergeCell ref="B9:G9"/>
    <mergeCell ref="B10:G10"/>
    <mergeCell ref="B11:G11"/>
  </mergeCells>
  <dataValidations count="1">
    <dataValidation type="decimal" operator="greaterThanOrEqual" allowBlank="1" showInputMessage="1" showErrorMessage="1" sqref="E16:G75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Add_AtOR" altText="Add Paid item">
                <anchor moveWithCells="1">
                  <from>
                    <xdr:col>1</xdr:col>
                    <xdr:colOff>38100</xdr:colOff>
                    <xdr:row>26</xdr:row>
                    <xdr:rowOff>28575</xdr:rowOff>
                  </from>
                  <to>
                    <xdr:col>1</xdr:col>
                    <xdr:colOff>762000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Pict="0" macro="[0]!Delete_AtOR" altText="Delete Paid item">
                <anchor moveWithCells="1">
                  <from>
                    <xdr:col>1</xdr:col>
                    <xdr:colOff>809625</xdr:colOff>
                    <xdr:row>26</xdr:row>
                    <xdr:rowOff>28575</xdr:rowOff>
                  </from>
                  <to>
                    <xdr:col>1</xdr:col>
                    <xdr:colOff>1533525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Pict="0" macro="[0]!Add_AtICU" altText="Add Paid item">
                <anchor moveWithCells="1">
                  <from>
                    <xdr:col>1</xdr:col>
                    <xdr:colOff>47625</xdr:colOff>
                    <xdr:row>65</xdr:row>
                    <xdr:rowOff>28575</xdr:rowOff>
                  </from>
                  <to>
                    <xdr:col>1</xdr:col>
                    <xdr:colOff>771525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Pict="0" macro="[0]!Delete_AtICU" altText="Delete Paid item">
                <anchor moveWithCells="1">
                  <from>
                    <xdr:col>1</xdr:col>
                    <xdr:colOff>819150</xdr:colOff>
                    <xdr:row>65</xdr:row>
                    <xdr:rowOff>28575</xdr:rowOff>
                  </from>
                  <to>
                    <xdr:col>1</xdr:col>
                    <xdr:colOff>1543050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7" workbookViewId="0">
      <selection activeCell="M14" sqref="M14"/>
    </sheetView>
  </sheetViews>
  <sheetFormatPr defaultColWidth="14.42578125" defaultRowHeight="15" customHeight="1" outlineLevelRow="1"/>
  <cols>
    <col min="1" max="1" width="2.85546875" style="22" customWidth="1"/>
    <col min="2" max="2" width="26" style="22" customWidth="1"/>
    <col min="3" max="3" width="26.42578125" style="22" customWidth="1"/>
    <col min="4" max="7" width="12.140625" style="22" customWidth="1"/>
    <col min="8" max="8" width="13.42578125" style="22" customWidth="1"/>
    <col min="9" max="14" width="12.140625" style="22" customWidth="1"/>
    <col min="15" max="15" width="1.140625" style="22" customWidth="1"/>
    <col min="16" max="16" width="12.140625" style="22" customWidth="1"/>
    <col min="17" max="26" width="8.7109375" style="22" customWidth="1"/>
    <col min="27" max="16384" width="14.42578125" style="22"/>
  </cols>
  <sheetData>
    <row r="1" spans="2:26" ht="12.75" customHeight="1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2:26" ht="12.75" customHeight="1">
      <c r="B2" s="24" t="s">
        <v>73</v>
      </c>
      <c r="C2" s="24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2:26" ht="12.75" customHeight="1" collapsed="1">
      <c r="B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2:26" ht="12.75" hidden="1" customHeight="1" outlineLevel="1">
      <c r="B4" s="23" t="s">
        <v>74</v>
      </c>
      <c r="C4" s="23">
        <v>16</v>
      </c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2:26" ht="12.75" customHeight="1">
      <c r="B5" s="26" t="s">
        <v>75</v>
      </c>
      <c r="C5" s="27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44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2:26" ht="12.75" customHeight="1">
      <c r="B6" s="29" t="s">
        <v>76</v>
      </c>
      <c r="C6" s="30"/>
      <c r="D6" s="31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45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2:26" ht="12.75" customHeight="1">
      <c r="B7" s="29" t="s">
        <v>77</v>
      </c>
      <c r="C7" s="30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45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2:26" ht="12.75" customHeight="1">
      <c r="B8" s="29" t="s">
        <v>78</v>
      </c>
      <c r="C8" s="30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45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2:26" ht="12.75" customHeight="1">
      <c r="B9" s="33" t="s">
        <v>79</v>
      </c>
      <c r="C9" s="34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46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2:26" ht="12.75" customHeight="1">
      <c r="B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2:26" ht="23.25" customHeight="1">
      <c r="B11" s="36"/>
      <c r="C11" s="36"/>
      <c r="D11" s="150" t="s">
        <v>80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81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2:26" ht="53.25" customHeight="1">
      <c r="B12" s="37" t="s">
        <v>48</v>
      </c>
      <c r="C12" s="37" t="s">
        <v>82</v>
      </c>
      <c r="D12" s="37" t="s">
        <v>83</v>
      </c>
      <c r="E12" s="37" t="s">
        <v>84</v>
      </c>
      <c r="F12" s="37" t="s">
        <v>85</v>
      </c>
      <c r="G12" s="37" t="s">
        <v>86</v>
      </c>
      <c r="H12" s="38" t="s">
        <v>87</v>
      </c>
      <c r="I12" s="47" t="s">
        <v>88</v>
      </c>
      <c r="J12" s="47" t="s">
        <v>89</v>
      </c>
      <c r="K12" s="38" t="s">
        <v>90</v>
      </c>
      <c r="L12" s="38" t="s">
        <v>91</v>
      </c>
      <c r="M12" s="119" t="s">
        <v>172</v>
      </c>
      <c r="N12" s="48" t="s">
        <v>92</v>
      </c>
      <c r="P12" s="154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2:26" ht="12.75" customHeight="1">
      <c r="B13" s="39">
        <v>1</v>
      </c>
      <c r="C13" s="40" t="s">
        <v>93</v>
      </c>
      <c r="D13" s="41"/>
      <c r="E13" s="41">
        <v>50</v>
      </c>
      <c r="F13" s="41"/>
      <c r="G13" s="41">
        <v>50</v>
      </c>
      <c r="H13" s="41"/>
      <c r="I13" s="41"/>
      <c r="J13" s="41"/>
      <c r="K13" s="41"/>
      <c r="L13" s="41"/>
      <c r="M13" s="41"/>
      <c r="N13" s="41"/>
      <c r="P13" s="43">
        <f>SUM(D13:N13)</f>
        <v>100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2:26" ht="12.75" customHeight="1">
      <c r="B14" s="39">
        <v>2</v>
      </c>
      <c r="C14" s="117" t="s">
        <v>94</v>
      </c>
      <c r="D14" s="41"/>
      <c r="E14" s="41">
        <v>40</v>
      </c>
      <c r="F14" s="41"/>
      <c r="G14" s="41">
        <v>40</v>
      </c>
      <c r="H14" s="41"/>
      <c r="I14" s="41"/>
      <c r="J14" s="41"/>
      <c r="K14" s="41"/>
      <c r="L14" s="41"/>
      <c r="M14" s="41"/>
      <c r="N14" s="41"/>
      <c r="P14" s="43">
        <f t="shared" ref="P14:P22" si="0">SUM(D14:N14)</f>
        <v>80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2:26" ht="12.75" customHeight="1">
      <c r="B15" s="39">
        <v>3</v>
      </c>
      <c r="C15" s="40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P15" s="43">
        <f t="shared" si="0"/>
        <v>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2:26" ht="12.75" customHeight="1">
      <c r="B16" s="39">
        <v>4</v>
      </c>
      <c r="C16" s="40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P16" s="43">
        <f t="shared" si="0"/>
        <v>0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2:26" ht="12.75" customHeight="1">
      <c r="B17" s="39">
        <v>5</v>
      </c>
      <c r="C17" s="40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P17" s="43">
        <f t="shared" si="0"/>
        <v>0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2:26" ht="12.75" customHeight="1">
      <c r="B18" s="39">
        <v>6</v>
      </c>
      <c r="C18" s="40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P18" s="43">
        <f t="shared" si="0"/>
        <v>0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2:26" ht="12.75" customHeight="1">
      <c r="B19" s="39">
        <v>7</v>
      </c>
      <c r="C19" s="40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P19" s="43">
        <f t="shared" si="0"/>
        <v>0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2:26" ht="12.75" customHeight="1">
      <c r="B20" s="39">
        <v>8</v>
      </c>
      <c r="C20" s="40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P20" s="43">
        <f t="shared" si="0"/>
        <v>0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2:26" ht="12.75" customHeight="1">
      <c r="B21" s="39">
        <v>9</v>
      </c>
      <c r="C21" s="40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P21" s="43">
        <f t="shared" si="0"/>
        <v>0</v>
      </c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2:26" ht="12.75" customHeight="1">
      <c r="B22" s="39">
        <v>10</v>
      </c>
      <c r="C22" s="40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P22" s="43">
        <f t="shared" si="0"/>
        <v>0</v>
      </c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2:26" ht="12.75" customHeight="1">
      <c r="B23" s="39">
        <v>11</v>
      </c>
      <c r="C23" s="40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P23" s="4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2:26" ht="12.75" customHeight="1">
      <c r="B24" s="39">
        <v>12</v>
      </c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P24" s="4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2:26" ht="12.75" customHeight="1">
      <c r="B25" s="39">
        <v>13</v>
      </c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P25" s="4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2:26" ht="12.75" customHeight="1">
      <c r="B26" s="39">
        <v>14</v>
      </c>
      <c r="C26" s="40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P26" s="4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2:26" ht="12.75" customHeight="1">
      <c r="B27" s="39">
        <v>15</v>
      </c>
      <c r="C27" s="40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P27" s="4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2:26" ht="12.75" customHeight="1">
      <c r="B28" s="39">
        <v>16</v>
      </c>
      <c r="C28" s="40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P28" s="4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2:26" ht="4.3499999999999996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2:26" ht="12.75" customHeight="1">
      <c r="B30" s="39"/>
      <c r="C30" s="42" t="s">
        <v>95</v>
      </c>
      <c r="D30" s="43">
        <f t="shared" ref="D30:N30" si="1">SUM(D13:D22)</f>
        <v>0</v>
      </c>
      <c r="E30" s="43">
        <f t="shared" si="1"/>
        <v>90</v>
      </c>
      <c r="F30" s="43">
        <f t="shared" si="1"/>
        <v>0</v>
      </c>
      <c r="G30" s="43">
        <f t="shared" si="1"/>
        <v>90</v>
      </c>
      <c r="H30" s="43">
        <f t="shared" si="1"/>
        <v>0</v>
      </c>
      <c r="I30" s="43">
        <f t="shared" si="1"/>
        <v>0</v>
      </c>
      <c r="J30" s="43">
        <f t="shared" si="1"/>
        <v>0</v>
      </c>
      <c r="K30" s="43">
        <f t="shared" si="1"/>
        <v>0</v>
      </c>
      <c r="L30" s="43">
        <f t="shared" si="1"/>
        <v>0</v>
      </c>
      <c r="M30" s="43">
        <f t="shared" si="1"/>
        <v>0</v>
      </c>
      <c r="N30" s="43">
        <f t="shared" si="1"/>
        <v>0</v>
      </c>
      <c r="P30" s="49">
        <f>SUM(P13:P22)</f>
        <v>180</v>
      </c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2:26" ht="12.7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2:2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69930555555555596" right="0.69930555555555596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/>
  <cols>
    <col min="1" max="1" width="15.85546875" style="1" customWidth="1"/>
    <col min="2" max="2" width="36.140625" style="1" customWidth="1"/>
    <col min="3" max="3" width="59.5703125" style="1" customWidth="1"/>
    <col min="4" max="4" width="13.5703125" style="1" customWidth="1"/>
    <col min="5" max="5" width="14.7109375" style="1" customWidth="1"/>
    <col min="6" max="6" width="27.85546875" style="1" customWidth="1"/>
    <col min="7" max="7" width="38.42578125" style="1" customWidth="1"/>
    <col min="8" max="9" width="14.7109375" style="1" customWidth="1"/>
    <col min="10" max="16384" width="9.140625" style="1"/>
  </cols>
  <sheetData>
    <row r="1" spans="1:9">
      <c r="E1" s="2"/>
      <c r="F1" s="3" t="str">
        <f>'1.1 Case data_general'!$C$29</f>
        <v>Level I</v>
      </c>
      <c r="G1" s="4" t="str">
        <f>'1.1 Case data_general'!$C$30</f>
        <v>Clinical/Medical services</v>
      </c>
      <c r="H1" s="2"/>
      <c r="I1" s="2"/>
    </row>
    <row r="2" spans="1:9">
      <c r="A2" s="2" t="s">
        <v>96</v>
      </c>
      <c r="B2" s="2" t="s">
        <v>97</v>
      </c>
      <c r="C2" s="2" t="s">
        <v>98</v>
      </c>
      <c r="E2" s="2" t="s">
        <v>96</v>
      </c>
      <c r="F2" s="2" t="s">
        <v>97</v>
      </c>
      <c r="G2" s="2" t="s">
        <v>98</v>
      </c>
      <c r="H2"/>
      <c r="I2"/>
    </row>
    <row r="3" spans="1:9" ht="16.5">
      <c r="A3" s="2" t="s">
        <v>21</v>
      </c>
      <c r="B3" s="5" t="s">
        <v>99</v>
      </c>
      <c r="C3" s="6" t="s">
        <v>100</v>
      </c>
      <c r="E3" s="7" t="str">
        <f t="array" ref="E3">IFERROR(INDEX($A$3:$A$117,MATCH(0,COUNTIF(E$2:$E2,$A$3:$A$117),0)),"")</f>
        <v>Level I</v>
      </c>
      <c r="F3" s="8" t="str">
        <f t="array" ref="F3">IFERROR(INDEX($B$3:$B$117,MATCH(0,IF(($A$3:$A$117=$F$1),COUNTIF($F$2:F2,$B$3:$B$117),1),0)),"")</f>
        <v>Administrative/Overhead services</v>
      </c>
      <c r="G3" s="9" t="str">
        <f t="array" ref="G3">IFERROR(INDEX($C$3:$C$117,MATCH(0,IF(($A$3:$A$117=$F$1)*($B$3:$B$117=$G$1),COUNTIF($G$2:G2,$C$3:$C$117),1),0)),"")</f>
        <v>Outpatient Department (general)</v>
      </c>
      <c r="H3"/>
      <c r="I3"/>
    </row>
    <row r="4" spans="1:9" ht="16.5">
      <c r="A4" s="2" t="s">
        <v>21</v>
      </c>
      <c r="B4" s="5" t="s">
        <v>99</v>
      </c>
      <c r="C4" s="6" t="s">
        <v>101</v>
      </c>
      <c r="E4" s="10" t="str">
        <f t="array" ref="E4">IFERROR(INDEX($A$3:$A$117,MATCH(0,COUNTIF(E$2:$E3,$A$3:$A$117),0)),"")</f>
        <v>Level II and III</v>
      </c>
      <c r="F4" s="11" t="str">
        <f t="array" ref="F4">IFERROR(INDEX($B$3:$B$117,MATCH(0,IF(($A$3:$A$117=$F$1),COUNTIF($F$2:F3,$B$3:$B$117),1),0)),"")</f>
        <v>Ancillary services/Support services</v>
      </c>
      <c r="G4" s="12" t="str">
        <f t="array" ref="G4">IFERROR(INDEX($C$3:$C$117,MATCH(0,IF(($A$3:$A$117=$F$1)*($B$3:$B$117=$G$1),COUNTIF($G$2:G3,$C$3:$C$117),1),0)),"")</f>
        <v>Animal Bite Center</v>
      </c>
      <c r="H4"/>
      <c r="I4"/>
    </row>
    <row r="5" spans="1:9" ht="16.5">
      <c r="A5" s="2" t="s">
        <v>21</v>
      </c>
      <c r="B5" s="5" t="s">
        <v>99</v>
      </c>
      <c r="C5" s="6" t="s">
        <v>102</v>
      </c>
      <c r="E5" s="13"/>
      <c r="F5" s="11" t="str">
        <f t="array" ref="F5">IFERROR(INDEX($B$3:$B$117,MATCH(0,IF(($A$3:$A$117=$F$1),COUNTIF($F$2:F4,$B$3:$B$117),1),0)),"")</f>
        <v>Clinical/Medical services</v>
      </c>
      <c r="G5" s="12" t="str">
        <f t="array" ref="G5">IFERROR(INDEX($C$3:$C$117,MATCH(0,IF(($A$3:$A$117=$F$1)*($B$3:$B$117=$G$1),COUNTIF($G$2:G4,$C$3:$C$117),1),0)),"")</f>
        <v>TB Dots</v>
      </c>
      <c r="H5"/>
      <c r="I5"/>
    </row>
    <row r="6" spans="1:9" ht="16.5">
      <c r="A6" s="2" t="s">
        <v>21</v>
      </c>
      <c r="B6" s="5" t="s">
        <v>99</v>
      </c>
      <c r="C6" s="6" t="s">
        <v>103</v>
      </c>
      <c r="E6" s="10"/>
      <c r="F6" s="11" t="str">
        <f t="array" ref="F6">IFERROR(INDEX($B$3:$B$117,MATCH(0,IF(($A$3:$A$117=$F$1),COUNTIF($F$2:F5,$B$3:$B$117),1),0)),"")</f>
        <v/>
      </c>
      <c r="G6" s="12" t="str">
        <f t="array" ref="G6">IFERROR(INDEX($C$3:$C$117,MATCH(0,IF(($A$3:$A$117=$F$1)*($B$3:$B$117=$G$1),COUNTIF($G$2:G5,$C$3:$C$117),1),0)),"")</f>
        <v>HIV Aids</v>
      </c>
      <c r="H6"/>
      <c r="I6"/>
    </row>
    <row r="7" spans="1:9" ht="16.5">
      <c r="A7" s="2" t="s">
        <v>21</v>
      </c>
      <c r="B7" s="5" t="s">
        <v>99</v>
      </c>
      <c r="C7" s="6" t="s">
        <v>104</v>
      </c>
      <c r="E7" s="10" t="str">
        <f>IFERROR(INDEX($B$3:$B$117,MATCH(0,IF($A$3:$A$117=F$1,COUNTIF(F$1:F4,$B$3:$B$117),1),0)),"")</f>
        <v/>
      </c>
      <c r="F7" s="11" t="str">
        <f t="array" ref="F7">IFERROR(INDEX($B$3:$B$117,MATCH(0,IF(($A$3:$A$117=$F$1),COUNTIF($F$2:F6,$B$3:$B$117),1),0)),"")</f>
        <v/>
      </c>
      <c r="G7" s="12" t="str">
        <f t="array" ref="G7">IFERROR(INDEX($C$3:$C$117,MATCH(0,IF(($A$3:$A$117=$F$1)*($B$3:$B$117=$G$1),COUNTIF($G$2:G6,$C$3:$C$117),1),0)),"")</f>
        <v>Family Planning Unit</v>
      </c>
      <c r="H7"/>
      <c r="I7"/>
    </row>
    <row r="8" spans="1:9" ht="16.5">
      <c r="A8" s="2" t="s">
        <v>21</v>
      </c>
      <c r="B8" s="5" t="s">
        <v>99</v>
      </c>
      <c r="C8" s="6" t="s">
        <v>105</v>
      </c>
      <c r="E8" s="10"/>
      <c r="F8" s="11" t="str">
        <f t="array" ref="F8">IFERROR(INDEX($B$3:$B$117,MATCH(0,IF(($A$3:$A$117=$F$1),COUNTIF($F$2:F7,$B$3:$B$117),1),0)),"")</f>
        <v/>
      </c>
      <c r="G8" s="12" t="str">
        <f t="array" ref="G8">IFERROR(INDEX($C$3:$C$117,MATCH(0,IF(($A$3:$A$117=$F$1)*($B$3:$B$117=$G$1),COUNTIF($G$2:G7,$C$3:$C$117),1),0)),"")</f>
        <v>Smoking Cessation</v>
      </c>
      <c r="H8"/>
      <c r="I8"/>
    </row>
    <row r="9" spans="1:9" ht="16.5">
      <c r="A9" s="2" t="s">
        <v>21</v>
      </c>
      <c r="B9" s="5" t="s">
        <v>99</v>
      </c>
      <c r="C9" s="6" t="s">
        <v>106</v>
      </c>
      <c r="E9" s="10"/>
      <c r="F9" s="11" t="str">
        <f t="array" ref="F9">IFERROR(INDEX($B$3:$B$117,MATCH(0,IF(($A$3:$A$117=$F$1),COUNTIF($F$2:F8,$B$3:$B$117),1),0)),"")</f>
        <v/>
      </c>
      <c r="G9" s="12" t="str">
        <f t="array" ref="G9">IFERROR(INDEX($C$3:$C$117,MATCH(0,IF(($A$3:$A$117=$F$1)*($B$3:$B$117=$G$1),COUNTIF($G$2:G8,$C$3:$C$117),1),0)),"")</f>
        <v>Malaria</v>
      </c>
      <c r="H9"/>
      <c r="I9"/>
    </row>
    <row r="10" spans="1:9" ht="16.5">
      <c r="A10" s="2" t="s">
        <v>21</v>
      </c>
      <c r="B10" s="5" t="s">
        <v>99</v>
      </c>
      <c r="C10" s="6" t="s">
        <v>107</v>
      </c>
      <c r="E10" s="10"/>
      <c r="F10" s="11" t="str">
        <f t="array" ref="F10">IFERROR(INDEX($B$3:$B$117,MATCH(0,IF(($A$3:$A$117=$F$1),COUNTIF($F$2:F9,$B$3:$B$117),1),0)),"")</f>
        <v/>
      </c>
      <c r="G10" s="12" t="str">
        <f t="array" ref="G10">IFERROR(INDEX($C$3:$C$117,MATCH(0,IF(($A$3:$A$117=$F$1)*($B$3:$B$117=$G$1),COUNTIF($G$2:G9,$C$3:$C$117),1),0)),"")</f>
        <v xml:space="preserve">Diabetes </v>
      </c>
      <c r="H10"/>
      <c r="I10"/>
    </row>
    <row r="11" spans="1:9" ht="16.5">
      <c r="A11" s="2" t="s">
        <v>21</v>
      </c>
      <c r="B11" s="5" t="s">
        <v>99</v>
      </c>
      <c r="C11" s="6" t="s">
        <v>108</v>
      </c>
      <c r="E11" s="10"/>
      <c r="F11" s="11" t="str">
        <f t="array" ref="F11">IFERROR(INDEX($B$3:$B$117,MATCH(0,IF(($A$3:$A$117=$F$1),COUNTIF($F$2:F10,$B$3:$B$117),1),0)),"")</f>
        <v/>
      </c>
      <c r="G11" s="12" t="str">
        <f t="array" ref="G11">IFERROR(INDEX($C$3:$C$117,MATCH(0,IF(($A$3:$A$117=$F$1)*($B$3:$B$117=$G$1),COUNTIF($G$2:G10,$C$3:$C$117),1),0)),"")</f>
        <v>Hypertension</v>
      </c>
      <c r="H11"/>
      <c r="I11"/>
    </row>
    <row r="12" spans="1:9" ht="16.5">
      <c r="A12" s="2" t="s">
        <v>21</v>
      </c>
      <c r="B12" s="5" t="s">
        <v>99</v>
      </c>
      <c r="C12" s="6" t="s">
        <v>109</v>
      </c>
      <c r="E12" s="10"/>
      <c r="F12" s="11" t="str">
        <f t="array" ref="F12">IFERROR(INDEX($B$3:$B$117,MATCH(0,IF(($A$3:$A$117=$F$1),COUNTIF($F$2:F11,$B$3:$B$117),1),0)),"")</f>
        <v/>
      </c>
      <c r="G12" s="12" t="str">
        <f t="array" ref="G12">IFERROR(INDEX($C$3:$C$117,MATCH(0,IF(($A$3:$A$117=$F$1)*($B$3:$B$117=$G$1),COUNTIF($G$2:G11,$C$3:$C$117),1),0)),"")</f>
        <v>Emergency Medicine Department</v>
      </c>
      <c r="H12"/>
      <c r="I12"/>
    </row>
    <row r="13" spans="1:9" ht="16.5">
      <c r="A13" s="2" t="s">
        <v>21</v>
      </c>
      <c r="B13" s="5" t="s">
        <v>99</v>
      </c>
      <c r="C13" s="6" t="s">
        <v>110</v>
      </c>
      <c r="E13" s="10"/>
      <c r="F13" s="11" t="str">
        <f t="array" ref="F13">IFERROR(INDEX($B$3:$B$117,MATCH(0,IF(($A$3:$A$117=$F$1),COUNTIF($F$2:F12,$B$3:$B$117),1),0)),"")</f>
        <v/>
      </c>
      <c r="G13" s="12" t="str">
        <f t="array" ref="G13">IFERROR(INDEX($C$3:$C$117,MATCH(0,IF(($A$3:$A$117=$F$1)*($B$3:$B$117=$G$1),COUNTIF($G$2:G12,$C$3:$C$117),1),0)),"")</f>
        <v>Dialysis Unit</v>
      </c>
      <c r="H13"/>
      <c r="I13"/>
    </row>
    <row r="14" spans="1:9" ht="16.5">
      <c r="A14" s="2" t="s">
        <v>21</v>
      </c>
      <c r="B14" s="5" t="s">
        <v>99</v>
      </c>
      <c r="C14" s="6" t="s">
        <v>111</v>
      </c>
      <c r="E14" s="10"/>
      <c r="F14" s="11" t="str">
        <f t="array" ref="F14">IFERROR(INDEX($B$3:$B$117,MATCH(0,IF(($A$3:$A$117=$F$1),COUNTIF($F$2:F13,$B$3:$B$117),1),0)),"")</f>
        <v/>
      </c>
      <c r="G14" s="12" t="str">
        <f t="array" ref="G14">IFERROR(INDEX($C$3:$C$117,MATCH(0,IF(($A$3:$A$117=$F$1)*($B$3:$B$117=$G$1),COUNTIF($G$2:G13,$C$3:$C$117),1),0)),"")</f>
        <v>Radiation Oncology Unit*</v>
      </c>
      <c r="H14"/>
      <c r="I14"/>
    </row>
    <row r="15" spans="1:9" ht="16.5">
      <c r="A15" s="2" t="s">
        <v>21</v>
      </c>
      <c r="B15" s="5" t="s">
        <v>99</v>
      </c>
      <c r="C15" s="6" t="s">
        <v>112</v>
      </c>
      <c r="E15" s="10"/>
      <c r="F15" s="11" t="str">
        <f t="array" ref="F15">IFERROR(INDEX($B$3:$B$117,MATCH(0,IF(($A$3:$A$117=$F$1),COUNTIF($F$2:F14,$B$3:$B$117),1),0)),"")</f>
        <v/>
      </c>
      <c r="G15" s="12" t="str">
        <f t="array" ref="G15">IFERROR(INDEX($C$3:$C$117,MATCH(0,IF(($A$3:$A$117=$F$1)*($B$3:$B$117=$G$1),COUNTIF($G$2:G14,$C$3:$C$117),1),0)),"")</f>
        <v>Dental</v>
      </c>
      <c r="H15"/>
      <c r="I15"/>
    </row>
    <row r="16" spans="1:9" ht="16.5">
      <c r="A16" s="2" t="s">
        <v>21</v>
      </c>
      <c r="B16" s="5" t="s">
        <v>99</v>
      </c>
      <c r="C16" s="6" t="s">
        <v>113</v>
      </c>
      <c r="E16" s="10"/>
      <c r="F16" s="11" t="str">
        <f t="array" ref="F16">IFERROR(INDEX($B$3:$B$117,MATCH(0,IF(($A$3:$A$117=$F$1),COUNTIF($F$2:F15,$B$3:$B$117),1),0)),"")</f>
        <v/>
      </c>
      <c r="G16" s="12" t="str">
        <f t="array" ref="G16">IFERROR(INDEX($C$3:$C$117,MATCH(0,IF(($A$3:$A$117=$F$1)*($B$3:$B$117=$G$1),COUNTIF($G$2:G15,$C$3:$C$117),1),0)),"")</f>
        <v>Internal Medicine Ward</v>
      </c>
      <c r="H16"/>
      <c r="I16"/>
    </row>
    <row r="17" spans="1:9" ht="16.5">
      <c r="A17" s="2" t="s">
        <v>21</v>
      </c>
      <c r="B17" s="5" t="s">
        <v>99</v>
      </c>
      <c r="C17" s="6" t="s">
        <v>114</v>
      </c>
      <c r="E17" s="13"/>
      <c r="F17" s="11" t="str">
        <f t="array" ref="F17">IFERROR(INDEX($B$3:$B$117,MATCH(0,IF(($A$3:$A$117=$F$1),COUNTIF($F$2:F16,$B$3:$B$117),1),0)),"")</f>
        <v/>
      </c>
      <c r="G17" s="12" t="str">
        <f t="array" ref="G17">IFERROR(INDEX($C$3:$C$117,MATCH(0,IF(($A$3:$A$117=$F$1)*($B$3:$B$117=$G$1),COUNTIF($G$2:G16,$C$3:$C$117),1),0)),"")</f>
        <v>Pediatric Ward</v>
      </c>
      <c r="H17"/>
      <c r="I17"/>
    </row>
    <row r="18" spans="1:9" ht="16.5">
      <c r="A18" s="2" t="s">
        <v>21</v>
      </c>
      <c r="B18" s="5" t="s">
        <v>99</v>
      </c>
      <c r="C18" s="6" t="s">
        <v>115</v>
      </c>
      <c r="E18" s="13"/>
      <c r="F18" s="11" t="str">
        <f t="array" ref="F18">IFERROR(INDEX($B$3:$B$117,MATCH(0,IF(($A$3:$A$117=$F$1),COUNTIF($F$2:F17,$B$3:$B$117),1),0)),"")</f>
        <v/>
      </c>
      <c r="G18" s="12" t="str">
        <f t="array" ref="G18">IFERROR(INDEX($C$3:$C$117,MATCH(0,IF(($A$3:$A$117=$F$1)*($B$3:$B$117=$G$1),COUNTIF($G$2:G17,$C$3:$C$117),1),0)),"")</f>
        <v>Surgical Ward</v>
      </c>
      <c r="H18"/>
      <c r="I18"/>
    </row>
    <row r="19" spans="1:9" ht="16.5">
      <c r="A19" s="2" t="s">
        <v>21</v>
      </c>
      <c r="B19" s="5" t="s">
        <v>99</v>
      </c>
      <c r="C19" s="6" t="s">
        <v>116</v>
      </c>
      <c r="E19" s="13"/>
      <c r="F19" s="11" t="str">
        <f t="array" ref="F19">IFERROR(INDEX($B$3:$B$117,MATCH(0,IF(($A$3:$A$117=$F$1),COUNTIF($F$2:F18,$B$3:$B$117),1),0)),"")</f>
        <v/>
      </c>
      <c r="G19" s="12" t="str">
        <f t="array" ref="G19">IFERROR(INDEX($C$3:$C$117,MATCH(0,IF(($A$3:$A$117=$F$1)*($B$3:$B$117=$G$1),COUNTIF($G$2:G18,$C$3:$C$117),1),0)),"")</f>
        <v>Ob/Gyne Ward</v>
      </c>
      <c r="H19"/>
      <c r="I19"/>
    </row>
    <row r="20" spans="1:9" ht="16.5">
      <c r="A20" s="2" t="s">
        <v>21</v>
      </c>
      <c r="B20" s="5" t="s">
        <v>99</v>
      </c>
      <c r="C20" s="6" t="s">
        <v>117</v>
      </c>
      <c r="E20" s="13"/>
      <c r="F20" s="11" t="str">
        <f t="array" ref="F20">IFERROR(INDEX($B$3:$B$117,MATCH(0,IF(($A$3:$A$117=$F$1),COUNTIF($F$2:F19,$B$3:$B$117),1),0)),"")</f>
        <v/>
      </c>
      <c r="G20" s="12" t="str">
        <f t="array" ref="G20">IFERROR(INDEX($C$3:$C$117,MATCH(0,IF(($A$3:$A$117=$F$1)*($B$3:$B$117=$G$1),COUNTIF($G$2:G19,$C$3:$C$117),1),0)),"")</f>
        <v>Private Ward</v>
      </c>
      <c r="H20"/>
      <c r="I20"/>
    </row>
    <row r="21" spans="1:9" ht="16.5">
      <c r="A21" s="2" t="s">
        <v>21</v>
      </c>
      <c r="B21" s="5" t="s">
        <v>118</v>
      </c>
      <c r="C21" s="6" t="s">
        <v>119</v>
      </c>
      <c r="E21" s="13"/>
      <c r="F21" s="11" t="str">
        <f t="array" ref="F21">IFERROR(INDEX($B$3:$B$117,MATCH(0,IF(($A$3:$A$117=$F$1),COUNTIF($F$2:F20,$B$3:$B$117),1),0)),"")</f>
        <v/>
      </c>
      <c r="G21" s="12" t="str">
        <f t="array" ref="G21">IFERROR(INDEX($C$3:$C$117,MATCH(0,IF(($A$3:$A$117=$F$1)*($B$3:$B$117=$G$1),COUNTIF($G$2:G20,$C$3:$C$117),1),0)),"")</f>
        <v/>
      </c>
      <c r="H21"/>
      <c r="I21"/>
    </row>
    <row r="22" spans="1:9" ht="16.5">
      <c r="A22" s="2" t="s">
        <v>21</v>
      </c>
      <c r="B22" s="5" t="s">
        <v>118</v>
      </c>
      <c r="C22" s="6" t="s">
        <v>120</v>
      </c>
      <c r="E22" s="13"/>
      <c r="F22" s="11" t="str">
        <f t="array" ref="F22">IFERROR(INDEX($B$3:$B$117,MATCH(0,IF(($A$3:$A$117=$F$1),COUNTIF($F$2:F21,$B$3:$B$117),1),0)),"")</f>
        <v/>
      </c>
      <c r="G22" s="12" t="str">
        <f t="array" ref="G22">IFERROR(INDEX($C$3:$C$117,MATCH(0,IF(($A$3:$A$117=$F$1)*($B$3:$B$117=$G$1),COUNTIF($G$2:G21,$C$3:$C$117),1),0)),"")</f>
        <v/>
      </c>
      <c r="H22"/>
      <c r="I22"/>
    </row>
    <row r="23" spans="1:9" ht="16.5">
      <c r="A23" s="2" t="s">
        <v>21</v>
      </c>
      <c r="B23" s="5" t="s">
        <v>118</v>
      </c>
      <c r="C23" s="14" t="s">
        <v>121</v>
      </c>
      <c r="E23" s="13"/>
      <c r="F23" s="11" t="str">
        <f t="array" ref="F23">IFERROR(INDEX($B$3:$B$117,MATCH(0,IF(($A$3:$A$117=$F$1),COUNTIF($F$2:F22,$B$3:$B$117),1),0)),"")</f>
        <v/>
      </c>
      <c r="G23" s="12" t="str">
        <f t="array" ref="G23">IFERROR(INDEX($C$3:$C$117,MATCH(0,IF(($A$3:$A$117=$F$1)*($B$3:$B$117=$G$1),COUNTIF($G$2:G22,$C$3:$C$117),1),0)),"")</f>
        <v/>
      </c>
      <c r="H23"/>
      <c r="I23"/>
    </row>
    <row r="24" spans="1:9" ht="16.5">
      <c r="A24" s="2" t="s">
        <v>21</v>
      </c>
      <c r="B24" s="5" t="s">
        <v>118</v>
      </c>
      <c r="C24" s="6" t="s">
        <v>122</v>
      </c>
      <c r="E24" s="13"/>
      <c r="F24" s="11" t="str">
        <f t="array" ref="F24">IFERROR(INDEX($B$3:$B$117,MATCH(0,IF(($A$3:$A$117=$F$1),COUNTIF($F$2:F23,$B$3:$B$117),1),0)),"")</f>
        <v/>
      </c>
      <c r="G24" s="12" t="str">
        <f t="array" ref="G24">IFERROR(INDEX($C$3:$C$117,MATCH(0,IF(($A$3:$A$117=$F$1)*($B$3:$B$117=$G$1),COUNTIF($G$2:G23,$C$3:$C$117),1),0)),"")</f>
        <v/>
      </c>
      <c r="H24"/>
      <c r="I24"/>
    </row>
    <row r="25" spans="1:9" ht="16.5">
      <c r="A25" s="2" t="s">
        <v>21</v>
      </c>
      <c r="B25" s="5" t="s">
        <v>118</v>
      </c>
      <c r="C25" s="14" t="s">
        <v>123</v>
      </c>
      <c r="E25" s="13"/>
      <c r="F25" s="11" t="str">
        <f t="array" ref="F25">IFERROR(INDEX($B$3:$B$117,MATCH(0,IF(($A$3:$A$117=$F$1),COUNTIF($F$2:F24,$B$3:$B$117),1),0)),"")</f>
        <v/>
      </c>
      <c r="G25" s="12" t="str">
        <f t="array" ref="G25">IFERROR(INDEX($C$3:$C$117,MATCH(0,IF(($A$3:$A$117=$F$1)*($B$3:$B$117=$G$1),COUNTIF($G$2:G24,$C$3:$C$117),1),0)),"")</f>
        <v/>
      </c>
      <c r="H25"/>
      <c r="I25"/>
    </row>
    <row r="26" spans="1:9" ht="16.5">
      <c r="A26" s="2" t="s">
        <v>21</v>
      </c>
      <c r="B26" s="5" t="s">
        <v>118</v>
      </c>
      <c r="C26" s="6" t="s">
        <v>124</v>
      </c>
      <c r="E26" s="13"/>
      <c r="F26" s="11" t="str">
        <f t="array" ref="F26">IFERROR(INDEX($B$3:$B$117,MATCH(0,IF(($A$3:$A$117=$F$1),COUNTIF($F$2:F25,$B$3:$B$117),1),0)),"")</f>
        <v/>
      </c>
      <c r="G26" s="12" t="str">
        <f t="array" ref="G26">IFERROR(INDEX($C$3:$C$117,MATCH(0,IF(($A$3:$A$117=$F$1)*($B$3:$B$117=$G$1),COUNTIF($G$2:G25,$C$3:$C$117),1),0)),"")</f>
        <v/>
      </c>
      <c r="H26"/>
      <c r="I26"/>
    </row>
    <row r="27" spans="1:9" ht="16.5">
      <c r="A27" s="2" t="s">
        <v>21</v>
      </c>
      <c r="B27" s="5" t="s">
        <v>118</v>
      </c>
      <c r="C27" s="6" t="s">
        <v>125</v>
      </c>
      <c r="E27" s="15"/>
      <c r="F27" s="16" t="str">
        <f t="array" ref="F27">IFERROR(INDEX($B$3:$B$117,MATCH(0,IF(($A$3:$A$117=$F$1),COUNTIF($F$2:F26,$B$3:$B$117),1),0)),"")</f>
        <v/>
      </c>
      <c r="G27" s="17" t="str">
        <f t="array" ref="G27">IFERROR(INDEX($C$3:$C$117,MATCH(0,IF(($A$3:$A$117=$F$1)*($B$3:$B$117=$G$1),COUNTIF($G$2:G26,$C$3:$C$117),1),0)),"")</f>
        <v/>
      </c>
      <c r="H27"/>
      <c r="I27"/>
    </row>
    <row r="28" spans="1:9" ht="16.5">
      <c r="A28" s="2" t="s">
        <v>21</v>
      </c>
      <c r="B28" s="5" t="s">
        <v>118</v>
      </c>
      <c r="C28" s="6" t="s">
        <v>126</v>
      </c>
      <c r="E28"/>
      <c r="F28" s="18"/>
      <c r="G28" s="18"/>
      <c r="H28"/>
      <c r="I28"/>
    </row>
    <row r="29" spans="1:9" ht="16.5">
      <c r="A29" s="2" t="s">
        <v>21</v>
      </c>
      <c r="B29" s="5" t="s">
        <v>118</v>
      </c>
      <c r="C29" s="6" t="s">
        <v>127</v>
      </c>
      <c r="E29"/>
      <c r="F29" s="18"/>
      <c r="G29" s="18"/>
      <c r="H29"/>
      <c r="I29"/>
    </row>
    <row r="30" spans="1:9" ht="16.5">
      <c r="A30" s="2" t="s">
        <v>21</v>
      </c>
      <c r="B30" s="5" t="s">
        <v>118</v>
      </c>
      <c r="C30" s="19" t="s">
        <v>128</v>
      </c>
      <c r="E30"/>
      <c r="F30" s="18"/>
      <c r="G30" s="18"/>
      <c r="H30"/>
      <c r="I30"/>
    </row>
    <row r="31" spans="1:9" ht="16.5">
      <c r="A31" s="2" t="s">
        <v>21</v>
      </c>
      <c r="B31" s="5" t="s">
        <v>118</v>
      </c>
      <c r="C31" s="6" t="s">
        <v>129</v>
      </c>
      <c r="E31"/>
      <c r="F31" s="18"/>
      <c r="G31" s="18"/>
      <c r="H31"/>
      <c r="I31"/>
    </row>
    <row r="32" spans="1:9" ht="16.5">
      <c r="A32" s="2" t="s">
        <v>21</v>
      </c>
      <c r="B32" s="5" t="s">
        <v>118</v>
      </c>
      <c r="C32" s="19" t="s">
        <v>130</v>
      </c>
      <c r="E32"/>
      <c r="F32" s="18"/>
      <c r="G32" s="18"/>
      <c r="H32"/>
      <c r="I32"/>
    </row>
    <row r="33" spans="1:9" ht="16.5">
      <c r="A33" s="2" t="s">
        <v>21</v>
      </c>
      <c r="B33" s="5" t="s">
        <v>118</v>
      </c>
      <c r="C33" s="19" t="s">
        <v>131</v>
      </c>
      <c r="E33"/>
      <c r="F33" s="18"/>
      <c r="G33" s="18"/>
      <c r="H33"/>
      <c r="I33"/>
    </row>
    <row r="34" spans="1:9" ht="16.5">
      <c r="A34" s="2" t="s">
        <v>21</v>
      </c>
      <c r="B34" s="5" t="s">
        <v>118</v>
      </c>
      <c r="C34" s="19" t="s">
        <v>132</v>
      </c>
      <c r="E34"/>
      <c r="F34" s="18"/>
      <c r="G34" s="18"/>
      <c r="H34"/>
      <c r="I34"/>
    </row>
    <row r="35" spans="1:9" ht="16.5">
      <c r="A35" s="2" t="s">
        <v>21</v>
      </c>
      <c r="B35" s="5" t="s">
        <v>118</v>
      </c>
      <c r="C35" s="19" t="s">
        <v>133</v>
      </c>
      <c r="E35"/>
      <c r="F35" s="18"/>
      <c r="G35" s="18"/>
      <c r="H35"/>
      <c r="I35"/>
    </row>
    <row r="36" spans="1:9" ht="16.5">
      <c r="A36" s="2" t="s">
        <v>21</v>
      </c>
      <c r="B36" s="5" t="s">
        <v>118</v>
      </c>
      <c r="C36" s="14" t="s">
        <v>134</v>
      </c>
      <c r="E36"/>
      <c r="F36" s="18"/>
      <c r="G36" s="18"/>
      <c r="H36"/>
      <c r="I36"/>
    </row>
    <row r="37" spans="1:9" ht="16.5">
      <c r="A37" s="2" t="s">
        <v>21</v>
      </c>
      <c r="B37" s="5" t="s">
        <v>118</v>
      </c>
      <c r="C37" s="14" t="s">
        <v>135</v>
      </c>
      <c r="E37"/>
      <c r="F37" s="18"/>
      <c r="G37" s="18"/>
      <c r="H37"/>
      <c r="I37"/>
    </row>
    <row r="38" spans="1:9" ht="16.5">
      <c r="A38" s="2" t="s">
        <v>21</v>
      </c>
      <c r="B38" s="5" t="s">
        <v>118</v>
      </c>
      <c r="C38" s="6" t="s">
        <v>117</v>
      </c>
      <c r="E38"/>
      <c r="F38" s="18"/>
      <c r="G38" s="18"/>
      <c r="H38"/>
      <c r="I38"/>
    </row>
    <row r="39" spans="1:9" ht="16.5">
      <c r="A39" s="2" t="s">
        <v>21</v>
      </c>
      <c r="B39" s="5" t="s">
        <v>23</v>
      </c>
      <c r="C39" s="6" t="s">
        <v>136</v>
      </c>
      <c r="E39"/>
      <c r="F39" s="18"/>
      <c r="G39" s="18"/>
      <c r="H39"/>
      <c r="I39"/>
    </row>
    <row r="40" spans="1:9" ht="16.5">
      <c r="A40" s="2" t="s">
        <v>21</v>
      </c>
      <c r="B40" s="5" t="s">
        <v>23</v>
      </c>
      <c r="C40" s="6" t="s">
        <v>137</v>
      </c>
      <c r="E40"/>
      <c r="F40" s="18"/>
      <c r="G40" s="18"/>
      <c r="H40"/>
      <c r="I40"/>
    </row>
    <row r="41" spans="1:9" ht="16.5">
      <c r="A41" s="2" t="s">
        <v>21</v>
      </c>
      <c r="B41" s="5" t="s">
        <v>23</v>
      </c>
      <c r="C41" s="6" t="s">
        <v>138</v>
      </c>
      <c r="E41"/>
      <c r="F41" s="18"/>
      <c r="G41" s="18"/>
      <c r="H41"/>
      <c r="I41"/>
    </row>
    <row r="42" spans="1:9" ht="16.5">
      <c r="A42" s="2" t="s">
        <v>21</v>
      </c>
      <c r="B42" s="5" t="s">
        <v>23</v>
      </c>
      <c r="C42" s="6" t="s">
        <v>139</v>
      </c>
      <c r="E42"/>
      <c r="F42" s="18"/>
      <c r="G42" s="18"/>
      <c r="H42"/>
      <c r="I42"/>
    </row>
    <row r="43" spans="1:9" ht="16.5">
      <c r="A43" s="2" t="s">
        <v>21</v>
      </c>
      <c r="B43" s="5" t="s">
        <v>23</v>
      </c>
      <c r="C43" s="6" t="s">
        <v>140</v>
      </c>
      <c r="E43"/>
      <c r="F43" s="18"/>
      <c r="G43" s="18"/>
      <c r="H43"/>
      <c r="I43"/>
    </row>
    <row r="44" spans="1:9" ht="16.5">
      <c r="A44" s="2" t="s">
        <v>21</v>
      </c>
      <c r="B44" s="5" t="s">
        <v>23</v>
      </c>
      <c r="C44" s="6" t="s">
        <v>141</v>
      </c>
      <c r="E44"/>
      <c r="F44" s="18"/>
      <c r="G44" s="18"/>
      <c r="H44"/>
      <c r="I44"/>
    </row>
    <row r="45" spans="1:9" ht="16.5">
      <c r="A45" s="2" t="s">
        <v>21</v>
      </c>
      <c r="B45" s="5" t="s">
        <v>23</v>
      </c>
      <c r="C45" s="6" t="s">
        <v>142</v>
      </c>
      <c r="E45"/>
      <c r="F45" s="18"/>
      <c r="G45" s="18"/>
      <c r="H45"/>
      <c r="I45"/>
    </row>
    <row r="46" spans="1:9" ht="16.5">
      <c r="A46" s="2" t="s">
        <v>21</v>
      </c>
      <c r="B46" s="5" t="s">
        <v>23</v>
      </c>
      <c r="C46" s="14" t="s">
        <v>143</v>
      </c>
      <c r="E46"/>
      <c r="F46" s="18"/>
      <c r="G46" s="18"/>
      <c r="H46"/>
      <c r="I46"/>
    </row>
    <row r="47" spans="1:9" ht="16.5">
      <c r="A47" s="2" t="s">
        <v>21</v>
      </c>
      <c r="B47" s="5" t="s">
        <v>23</v>
      </c>
      <c r="C47" s="6" t="s">
        <v>144</v>
      </c>
      <c r="E47"/>
      <c r="F47" s="18"/>
      <c r="G47" s="18"/>
      <c r="H47"/>
      <c r="I47"/>
    </row>
    <row r="48" spans="1:9" ht="16.5">
      <c r="A48" s="2" t="s">
        <v>21</v>
      </c>
      <c r="B48" s="5" t="s">
        <v>23</v>
      </c>
      <c r="C48" s="6" t="s">
        <v>145</v>
      </c>
      <c r="E48"/>
      <c r="F48" s="18"/>
      <c r="G48" s="18"/>
      <c r="H48"/>
      <c r="I48"/>
    </row>
    <row r="49" spans="1:9" ht="16.5">
      <c r="A49" s="2" t="s">
        <v>21</v>
      </c>
      <c r="B49" s="5" t="s">
        <v>23</v>
      </c>
      <c r="C49" s="6" t="s">
        <v>146</v>
      </c>
      <c r="E49"/>
      <c r="F49" s="18"/>
      <c r="G49" s="18"/>
      <c r="H49"/>
      <c r="I49"/>
    </row>
    <row r="50" spans="1:9" ht="16.5">
      <c r="A50" s="2" t="s">
        <v>21</v>
      </c>
      <c r="B50" s="5" t="s">
        <v>23</v>
      </c>
      <c r="C50" s="6" t="s">
        <v>147</v>
      </c>
      <c r="E50"/>
      <c r="F50" s="18"/>
      <c r="G50" s="18"/>
      <c r="H50"/>
      <c r="I50"/>
    </row>
    <row r="51" spans="1:9" ht="16.5">
      <c r="A51" s="2" t="s">
        <v>21</v>
      </c>
      <c r="B51" s="5" t="s">
        <v>23</v>
      </c>
      <c r="C51" s="6" t="s">
        <v>148</v>
      </c>
      <c r="E51"/>
      <c r="F51" s="18"/>
      <c r="G51" s="18"/>
      <c r="H51"/>
      <c r="I51"/>
    </row>
    <row r="52" spans="1:9" ht="16.5">
      <c r="A52" s="2" t="s">
        <v>21</v>
      </c>
      <c r="B52" s="5" t="s">
        <v>23</v>
      </c>
      <c r="C52" s="6" t="s">
        <v>149</v>
      </c>
      <c r="E52"/>
      <c r="F52" s="18"/>
      <c r="G52" s="18"/>
      <c r="H52"/>
      <c r="I52"/>
    </row>
    <row r="53" spans="1:9" ht="16.5">
      <c r="A53" s="2" t="s">
        <v>21</v>
      </c>
      <c r="B53" s="5" t="s">
        <v>23</v>
      </c>
      <c r="C53" s="6" t="s">
        <v>25</v>
      </c>
      <c r="E53"/>
      <c r="F53" s="18"/>
      <c r="G53" s="18"/>
      <c r="H53"/>
      <c r="I53"/>
    </row>
    <row r="54" spans="1:9" ht="16.5">
      <c r="A54" s="2" t="s">
        <v>21</v>
      </c>
      <c r="B54" s="5" t="s">
        <v>23</v>
      </c>
      <c r="C54" s="6" t="s">
        <v>150</v>
      </c>
      <c r="E54"/>
      <c r="F54" s="18"/>
      <c r="G54" s="18"/>
      <c r="H54"/>
      <c r="I54"/>
    </row>
    <row r="55" spans="1:9" ht="16.5">
      <c r="A55" s="2" t="s">
        <v>21</v>
      </c>
      <c r="B55" s="5" t="s">
        <v>23</v>
      </c>
      <c r="C55" s="6" t="s">
        <v>151</v>
      </c>
      <c r="E55"/>
      <c r="F55" s="18"/>
      <c r="G55" s="18"/>
      <c r="H55"/>
      <c r="I55"/>
    </row>
    <row r="56" spans="1:9" ht="16.5">
      <c r="A56" s="2" t="s">
        <v>21</v>
      </c>
      <c r="B56" s="5" t="s">
        <v>23</v>
      </c>
      <c r="C56" s="6" t="s">
        <v>152</v>
      </c>
      <c r="E56"/>
      <c r="F56" s="18"/>
      <c r="G56" s="18"/>
      <c r="H56"/>
      <c r="I56"/>
    </row>
    <row r="57" spans="1:9" ht="16.5">
      <c r="A57" s="2" t="s">
        <v>153</v>
      </c>
      <c r="B57" s="20" t="s">
        <v>99</v>
      </c>
      <c r="C57" s="19" t="s">
        <v>100</v>
      </c>
      <c r="E57"/>
      <c r="F57" s="18"/>
      <c r="G57" s="18"/>
      <c r="H57"/>
      <c r="I57"/>
    </row>
    <row r="58" spans="1:9" ht="16.5">
      <c r="A58" s="2" t="s">
        <v>153</v>
      </c>
      <c r="B58" s="20" t="s">
        <v>99</v>
      </c>
      <c r="C58" s="6" t="s">
        <v>154</v>
      </c>
      <c r="E58"/>
      <c r="F58" s="18"/>
      <c r="G58" s="18"/>
      <c r="H58"/>
      <c r="I58"/>
    </row>
    <row r="59" spans="1:9" ht="16.5">
      <c r="A59" s="2" t="s">
        <v>153</v>
      </c>
      <c r="B59" s="20" t="s">
        <v>99</v>
      </c>
      <c r="C59" s="19" t="s">
        <v>102</v>
      </c>
      <c r="E59"/>
      <c r="F59" s="18"/>
      <c r="G59" s="18"/>
      <c r="H59"/>
      <c r="I59"/>
    </row>
    <row r="60" spans="1:9" ht="16.5">
      <c r="A60" s="2" t="s">
        <v>153</v>
      </c>
      <c r="B60" s="20" t="s">
        <v>99</v>
      </c>
      <c r="C60" s="19" t="s">
        <v>103</v>
      </c>
      <c r="E60"/>
      <c r="F60" s="18"/>
      <c r="G60" s="18"/>
      <c r="H60"/>
      <c r="I60"/>
    </row>
    <row r="61" spans="1:9" ht="16.5">
      <c r="A61" s="2" t="s">
        <v>153</v>
      </c>
      <c r="B61" s="20" t="s">
        <v>99</v>
      </c>
      <c r="C61" s="19" t="s">
        <v>104</v>
      </c>
      <c r="E61"/>
      <c r="F61" s="18"/>
      <c r="G61" s="18"/>
      <c r="H61"/>
      <c r="I61"/>
    </row>
    <row r="62" spans="1:9" ht="16.5">
      <c r="A62" s="2" t="s">
        <v>153</v>
      </c>
      <c r="B62" s="20" t="s">
        <v>99</v>
      </c>
      <c r="C62" s="19" t="s">
        <v>105</v>
      </c>
      <c r="E62"/>
      <c r="F62" s="18"/>
      <c r="G62" s="18"/>
      <c r="H62"/>
      <c r="I62"/>
    </row>
    <row r="63" spans="1:9" ht="16.5">
      <c r="A63" s="2" t="s">
        <v>153</v>
      </c>
      <c r="B63" s="20" t="s">
        <v>99</v>
      </c>
      <c r="C63" s="19" t="s">
        <v>106</v>
      </c>
      <c r="E63"/>
      <c r="F63" s="18"/>
      <c r="G63" s="18"/>
      <c r="H63"/>
      <c r="I63"/>
    </row>
    <row r="64" spans="1:9" ht="16.5">
      <c r="A64" s="2" t="s">
        <v>153</v>
      </c>
      <c r="B64" s="20" t="s">
        <v>99</v>
      </c>
      <c r="C64" s="6" t="s">
        <v>155</v>
      </c>
      <c r="E64"/>
      <c r="F64" s="18"/>
      <c r="G64" s="18"/>
      <c r="H64"/>
      <c r="I64"/>
    </row>
    <row r="65" spans="1:9" ht="16.5">
      <c r="A65" s="2" t="s">
        <v>153</v>
      </c>
      <c r="B65" s="20" t="s">
        <v>99</v>
      </c>
      <c r="C65" s="19" t="s">
        <v>108</v>
      </c>
      <c r="E65"/>
      <c r="F65" s="18"/>
      <c r="G65" s="18"/>
      <c r="H65"/>
      <c r="I65"/>
    </row>
    <row r="66" spans="1:9" ht="16.5">
      <c r="A66" s="2" t="s">
        <v>153</v>
      </c>
      <c r="B66" s="20" t="s">
        <v>99</v>
      </c>
      <c r="C66" s="19" t="s">
        <v>109</v>
      </c>
      <c r="E66"/>
      <c r="F66" s="18"/>
      <c r="G66" s="18"/>
      <c r="H66"/>
      <c r="I66"/>
    </row>
    <row r="67" spans="1:9" ht="16.5">
      <c r="A67" s="2" t="s">
        <v>153</v>
      </c>
      <c r="B67" s="20" t="s">
        <v>99</v>
      </c>
      <c r="C67" s="19" t="s">
        <v>110</v>
      </c>
      <c r="E67"/>
      <c r="F67" s="18"/>
      <c r="G67" s="18"/>
      <c r="H67"/>
      <c r="I67"/>
    </row>
    <row r="68" spans="1:9" ht="16.5">
      <c r="A68" s="2" t="s">
        <v>153</v>
      </c>
      <c r="B68" s="20" t="s">
        <v>99</v>
      </c>
      <c r="C68" s="19" t="s">
        <v>111</v>
      </c>
      <c r="E68"/>
      <c r="F68" s="18"/>
      <c r="G68" s="18"/>
      <c r="H68"/>
      <c r="I68"/>
    </row>
    <row r="69" spans="1:9" ht="16.5">
      <c r="A69" s="2" t="s">
        <v>153</v>
      </c>
      <c r="B69" s="20" t="s">
        <v>99</v>
      </c>
      <c r="C69" s="19" t="s">
        <v>112</v>
      </c>
      <c r="E69"/>
      <c r="F69" s="18"/>
      <c r="G69" s="18"/>
      <c r="H69"/>
      <c r="I69"/>
    </row>
    <row r="70" spans="1:9" ht="16.5">
      <c r="A70" s="2" t="s">
        <v>153</v>
      </c>
      <c r="B70" s="20" t="s">
        <v>99</v>
      </c>
      <c r="C70" s="19" t="s">
        <v>113</v>
      </c>
      <c r="E70"/>
      <c r="F70" s="18"/>
      <c r="G70" s="18"/>
      <c r="H70"/>
      <c r="I70"/>
    </row>
    <row r="71" spans="1:9" ht="16.5">
      <c r="A71" s="2" t="s">
        <v>153</v>
      </c>
      <c r="B71" s="20" t="s">
        <v>99</v>
      </c>
      <c r="C71" s="19" t="s">
        <v>114</v>
      </c>
      <c r="E71"/>
      <c r="F71" s="18"/>
      <c r="G71" s="18"/>
      <c r="H71"/>
      <c r="I71"/>
    </row>
    <row r="72" spans="1:9" ht="16.5">
      <c r="A72" s="2" t="s">
        <v>153</v>
      </c>
      <c r="B72" s="20" t="s">
        <v>99</v>
      </c>
      <c r="C72" s="19" t="s">
        <v>115</v>
      </c>
      <c r="E72"/>
      <c r="F72" s="18"/>
      <c r="G72" s="18"/>
      <c r="H72"/>
      <c r="I72"/>
    </row>
    <row r="73" spans="1:9" ht="16.5">
      <c r="A73" s="2" t="s">
        <v>153</v>
      </c>
      <c r="B73" s="20" t="s">
        <v>99</v>
      </c>
      <c r="C73" s="6" t="s">
        <v>156</v>
      </c>
      <c r="E73"/>
      <c r="F73" s="18"/>
      <c r="G73" s="18"/>
      <c r="H73"/>
      <c r="I73"/>
    </row>
    <row r="74" spans="1:9" ht="16.5">
      <c r="A74" s="2" t="s">
        <v>153</v>
      </c>
      <c r="B74" s="20" t="s">
        <v>99</v>
      </c>
      <c r="C74" s="6" t="s">
        <v>117</v>
      </c>
      <c r="E74"/>
      <c r="F74" s="18"/>
      <c r="G74" s="18"/>
      <c r="H74"/>
      <c r="I74"/>
    </row>
    <row r="75" spans="1:9" ht="16.5">
      <c r="A75" s="2" t="s">
        <v>153</v>
      </c>
      <c r="B75" s="5" t="s">
        <v>118</v>
      </c>
      <c r="C75" s="6" t="s">
        <v>119</v>
      </c>
      <c r="E75"/>
      <c r="F75" s="18"/>
      <c r="G75" s="18"/>
      <c r="H75"/>
      <c r="I75"/>
    </row>
    <row r="76" spans="1:9" ht="16.5">
      <c r="A76" s="2" t="s">
        <v>153</v>
      </c>
      <c r="B76" s="5" t="s">
        <v>118</v>
      </c>
      <c r="C76" s="6" t="s">
        <v>120</v>
      </c>
      <c r="E76"/>
      <c r="F76" s="18"/>
      <c r="G76" s="18"/>
      <c r="H76"/>
      <c r="I76"/>
    </row>
    <row r="77" spans="1:9" ht="16.5">
      <c r="A77" s="2" t="s">
        <v>153</v>
      </c>
      <c r="B77" s="5" t="s">
        <v>118</v>
      </c>
      <c r="C77" s="6" t="s">
        <v>121</v>
      </c>
      <c r="E77"/>
      <c r="F77" s="18"/>
      <c r="G77" s="18"/>
      <c r="H77"/>
      <c r="I77"/>
    </row>
    <row r="78" spans="1:9" ht="16.5">
      <c r="A78" s="2" t="s">
        <v>153</v>
      </c>
      <c r="B78" s="5" t="s">
        <v>118</v>
      </c>
      <c r="C78" s="6" t="s">
        <v>122</v>
      </c>
      <c r="E78"/>
      <c r="F78" s="18"/>
      <c r="G78" s="18"/>
      <c r="H78"/>
      <c r="I78"/>
    </row>
    <row r="79" spans="1:9" ht="16.5">
      <c r="A79" s="2" t="s">
        <v>153</v>
      </c>
      <c r="B79" s="5" t="s">
        <v>118</v>
      </c>
      <c r="C79" s="6" t="s">
        <v>123</v>
      </c>
      <c r="E79"/>
      <c r="F79" s="18"/>
      <c r="G79" s="18"/>
      <c r="H79"/>
      <c r="I79"/>
    </row>
    <row r="80" spans="1:9" ht="16.5">
      <c r="A80" s="2" t="s">
        <v>153</v>
      </c>
      <c r="B80" s="5" t="s">
        <v>118</v>
      </c>
      <c r="C80" s="6" t="s">
        <v>124</v>
      </c>
      <c r="E80"/>
      <c r="F80" s="18"/>
      <c r="G80" s="18"/>
      <c r="H80"/>
      <c r="I80"/>
    </row>
    <row r="81" spans="1:9" ht="16.5">
      <c r="A81" s="2" t="s">
        <v>153</v>
      </c>
      <c r="B81" s="5" t="s">
        <v>118</v>
      </c>
      <c r="C81" s="6" t="s">
        <v>125</v>
      </c>
      <c r="E81"/>
      <c r="F81" s="18"/>
      <c r="G81" s="18"/>
      <c r="H81"/>
      <c r="I81"/>
    </row>
    <row r="82" spans="1:9" ht="16.5">
      <c r="A82" s="2" t="s">
        <v>153</v>
      </c>
      <c r="B82" s="5" t="s">
        <v>118</v>
      </c>
      <c r="C82" s="6" t="s">
        <v>157</v>
      </c>
      <c r="E82"/>
      <c r="F82" s="18"/>
      <c r="G82" s="18"/>
      <c r="H82"/>
      <c r="I82"/>
    </row>
    <row r="83" spans="1:9" ht="16.5">
      <c r="A83" s="2" t="s">
        <v>153</v>
      </c>
      <c r="B83" s="5" t="s">
        <v>118</v>
      </c>
      <c r="C83" s="6" t="s">
        <v>126</v>
      </c>
      <c r="E83"/>
      <c r="F83" s="18"/>
      <c r="G83" s="18"/>
      <c r="H83"/>
      <c r="I83"/>
    </row>
    <row r="84" spans="1:9" ht="16.5">
      <c r="A84" s="2" t="s">
        <v>153</v>
      </c>
      <c r="B84" s="5" t="s">
        <v>118</v>
      </c>
      <c r="C84" s="6" t="s">
        <v>127</v>
      </c>
      <c r="E84"/>
      <c r="F84" s="18"/>
      <c r="G84" s="18"/>
      <c r="H84"/>
      <c r="I84"/>
    </row>
    <row r="85" spans="1:9" ht="16.5">
      <c r="A85" s="2" t="s">
        <v>153</v>
      </c>
      <c r="B85" s="5" t="s">
        <v>118</v>
      </c>
      <c r="C85" s="19" t="s">
        <v>128</v>
      </c>
      <c r="E85"/>
      <c r="F85" s="18"/>
      <c r="G85" s="18"/>
      <c r="H85"/>
      <c r="I85"/>
    </row>
    <row r="86" spans="1:9" ht="16.5">
      <c r="A86" s="2" t="s">
        <v>153</v>
      </c>
      <c r="B86" s="5" t="s">
        <v>118</v>
      </c>
      <c r="C86" s="6" t="s">
        <v>129</v>
      </c>
      <c r="E86"/>
      <c r="F86" s="18"/>
      <c r="G86" s="18"/>
      <c r="H86"/>
      <c r="I86"/>
    </row>
    <row r="87" spans="1:9" ht="16.5">
      <c r="A87" s="2" t="s">
        <v>153</v>
      </c>
      <c r="B87" s="5" t="s">
        <v>118</v>
      </c>
      <c r="C87" s="19" t="s">
        <v>130</v>
      </c>
      <c r="E87"/>
      <c r="F87" s="18"/>
      <c r="G87" s="18"/>
      <c r="H87"/>
      <c r="I87"/>
    </row>
    <row r="88" spans="1:9" ht="16.5">
      <c r="A88" s="2" t="s">
        <v>153</v>
      </c>
      <c r="B88" s="5" t="s">
        <v>118</v>
      </c>
      <c r="C88" s="19" t="s">
        <v>131</v>
      </c>
      <c r="E88"/>
      <c r="F88" s="18"/>
      <c r="G88" s="18"/>
      <c r="H88"/>
      <c r="I88"/>
    </row>
    <row r="89" spans="1:9" ht="16.5">
      <c r="A89" s="2" t="s">
        <v>153</v>
      </c>
      <c r="B89" s="5" t="s">
        <v>118</v>
      </c>
      <c r="C89" s="19" t="s">
        <v>132</v>
      </c>
      <c r="E89"/>
      <c r="F89" s="18"/>
      <c r="G89" s="18"/>
      <c r="H89"/>
      <c r="I89"/>
    </row>
    <row r="90" spans="1:9" ht="16.5">
      <c r="A90" s="2" t="s">
        <v>153</v>
      </c>
      <c r="B90" s="5" t="s">
        <v>118</v>
      </c>
      <c r="C90" s="19" t="s">
        <v>133</v>
      </c>
      <c r="E90"/>
      <c r="F90" s="18"/>
      <c r="G90" s="18"/>
      <c r="H90"/>
      <c r="I90"/>
    </row>
    <row r="91" spans="1:9" ht="16.5">
      <c r="A91" s="2" t="s">
        <v>153</v>
      </c>
      <c r="B91" s="5" t="s">
        <v>118</v>
      </c>
      <c r="C91" s="19" t="s">
        <v>134</v>
      </c>
      <c r="E91"/>
      <c r="F91" s="18"/>
      <c r="G91" s="18"/>
      <c r="H91"/>
      <c r="I91"/>
    </row>
    <row r="92" spans="1:9" ht="16.5">
      <c r="A92" s="2" t="s">
        <v>153</v>
      </c>
      <c r="B92" s="5" t="s">
        <v>118</v>
      </c>
      <c r="C92" s="6" t="s">
        <v>135</v>
      </c>
      <c r="E92"/>
      <c r="F92" s="18"/>
      <c r="G92" s="18"/>
      <c r="H92"/>
      <c r="I92"/>
    </row>
    <row r="93" spans="1:9" ht="16.5">
      <c r="A93" s="2" t="s">
        <v>153</v>
      </c>
      <c r="B93" s="5" t="s">
        <v>118</v>
      </c>
      <c r="C93" s="14" t="s">
        <v>117</v>
      </c>
      <c r="E93"/>
      <c r="F93" s="18"/>
      <c r="G93" s="18"/>
      <c r="H93"/>
      <c r="I93"/>
    </row>
    <row r="94" spans="1:9" ht="16.5">
      <c r="A94" s="2" t="s">
        <v>153</v>
      </c>
      <c r="B94" s="20" t="s">
        <v>23</v>
      </c>
      <c r="C94" s="19" t="s">
        <v>158</v>
      </c>
      <c r="E94"/>
      <c r="F94" s="18"/>
      <c r="G94" s="18"/>
      <c r="H94"/>
      <c r="I94"/>
    </row>
    <row r="95" spans="1:9" ht="16.5">
      <c r="A95" s="2" t="s">
        <v>153</v>
      </c>
      <c r="B95" s="20" t="s">
        <v>23</v>
      </c>
      <c r="C95" s="6" t="s">
        <v>137</v>
      </c>
      <c r="E95"/>
      <c r="F95" s="18"/>
      <c r="G95" s="18"/>
      <c r="H95"/>
      <c r="I95"/>
    </row>
    <row r="96" spans="1:9" ht="16.5">
      <c r="A96" s="2" t="s">
        <v>153</v>
      </c>
      <c r="B96" s="20" t="s">
        <v>23</v>
      </c>
      <c r="C96" s="6" t="s">
        <v>138</v>
      </c>
      <c r="E96"/>
      <c r="F96" s="18"/>
      <c r="G96" s="18"/>
      <c r="H96"/>
      <c r="I96"/>
    </row>
    <row r="97" spans="1:9" ht="16.5">
      <c r="A97" s="2" t="s">
        <v>153</v>
      </c>
      <c r="B97" s="20" t="s">
        <v>23</v>
      </c>
      <c r="C97" s="6" t="s">
        <v>139</v>
      </c>
      <c r="E97"/>
      <c r="F97" s="18"/>
      <c r="G97" s="18"/>
      <c r="H97"/>
      <c r="I97"/>
    </row>
    <row r="98" spans="1:9" ht="16.5">
      <c r="A98" s="2" t="s">
        <v>153</v>
      </c>
      <c r="B98" s="20" t="s">
        <v>23</v>
      </c>
      <c r="C98" s="6" t="s">
        <v>140</v>
      </c>
      <c r="E98"/>
      <c r="F98" s="18"/>
      <c r="G98" s="18"/>
      <c r="H98"/>
      <c r="I98"/>
    </row>
    <row r="99" spans="1:9" ht="16.5">
      <c r="A99" s="2" t="s">
        <v>153</v>
      </c>
      <c r="B99" s="20" t="s">
        <v>23</v>
      </c>
      <c r="C99" s="6" t="s">
        <v>141</v>
      </c>
      <c r="E99"/>
      <c r="F99" s="18"/>
      <c r="G99" s="18"/>
      <c r="H99"/>
      <c r="I99"/>
    </row>
    <row r="100" spans="1:9" ht="16.5">
      <c r="A100" s="2" t="s">
        <v>153</v>
      </c>
      <c r="B100" s="20" t="s">
        <v>23</v>
      </c>
      <c r="C100" s="6" t="s">
        <v>142</v>
      </c>
      <c r="E100"/>
      <c r="F100" s="18"/>
      <c r="G100" s="18"/>
      <c r="H100"/>
      <c r="I100"/>
    </row>
    <row r="101" spans="1:9" ht="16.5">
      <c r="A101" s="2" t="s">
        <v>153</v>
      </c>
      <c r="B101" s="20" t="s">
        <v>23</v>
      </c>
      <c r="C101" s="21" t="s">
        <v>159</v>
      </c>
      <c r="E101"/>
      <c r="F101" s="18"/>
      <c r="G101" s="18"/>
      <c r="H101"/>
      <c r="I101"/>
    </row>
    <row r="102" spans="1:9" ht="16.5">
      <c r="A102" s="2" t="s">
        <v>153</v>
      </c>
      <c r="B102" s="20" t="s">
        <v>23</v>
      </c>
      <c r="C102" s="6" t="s">
        <v>160</v>
      </c>
      <c r="E102"/>
      <c r="F102" s="18"/>
      <c r="G102" s="18"/>
      <c r="H102"/>
      <c r="I102"/>
    </row>
    <row r="103" spans="1:9" ht="16.5">
      <c r="A103" s="2" t="s">
        <v>153</v>
      </c>
      <c r="B103" s="20" t="s">
        <v>23</v>
      </c>
      <c r="C103" s="19" t="s">
        <v>145</v>
      </c>
      <c r="E103"/>
      <c r="F103" s="18"/>
      <c r="G103" s="18"/>
      <c r="H103"/>
      <c r="I103"/>
    </row>
    <row r="104" spans="1:9" ht="16.5">
      <c r="A104" s="2" t="s">
        <v>153</v>
      </c>
      <c r="B104" s="20" t="s">
        <v>23</v>
      </c>
      <c r="C104" s="19" t="s">
        <v>146</v>
      </c>
      <c r="E104"/>
      <c r="F104" s="18"/>
      <c r="G104" s="18"/>
      <c r="H104"/>
      <c r="I104"/>
    </row>
    <row r="105" spans="1:9" ht="16.5">
      <c r="A105" s="2" t="s">
        <v>153</v>
      </c>
      <c r="B105" s="20" t="s">
        <v>23</v>
      </c>
      <c r="C105" s="6" t="s">
        <v>161</v>
      </c>
      <c r="E105"/>
      <c r="F105" s="18"/>
      <c r="G105" s="18"/>
      <c r="H105"/>
      <c r="I105"/>
    </row>
    <row r="106" spans="1:9" ht="16.5">
      <c r="A106" s="2" t="s">
        <v>153</v>
      </c>
      <c r="B106" s="20" t="s">
        <v>23</v>
      </c>
      <c r="C106" s="19" t="s">
        <v>147</v>
      </c>
      <c r="E106"/>
      <c r="F106" s="18"/>
      <c r="G106" s="18"/>
      <c r="H106"/>
      <c r="I106"/>
    </row>
    <row r="107" spans="1:9" ht="16.5">
      <c r="A107" s="2" t="s">
        <v>153</v>
      </c>
      <c r="B107" s="20" t="s">
        <v>23</v>
      </c>
      <c r="C107" s="6" t="s">
        <v>162</v>
      </c>
      <c r="E107"/>
      <c r="F107" s="18"/>
      <c r="G107" s="18"/>
      <c r="H107"/>
      <c r="I107"/>
    </row>
    <row r="108" spans="1:9" ht="16.5">
      <c r="A108" s="2" t="s">
        <v>153</v>
      </c>
      <c r="B108" s="20" t="s">
        <v>23</v>
      </c>
      <c r="C108" s="19" t="s">
        <v>148</v>
      </c>
      <c r="E108"/>
      <c r="F108" s="18"/>
      <c r="G108" s="18"/>
      <c r="H108"/>
      <c r="I108"/>
    </row>
    <row r="109" spans="1:9" ht="16.5">
      <c r="A109" s="2" t="s">
        <v>153</v>
      </c>
      <c r="B109" s="20" t="s">
        <v>23</v>
      </c>
      <c r="C109" s="19" t="s">
        <v>149</v>
      </c>
      <c r="E109"/>
      <c r="F109" s="18"/>
      <c r="G109" s="18"/>
      <c r="H109"/>
      <c r="I109"/>
    </row>
    <row r="110" spans="1:9" ht="16.5">
      <c r="A110" s="2" t="s">
        <v>153</v>
      </c>
      <c r="B110" s="20" t="s">
        <v>23</v>
      </c>
      <c r="C110" s="19" t="s">
        <v>25</v>
      </c>
      <c r="E110"/>
      <c r="F110" s="18"/>
      <c r="G110" s="18"/>
      <c r="H110"/>
      <c r="I110"/>
    </row>
    <row r="111" spans="1:9" ht="16.5">
      <c r="A111" s="2" t="s">
        <v>153</v>
      </c>
      <c r="B111" s="20" t="s">
        <v>23</v>
      </c>
      <c r="C111" s="19" t="s">
        <v>150</v>
      </c>
      <c r="E111"/>
      <c r="F111" s="18"/>
      <c r="G111" s="18"/>
      <c r="H111"/>
      <c r="I111"/>
    </row>
    <row r="112" spans="1:9" ht="16.5">
      <c r="A112" s="2" t="s">
        <v>153</v>
      </c>
      <c r="B112" s="20" t="s">
        <v>23</v>
      </c>
      <c r="C112" s="19" t="s">
        <v>151</v>
      </c>
      <c r="E112"/>
      <c r="F112" s="18"/>
      <c r="G112" s="18"/>
      <c r="H112"/>
      <c r="I112"/>
    </row>
    <row r="113" spans="1:9" ht="16.5">
      <c r="A113" s="2" t="s">
        <v>153</v>
      </c>
      <c r="B113" s="20" t="s">
        <v>23</v>
      </c>
      <c r="C113" s="19" t="s">
        <v>152</v>
      </c>
      <c r="E113"/>
      <c r="F113" s="18"/>
      <c r="G113" s="18"/>
      <c r="H113"/>
      <c r="I113"/>
    </row>
    <row r="114" spans="1:9" ht="16.5">
      <c r="A114" s="2" t="s">
        <v>153</v>
      </c>
      <c r="B114" s="20" t="s">
        <v>23</v>
      </c>
      <c r="C114" s="19" t="s">
        <v>163</v>
      </c>
      <c r="E114"/>
      <c r="F114" s="18"/>
      <c r="G114" s="18"/>
      <c r="H114"/>
      <c r="I114"/>
    </row>
    <row r="115" spans="1:9" ht="16.5">
      <c r="A115" s="2" t="s">
        <v>153</v>
      </c>
      <c r="B115" s="20" t="s">
        <v>23</v>
      </c>
      <c r="C115" s="19" t="s">
        <v>164</v>
      </c>
      <c r="E115"/>
      <c r="F115" s="18"/>
      <c r="G115" s="18"/>
      <c r="H115"/>
      <c r="I115"/>
    </row>
    <row r="116" spans="1:9" ht="16.5">
      <c r="A116" s="2" t="s">
        <v>153</v>
      </c>
      <c r="B116" s="20" t="s">
        <v>23</v>
      </c>
      <c r="C116" s="19" t="s">
        <v>165</v>
      </c>
      <c r="E116"/>
      <c r="F116" s="18"/>
      <c r="G116" s="18"/>
      <c r="H116"/>
      <c r="I116"/>
    </row>
    <row r="117" spans="1:9" ht="16.5">
      <c r="A117" s="2" t="s">
        <v>153</v>
      </c>
      <c r="B117" s="20" t="s">
        <v>23</v>
      </c>
      <c r="C117" s="19" t="s">
        <v>166</v>
      </c>
      <c r="E117"/>
      <c r="F117" s="18"/>
      <c r="G117" s="18"/>
      <c r="H117"/>
      <c r="I117"/>
    </row>
    <row r="118" spans="1:9">
      <c r="E118"/>
      <c r="F118"/>
      <c r="G118"/>
      <c r="H118"/>
      <c r="I118"/>
    </row>
    <row r="119" spans="1:9">
      <c r="E119"/>
      <c r="F119"/>
      <c r="G119"/>
      <c r="H119"/>
      <c r="I119"/>
    </row>
    <row r="120" spans="1:9">
      <c r="E120"/>
      <c r="F120"/>
      <c r="G120"/>
      <c r="H120"/>
      <c r="I120"/>
    </row>
    <row r="121" spans="1:9">
      <c r="E121"/>
      <c r="F121"/>
      <c r="G121"/>
      <c r="H121"/>
      <c r="I121"/>
    </row>
    <row r="122" spans="1:9">
      <c r="E122"/>
      <c r="F122"/>
      <c r="G122"/>
      <c r="H122"/>
      <c r="I122"/>
    </row>
    <row r="123" spans="1:9">
      <c r="E123"/>
      <c r="F123"/>
      <c r="G123"/>
      <c r="H123"/>
      <c r="I123"/>
    </row>
    <row r="124" spans="1:9">
      <c r="E124"/>
      <c r="F124"/>
      <c r="G124"/>
      <c r="H124"/>
      <c r="I124"/>
    </row>
    <row r="125" spans="1:9">
      <c r="E125"/>
      <c r="F125"/>
      <c r="G125"/>
      <c r="H125"/>
      <c r="I125"/>
    </row>
    <row r="126" spans="1:9">
      <c r="E126"/>
      <c r="F126"/>
      <c r="G126"/>
      <c r="H126"/>
      <c r="I126"/>
    </row>
    <row r="127" spans="1:9">
      <c r="E127"/>
      <c r="F127"/>
      <c r="G127"/>
      <c r="H127"/>
      <c r="I127"/>
    </row>
    <row r="128" spans="1:9">
      <c r="E128"/>
      <c r="F128"/>
      <c r="G128"/>
      <c r="H128"/>
      <c r="I128"/>
    </row>
    <row r="129" spans="5:9">
      <c r="E129"/>
      <c r="F129"/>
      <c r="G129"/>
      <c r="H129"/>
      <c r="I129"/>
    </row>
    <row r="130" spans="5:9">
      <c r="E130"/>
      <c r="F130"/>
      <c r="G130"/>
      <c r="H130"/>
      <c r="I130"/>
    </row>
    <row r="131" spans="5:9">
      <c r="E131"/>
      <c r="F131"/>
      <c r="G131"/>
      <c r="H131"/>
      <c r="I131"/>
    </row>
    <row r="132" spans="5:9">
      <c r="E132"/>
      <c r="F132"/>
      <c r="G132"/>
      <c r="H132"/>
      <c r="I132"/>
    </row>
    <row r="133" spans="5:9">
      <c r="E133"/>
      <c r="F133"/>
      <c r="G133"/>
      <c r="H133"/>
      <c r="I133"/>
    </row>
    <row r="134" spans="5:9">
      <c r="E134"/>
      <c r="F134"/>
      <c r="G134"/>
      <c r="H134"/>
      <c r="I134"/>
    </row>
  </sheetData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2018-05-11T08:46:00Z</dcterms:created>
  <dcterms:modified xsi:type="dcterms:W3CDTF">2018-06-13T06:05:00Z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1033-10.2.0.6020</vt:lpwstr>
  </property>
</Properties>
</file>