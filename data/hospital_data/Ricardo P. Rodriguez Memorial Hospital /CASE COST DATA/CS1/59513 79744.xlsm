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J25" i="2" l="1"/>
  <c r="J24" i="2"/>
  <c r="J23" i="2"/>
  <c r="J22" i="2"/>
  <c r="J21" i="2"/>
  <c r="G56" i="9" l="1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27" i="2" s="1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<sst xmlns="http://schemas.openxmlformats.org/spreadsheetml/2006/main" count="575" uniqueCount="247">
  <si>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</si>
  <si>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</si>
  <si>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</si>
  <si>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</si>
  <si>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</si>
  <si>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</si>
  <si>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</si>
  <si>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</si>
  <si>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</si>
  <si>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</si>
  <si>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</si>
  <si>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</si>
  <si>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</si>
  <si>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</si>
  <si>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</si>
  <si>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</si>
  <si>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</si>
  <si>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</si>
  <si>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</si>
  <si>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</si>
  <si>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</si>
  <si>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</si>
  <si>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</si>
  <si>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</si>
  <si>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</si>
  <si>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</si>
  <si>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</si>
  <si>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</si>
  <si>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</si>
  <si>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</si>
  <si>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</si>
  <si>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</si>
  <si>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</si>
  <si>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</si>
  <si>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</si>
  <si>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</si>
  <si>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</si>
  <si>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</si>
  <si>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</si>
  <si>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</si>
  <si>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</si>
  <si>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</si>
  <si>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</si>
  <si>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</si>
  <si>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</si>
  <si>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</si>
  <si>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</si>
  <si>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</si>
  <si>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</si>
  <si>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</si>
  <si>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</si>
  <si>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</si>
  <si>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</si>
  <si>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</si>
  <si>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</si>
  <si>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</si>
  <si>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</si>
  <si>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</si>
  <si>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</si>
  <si>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</si>
  <si>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</si>
  <si>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</si>
  <si>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</si>
  <si>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</si>
  <si>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</si>
  <si>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</si>
  <si>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</si>
  <si>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</si>
  <si>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</si>
  <si>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</si>
  <si>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</si>
  <si>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</si>
  <si>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</si>
  <si>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</si>
  <si>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</si>
  <si>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</si>
  <si>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</si>
  <si>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</si>
  <si>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</si>
  <si>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</si>
  <si>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</si>
  <si>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</si>
  <si>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</si>
  <si>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</si>
  <si>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</si>
  <si>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</si>
  <si>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</si>
  <si>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</si>
  <si>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</si>
  <si>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</si>
  <si>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</si>
  <si>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</si>
  <si>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</si>
  <si>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</si>
  <si>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</si>
  <si>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</si>
  <si>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</si>
  <si>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</si>
  <si>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</si>
  <si>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</si>
  <si>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</si>
  <si>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</si>
  <si>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</si>
  <si>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</si>
  <si>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</si>
  <si>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</si>
  <si>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</si>
  <si>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</si>
  <si>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</si>
  <si>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</si>
  <si>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</si>
  <si>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</si>
  <si>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</si>
  <si>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</si>
  <si>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</si>
  <si>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</si>
  <si>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</si>
  <si>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</si>
  <si>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</si>
  <si>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</si>
  <si>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</si>
  <si>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</si>
  <si>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</si>
  <si>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</si>
  <si>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</si>
  <si>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</si>
  <si>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</si>
  <si>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</si>
  <si>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</si>
  <si>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</si>
  <si>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</si>
  <si>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</si>
  <si>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</si>
  <si>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</si>
  <si>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</si>
  <si>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</si>
  <si>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</si>
  <si>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</si>
  <si>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</si>
  <si>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</si>
  <si>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</si>
  <si>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</si>
  <si>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</si>
  <si>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</si>
  <si>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</si>
  <si>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</si>
  <si>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</si>
  <si>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</si>
  <si>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</si>
  <si>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</si>
  <si>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</si>
  <si>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</si>
  <si>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</si>
  <si>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</si>
  <si>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</si>
  <si>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</si>
  <si>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</si>
  <si>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</si>
  <si>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</si>
  <si>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</si>
  <si>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</si>
  <si>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</si>
  <si>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</si>
  <si>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</si>
  <si>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</si>
  <si>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</si>
  <si>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</si>
  <si>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</si>
  <si>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</si>
  <si>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</si>
  <si>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</si>
  <si>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</si>
  <si>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</si>
  <si>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</si>
  <si>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</si>
  <si>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</si>
  <si>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</si>
  <si>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</si>
  <si>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</si>
  <si>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</si>
  <si>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</si>
  <si>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</si>
  <si>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</si>
  <si>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</si>
  <si>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</si>
  <si>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</si>
  <si>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</si>
  <si>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</si>
  <si>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</si>
  <si>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</si>
  <si>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</si>
  <si>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</si>
  <si>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</si>
  <si>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</si>
  <si>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</si>
  <si>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</si>
  <si>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</si>
  <si>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</si>
  <si>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</si>
  <si>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</si>
  <si>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</si>
  <si>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</si>
  <si>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</si>
  <si>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</si>
  <si>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</si>
  <si>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</si>
  <si>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</si>
  <si>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</si>
  <si>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</si>
  <si>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</si>
  <si>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</si>
  <si>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</si>
  <si>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</si>
  <si>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</si>
  <si>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</si>
  <si>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</si>
  <si>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</si>
  <si>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</si>
  <si>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</si>
  <si>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</si>
  <si>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</si>
  <si>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</si>
  <si>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</si>
  <si>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</si>
  <si>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</si>
  <si>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</si>
  <si>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</si>
  <si>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</si>
  <si>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</si>
  <si>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</si>
  <si>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</si>
  <si>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</si>
  <si>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</si>
  <si>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</si>
  <si>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</si>
  <si>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0.9NACL</t>
  </si>
  <si>
    <t>1LITER</t>
  </si>
  <si>
    <t>CHROMIC 2-0 DOUBLE ARM CUTTING</t>
  </si>
  <si>
    <t>EPHEDRINE SULFATE</t>
  </si>
  <si>
    <t>50MG/ML</t>
  </si>
  <si>
    <t>BALANCED MULTIPLE MAINTENANCE SOLUTION</t>
  </si>
  <si>
    <t>CLONIDINE</t>
  </si>
  <si>
    <t>TABLET, ORAL</t>
  </si>
  <si>
    <t>75MCG</t>
  </si>
  <si>
    <t>IV SPLINT ADULT</t>
  </si>
  <si>
    <t>NASAL CANNULA</t>
  </si>
  <si>
    <t>10 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</si>
</sst>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223</v>
      </c>
      <c r="D61" s="55">
        <v>2524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224</v>
      </c>
      <c r="D62" s="55">
        <v>3394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225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226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227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228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229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230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231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232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233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18208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17" workbookViewId="0">
      <selection activeCell="H19" sqref="H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15</v>
      </c>
      <c r="I12" s="55">
        <v>23</v>
      </c>
      <c r="J12" s="55">
        <f t="shared" ref="J12:J20" si="0">H12*I12</f>
        <v>345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26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235</v>
      </c>
      <c r="D23" s="27" t="s">
        <v>173</v>
      </c>
      <c r="E23" s="27" t="s">
        <v>236</v>
      </c>
      <c r="F23" s="55">
        <v>0</v>
      </c>
      <c r="G23" s="55">
        <v>0</v>
      </c>
      <c r="H23" s="55">
        <v>1</v>
      </c>
      <c r="I23" s="55">
        <v>80</v>
      </c>
      <c r="J23" s="55">
        <f t="shared" si="1"/>
        <v>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240</v>
      </c>
      <c r="D24" s="27" t="s">
        <v>173</v>
      </c>
      <c r="E24" s="27" t="s">
        <v>236</v>
      </c>
      <c r="F24" s="55">
        <v>0</v>
      </c>
      <c r="G24" s="55">
        <v>0</v>
      </c>
      <c r="H24" s="55">
        <v>1</v>
      </c>
      <c r="I24" s="55">
        <v>105</v>
      </c>
      <c r="J24" s="55">
        <f t="shared" si="1"/>
        <v>105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238</v>
      </c>
      <c r="D25" s="27" t="s">
        <v>177</v>
      </c>
      <c r="E25" s="27" t="s">
        <v>239</v>
      </c>
      <c r="F25" s="55">
        <v>0</v>
      </c>
      <c r="G25" s="55">
        <v>0</v>
      </c>
      <c r="H25" s="55">
        <v>1</v>
      </c>
      <c r="I25" s="55">
        <v>75</v>
      </c>
      <c r="J25" s="55">
        <f t="shared" si="1"/>
        <v>75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241</v>
      </c>
      <c r="D26" s="27" t="s">
        <v>242</v>
      </c>
      <c r="E26" s="27" t="s">
        <v>243</v>
      </c>
      <c r="F26" s="55">
        <v>0</v>
      </c>
      <c r="G26" s="55">
        <v>0</v>
      </c>
      <c r="H26" s="55">
        <v>2</v>
      </c>
      <c r="I26" s="55">
        <v>40</v>
      </c>
      <c r="J26" s="55">
        <f t="shared" si="1"/>
        <v>80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2524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2" activePane="bottomLeft" state="frozen"/>
      <selection pane="bottomLeft" activeCell="F57" sqref="F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219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2</v>
      </c>
      <c r="F30" s="55">
        <v>61</v>
      </c>
      <c r="G30" s="55">
        <f t="shared" si="1"/>
        <v>122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2</v>
      </c>
      <c r="F31" s="55">
        <v>65</v>
      </c>
      <c r="G31" s="55">
        <f t="shared" si="1"/>
        <v>130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9</v>
      </c>
      <c r="F32" s="55">
        <v>6</v>
      </c>
      <c r="G32" s="55">
        <f t="shared" si="1"/>
        <v>54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4</v>
      </c>
      <c r="F34" s="55">
        <v>65</v>
      </c>
      <c r="G34" s="55">
        <f t="shared" si="1"/>
        <v>260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29</v>
      </c>
      <c r="F35" s="55">
        <v>4</v>
      </c>
      <c r="G35" s="55">
        <f t="shared" si="1"/>
        <v>116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6</v>
      </c>
      <c r="F41" s="55">
        <v>7</v>
      </c>
      <c r="G41" s="55">
        <f t="shared" si="1"/>
        <v>42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197</v>
      </c>
      <c r="E42" s="55">
        <v>6</v>
      </c>
      <c r="F42" s="55">
        <v>6</v>
      </c>
      <c r="G42" s="55">
        <f t="shared" si="1"/>
        <v>36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197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197</v>
      </c>
      <c r="E44" s="55">
        <v>1</v>
      </c>
      <c r="F44" s="55">
        <v>35</v>
      </c>
      <c r="G44" s="55">
        <f t="shared" si="1"/>
        <v>35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197</v>
      </c>
      <c r="E45" s="55">
        <v>1</v>
      </c>
      <c r="F45" s="55">
        <v>210</v>
      </c>
      <c r="G45" s="55">
        <f t="shared" si="1"/>
        <v>210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197</v>
      </c>
      <c r="E46" s="55">
        <v>1</v>
      </c>
      <c r="F46" s="55">
        <v>205</v>
      </c>
      <c r="G46" s="55">
        <f t="shared" si="1"/>
        <v>205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237</v>
      </c>
      <c r="D47" s="70" t="s">
        <v>197</v>
      </c>
      <c r="E47" s="55">
        <v>1</v>
      </c>
      <c r="F47" s="55">
        <v>280</v>
      </c>
      <c r="G47" s="55">
        <f t="shared" si="1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217</v>
      </c>
      <c r="D48" s="70" t="s">
        <v>197</v>
      </c>
      <c r="E48" s="55">
        <v>1</v>
      </c>
      <c r="F48" s="55">
        <v>410</v>
      </c>
      <c r="G48" s="55">
        <f t="shared" si="1"/>
        <v>410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218</v>
      </c>
      <c r="D49" s="70" t="s">
        <v>197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197</v>
      </c>
      <c r="E50" s="55">
        <v>2</v>
      </c>
      <c r="F50" s="55">
        <v>6</v>
      </c>
      <c r="G50" s="55">
        <f t="shared" si="1"/>
        <v>12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234</v>
      </c>
      <c r="D51" s="70" t="s">
        <v>197</v>
      </c>
      <c r="E51" s="55">
        <v>3</v>
      </c>
      <c r="F51" s="55">
        <v>25</v>
      </c>
      <c r="G51" s="55">
        <f t="shared" si="1"/>
        <v>75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244</v>
      </c>
      <c r="D52" s="70" t="s">
        <v>197</v>
      </c>
      <c r="E52" s="55">
        <v>1</v>
      </c>
      <c r="F52" s="55">
        <v>110</v>
      </c>
      <c r="G52" s="55">
        <f t="shared" si="1"/>
        <v>110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245</v>
      </c>
      <c r="D53" s="70" t="s">
        <v>197</v>
      </c>
      <c r="E53" s="55">
        <v>1</v>
      </c>
      <c r="F53" s="55">
        <v>43</v>
      </c>
      <c r="G53" s="55">
        <f t="shared" si="1"/>
        <v>43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246</v>
      </c>
      <c r="D54" s="70" t="s">
        <v>197</v>
      </c>
      <c r="E54" s="55">
        <v>4</v>
      </c>
      <c r="F54" s="55">
        <v>8</v>
      </c>
      <c r="G54" s="55">
        <f t="shared" si="1"/>
        <v>32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29:G55" si="2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>SUM(G28:G55)</f>
        <v>3153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221</v>
      </c>
      <c r="D13" s="55"/>
      <c r="E13" s="55">
        <v>40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222</v>
      </c>
      <c r="D14" s="55"/>
      <c r="E14" s="55">
        <v>30</v>
      </c>
      <c r="F14" s="55"/>
      <c r="G14" s="55">
        <v>30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70</v>
      </c>
      <c r="F30" s="88">
        <f t="shared" si="1"/>
        <v>0</v>
      </c>
      <c r="G30" s="88">
        <f t="shared" si="1"/>
        <v>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2018-06-13T00:30:41Z</dcterms:modified>
</cp:coreProperties>
</file>