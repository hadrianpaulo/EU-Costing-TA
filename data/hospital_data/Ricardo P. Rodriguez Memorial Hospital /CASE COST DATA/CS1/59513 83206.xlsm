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47" i="9" l="1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48" i="9" l="1"/>
  <c r="G49" i="9"/>
  <c r="G50" i="9"/>
  <c r="G51" i="9"/>
  <c r="G52" i="9"/>
  <c r="G53" i="9"/>
  <c r="G28" i="9"/>
  <c r="J28" i="2" l="1"/>
  <c r="G30" i="9" l="1"/>
  <c r="G29" i="9"/>
  <c r="G54" i="9" l="1"/>
  <c r="J23" i="2" l="1"/>
  <c r="J22" i="2"/>
  <c r="G57" i="9" l="1"/>
  <c r="G56" i="9"/>
  <c r="G55" i="9"/>
  <c r="G58" i="9" l="1"/>
  <c r="G59" i="9" l="1"/>
  <c r="G60" i="9"/>
  <c r="G61" i="9"/>
  <c r="G62" i="9"/>
  <c r="G63" i="9"/>
  <c r="J27" i="2"/>
  <c r="J26" i="2"/>
  <c r="J25" i="2"/>
  <c r="J24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J13" i="2"/>
  <c r="J14" i="2"/>
  <c r="J15" i="2"/>
  <c r="J16" i="2"/>
  <c r="J17" i="2"/>
  <c r="J18" i="2"/>
  <c r="J19" i="2"/>
  <c r="J20" i="2"/>
  <c r="J21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<sst xmlns="http://schemas.openxmlformats.org/spreadsheetml/2006/main" count="556" uniqueCount="237">
  <si>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</si>
  <si>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</si>
  <si>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</si>
  <si>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</si>
  <si>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</si>
  <si>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</si>
  <si>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</si>
  <si>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</si>
  <si>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</si>
  <si>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</si>
  <si>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</si>
  <si>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</si>
  <si>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</si>
  <si>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</si>
  <si>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</si>
  <si>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</si>
  <si>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</si>
  <si>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</si>
  <si>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</si>
  <si>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</si>
  <si>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</si>
  <si>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</si>
  <si>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</si>
  <si>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</si>
  <si>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</si>
  <si>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</si>
  <si>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</si>
  <si>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</si>
  <si>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</si>
  <si>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</si>
  <si>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</si>
  <si>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</si>
  <si>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</si>
  <si>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</si>
  <si>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</si>
  <si>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</si>
  <si>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</si>
  <si>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</si>
  <si>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</si>
  <si>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</si>
  <si>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</si>
  <si>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</si>
  <si>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</si>
  <si>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</si>
  <si>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</si>
  <si>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</si>
  <si>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</si>
  <si>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</si>
  <si>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</si>
  <si>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</si>
  <si>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</si>
  <si>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</si>
  <si>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</si>
  <si>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</si>
  <si>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</si>
  <si>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</si>
  <si>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</si>
  <si>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</si>
  <si>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</si>
  <si>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</si>
  <si>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</si>
  <si>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</si>
  <si>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</si>
  <si>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</si>
  <si>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</si>
  <si>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</si>
  <si>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</si>
  <si>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</si>
  <si>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</si>
  <si>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</si>
  <si>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</si>
  <si>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</si>
  <si>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</si>
  <si>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</si>
  <si>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</si>
  <si>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</si>
  <si>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</si>
  <si>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</si>
  <si>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</si>
  <si>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</si>
  <si>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</si>
  <si>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</si>
  <si>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</si>
  <si>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</si>
  <si>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</si>
  <si>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</si>
  <si>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</si>
  <si>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</si>
  <si>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</si>
  <si>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</si>
  <si>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</si>
  <si>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</si>
  <si>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</si>
  <si>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</si>
  <si>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</si>
  <si>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</si>
  <si>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</si>
  <si>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</si>
  <si>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</si>
  <si>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</si>
  <si>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</si>
  <si>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</si>
  <si>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</si>
  <si>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</si>
  <si>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</si>
  <si>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</si>
  <si>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</si>
  <si>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</si>
  <si>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</si>
  <si>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</si>
  <si>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</si>
  <si>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</si>
  <si>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</si>
  <si>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</si>
  <si>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</si>
  <si>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</si>
  <si>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</si>
  <si>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</si>
  <si>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</si>
  <si>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</si>
  <si>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</si>
  <si>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</si>
  <si>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</si>
  <si>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</si>
  <si>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</si>
  <si>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</si>
  <si>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</si>
  <si>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</si>
  <si>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</si>
  <si>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</si>
  <si>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</si>
  <si>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</si>
  <si>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</si>
  <si>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</si>
  <si>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</si>
  <si>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</si>
  <si>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</si>
  <si>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</si>
  <si>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</si>
  <si>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</si>
  <si>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</si>
  <si>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</si>
  <si>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</si>
  <si>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</si>
  <si>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</si>
  <si>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</si>
  <si>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</si>
  <si>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</si>
  <si>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</si>
  <si>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</si>
  <si>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</si>
  <si>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</si>
  <si>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</si>
  <si>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</si>
  <si>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</si>
  <si>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</si>
  <si>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</si>
  <si>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</si>
  <si>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</si>
  <si>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</si>
  <si>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</si>
  <si>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</si>
  <si>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</si>
  <si>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</si>
  <si>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</si>
  <si>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</si>
  <si>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</si>
  <si>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</si>
  <si>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</si>
  <si>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</si>
  <si>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</si>
  <si>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</si>
  <si>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</si>
  <si>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</si>
  <si>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</si>
  <si>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</si>
  <si>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</si>
  <si>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</si>
  <si>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</si>
  <si>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</si>
  <si>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</si>
  <si>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</si>
  <si>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</si>
  <si>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</si>
  <si>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</si>
  <si>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</si>
  <si>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</si>
  <si>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</si>
  <si>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</si>
  <si>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</si>
  <si>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</si>
  <si>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</si>
  <si>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</si>
  <si>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</si>
  <si>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</si>
  <si>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</si>
  <si>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</si>
  <si>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</si>
  <si>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</si>
  <si>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</si>
  <si>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</si>
  <si>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</si>
  <si>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</si>
  <si>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</si>
  <si>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</si>
  <si>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</si>
  <si>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</si>
  <si>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</si>
  <si>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</si>
  <si>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</si>
  <si>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</si>
  <si>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</si>
  <si>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</si>
  <si>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</si>
  <si>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</si>
  <si>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</si>
  <si>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</si>
  <si>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</si>
  <si>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METHYLERGOMETRINE</t>
  </si>
  <si>
    <t>AMPULE.IV</t>
  </si>
  <si>
    <t>200MCG/ML</t>
  </si>
  <si>
    <t>DICLOFENAC</t>
  </si>
  <si>
    <t>SODIUM CHLORIDE</t>
  </si>
  <si>
    <t>ONDASETRON</t>
  </si>
  <si>
    <t>4MG/2ML</t>
  </si>
  <si>
    <t>BOTTLE/100/5ML</t>
  </si>
  <si>
    <t>STERILE GLOVES 6.5</t>
  </si>
  <si>
    <t>URINALYSIS</t>
  </si>
  <si>
    <t>STERILE GLOBVES 7.5</t>
  </si>
  <si>
    <t>CBC, BLOOD TYPING</t>
  </si>
  <si>
    <t>AMPICILLIN</t>
  </si>
  <si>
    <t>POWDER/INJECTION</t>
  </si>
  <si>
    <t>IV SET ADULT</t>
  </si>
  <si>
    <t>IV CATHETER G 18</t>
  </si>
  <si>
    <t>ABDOMENAL BINDER XL</t>
  </si>
  <si>
    <t>DISPOSABLE RAZOR BLADE</t>
  </si>
  <si>
    <t>DIGITAL THERMOMETER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</si>
</sst>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7" workbookViewId="0">
      <selection activeCell="E67" sqref="E67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2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3200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215</v>
      </c>
      <c r="D61" s="41">
        <v>2622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216</v>
      </c>
      <c r="D62" s="41">
        <v>2127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229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227</v>
      </c>
      <c r="D67" s="41"/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39</v>
      </c>
      <c r="D68" s="41">
        <v>7600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40</v>
      </c>
      <c r="D69" s="41">
        <v>20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174</v>
      </c>
      <c r="D70" s="41">
        <v>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181</v>
      </c>
      <c r="D71" s="41">
        <v>120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175</v>
      </c>
      <c r="D72" s="41">
        <v>60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214</v>
      </c>
      <c r="D73" s="41">
        <v>100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16629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I25" sqref="I25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4</v>
      </c>
      <c r="I11" s="41">
        <v>80</v>
      </c>
      <c r="J11" s="41">
        <f>H11*I11</f>
        <v>320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230</v>
      </c>
      <c r="D12" s="73" t="s">
        <v>231</v>
      </c>
      <c r="E12" s="73" t="s">
        <v>167</v>
      </c>
      <c r="F12" s="41">
        <v>0</v>
      </c>
      <c r="G12" s="41">
        <v>0</v>
      </c>
      <c r="H12" s="41">
        <v>1</v>
      </c>
      <c r="I12" s="41">
        <v>23</v>
      </c>
      <c r="J12" s="41">
        <f t="shared" ref="J12:J14" si="0">H12*I12</f>
        <v>23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185</v>
      </c>
      <c r="D13" s="116" t="s">
        <v>186</v>
      </c>
      <c r="E13" s="116" t="s">
        <v>187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188</v>
      </c>
      <c r="D14" s="116" t="s">
        <v>173</v>
      </c>
      <c r="E14" s="116" t="s">
        <v>189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191</v>
      </c>
      <c r="D15" s="116" t="s">
        <v>190</v>
      </c>
      <c r="E15" s="116" t="s">
        <v>192</v>
      </c>
      <c r="F15" s="41">
        <v>0</v>
      </c>
      <c r="G15" s="41">
        <v>0</v>
      </c>
      <c r="H15" s="41">
        <v>2</v>
      </c>
      <c r="I15" s="41">
        <v>40</v>
      </c>
      <c r="J15" s="41">
        <f t="shared" ref="J15:J28" si="1">H15*I15</f>
        <v>80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221</v>
      </c>
      <c r="D16" s="116" t="s">
        <v>186</v>
      </c>
      <c r="E16" s="116" t="s">
        <v>187</v>
      </c>
      <c r="F16" s="41">
        <v>0</v>
      </c>
      <c r="G16" s="41">
        <v>0</v>
      </c>
      <c r="H16" s="41">
        <v>2</v>
      </c>
      <c r="I16" s="41">
        <v>30</v>
      </c>
      <c r="J16" s="41">
        <f t="shared" si="1"/>
        <v>60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193</v>
      </c>
      <c r="D17" s="116" t="s">
        <v>186</v>
      </c>
      <c r="E17" s="116" t="s">
        <v>194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195</v>
      </c>
      <c r="D18" s="116" t="s">
        <v>186</v>
      </c>
      <c r="E18" s="116" t="s">
        <v>189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197</v>
      </c>
      <c r="E19" s="116" t="s">
        <v>167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198</v>
      </c>
      <c r="D20" s="116" t="s">
        <v>197</v>
      </c>
      <c r="E20" s="116" t="s">
        <v>167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199</v>
      </c>
      <c r="D21" s="116" t="s">
        <v>200</v>
      </c>
      <c r="E21" s="116" t="s">
        <v>201</v>
      </c>
      <c r="F21" s="41">
        <v>0</v>
      </c>
      <c r="G21" s="41">
        <v>0</v>
      </c>
      <c r="H21" s="41">
        <v>2</v>
      </c>
      <c r="I21" s="41">
        <v>55</v>
      </c>
      <c r="J21" s="41">
        <f t="shared" si="1"/>
        <v>110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218</v>
      </c>
      <c r="D22" s="116" t="s">
        <v>219</v>
      </c>
      <c r="E22" s="116" t="s">
        <v>220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3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222</v>
      </c>
      <c r="D23" s="116" t="s">
        <v>183</v>
      </c>
      <c r="E23" s="116" t="s">
        <v>184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223</v>
      </c>
      <c r="D24" s="116" t="s">
        <v>186</v>
      </c>
      <c r="E24" s="116" t="s">
        <v>224</v>
      </c>
      <c r="F24" s="41">
        <v>0</v>
      </c>
      <c r="G24" s="41">
        <v>0</v>
      </c>
      <c r="H24" s="41">
        <v>1</v>
      </c>
      <c r="I24" s="41">
        <v>760</v>
      </c>
      <c r="J24" s="41">
        <f t="shared" si="1"/>
        <v>760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116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116"/>
      <c r="E26" s="73"/>
      <c r="F26" s="41">
        <v>0</v>
      </c>
      <c r="G26" s="41">
        <v>0</v>
      </c>
      <c r="H26" s="41"/>
      <c r="I26" s="41"/>
      <c r="J26" s="41">
        <f t="shared" si="1"/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1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2622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3" workbookViewId="0">
      <selection activeCell="F50" sqref="F50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232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233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40" t="s">
        <v>211</v>
      </c>
      <c r="D29" s="60" t="s">
        <v>168</v>
      </c>
      <c r="E29" s="41">
        <v>1</v>
      </c>
      <c r="F29" s="41">
        <v>25</v>
      </c>
      <c r="G29" s="41">
        <f t="shared" ref="G29:G30" si="1">E29*F29</f>
        <v>25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202</v>
      </c>
      <c r="D30" s="118" t="s">
        <v>168</v>
      </c>
      <c r="E30" s="41">
        <v>1</v>
      </c>
      <c r="F30" s="41">
        <v>65</v>
      </c>
      <c r="G30" s="41">
        <f t="shared" si="1"/>
        <v>65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203</v>
      </c>
      <c r="D31" s="118" t="s">
        <v>168</v>
      </c>
      <c r="E31" s="41">
        <v>2</v>
      </c>
      <c r="F31" s="41">
        <v>6</v>
      </c>
      <c r="G31" s="41">
        <f t="shared" ref="G31:G43" si="2">E31*F31</f>
        <v>12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204</v>
      </c>
      <c r="D32" s="118" t="s">
        <v>168</v>
      </c>
      <c r="E32" s="41">
        <v>1</v>
      </c>
      <c r="F32" s="41">
        <v>40</v>
      </c>
      <c r="G32" s="41">
        <f t="shared" si="2"/>
        <v>40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205</v>
      </c>
      <c r="D33" s="118" t="s">
        <v>225</v>
      </c>
      <c r="E33" s="41">
        <v>5</v>
      </c>
      <c r="F33" s="41">
        <v>45</v>
      </c>
      <c r="G33" s="41">
        <f t="shared" si="2"/>
        <v>225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169</v>
      </c>
      <c r="D34" s="118" t="s">
        <v>168</v>
      </c>
      <c r="E34" s="41">
        <v>2</v>
      </c>
      <c r="F34" s="41">
        <v>6</v>
      </c>
      <c r="G34" s="41">
        <f t="shared" si="2"/>
        <v>12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206</v>
      </c>
      <c r="D35" s="118" t="s">
        <v>168</v>
      </c>
      <c r="E35" s="41">
        <v>40</v>
      </c>
      <c r="F35" s="41">
        <v>3</v>
      </c>
      <c r="G35" s="41">
        <f t="shared" si="2"/>
        <v>120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207</v>
      </c>
      <c r="D36" s="118" t="s">
        <v>168</v>
      </c>
      <c r="E36" s="41">
        <v>4</v>
      </c>
      <c r="F36" s="41">
        <v>65</v>
      </c>
      <c r="G36" s="41">
        <f t="shared" si="2"/>
        <v>260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212</v>
      </c>
      <c r="D37" s="118" t="s">
        <v>168</v>
      </c>
      <c r="E37" s="41">
        <v>1</v>
      </c>
      <c r="F37" s="41">
        <v>110</v>
      </c>
      <c r="G37" s="41">
        <f t="shared" si="2"/>
        <v>110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208</v>
      </c>
      <c r="D38" s="118" t="s">
        <v>168</v>
      </c>
      <c r="E38" s="41">
        <v>1</v>
      </c>
      <c r="F38" s="41">
        <v>210</v>
      </c>
      <c r="G38" s="41">
        <f t="shared" si="2"/>
        <v>210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209</v>
      </c>
      <c r="D39" s="118" t="s">
        <v>168</v>
      </c>
      <c r="E39" s="41">
        <v>1</v>
      </c>
      <c r="F39" s="41">
        <v>35</v>
      </c>
      <c r="G39" s="41">
        <f t="shared" si="2"/>
        <v>35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210</v>
      </c>
      <c r="D40" s="118" t="s">
        <v>168</v>
      </c>
      <c r="E40" s="41">
        <v>2</v>
      </c>
      <c r="F40" s="41">
        <v>7</v>
      </c>
      <c r="G40" s="41">
        <f t="shared" si="2"/>
        <v>14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170</v>
      </c>
      <c r="D41" s="118" t="s">
        <v>168</v>
      </c>
      <c r="E41" s="41">
        <v>2</v>
      </c>
      <c r="F41" s="41">
        <v>6</v>
      </c>
      <c r="G41" s="41">
        <f t="shared" si="2"/>
        <v>12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171</v>
      </c>
      <c r="D42" s="118" t="s">
        <v>168</v>
      </c>
      <c r="E42" s="41">
        <v>2</v>
      </c>
      <c r="F42" s="41">
        <v>7</v>
      </c>
      <c r="G42" s="41">
        <f t="shared" si="2"/>
        <v>14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213</v>
      </c>
      <c r="D43" s="118" t="s">
        <v>168</v>
      </c>
      <c r="E43" s="41">
        <v>3</v>
      </c>
      <c r="F43" s="41">
        <v>25</v>
      </c>
      <c r="G43" s="41">
        <f t="shared" si="2"/>
        <v>75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228</v>
      </c>
      <c r="D44" s="118" t="s">
        <v>168</v>
      </c>
      <c r="E44" s="41">
        <v>2</v>
      </c>
      <c r="F44" s="41">
        <v>25</v>
      </c>
      <c r="G44" s="41">
        <f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226</v>
      </c>
      <c r="D45" s="118" t="s">
        <v>168</v>
      </c>
      <c r="E45" s="41">
        <v>1</v>
      </c>
      <c r="F45" s="41">
        <v>25</v>
      </c>
      <c r="G45" s="41">
        <f t="shared" ref="G45:G47" si="3">E45*F45</f>
        <v>25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217</v>
      </c>
      <c r="D46" s="118" t="s">
        <v>168</v>
      </c>
      <c r="E46" s="41">
        <v>25</v>
      </c>
      <c r="F46" s="41">
        <v>4</v>
      </c>
      <c r="G46" s="41">
        <f t="shared" si="3"/>
        <v>100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234</v>
      </c>
      <c r="D47" s="118" t="s">
        <v>168</v>
      </c>
      <c r="E47" s="41">
        <v>1</v>
      </c>
      <c r="F47" s="41">
        <v>510</v>
      </c>
      <c r="G47" s="41">
        <f t="shared" si="3"/>
        <v>510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235</v>
      </c>
      <c r="D48" s="60" t="s">
        <v>168</v>
      </c>
      <c r="E48" s="41">
        <v>1</v>
      </c>
      <c r="F48" s="41">
        <v>35</v>
      </c>
      <c r="G48" s="41">
        <f t="shared" ref="G48:G53" si="4">E48*F48</f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236</v>
      </c>
      <c r="D49" s="60" t="s">
        <v>168</v>
      </c>
      <c r="E49" s="41">
        <v>1</v>
      </c>
      <c r="F49" s="41">
        <v>85</v>
      </c>
      <c r="G49" s="41">
        <f t="shared" si="4"/>
        <v>85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/>
      <c r="D50" s="118"/>
      <c r="E50" s="41"/>
      <c r="F50" s="41"/>
      <c r="G50" s="41">
        <f t="shared" si="4"/>
        <v>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/>
      <c r="D51" s="60"/>
      <c r="E51" s="41"/>
      <c r="F51" s="41"/>
      <c r="G51" s="41">
        <f t="shared" si="4"/>
        <v>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/>
      <c r="D52" s="60"/>
      <c r="E52" s="41"/>
      <c r="F52" s="41"/>
      <c r="G52" s="41">
        <f t="shared" si="4"/>
        <v>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/>
      <c r="D53" s="60"/>
      <c r="E53" s="41"/>
      <c r="F53" s="41"/>
      <c r="G53" s="41">
        <f t="shared" si="4"/>
        <v>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/>
      <c r="D54" s="118"/>
      <c r="E54" s="41"/>
      <c r="F54" s="41"/>
      <c r="G54" s="41">
        <f t="shared" ref="G54:G57" si="5">E54*F54</f>
        <v>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/>
      <c r="D55" s="118"/>
      <c r="E55" s="41"/>
      <c r="F55" s="41"/>
      <c r="G55" s="41">
        <f t="shared" si="5"/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/>
      <c r="D56" s="118"/>
      <c r="E56" s="41"/>
      <c r="F56" s="41"/>
      <c r="G56" s="41">
        <f t="shared" si="5"/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/>
      <c r="D57" s="118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/>
      <c r="D58" s="118"/>
      <c r="E58" s="41"/>
      <c r="F58" s="41"/>
      <c r="G58" s="41">
        <f t="shared" ref="G58" si="6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7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7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7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7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7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2127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