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345" windowHeight="4575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data_general'!$B$1:$F$77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52" i="9" l="1"/>
  <c r="J24" i="2" l="1"/>
  <c r="J23" i="2"/>
  <c r="J22" i="2"/>
  <c r="J21" i="2"/>
  <c r="G51" i="9" l="1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56" i="9" l="1"/>
  <c r="J20" i="2"/>
  <c r="J25" i="2" l="1"/>
  <c r="J19" i="2"/>
  <c r="J18" i="2"/>
  <c r="J17" i="2"/>
  <c r="J16" i="2"/>
  <c r="J15" i="2"/>
  <c r="J14" i="2"/>
  <c r="J13" i="2"/>
  <c r="G53" i="9" l="1"/>
  <c r="G28" i="9"/>
  <c r="J28" i="2" l="1"/>
  <c r="G54" i="9" l="1"/>
  <c r="G57" i="9" l="1"/>
  <c r="G55" i="9"/>
  <c r="G58" i="9" l="1"/>
  <c r="G59" i="9" l="1"/>
  <c r="G60" i="9"/>
  <c r="G61" i="9"/>
  <c r="G62" i="9"/>
  <c r="G63" i="9"/>
  <c r="J27" i="2"/>
  <c r="J26" i="2"/>
  <c r="G27" i="9" l="1"/>
  <c r="G64" i="9" l="1"/>
  <c r="G16" i="9"/>
  <c r="G17" i="9"/>
  <c r="G18" i="9"/>
  <c r="G19" i="9"/>
  <c r="G20" i="9"/>
  <c r="G21" i="9"/>
  <c r="G22" i="9"/>
  <c r="G23" i="9"/>
  <c r="G24" i="9"/>
  <c r="G25" i="9"/>
  <c r="J12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7" i="1"/>
  <c r="E77" i="1"/>
  <c r="D77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<sst xmlns="http://schemas.openxmlformats.org/spreadsheetml/2006/main" count="583" uniqueCount="253">
  <si>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</si>
  <si>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</si>
  <si>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</si>
  <si>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</si>
  <si>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</si>
  <si>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</si>
  <si>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</si>
  <si>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</si>
  <si>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</si>
  <si>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</si>
  <si>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</si>
  <si>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</si>
  <si>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</si>
  <si>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</si>
  <si>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</si>
  <si>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</si>
  <si>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</si>
  <si>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</si>
  <si>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</si>
  <si>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</si>
  <si>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</si>
  <si>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</si>
  <si>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</si>
  <si>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</si>
  <si>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family val="2"/>
      </rP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</si>
  <si>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</si>
  <si>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</si>
  <si>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</si>
  <si>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</si>
  <si>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</si>
  <si>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</si>
  <si>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</si>
  <si>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</si>
  <si>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</si>
  <si>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</si>
  <si>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</si>
  <si>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</si>
  <si>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</si>
  <si>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</si>
  <si>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</si>
  <si>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</si>
  <si>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</si>
  <si>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</si>
  <si>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</si>
  <si>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</si>
  <si>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</si>
  <si>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</si>
  <si>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</si>
  <si>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</si>
  <si>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</si>
  <si>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</si>
  <si>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</si>
  <si>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</si>
  <si>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</si>
  <si>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</si>
  <si>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</si>
  <si>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</si>
  <si>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</si>
  <si>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</si>
  <si>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</si>
  <si>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</si>
  <si>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</si>
  <si>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</si>
  <si>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</si>
  <si>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</si>
  <si>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</si>
  <si>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</si>
  <si>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</si>
  <si>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</si>
  <si>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</si>
  <si>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</si>
  <si>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</si>
  <si>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</si>
  <si>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</si>
  <si>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</si>
  <si>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</si>
  <si>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</si>
  <si>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</si>
  <si>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</si>
  <si>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</si>
  <si>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</si>
  <si>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</si>
  <si>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</si>
  <si>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</si>
  <si>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</si>
  <si>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</si>
  <si>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</si>
  <si>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</si>
  <si>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</si>
  <si>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</si>
  <si>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</si>
  <si>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</si>
  <si>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</si>
  <si>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</si>
  <si>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</si>
  <si>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</si>
  <si>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</si>
  <si>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</si>
  <si>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</si>
  <si>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</si>
  <si>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</si>
  <si>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</si>
  <si>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</si>
  <si>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</si>
  <si>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</si>
  <si>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</si>
  <si>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</si>
  <si>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</si>
  <si>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</si>
  <si>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</si>
  <si>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</si>
  <si>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</si>
  <si>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</si>
  <si>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</si>
  <si>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</si>
  <si>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</si>
  <si>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</si>
  <si>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</si>
  <si>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</si>
  <si>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</si>
  <si>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</si>
  <si>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</si>
  <si>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</si>
  <si>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</si>
  <si>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</si>
  <si>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</si>
  <si>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</si>
  <si>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</si>
  <si>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</si>
  <si>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</si>
  <si>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</si>
  <si>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</si>
  <si>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</si>
  <si>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</si>
  <si>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</si>
  <si>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</si>
  <si>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</si>
  <si>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</si>
  <si>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</si>
  <si>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</si>
  <si>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</si>
  <si>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</si>
  <si>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</si>
  <si>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</si>
  <si>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</si>
  <si>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</si>
  <si>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</si>
  <si>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</si>
  <si>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</si>
  <si>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</si>
  <si>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</si>
  <si>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</si>
  <si>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</si>
  <si>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</si>
  <si>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</si>
  <si>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</si>
  <si>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</si>
  <si>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</si>
  <si>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</si>
  <si>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</si>
  <si>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</si>
  <si>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</si>
  <si>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</si>
  <si>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</si>
  <si>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</si>
  <si>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</si>
  <si>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</si>
  <si>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500MG</t>
  </si>
  <si>
    <t>PC</t>
  </si>
  <si>
    <t>DISPOSABLE MASK</t>
  </si>
  <si>
    <t>3CC SYRINGE</t>
  </si>
  <si>
    <t>5CC SYRINGE</t>
  </si>
  <si>
    <t>MEDICAL TECHNOLOGIST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</si>
  <si>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</si>
  <si>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</si>
  <si>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</si>
  <si>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</si>
  <si>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</si>
  <si>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</si>
  <si>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</si>
  <si>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</si>
  <si>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</si>
  <si>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</si>
  <si>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</si>
  <si>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</si>
  <si>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</si>
  <si>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</si>
  <si>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</si>
  <si>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</si>
  <si>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</si>
  <si>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</si>
  <si>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</si>
  <si>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NALBUPHINE</t>
  </si>
  <si>
    <t>10MG/ML</t>
  </si>
  <si>
    <t>DIAZEPAM</t>
  </si>
  <si>
    <t>CAPSULE/ORAL</t>
  </si>
  <si>
    <t>MEFENAMIC ACID</t>
  </si>
  <si>
    <t>BISACODYL</t>
  </si>
  <si>
    <t>SUPPOSITORY/ANAL</t>
  </si>
  <si>
    <t>10MG</t>
  </si>
  <si>
    <t>ADHESIVE PLASTER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</si>
  <si>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</si>
  <si>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</si>
  <si>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</si>
  <si>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</si>
  <si>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</si>
  <si>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</si>
  <si>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</si>
  <si>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</si>
  <si>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</si>
  <si>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SPINAL NEEDLE G - 23</t>
  </si>
  <si>
    <t>STERILE GLOVES 7.0</t>
  </si>
  <si>
    <t>BIRTH CERTIFICATE</t>
  </si>
  <si>
    <t>DRUGS AND MEDS ( C )</t>
  </si>
  <si>
    <t>MEDICAL SUPPLIES ( C )</t>
  </si>
  <si>
    <t>GLOVES UNSTERILE MEDIUM</t>
  </si>
  <si>
    <t>DICLOFENAC</t>
  </si>
  <si>
    <t>BOTTLE/100/5ML</t>
  </si>
  <si>
    <t>URINALYSIS</t>
  </si>
  <si>
    <t>CBC, BLOOD TYPING</t>
  </si>
  <si>
    <t>AMPICILLIN</t>
  </si>
  <si>
    <t>POWDER/INJECTION</t>
  </si>
  <si>
    <t>IV SET ADULT</t>
  </si>
  <si>
    <t>IV CATHETER G 18</t>
  </si>
  <si>
    <t>DIGITAL THERMOMETER</t>
  </si>
  <si>
    <t>RANDOM BLOOD SUGAR</t>
  </si>
  <si>
    <t>DISPOSABLE RAZOR BLADE</t>
  </si>
  <si>
    <t xml:space="preserve">MEDICAL SUPPLIES </t>
  </si>
  <si>
    <t>PROMETHAZINE</t>
  </si>
  <si>
    <t>ID BRACELET</t>
  </si>
  <si>
    <t>CYDEX</t>
  </si>
  <si>
    <t>POVIDONE IODINE</t>
  </si>
  <si>
    <t>BOTTLE/60ML</t>
  </si>
  <si>
    <t>STERILE GLOVES 7.5</t>
  </si>
  <si>
    <t>METHYLERGOMETRINE</t>
  </si>
  <si>
    <t>200MCG/ML</t>
  </si>
  <si>
    <t>CORD CLAMP</t>
  </si>
  <si>
    <t>CEFALEXIN</t>
  </si>
  <si>
    <t>BETADINE 10%</t>
  </si>
  <si>
    <t>BOTTLE</t>
  </si>
  <si>
    <t>INSULIN SYRINGE</t>
  </si>
  <si>
    <t>RANITIDINE</t>
  </si>
  <si>
    <t>SODIUM CHLORIDE</t>
  </si>
  <si>
    <t>MIDAZOLAM</t>
  </si>
  <si>
    <t>1MG/3ML</t>
  </si>
  <si>
    <t>ONDANSETRON</t>
  </si>
  <si>
    <t>4MG/2ML</t>
  </si>
  <si>
    <t>STERILE WATER</t>
  </si>
  <si>
    <t>10ML</t>
  </si>
  <si>
    <t>CHROMIC I</t>
  </si>
  <si>
    <t>CHROMIC 2.0 DOUBLE ARM CUTTING</t>
  </si>
  <si>
    <t>VICRYL I</t>
  </si>
  <si>
    <t>VICRYL 3-0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</si>
</sst>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family val="2"/>
    </font>
    <font>
      <sz val="11"/>
      <color rgb="FFFA7D00"/>
      <name val="Calibri"/>
      <family val="2"/>
      <scheme val="minor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Arial Narrow"/>
      <family val="2"/>
    </font>
    <font>
      <sz val="11"/>
      <color rgb="FF0070C0"/>
      <name val="Arial Narrow"/>
      <family val="2"/>
    </font>
    <font>
      <b/>
      <sz val="11"/>
      <color rgb="FF0070C0"/>
      <name val="Arial Narrow"/>
      <family val="2"/>
    </font>
    <font>
      <b/>
      <sz val="12"/>
      <color rgb="FF000000"/>
      <name val="Arial Narrow"/>
      <family val="2"/>
    </font>
    <font>
      <i/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b/>
      <u/>
      <sz val="11"/>
      <color rgb="FF00000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55" workbookViewId="0">
      <selection activeCell="D62" sqref="D62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176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16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6" t="s">
        <v>8</v>
      </c>
      <c r="C12" s="127"/>
      <c r="D12" s="127"/>
      <c r="E12" s="127"/>
      <c r="F12" s="128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9" t="s">
        <v>9</v>
      </c>
      <c r="C13" s="130"/>
      <c r="D13" s="130"/>
      <c r="E13" s="130"/>
      <c r="F13" s="131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9" t="s">
        <v>10</v>
      </c>
      <c r="C14" s="130"/>
      <c r="D14" s="130"/>
      <c r="E14" s="130"/>
      <c r="F14" s="131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32" t="s">
        <v>11</v>
      </c>
      <c r="C15" s="133"/>
      <c r="D15" s="133"/>
      <c r="E15" s="133"/>
      <c r="F15" s="134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0" t="s">
        <v>17</v>
      </c>
      <c r="C18" s="121"/>
      <c r="D18" s="121"/>
      <c r="E18" s="121"/>
      <c r="F18" s="122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0" t="s">
        <v>18</v>
      </c>
      <c r="C22" s="121"/>
      <c r="D22" s="121"/>
      <c r="E22" s="121"/>
      <c r="F22" s="122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59513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23" t="s">
        <v>19</v>
      </c>
      <c r="C28" s="124"/>
      <c r="D28" s="124"/>
      <c r="E28" s="124"/>
      <c r="F28" s="125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3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0" t="s">
        <v>27</v>
      </c>
      <c r="C33" s="121"/>
      <c r="D33" s="121"/>
      <c r="E33" s="121"/>
      <c r="F33" s="122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177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178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179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180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23" t="s">
        <v>28</v>
      </c>
      <c r="C38" s="124"/>
      <c r="D38" s="121"/>
      <c r="E38" s="124"/>
      <c r="F38" s="122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/>
      <c r="D39" s="97"/>
      <c r="E39" s="41"/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23" t="s">
        <v>29</v>
      </c>
      <c r="C43" s="124"/>
      <c r="D43" s="121"/>
      <c r="E43" s="124"/>
      <c r="F43" s="122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0" t="s">
        <v>31</v>
      </c>
      <c r="C45" s="121"/>
      <c r="D45" s="121"/>
      <c r="E45" s="121"/>
      <c r="F45" s="122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0" t="s">
        <v>32</v>
      </c>
      <c r="C50" s="121"/>
      <c r="D50" s="121"/>
      <c r="E50" s="121"/>
      <c r="F50" s="122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3600</v>
      </c>
      <c r="E60" s="41"/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213</v>
      </c>
      <c r="D61" s="41">
        <v>3206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214</v>
      </c>
      <c r="D62" s="41">
        <v>3389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177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178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73" t="s">
        <v>219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180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218</v>
      </c>
      <c r="D67" s="41">
        <v>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225</v>
      </c>
      <c r="D68" s="41">
        <v>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73" t="s">
        <v>39</v>
      </c>
      <c r="D69" s="41">
        <v>7600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73" t="s">
        <v>40</v>
      </c>
      <c r="D70" s="41">
        <v>30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174</v>
      </c>
      <c r="D71" s="41">
        <v>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181</v>
      </c>
      <c r="D72" s="41">
        <v>120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 t="s">
        <v>175</v>
      </c>
      <c r="D73" s="41">
        <v>60</v>
      </c>
      <c r="E73" s="41"/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13.5" customHeight="1">
      <c r="A74" s="76"/>
      <c r="B74" s="109">
        <v>15</v>
      </c>
      <c r="C74" s="116" t="s">
        <v>212</v>
      </c>
      <c r="D74" s="41">
        <v>100</v>
      </c>
      <c r="E74" s="41"/>
      <c r="F74" s="41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09">
        <v>16</v>
      </c>
      <c r="C75" s="73" t="s">
        <v>227</v>
      </c>
      <c r="D75" s="41">
        <v>80</v>
      </c>
      <c r="E75" s="41"/>
      <c r="F75" s="41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4.9000000000000004" customHeight="1">
      <c r="A76" s="76"/>
      <c r="B76" s="76"/>
      <c r="C76" s="76"/>
      <c r="D76" s="110"/>
      <c r="E76" s="110"/>
      <c r="F76" s="110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111"/>
      <c r="C77" s="112" t="s">
        <v>41</v>
      </c>
      <c r="D77" s="113">
        <f>SUM(D60:D76)</f>
        <v>18965</v>
      </c>
      <c r="E77" s="113">
        <f>SUM(E60:E76)</f>
        <v>0</v>
      </c>
      <c r="F77" s="113">
        <f>SUM(F60:F76)</f>
        <v>0</v>
      </c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  <row r="1013" spans="1:25" ht="13.5" customHeight="1">
      <c r="A1013" s="76"/>
      <c r="B1013" s="76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76"/>
      <c r="P1013" s="76"/>
      <c r="Q1013" s="76"/>
      <c r="R1013" s="76"/>
      <c r="S1013" s="76"/>
      <c r="T1013" s="76"/>
      <c r="U1013" s="76"/>
      <c r="V1013" s="76"/>
      <c r="W1013" s="76"/>
      <c r="X1013" s="76"/>
      <c r="Y1013" s="76"/>
    </row>
    <row r="1014" spans="1:25" ht="13.5" customHeight="1">
      <c r="A1014" s="76"/>
      <c r="B1014" s="76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76"/>
      <c r="P1014" s="76"/>
      <c r="Q1014" s="76"/>
      <c r="R1014" s="76"/>
      <c r="S1014" s="76"/>
      <c r="T1014" s="76"/>
      <c r="U1014" s="76"/>
      <c r="V1014" s="76"/>
      <c r="W1014" s="76"/>
      <c r="X1014" s="76"/>
      <c r="Y1014" s="76"/>
    </row>
  </sheetData>
  <sheetProtection algorithmName="SHA-512" hashValue="s8aAqZth/vENax+EVgEveb6K4zL8ESa2GH1CHIo37G+Fcy8zcEUlctzXV1ZoZoQxFXdbiBrVMUkzAbRPfdP4sg==" saltValue="CJt0GUL0hXNfL8Y8CP7bHA==" spinCount="100000" sheet="1" objects="1" scenarios="1" formatColumns="0" formatRows="0" sort="0" autoFilter="0"/>
  <mergeCells count="12">
    <mergeCell ref="B12:F12"/>
    <mergeCell ref="B13:F13"/>
    <mergeCell ref="B14:F14"/>
    <mergeCell ref="B15:F15"/>
    <mergeCell ref="B18:F18"/>
    <mergeCell ref="B45:F45"/>
    <mergeCell ref="B50:F50"/>
    <mergeCell ref="B22:F22"/>
    <mergeCell ref="B28:F28"/>
    <mergeCell ref="B33:F33"/>
    <mergeCell ref="B38:F38"/>
    <mergeCell ref="B43:F43"/>
  </mergeCells>
  <dataValidations count="1">
    <dataValidation type="decimal" operator="greaterThanOrEqual" allowBlank="1" showInputMessage="1" showErrorMessage="1" sqref="E32 E37 E44 E34:E36 E39:E42 E23:F27 E46:F49 E51:F56 D60:F75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9" workbookViewId="0">
      <selection activeCell="C27" sqref="C27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182</v>
      </c>
      <c r="D11" s="116" t="s">
        <v>183</v>
      </c>
      <c r="E11" s="116" t="s">
        <v>184</v>
      </c>
      <c r="F11" s="41">
        <v>0</v>
      </c>
      <c r="G11" s="41">
        <v>0</v>
      </c>
      <c r="H11" s="41">
        <v>6</v>
      </c>
      <c r="I11" s="41">
        <v>80</v>
      </c>
      <c r="J11" s="41">
        <f>H11*I11</f>
        <v>480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73" t="s">
        <v>220</v>
      </c>
      <c r="D12" s="73" t="s">
        <v>221</v>
      </c>
      <c r="E12" s="73" t="s">
        <v>167</v>
      </c>
      <c r="F12" s="41">
        <v>0</v>
      </c>
      <c r="G12" s="41">
        <v>0</v>
      </c>
      <c r="H12" s="41">
        <v>4</v>
      </c>
      <c r="I12" s="41">
        <v>23</v>
      </c>
      <c r="J12" s="41">
        <f t="shared" ref="J12" si="0">H12*I12</f>
        <v>92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187</v>
      </c>
      <c r="D13" s="116" t="s">
        <v>173</v>
      </c>
      <c r="E13" s="116" t="s">
        <v>188</v>
      </c>
      <c r="F13" s="41">
        <v>0</v>
      </c>
      <c r="G13" s="41">
        <v>0</v>
      </c>
      <c r="H13" s="41">
        <v>1</v>
      </c>
      <c r="I13" s="41">
        <v>650</v>
      </c>
      <c r="J13" s="41">
        <f t="shared" ref="J13:J25" si="1">H13*I13</f>
        <v>650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190</v>
      </c>
      <c r="D14" s="116" t="s">
        <v>189</v>
      </c>
      <c r="E14" s="116" t="s">
        <v>191</v>
      </c>
      <c r="F14" s="41">
        <v>0</v>
      </c>
      <c r="G14" s="41">
        <v>0</v>
      </c>
      <c r="H14" s="41">
        <v>3</v>
      </c>
      <c r="I14" s="41">
        <v>40</v>
      </c>
      <c r="J14" s="41">
        <f t="shared" si="1"/>
        <v>120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216</v>
      </c>
      <c r="D15" s="116" t="s">
        <v>185</v>
      </c>
      <c r="E15" s="116" t="s">
        <v>186</v>
      </c>
      <c r="F15" s="41">
        <v>0</v>
      </c>
      <c r="G15" s="41">
        <v>0</v>
      </c>
      <c r="H15" s="41">
        <v>3</v>
      </c>
      <c r="I15" s="41">
        <v>30</v>
      </c>
      <c r="J15" s="41">
        <f t="shared" si="1"/>
        <v>90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192</v>
      </c>
      <c r="D16" s="116" t="s">
        <v>185</v>
      </c>
      <c r="E16" s="116" t="s">
        <v>193</v>
      </c>
      <c r="F16" s="41">
        <v>0</v>
      </c>
      <c r="G16" s="41">
        <v>0</v>
      </c>
      <c r="H16" s="41">
        <v>1</v>
      </c>
      <c r="I16" s="41">
        <v>125</v>
      </c>
      <c r="J16" s="41">
        <f t="shared" si="1"/>
        <v>125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194</v>
      </c>
      <c r="D17" s="116" t="s">
        <v>185</v>
      </c>
      <c r="E17" s="116" t="s">
        <v>188</v>
      </c>
      <c r="F17" s="41">
        <v>0</v>
      </c>
      <c r="G17" s="41">
        <v>0</v>
      </c>
      <c r="H17" s="41">
        <v>1</v>
      </c>
      <c r="I17" s="41">
        <v>135</v>
      </c>
      <c r="J17" s="41">
        <f t="shared" si="1"/>
        <v>135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73" t="s">
        <v>237</v>
      </c>
      <c r="D18" s="116" t="s">
        <v>195</v>
      </c>
      <c r="E18" s="116" t="s">
        <v>167</v>
      </c>
      <c r="F18" s="41">
        <v>0</v>
      </c>
      <c r="G18" s="41">
        <v>0</v>
      </c>
      <c r="H18" s="41">
        <v>21</v>
      </c>
      <c r="I18" s="41">
        <v>8</v>
      </c>
      <c r="J18" s="41">
        <f t="shared" si="1"/>
        <v>168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196</v>
      </c>
      <c r="D19" s="116" t="s">
        <v>195</v>
      </c>
      <c r="E19" s="116" t="s">
        <v>167</v>
      </c>
      <c r="F19" s="41">
        <v>0</v>
      </c>
      <c r="G19" s="41">
        <v>0</v>
      </c>
      <c r="H19" s="41">
        <v>9</v>
      </c>
      <c r="I19" s="41">
        <v>4</v>
      </c>
      <c r="J19" s="41">
        <f t="shared" si="1"/>
        <v>36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197</v>
      </c>
      <c r="D20" s="116" t="s">
        <v>198</v>
      </c>
      <c r="E20" s="116" t="s">
        <v>199</v>
      </c>
      <c r="F20" s="41">
        <v>0</v>
      </c>
      <c r="G20" s="41">
        <v>0</v>
      </c>
      <c r="H20" s="41">
        <v>2</v>
      </c>
      <c r="I20" s="41">
        <v>55</v>
      </c>
      <c r="J20" s="41">
        <f t="shared" si="1"/>
        <v>110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73" t="s">
        <v>228</v>
      </c>
      <c r="D21" s="73" t="s">
        <v>185</v>
      </c>
      <c r="E21" s="73" t="s">
        <v>186</v>
      </c>
      <c r="F21" s="41">
        <v>0</v>
      </c>
      <c r="G21" s="41">
        <v>0</v>
      </c>
      <c r="H21" s="41">
        <v>1</v>
      </c>
      <c r="I21" s="41">
        <v>25</v>
      </c>
      <c r="J21" s="41">
        <f t="shared" si="1"/>
        <v>25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73" t="s">
        <v>234</v>
      </c>
      <c r="D22" s="73" t="s">
        <v>189</v>
      </c>
      <c r="E22" s="73" t="s">
        <v>235</v>
      </c>
      <c r="F22" s="41">
        <v>0</v>
      </c>
      <c r="G22" s="41">
        <v>0</v>
      </c>
      <c r="H22" s="41">
        <v>1</v>
      </c>
      <c r="I22" s="41">
        <v>50</v>
      </c>
      <c r="J22" s="41">
        <f t="shared" ref="J22:J24" si="2">H22*I22</f>
        <v>50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73" t="s">
        <v>242</v>
      </c>
      <c r="D23" s="73" t="s">
        <v>183</v>
      </c>
      <c r="E23" s="73" t="s">
        <v>184</v>
      </c>
      <c r="F23" s="41">
        <v>0</v>
      </c>
      <c r="G23" s="41">
        <v>0</v>
      </c>
      <c r="H23" s="41">
        <v>1</v>
      </c>
      <c r="I23" s="41">
        <v>80</v>
      </c>
      <c r="J23" s="41">
        <f t="shared" si="2"/>
        <v>80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73" t="s">
        <v>241</v>
      </c>
      <c r="D24" s="73" t="s">
        <v>185</v>
      </c>
      <c r="E24" s="73" t="s">
        <v>186</v>
      </c>
      <c r="F24" s="41">
        <v>0</v>
      </c>
      <c r="G24" s="41">
        <v>0</v>
      </c>
      <c r="H24" s="41">
        <v>1</v>
      </c>
      <c r="I24" s="41">
        <v>35</v>
      </c>
      <c r="J24" s="41">
        <f t="shared" si="2"/>
        <v>35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73" t="s">
        <v>243</v>
      </c>
      <c r="D25" s="73" t="s">
        <v>185</v>
      </c>
      <c r="E25" s="73" t="s">
        <v>244</v>
      </c>
      <c r="F25" s="41">
        <v>0</v>
      </c>
      <c r="G25" s="41">
        <v>0</v>
      </c>
      <c r="H25" s="41">
        <v>1</v>
      </c>
      <c r="I25" s="41">
        <v>210</v>
      </c>
      <c r="J25" s="41">
        <f t="shared" si="1"/>
        <v>210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73" t="s">
        <v>245</v>
      </c>
      <c r="D26" s="73" t="s">
        <v>185</v>
      </c>
      <c r="E26" s="73" t="s">
        <v>246</v>
      </c>
      <c r="F26" s="41">
        <v>0</v>
      </c>
      <c r="G26" s="41">
        <v>0</v>
      </c>
      <c r="H26" s="41">
        <v>1</v>
      </c>
      <c r="I26" s="41">
        <v>760</v>
      </c>
      <c r="J26" s="41">
        <f t="shared" ref="J26:J28" si="3">H26*I26</f>
        <v>760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73" t="s">
        <v>247</v>
      </c>
      <c r="D27" s="73" t="s">
        <v>173</v>
      </c>
      <c r="E27" s="73" t="s">
        <v>248</v>
      </c>
      <c r="F27" s="41">
        <v>0</v>
      </c>
      <c r="G27" s="41">
        <v>0</v>
      </c>
      <c r="H27" s="41">
        <v>1</v>
      </c>
      <c r="I27" s="41">
        <v>40</v>
      </c>
      <c r="J27" s="41">
        <f t="shared" si="3"/>
        <v>40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73"/>
      <c r="D28" s="73"/>
      <c r="E28" s="73"/>
      <c r="F28" s="41">
        <v>0</v>
      </c>
      <c r="G28" s="41">
        <v>0</v>
      </c>
      <c r="H28" s="41"/>
      <c r="I28" s="41"/>
      <c r="J28" s="41">
        <f t="shared" si="3"/>
        <v>0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3206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6yGMmxsUULoltmrskGz7UmDOlvlR6WzkbkUu2uPvVDPGLV3+kxr78RHr1wTuJl244j/jGWa8mcYvqWF4BgNS1w==" saltValue="n7TBDm5E0vYOmAiLpHeG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abSelected="1" topLeftCell="A47" workbookViewId="0">
      <selection activeCell="C59" sqref="C59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40" t="s">
        <v>222</v>
      </c>
      <c r="D27" s="118" t="s">
        <v>168</v>
      </c>
      <c r="E27" s="41">
        <v>1</v>
      </c>
      <c r="F27" s="41">
        <v>32</v>
      </c>
      <c r="G27" s="41">
        <f>E27*F27</f>
        <v>32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40" t="s">
        <v>223</v>
      </c>
      <c r="D28" s="118" t="s">
        <v>168</v>
      </c>
      <c r="E28" s="41">
        <v>3</v>
      </c>
      <c r="F28" s="41">
        <v>61</v>
      </c>
      <c r="G28" s="41">
        <f>E28*F28</f>
        <v>183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117" t="s">
        <v>200</v>
      </c>
      <c r="D29" s="118" t="s">
        <v>168</v>
      </c>
      <c r="E29" s="41">
        <v>2</v>
      </c>
      <c r="F29" s="41">
        <v>65</v>
      </c>
      <c r="G29" s="41">
        <f t="shared" ref="G29:G33" si="1">E29*F29</f>
        <v>130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201</v>
      </c>
      <c r="D30" s="118" t="s">
        <v>168</v>
      </c>
      <c r="E30" s="41">
        <v>2</v>
      </c>
      <c r="F30" s="41">
        <v>6</v>
      </c>
      <c r="G30" s="41">
        <f t="shared" si="1"/>
        <v>12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202</v>
      </c>
      <c r="D31" s="118" t="s">
        <v>168</v>
      </c>
      <c r="E31" s="41">
        <v>1</v>
      </c>
      <c r="F31" s="41">
        <v>40</v>
      </c>
      <c r="G31" s="41">
        <f t="shared" si="1"/>
        <v>40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203</v>
      </c>
      <c r="D32" s="118" t="s">
        <v>217</v>
      </c>
      <c r="E32" s="41">
        <v>4</v>
      </c>
      <c r="F32" s="41">
        <v>45</v>
      </c>
      <c r="G32" s="41">
        <f t="shared" si="1"/>
        <v>180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169</v>
      </c>
      <c r="D33" s="118" t="s">
        <v>168</v>
      </c>
      <c r="E33" s="41">
        <v>4</v>
      </c>
      <c r="F33" s="41">
        <v>6</v>
      </c>
      <c r="G33" s="41">
        <f t="shared" si="1"/>
        <v>24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204</v>
      </c>
      <c r="D34" s="118" t="s">
        <v>168</v>
      </c>
      <c r="E34" s="41">
        <v>70</v>
      </c>
      <c r="F34" s="41">
        <v>3</v>
      </c>
      <c r="G34" s="41">
        <f>E34*F34</f>
        <v>210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205</v>
      </c>
      <c r="D35" s="118" t="s">
        <v>168</v>
      </c>
      <c r="E35" s="41">
        <v>5</v>
      </c>
      <c r="F35" s="41">
        <v>65</v>
      </c>
      <c r="G35" s="41">
        <f t="shared" ref="G35:G42" si="2">E35*F35</f>
        <v>325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210</v>
      </c>
      <c r="D36" s="118" t="s">
        <v>168</v>
      </c>
      <c r="E36" s="41">
        <v>1</v>
      </c>
      <c r="F36" s="41">
        <v>110</v>
      </c>
      <c r="G36" s="41">
        <f t="shared" si="2"/>
        <v>110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206</v>
      </c>
      <c r="D37" s="118" t="s">
        <v>168</v>
      </c>
      <c r="E37" s="41">
        <v>1</v>
      </c>
      <c r="F37" s="41">
        <v>210</v>
      </c>
      <c r="G37" s="41">
        <f t="shared" si="2"/>
        <v>210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207</v>
      </c>
      <c r="D38" s="118" t="s">
        <v>168</v>
      </c>
      <c r="E38" s="41">
        <v>1</v>
      </c>
      <c r="F38" s="41">
        <v>35</v>
      </c>
      <c r="G38" s="41">
        <f t="shared" si="2"/>
        <v>35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208</v>
      </c>
      <c r="D39" s="118" t="s">
        <v>168</v>
      </c>
      <c r="E39" s="41">
        <v>9</v>
      </c>
      <c r="F39" s="41">
        <v>7</v>
      </c>
      <c r="G39" s="41">
        <f t="shared" si="2"/>
        <v>63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170</v>
      </c>
      <c r="D40" s="118" t="s">
        <v>168</v>
      </c>
      <c r="E40" s="41">
        <v>5</v>
      </c>
      <c r="F40" s="41">
        <v>6</v>
      </c>
      <c r="G40" s="41">
        <f t="shared" si="2"/>
        <v>30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171</v>
      </c>
      <c r="D41" s="118" t="s">
        <v>168</v>
      </c>
      <c r="E41" s="41">
        <v>2</v>
      </c>
      <c r="F41" s="41">
        <v>7</v>
      </c>
      <c r="G41" s="41">
        <f t="shared" si="2"/>
        <v>14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40" t="s">
        <v>236</v>
      </c>
      <c r="D42" s="60" t="s">
        <v>168</v>
      </c>
      <c r="E42" s="41">
        <v>1</v>
      </c>
      <c r="F42" s="41">
        <v>6</v>
      </c>
      <c r="G42" s="41">
        <f t="shared" si="2"/>
        <v>6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117" t="s">
        <v>211</v>
      </c>
      <c r="D43" s="118" t="s">
        <v>168</v>
      </c>
      <c r="E43" s="41">
        <v>3</v>
      </c>
      <c r="F43" s="41">
        <v>25</v>
      </c>
      <c r="G43" s="41">
        <f>E43*F43</f>
        <v>75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40" t="s">
        <v>233</v>
      </c>
      <c r="D44" s="118" t="s">
        <v>168</v>
      </c>
      <c r="E44" s="41">
        <v>2</v>
      </c>
      <c r="F44" s="41">
        <v>25</v>
      </c>
      <c r="G44" s="41">
        <f t="shared" ref="G44:G51" si="3">E44*F44</f>
        <v>50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40" t="s">
        <v>229</v>
      </c>
      <c r="D45" s="118" t="s">
        <v>168</v>
      </c>
      <c r="E45" s="41">
        <v>2</v>
      </c>
      <c r="F45" s="41">
        <v>7</v>
      </c>
      <c r="G45" s="41">
        <f t="shared" si="3"/>
        <v>14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117" t="s">
        <v>215</v>
      </c>
      <c r="D46" s="118" t="s">
        <v>168</v>
      </c>
      <c r="E46" s="41">
        <v>24</v>
      </c>
      <c r="F46" s="41">
        <v>4</v>
      </c>
      <c r="G46" s="41">
        <f t="shared" si="3"/>
        <v>96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40" t="s">
        <v>224</v>
      </c>
      <c r="D47" s="118" t="s">
        <v>168</v>
      </c>
      <c r="E47" s="41">
        <v>1</v>
      </c>
      <c r="F47" s="41">
        <v>85</v>
      </c>
      <c r="G47" s="41">
        <f t="shared" si="3"/>
        <v>85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40" t="s">
        <v>226</v>
      </c>
      <c r="D48" s="60" t="s">
        <v>168</v>
      </c>
      <c r="E48" s="41">
        <v>1</v>
      </c>
      <c r="F48" s="41">
        <v>35</v>
      </c>
      <c r="G48" s="41">
        <f t="shared" si="3"/>
        <v>35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40" t="s">
        <v>231</v>
      </c>
      <c r="D49" s="60" t="s">
        <v>232</v>
      </c>
      <c r="E49" s="41">
        <v>1</v>
      </c>
      <c r="F49" s="41">
        <v>116</v>
      </c>
      <c r="G49" s="41">
        <f t="shared" si="3"/>
        <v>116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40" t="s">
        <v>209</v>
      </c>
      <c r="D50" s="60" t="s">
        <v>168</v>
      </c>
      <c r="E50" s="41">
        <v>1</v>
      </c>
      <c r="F50" s="41">
        <v>25</v>
      </c>
      <c r="G50" s="41">
        <f t="shared" si="3"/>
        <v>25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40" t="s">
        <v>230</v>
      </c>
      <c r="D51" s="60" t="s">
        <v>168</v>
      </c>
      <c r="E51" s="41">
        <v>1</v>
      </c>
      <c r="F51" s="41">
        <v>30</v>
      </c>
      <c r="G51" s="41">
        <f t="shared" si="3"/>
        <v>30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40" t="s">
        <v>238</v>
      </c>
      <c r="D52" s="60" t="s">
        <v>239</v>
      </c>
      <c r="E52" s="41">
        <v>1</v>
      </c>
      <c r="F52" s="41">
        <v>50</v>
      </c>
      <c r="G52" s="41">
        <f>E52*F52</f>
        <v>50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40" t="s">
        <v>240</v>
      </c>
      <c r="D53" s="60" t="s">
        <v>168</v>
      </c>
      <c r="E53" s="41">
        <v>2</v>
      </c>
      <c r="F53" s="41">
        <v>17</v>
      </c>
      <c r="G53" s="41">
        <f t="shared" ref="G53" si="4">E53*F53</f>
        <v>34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40" t="s">
        <v>249</v>
      </c>
      <c r="D54" s="60" t="s">
        <v>168</v>
      </c>
      <c r="E54" s="41">
        <v>1</v>
      </c>
      <c r="F54" s="41">
        <v>205</v>
      </c>
      <c r="G54" s="41">
        <f t="shared" ref="G54:G57" si="5">E54*F54</f>
        <v>205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40" t="s">
        <v>250</v>
      </c>
      <c r="D55" s="60" t="s">
        <v>168</v>
      </c>
      <c r="E55" s="41">
        <v>1</v>
      </c>
      <c r="F55" s="41">
        <v>280</v>
      </c>
      <c r="G55" s="41">
        <f t="shared" si="5"/>
        <v>280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40" t="s">
        <v>251</v>
      </c>
      <c r="D56" s="60" t="s">
        <v>168</v>
      </c>
      <c r="E56" s="41">
        <v>1</v>
      </c>
      <c r="F56" s="41">
        <v>410</v>
      </c>
      <c r="G56" s="41">
        <f t="shared" ref="G56" si="6">E56*F56</f>
        <v>410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40" t="s">
        <v>252</v>
      </c>
      <c r="D57" s="60" t="s">
        <v>168</v>
      </c>
      <c r="E57" s="41">
        <v>1</v>
      </c>
      <c r="F57" s="41">
        <v>280</v>
      </c>
      <c r="G57" s="41">
        <f t="shared" si="5"/>
        <v>280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40"/>
      <c r="D58" s="60"/>
      <c r="E58" s="41"/>
      <c r="F58" s="41"/>
      <c r="G58" s="41">
        <f t="shared" ref="G58" si="7">E58*F58</f>
        <v>0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ref="G59:G63" si="8">E59*F59</f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8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8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8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8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3389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1" t="s">
        <v>72</v>
      </c>
      <c r="C65" s="142"/>
      <c r="D65" s="142"/>
      <c r="E65" s="142"/>
      <c r="F65" s="142"/>
      <c r="G65" s="14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7" workbookViewId="0">
      <selection activeCell="M14" sqref="M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172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/>
      <c r="E13" s="41">
        <v>50</v>
      </c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100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>
        <v>40</v>
      </c>
      <c r="F14" s="41"/>
      <c r="G14" s="41">
        <v>40</v>
      </c>
      <c r="H14" s="41"/>
      <c r="I14" s="41"/>
      <c r="J14" s="41"/>
      <c r="K14" s="41"/>
      <c r="L14" s="41"/>
      <c r="M14" s="41"/>
      <c r="N14" s="41"/>
      <c r="P14" s="43">
        <f t="shared" ref="P14:P22" si="0">SUM(D14:N14)</f>
        <v>80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0</v>
      </c>
      <c r="E30" s="43">
        <f t="shared" si="1"/>
        <v>90</v>
      </c>
      <c r="F30" s="43">
        <f t="shared" si="1"/>
        <v>0</v>
      </c>
      <c r="G30" s="43">
        <f t="shared" si="1"/>
        <v>90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0</v>
      </c>
      <c r="N30" s="43">
        <f t="shared" si="1"/>
        <v>0</v>
      </c>
      <c r="P30" s="49">
        <f>SUM(P13:P22)</f>
        <v>180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2018-06-13T06:07:27Z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