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Drugs&amp;Med'!$B$2:$J$36</definedName>
  </definedNames>
  <calcPr calcId="162913"/>
</workbook>
</file>

<file path=xl/calcChain.xml><?xml version="1.0" encoding="utf-8"?>
<calcChain xmlns="http://schemas.openxmlformats.org/spreadsheetml/2006/main">
  <c r="G30" i="9" l="1"/>
  <c r="G29" i="9"/>
  <c r="G28" i="9"/>
  <c r="G27" i="9"/>
  <c r="G21" i="9"/>
  <c r="J23" i="2" l="1"/>
  <c r="J33" i="2"/>
  <c r="J32" i="2"/>
  <c r="J31" i="2"/>
  <c r="J30" i="2"/>
  <c r="J29" i="2"/>
  <c r="J28" i="2"/>
  <c r="J27" i="2"/>
  <c r="G60" i="9" l="1"/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59" i="9"/>
  <c r="J26" i="2"/>
  <c r="G61" i="9" l="1"/>
  <c r="J25" i="2"/>
  <c r="J24" i="2"/>
  <c r="J22" i="2"/>
  <c r="J21" i="2"/>
  <c r="G17" i="9" l="1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35" i="2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<sst xmlns="http://schemas.openxmlformats.org/spreadsheetml/2006/main" count="593" uniqueCount="259">
  <si>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</si>
  <si>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</si>
  <si>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</si>
  <si>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</si>
  <si>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</si>
  <si>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</si>
  <si>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</si>
  <si>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</si>
  <si>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</si>
  <si>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</si>
  <si>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</si>
  <si>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</si>
  <si>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</si>
  <si>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</si>
  <si>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</si>
  <si>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</si>
  <si>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</si>
  <si>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</si>
  <si>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</si>
  <si>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</si>
  <si>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</si>
  <si>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</si>
  <si>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</si>
  <si>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</si>
  <si>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</si>
  <si>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</si>
  <si>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</si>
  <si>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</si>
  <si>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</si>
  <si>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</si>
  <si>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</si>
  <si>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</si>
  <si>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</si>
  <si>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</si>
  <si>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</si>
  <si>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</si>
  <si>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</si>
  <si>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</si>
  <si>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</si>
  <si>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</si>
  <si>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</si>
  <si>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</si>
  <si>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</si>
  <si>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</si>
  <si>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</si>
  <si>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</si>
  <si>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</si>
  <si>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</si>
  <si>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</si>
  <si>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</si>
  <si>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</si>
  <si>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</si>
  <si>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</si>
  <si>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</si>
  <si>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</si>
  <si>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</si>
  <si>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</si>
  <si>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</si>
  <si>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</si>
  <si>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</si>
  <si>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</si>
  <si>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</si>
  <si>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</si>
  <si>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</si>
  <si>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</si>
  <si>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</si>
  <si>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</si>
  <si>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</si>
  <si>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</si>
  <si>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</si>
  <si>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</si>
  <si>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</si>
  <si>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</si>
  <si>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</si>
  <si>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</si>
  <si>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</si>
  <si>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</si>
  <si>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</si>
  <si>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</si>
  <si>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</si>
  <si>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</si>
  <si>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</si>
  <si>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</si>
  <si>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</si>
  <si>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</si>
  <si>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</si>
  <si>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</si>
  <si>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</si>
  <si>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</si>
  <si>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</si>
  <si>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</si>
  <si>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</si>
  <si>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</si>
  <si>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</si>
  <si>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</si>
  <si>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</si>
  <si>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</si>
  <si>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</si>
  <si>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</si>
  <si>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</si>
  <si>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</si>
  <si>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</si>
  <si>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</si>
  <si>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</si>
  <si>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</si>
  <si>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</si>
  <si>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</si>
  <si>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</si>
  <si>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</si>
  <si>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</si>
  <si>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</si>
  <si>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</si>
  <si>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</si>
  <si>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</si>
  <si>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</si>
  <si>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</si>
  <si>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</si>
  <si>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</si>
  <si>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</si>
  <si>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</si>
  <si>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</si>
  <si>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</si>
  <si>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</si>
  <si>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</si>
  <si>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</si>
  <si>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</si>
  <si>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</si>
  <si>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</si>
  <si>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</si>
  <si>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</si>
  <si>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</si>
  <si>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</si>
  <si>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</si>
  <si>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</si>
  <si>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</si>
  <si>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</si>
  <si>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</si>
  <si>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</si>
  <si>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</si>
  <si>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</si>
  <si>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</si>
  <si>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</si>
  <si>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</si>
  <si>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</si>
  <si>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</si>
  <si>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</si>
  <si>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</si>
  <si>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</si>
  <si>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</si>
  <si>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</si>
  <si>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</si>
  <si>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</si>
  <si>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</si>
  <si>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</si>
  <si>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</si>
  <si>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</si>
  <si>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</si>
  <si>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</si>
  <si>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</si>
  <si>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</si>
  <si>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</si>
  <si>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</si>
  <si>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</si>
  <si>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</si>
  <si>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</si>
  <si>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</si>
  <si>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</si>
  <si>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</si>
  <si>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</si>
  <si>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</si>
  <si>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</si>
  <si>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</si>
  <si>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</si>
  <si>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</si>
  <si>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</si>
  <si>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</si>
  <si>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</si>
  <si>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</si>
  <si>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</si>
  <si>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</si>
  <si>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</si>
  <si>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</si>
  <si>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</si>
  <si>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</si>
  <si>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</si>
  <si>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</si>
  <si>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NALBUPHINE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</si>
  <si>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</si>
  <si>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</si>
  <si>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</si>
  <si>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</si>
  <si>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</si>
  <si>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</si>
  <si>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</si>
  <si>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</si>
  <si>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</si>
  <si>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</si>
  <si>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</si>
  <si>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</si>
  <si>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</si>
  <si>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</si>
  <si>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</si>
  <si>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</si>
  <si>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</si>
  <si>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</si>
  <si>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</si>
  <si>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</si>
  <si>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</si>
  <si>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</si>
  <si>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</si>
  <si>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</si>
  <si>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</si>
  <si>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</si>
  <si>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</si>
  <si>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</si>
  <si>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</si>
  <si>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</si>
  <si>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</si>
  <si>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</si>
  <si>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</si>
  <si>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</si>
  <si>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</si>
  <si>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</si>
  <si>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</si>
  <si>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</si>
  <si>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</si>
  <si>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</si>
  <si>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</si>
  <si>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1LITER</t>
  </si>
  <si>
    <t>CHROMIC 2-0 DOUBLE ARM CUTTING</t>
  </si>
  <si>
    <t>TABLET,ORAL</t>
  </si>
  <si>
    <t>DISPOSABLE RAZOR BLADE</t>
  </si>
  <si>
    <t>3CC SYRINGE</t>
  </si>
  <si>
    <t>5CC SYRINGE</t>
  </si>
  <si>
    <t>4MG/2ML</t>
  </si>
  <si>
    <t>0.9NACL</t>
  </si>
  <si>
    <t>LOSARTAN K</t>
  </si>
  <si>
    <t>50MG</t>
  </si>
  <si>
    <t>AMLODIPINE</t>
  </si>
  <si>
    <t>10 MG</t>
  </si>
  <si>
    <t>HYDRALAZINE</t>
  </si>
  <si>
    <t>20MG/ML</t>
  </si>
  <si>
    <t>MAGNESIUM SULFATE</t>
  </si>
  <si>
    <t>500MG/2ML</t>
  </si>
  <si>
    <t>FUROSEMIDE</t>
  </si>
  <si>
    <t>CO AMOXICLAV</t>
  </si>
  <si>
    <t>625MG</t>
  </si>
  <si>
    <t>PARACETAMOL</t>
  </si>
  <si>
    <t>150MG/2ML</t>
  </si>
  <si>
    <t>ONDANESTRON</t>
  </si>
  <si>
    <t>OXYGEN</t>
  </si>
  <si>
    <t>TANK/INH</t>
  </si>
  <si>
    <t>SKIN STAPLER</t>
  </si>
  <si>
    <t>NASAL CANNULA</t>
  </si>
  <si>
    <t>10CC SYRINGE</t>
  </si>
  <si>
    <t>UNSTERILE GLOVES MEDIUM</t>
  </si>
  <si>
    <t>OXYGEN MASK ADULT</t>
  </si>
  <si>
    <t>POVIDONE IODINE</t>
  </si>
  <si>
    <t>IV CATHETER G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</si>
</sst>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12" zoomScaleNormal="100" workbookViewId="0">
      <selection activeCell="D71" sqref="D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168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216</v>
      </c>
      <c r="D61" s="55">
        <v>6909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217</v>
      </c>
      <c r="D62" s="55">
        <v>4296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218</v>
      </c>
      <c r="D63" s="55">
        <v>0</v>
      </c>
      <c r="E63" s="55">
        <v>0</v>
      </c>
      <c r="F63" s="55">
        <v>1830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219</v>
      </c>
      <c r="D64" s="55">
        <v>195</v>
      </c>
      <c r="E64" s="55">
        <v>0</v>
      </c>
      <c r="F64" s="55">
        <v>585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/>
      <c r="E65" s="55">
        <v>0</v>
      </c>
      <c r="F65" s="55">
        <v>120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220</v>
      </c>
      <c r="D66" s="55"/>
      <c r="E66" s="55">
        <v>0</v>
      </c>
      <c r="F66" s="55">
        <v>100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221</v>
      </c>
      <c r="D67" s="55"/>
      <c r="E67" s="55">
        <v>2200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222</v>
      </c>
      <c r="D68" s="55"/>
      <c r="E68" s="55">
        <v>200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223</v>
      </c>
      <c r="D69" s="55"/>
      <c r="E69" s="55">
        <v>50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224</v>
      </c>
      <c r="D70" s="55"/>
      <c r="E70" s="55">
        <v>2000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225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226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19000</v>
      </c>
      <c r="E77" s="59">
        <f>SUM(E61:E76)</f>
        <v>4450</v>
      </c>
      <c r="F77" s="59">
        <f>SUM(F61:F76)</f>
        <v>2635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6"/>
  <sheetViews>
    <sheetView topLeftCell="A12" workbookViewId="0">
      <selection activeCell="I31" sqref="I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25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10</v>
      </c>
      <c r="I11" s="55">
        <v>80</v>
      </c>
      <c r="J11" s="55">
        <f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1</v>
      </c>
      <c r="I12" s="55">
        <v>23</v>
      </c>
      <c r="J12" s="55">
        <f t="shared" ref="J12:J20" si="0">H12*I12</f>
        <v>23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247</v>
      </c>
      <c r="D17" s="27" t="s">
        <v>177</v>
      </c>
      <c r="E17" s="27" t="s">
        <v>248</v>
      </c>
      <c r="F17" s="55">
        <v>0</v>
      </c>
      <c r="G17" s="55">
        <v>0</v>
      </c>
      <c r="H17" s="55">
        <v>9</v>
      </c>
      <c r="I17" s="55">
        <v>35</v>
      </c>
      <c r="J17" s="55">
        <f t="shared" si="0"/>
        <v>315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186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2</v>
      </c>
      <c r="I18" s="55">
        <v>125</v>
      </c>
      <c r="J18" s="55">
        <f t="shared" si="0"/>
        <v>250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245</v>
      </c>
      <c r="D19" s="27" t="s">
        <v>230</v>
      </c>
      <c r="E19" s="27" t="s">
        <v>246</v>
      </c>
      <c r="F19" s="55">
        <v>0</v>
      </c>
      <c r="G19" s="55">
        <v>0</v>
      </c>
      <c r="H19" s="55">
        <v>14</v>
      </c>
      <c r="I19" s="55">
        <v>28</v>
      </c>
      <c r="J19" s="55">
        <f t="shared" si="0"/>
        <v>392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187</v>
      </c>
      <c r="D20" s="27" t="s">
        <v>188</v>
      </c>
      <c r="E20" s="27" t="s">
        <v>189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190</v>
      </c>
      <c r="D21" s="27" t="s">
        <v>188</v>
      </c>
      <c r="E21" s="27" t="s">
        <v>189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33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191</v>
      </c>
      <c r="D22" s="27" t="s">
        <v>192</v>
      </c>
      <c r="E22" s="27" t="s">
        <v>193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249</v>
      </c>
      <c r="D23" s="27" t="s">
        <v>177</v>
      </c>
      <c r="E23" s="27" t="s">
        <v>234</v>
      </c>
      <c r="F23" s="55">
        <v>0</v>
      </c>
      <c r="G23" s="55">
        <v>0</v>
      </c>
      <c r="H23" s="55">
        <v>1</v>
      </c>
      <c r="I23" s="55">
        <v>760</v>
      </c>
      <c r="J23" s="55">
        <f t="shared" si="1"/>
        <v>760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235</v>
      </c>
      <c r="D24" s="27" t="s">
        <v>173</v>
      </c>
      <c r="E24" s="27" t="s">
        <v>228</v>
      </c>
      <c r="F24" s="55">
        <v>0</v>
      </c>
      <c r="G24" s="55">
        <v>0</v>
      </c>
      <c r="H24" s="55">
        <v>1</v>
      </c>
      <c r="I24" s="55">
        <v>80</v>
      </c>
      <c r="J24" s="55">
        <f t="shared" si="1"/>
        <v>80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236</v>
      </c>
      <c r="D25" s="27" t="s">
        <v>230</v>
      </c>
      <c r="E25" s="27" t="s">
        <v>237</v>
      </c>
      <c r="F25" s="55">
        <v>0</v>
      </c>
      <c r="G25" s="55">
        <v>0</v>
      </c>
      <c r="H25" s="55">
        <v>17</v>
      </c>
      <c r="I25" s="55">
        <v>8</v>
      </c>
      <c r="J25" s="55">
        <f t="shared" si="1"/>
        <v>136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238</v>
      </c>
      <c r="D26" s="27" t="s">
        <v>230</v>
      </c>
      <c r="E26" s="27" t="s">
        <v>239</v>
      </c>
      <c r="F26" s="55">
        <v>0</v>
      </c>
      <c r="G26" s="55">
        <v>0</v>
      </c>
      <c r="H26" s="55">
        <v>12</v>
      </c>
      <c r="I26" s="55">
        <v>7</v>
      </c>
      <c r="J26" s="55">
        <f t="shared" si="1"/>
        <v>84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240</v>
      </c>
      <c r="D27" s="27" t="s">
        <v>177</v>
      </c>
      <c r="E27" s="27" t="s">
        <v>241</v>
      </c>
      <c r="F27" s="55">
        <v>0</v>
      </c>
      <c r="G27" s="55">
        <v>0</v>
      </c>
      <c r="H27" s="55">
        <v>8</v>
      </c>
      <c r="I27" s="55">
        <v>330</v>
      </c>
      <c r="J27" s="55">
        <f t="shared" si="1"/>
        <v>2640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242</v>
      </c>
      <c r="D28" s="27" t="s">
        <v>177</v>
      </c>
      <c r="E28" s="27" t="s">
        <v>243</v>
      </c>
      <c r="F28" s="55">
        <v>0</v>
      </c>
      <c r="G28" s="55">
        <v>0</v>
      </c>
      <c r="H28" s="55">
        <v>2</v>
      </c>
      <c r="I28" s="55">
        <v>105</v>
      </c>
      <c r="J28" s="55">
        <f t="shared" si="1"/>
        <v>210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244</v>
      </c>
      <c r="D29" s="27" t="s">
        <v>177</v>
      </c>
      <c r="E29" s="27" t="s">
        <v>181</v>
      </c>
      <c r="F29" s="55">
        <v>0</v>
      </c>
      <c r="G29" s="55">
        <v>0</v>
      </c>
      <c r="H29" s="55">
        <v>4</v>
      </c>
      <c r="I29" s="55">
        <v>25</v>
      </c>
      <c r="J29" s="55">
        <f t="shared" si="1"/>
        <v>100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 t="s">
        <v>250</v>
      </c>
      <c r="D30" s="27" t="s">
        <v>251</v>
      </c>
      <c r="E30" s="27"/>
      <c r="F30" s="55">
        <v>0</v>
      </c>
      <c r="G30" s="55">
        <v>0</v>
      </c>
      <c r="H30" s="55">
        <v>1</v>
      </c>
      <c r="I30" s="55">
        <v>1830</v>
      </c>
      <c r="J30" s="55">
        <f t="shared" si="1"/>
        <v>1830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>
        <v>0</v>
      </c>
      <c r="G31" s="55">
        <v>0</v>
      </c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3">
      <c r="B35" s="42">
        <v>25</v>
      </c>
      <c r="C35" s="27"/>
      <c r="D35" s="27"/>
      <c r="E35" s="27"/>
      <c r="F35" s="55"/>
      <c r="G35" s="55"/>
      <c r="H35" s="55"/>
      <c r="I35" s="55"/>
      <c r="J35" s="55">
        <f>SUM(J11:J34)</f>
        <v>8739</v>
      </c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20" ht="12.75" customHeight="1" x14ac:dyDescent="0.25">
      <c r="A36" s="33"/>
      <c r="B36" s="34"/>
      <c r="C36" s="34"/>
      <c r="D36" s="34"/>
      <c r="E36" s="34"/>
      <c r="F36" s="34"/>
      <c r="G36" s="34"/>
      <c r="H36" s="34"/>
      <c r="I36" s="34"/>
      <c r="J36" s="115"/>
      <c r="K36" s="34"/>
      <c r="L36" s="34"/>
      <c r="M36" s="34"/>
      <c r="N36" s="34"/>
      <c r="O36" s="34"/>
      <c r="P36" s="34"/>
      <c r="Q36" s="34"/>
      <c r="R36" s="34"/>
      <c r="S36" s="34"/>
    </row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algorithmName="SHA-512" hashValue="ndg8qcmhYLie1cQ/97H0+tEayTHnvOOkNNV9lAH+n4Tuag0vc9WxhyQUrCw5zkiZ0hOi3gP4AnZwuaGAdNtvmQ==" saltValue="ROC7qW6aoiSA4Z6DWlDAN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abSelected="1" workbookViewId="0">
      <pane ySplit="1" topLeftCell="A40" activePane="bottomLeft" state="frozen"/>
      <selection pane="bottomLeft" activeCell="F59" sqref="F5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205</v>
      </c>
      <c r="D16" s="70" t="s">
        <v>194</v>
      </c>
      <c r="E16" s="55">
        <v>1</v>
      </c>
      <c r="F16" s="55">
        <v>25</v>
      </c>
      <c r="G16" s="55">
        <f>E16*F16</f>
        <v>25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201</v>
      </c>
      <c r="D17" s="70" t="s">
        <v>194</v>
      </c>
      <c r="E17" s="55">
        <v>1</v>
      </c>
      <c r="F17" s="55">
        <v>65</v>
      </c>
      <c r="G17" s="55">
        <f t="shared" ref="G17:G30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252</v>
      </c>
      <c r="D18" s="70" t="s">
        <v>194</v>
      </c>
      <c r="E18" s="55">
        <v>1</v>
      </c>
      <c r="F18" s="55">
        <v>660</v>
      </c>
      <c r="G18" s="55">
        <f t="shared" si="0"/>
        <v>660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253</v>
      </c>
      <c r="D19" s="70" t="s">
        <v>194</v>
      </c>
      <c r="E19" s="55">
        <v>1</v>
      </c>
      <c r="F19" s="55">
        <v>43</v>
      </c>
      <c r="G19" s="55">
        <f t="shared" si="0"/>
        <v>43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254</v>
      </c>
      <c r="D20" s="70"/>
      <c r="E20" s="55">
        <v>5</v>
      </c>
      <c r="F20" s="55">
        <v>8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232</v>
      </c>
      <c r="D21" s="70"/>
      <c r="E21" s="55">
        <v>5</v>
      </c>
      <c r="F21" s="55">
        <v>6</v>
      </c>
      <c r="G21" s="55">
        <f t="shared" si="0"/>
        <v>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233</v>
      </c>
      <c r="D22" s="70"/>
      <c r="E22" s="55">
        <v>5</v>
      </c>
      <c r="F22" s="55">
        <v>7</v>
      </c>
      <c r="G22" s="55">
        <f t="shared" si="0"/>
        <v>35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199</v>
      </c>
      <c r="D23" s="70"/>
      <c r="E23" s="55">
        <v>3</v>
      </c>
      <c r="F23" s="55">
        <v>6</v>
      </c>
      <c r="G23" s="55">
        <f t="shared" si="0"/>
        <v>18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255</v>
      </c>
      <c r="D24" s="70"/>
      <c r="E24" s="55">
        <v>4</v>
      </c>
      <c r="F24" s="55">
        <v>4</v>
      </c>
      <c r="G24" s="55">
        <f t="shared" si="0"/>
        <v>16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256</v>
      </c>
      <c r="D25" s="70"/>
      <c r="E25" s="55">
        <v>1</v>
      </c>
      <c r="F25" s="55">
        <v>100</v>
      </c>
      <c r="G25" s="55">
        <f t="shared" si="0"/>
        <v>100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200</v>
      </c>
      <c r="D26" s="70"/>
      <c r="E26" s="55">
        <v>20</v>
      </c>
      <c r="F26" s="55">
        <v>3</v>
      </c>
      <c r="G26" s="55">
        <f t="shared" si="0"/>
        <v>60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198</v>
      </c>
      <c r="D27" s="70"/>
      <c r="E27" s="55">
        <v>1</v>
      </c>
      <c r="F27" s="55">
        <v>65</v>
      </c>
      <c r="G27" s="55">
        <f t="shared" si="0"/>
        <v>65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257</v>
      </c>
      <c r="D28" s="70"/>
      <c r="E28" s="55">
        <v>1</v>
      </c>
      <c r="F28" s="55">
        <v>116</v>
      </c>
      <c r="G28" s="55">
        <f t="shared" si="0"/>
        <v>116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195</v>
      </c>
      <c r="D29" s="70"/>
      <c r="E29" s="55">
        <v>2</v>
      </c>
      <c r="F29" s="55">
        <v>32</v>
      </c>
      <c r="G29" s="55">
        <f t="shared" si="0"/>
        <v>64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258</v>
      </c>
      <c r="D30" s="70"/>
      <c r="E30" s="55">
        <v>3</v>
      </c>
      <c r="F30" s="55">
        <v>61</v>
      </c>
      <c r="G30" s="55">
        <f t="shared" si="0"/>
        <v>183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7" t="s">
        <v>75</v>
      </c>
      <c r="C31" s="138"/>
      <c r="D31" s="138"/>
      <c r="E31" s="138"/>
      <c r="F31" s="138"/>
      <c r="G31" s="139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 t="s">
        <v>195</v>
      </c>
      <c r="D32" s="70" t="s">
        <v>194</v>
      </c>
      <c r="E32" s="55">
        <v>1</v>
      </c>
      <c r="F32" s="55">
        <v>32</v>
      </c>
      <c r="G32" s="55">
        <f t="shared" ref="G32:G58" si="1">E32*F32</f>
        <v>32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 t="s">
        <v>197</v>
      </c>
      <c r="D33" s="70" t="s">
        <v>194</v>
      </c>
      <c r="E33" s="55">
        <v>1</v>
      </c>
      <c r="F33" s="55">
        <v>85</v>
      </c>
      <c r="G33" s="55">
        <f t="shared" si="1"/>
        <v>85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 t="s">
        <v>196</v>
      </c>
      <c r="D34" s="70" t="s">
        <v>194</v>
      </c>
      <c r="E34" s="55">
        <v>1</v>
      </c>
      <c r="F34" s="55">
        <v>61</v>
      </c>
      <c r="G34" s="55">
        <f t="shared" si="1"/>
        <v>61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 t="s">
        <v>198</v>
      </c>
      <c r="D35" s="70" t="s">
        <v>194</v>
      </c>
      <c r="E35" s="55">
        <v>1</v>
      </c>
      <c r="F35" s="55">
        <v>65</v>
      </c>
      <c r="G35" s="55">
        <f t="shared" si="1"/>
        <v>65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 t="s">
        <v>199</v>
      </c>
      <c r="D36" s="70" t="s">
        <v>194</v>
      </c>
      <c r="E36" s="55">
        <v>3</v>
      </c>
      <c r="F36" s="55">
        <v>6</v>
      </c>
      <c r="G36" s="55">
        <f t="shared" si="1"/>
        <v>18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 t="s">
        <v>200</v>
      </c>
      <c r="D37" s="70" t="s">
        <v>194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 t="s">
        <v>201</v>
      </c>
      <c r="D38" s="70" t="s">
        <v>194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 t="s">
        <v>202</v>
      </c>
      <c r="D39" s="70" t="s">
        <v>194</v>
      </c>
      <c r="E39" s="55">
        <v>20</v>
      </c>
      <c r="F39" s="55">
        <v>4</v>
      </c>
      <c r="G39" s="55">
        <f t="shared" si="1"/>
        <v>80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 t="s">
        <v>203</v>
      </c>
      <c r="D40" s="70" t="s">
        <v>194</v>
      </c>
      <c r="E40" s="55">
        <v>1</v>
      </c>
      <c r="F40" s="55">
        <v>40</v>
      </c>
      <c r="G40" s="55">
        <f t="shared" si="1"/>
        <v>40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 t="s">
        <v>204</v>
      </c>
      <c r="D41" s="70" t="s">
        <v>194</v>
      </c>
      <c r="E41" s="55">
        <v>5</v>
      </c>
      <c r="F41" s="55">
        <v>45</v>
      </c>
      <c r="G41" s="55">
        <f t="shared" si="1"/>
        <v>225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11</v>
      </c>
      <c r="C42" s="69" t="s">
        <v>205</v>
      </c>
      <c r="D42" s="70" t="s">
        <v>194</v>
      </c>
      <c r="E42" s="55">
        <v>1</v>
      </c>
      <c r="F42" s="55">
        <v>25</v>
      </c>
      <c r="G42" s="55">
        <f t="shared" si="1"/>
        <v>25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12</v>
      </c>
      <c r="C43" s="69" t="s">
        <v>206</v>
      </c>
      <c r="D43" s="70" t="s">
        <v>194</v>
      </c>
      <c r="E43" s="55">
        <v>1</v>
      </c>
      <c r="F43" s="55">
        <v>110</v>
      </c>
      <c r="G43" s="55">
        <f t="shared" si="1"/>
        <v>110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13</v>
      </c>
      <c r="C44" s="69" t="s">
        <v>207</v>
      </c>
      <c r="D44" s="70" t="s">
        <v>194</v>
      </c>
      <c r="E44" s="55">
        <v>2</v>
      </c>
      <c r="F44" s="55">
        <v>25</v>
      </c>
      <c r="G44" s="55">
        <f t="shared" si="1"/>
        <v>50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14</v>
      </c>
      <c r="C45" s="69" t="s">
        <v>208</v>
      </c>
      <c r="D45" s="70" t="s">
        <v>194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15</v>
      </c>
      <c r="C46" s="69" t="s">
        <v>232</v>
      </c>
      <c r="D46" s="70" t="s">
        <v>194</v>
      </c>
      <c r="E46" s="55">
        <v>2</v>
      </c>
      <c r="F46" s="55">
        <v>6</v>
      </c>
      <c r="G46" s="55">
        <f t="shared" si="1"/>
        <v>12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16</v>
      </c>
      <c r="C47" s="69" t="s">
        <v>233</v>
      </c>
      <c r="D47" s="70" t="s">
        <v>194</v>
      </c>
      <c r="E47" s="55">
        <v>2</v>
      </c>
      <c r="F47" s="55">
        <v>7</v>
      </c>
      <c r="G47" s="55">
        <f t="shared" si="1"/>
        <v>14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17</v>
      </c>
      <c r="C48" s="69" t="s">
        <v>209</v>
      </c>
      <c r="D48" s="70" t="s">
        <v>194</v>
      </c>
      <c r="E48" s="55">
        <v>2</v>
      </c>
      <c r="F48" s="55">
        <v>35</v>
      </c>
      <c r="G48" s="55">
        <f t="shared" si="1"/>
        <v>70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18</v>
      </c>
      <c r="C49" s="69" t="s">
        <v>210</v>
      </c>
      <c r="D49" s="70" t="s">
        <v>194</v>
      </c>
      <c r="E49" s="55">
        <v>1</v>
      </c>
      <c r="F49" s="55">
        <v>210</v>
      </c>
      <c r="G49" s="55">
        <f t="shared" si="1"/>
        <v>210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19</v>
      </c>
      <c r="C50" s="69" t="s">
        <v>211</v>
      </c>
      <c r="D50" s="70" t="s">
        <v>194</v>
      </c>
      <c r="E50" s="55">
        <v>1</v>
      </c>
      <c r="F50" s="55">
        <v>205</v>
      </c>
      <c r="G50" s="55">
        <f t="shared" si="1"/>
        <v>205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20</v>
      </c>
      <c r="C51" s="69" t="s">
        <v>229</v>
      </c>
      <c r="D51" s="70" t="s">
        <v>194</v>
      </c>
      <c r="E51" s="55">
        <v>1</v>
      </c>
      <c r="F51" s="55">
        <v>280</v>
      </c>
      <c r="G51" s="55">
        <f t="shared" si="1"/>
        <v>280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21</v>
      </c>
      <c r="C52" s="69" t="s">
        <v>212</v>
      </c>
      <c r="D52" s="70" t="s">
        <v>194</v>
      </c>
      <c r="E52" s="55">
        <v>1</v>
      </c>
      <c r="F52" s="55">
        <v>410</v>
      </c>
      <c r="G52" s="55">
        <f t="shared" si="1"/>
        <v>410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22</v>
      </c>
      <c r="C53" s="69" t="s">
        <v>213</v>
      </c>
      <c r="D53" s="70" t="s">
        <v>194</v>
      </c>
      <c r="E53" s="55">
        <v>1</v>
      </c>
      <c r="F53" s="55">
        <v>280</v>
      </c>
      <c r="G53" s="55">
        <f t="shared" si="1"/>
        <v>280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23</v>
      </c>
      <c r="C54" s="69" t="s">
        <v>231</v>
      </c>
      <c r="D54" s="70" t="s">
        <v>194</v>
      </c>
      <c r="E54" s="55">
        <v>1</v>
      </c>
      <c r="F54" s="55">
        <v>35</v>
      </c>
      <c r="G54" s="55">
        <f t="shared" si="1"/>
        <v>35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24</v>
      </c>
      <c r="C55" s="69" t="s">
        <v>227</v>
      </c>
      <c r="D55" s="70" t="s">
        <v>194</v>
      </c>
      <c r="E55" s="55">
        <v>3</v>
      </c>
      <c r="F55" s="55">
        <v>25</v>
      </c>
      <c r="G55" s="55">
        <f t="shared" si="1"/>
        <v>75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25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26</v>
      </c>
      <c r="C57" s="69"/>
      <c r="D57" s="70"/>
      <c r="E57" s="55"/>
      <c r="F57" s="55"/>
      <c r="G57" s="55">
        <f t="shared" si="1"/>
        <v>0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27</v>
      </c>
      <c r="C58" s="69"/>
      <c r="D58" s="70"/>
      <c r="E58" s="55"/>
      <c r="F58" s="55"/>
      <c r="G58" s="55">
        <f t="shared" si="1"/>
        <v>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28</v>
      </c>
      <c r="C59" s="69"/>
      <c r="D59" s="70"/>
      <c r="E59" s="55"/>
      <c r="F59" s="55"/>
      <c r="G59" s="55">
        <f t="shared" ref="G59:G60" si="2">E59*F59</f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29</v>
      </c>
      <c r="C60" s="69"/>
      <c r="D60" s="70"/>
      <c r="E60" s="55"/>
      <c r="F60" s="55"/>
      <c r="G60" s="55">
        <f t="shared" si="2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30</v>
      </c>
      <c r="C61" s="69"/>
      <c r="D61" s="70"/>
      <c r="E61" s="55"/>
      <c r="F61" s="55"/>
      <c r="G61" s="55">
        <f>SUM(G16:G60)</f>
        <v>4296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7" t="s">
        <v>29</v>
      </c>
      <c r="C62" s="138"/>
      <c r="D62" s="138"/>
      <c r="E62" s="138"/>
      <c r="F62" s="138"/>
      <c r="G62" s="139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PLvSAqqSxCDO1R+b3PEPiFhAZWLTUKzITpQhIqSug0ASvpWmimslBw9VZpH5aYOEiikaSKJYJuIYQ/8AA5gy8Q==" saltValue="B7VmJ4z0L31auYtvhAOT4w==" spinCount="100000" sheet="1" objects="1" scenarios="1" formatColumns="0" formatRows="0" sort="0" autoFilter="0"/>
  <mergeCells count="9">
    <mergeCell ref="B7:G7"/>
    <mergeCell ref="B31:G31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8" sqref="G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214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215</v>
      </c>
      <c r="D14" s="55"/>
      <c r="E14" s="55">
        <v>60</v>
      </c>
      <c r="F14" s="55"/>
      <c r="G14" s="55">
        <v>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110</v>
      </c>
      <c r="F30" s="88">
        <f t="shared" si="1"/>
        <v>0</v>
      </c>
      <c r="G30" s="88">
        <f t="shared" si="1"/>
        <v>110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2018-06-13T08:45:08Z</dcterms:modified>
</cp:coreProperties>
</file>