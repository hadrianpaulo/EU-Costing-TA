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1" i="9" l="1"/>
  <c r="G57" i="9" l="1"/>
  <c r="G54" i="9" l="1"/>
  <c r="G53" i="9"/>
  <c r="G52" i="9"/>
  <c r="G50" i="9"/>
  <c r="G49" i="9"/>
  <c r="G48" i="9"/>
  <c r="G47" i="9"/>
  <c r="G46" i="9"/>
  <c r="G29" i="9" l="1"/>
  <c r="J23" i="2"/>
  <c r="J24" i="2" l="1"/>
  <c r="J22" i="2"/>
  <c r="J21" i="2"/>
  <c r="G45" i="9" l="1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28" i="9" l="1"/>
  <c r="J28" i="2" l="1"/>
  <c r="G55" i="9" l="1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<sst xmlns="http://schemas.openxmlformats.org/spreadsheetml/2006/main" count="570" uniqueCount="246">
  <si>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</si>
  <si>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</si>
  <si>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</si>
  <si>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</si>
  <si>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</si>
  <si>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</si>
  <si>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</si>
  <si>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</si>
  <si>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</si>
  <si>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</si>
  <si>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</si>
  <si>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</si>
  <si>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</si>
  <si>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</si>
  <si>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</si>
  <si>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</si>
  <si>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</si>
  <si>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</si>
  <si>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</si>
  <si>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</si>
  <si>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</si>
  <si>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</si>
  <si>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</si>
  <si>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</si>
  <si>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</si>
  <si>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</si>
  <si>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</si>
  <si>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</si>
  <si>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</si>
  <si>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</si>
  <si>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</si>
  <si>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</si>
  <si>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</si>
  <si>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</si>
  <si>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</si>
  <si>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</si>
  <si>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</si>
  <si>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</si>
  <si>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</si>
  <si>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</si>
  <si>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</si>
  <si>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</si>
  <si>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</si>
  <si>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</si>
  <si>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</si>
  <si>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</si>
  <si>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</si>
  <si>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</si>
  <si>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</si>
  <si>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</si>
  <si>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</si>
  <si>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</si>
  <si>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</si>
  <si>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</si>
  <si>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</si>
  <si>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</si>
  <si>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</si>
  <si>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</si>
  <si>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</si>
  <si>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</si>
  <si>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</si>
  <si>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</si>
  <si>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</si>
  <si>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</si>
  <si>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</si>
  <si>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</si>
  <si>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</si>
  <si>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</si>
  <si>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</si>
  <si>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</si>
  <si>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</si>
  <si>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</si>
  <si>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</si>
  <si>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</si>
  <si>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</si>
  <si>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</si>
  <si>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</si>
  <si>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</si>
  <si>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</si>
  <si>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</si>
  <si>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</si>
  <si>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</si>
  <si>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</si>
  <si>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</si>
  <si>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</si>
  <si>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</si>
  <si>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</si>
  <si>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</si>
  <si>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</si>
  <si>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</si>
  <si>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</si>
  <si>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</si>
  <si>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</si>
  <si>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</si>
  <si>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</si>
  <si>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</si>
  <si>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</si>
  <si>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</si>
  <si>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</si>
  <si>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</si>
  <si>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</si>
  <si>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</si>
  <si>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</si>
  <si>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</si>
  <si>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</si>
  <si>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</si>
  <si>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</si>
  <si>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</si>
  <si>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</si>
  <si>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</si>
  <si>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</si>
  <si>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</si>
  <si>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</si>
  <si>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</si>
  <si>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</si>
  <si>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</si>
  <si>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</si>
  <si>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</si>
  <si>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</si>
  <si>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</si>
  <si>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</si>
  <si>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</si>
  <si>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</si>
  <si>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</si>
  <si>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</si>
  <si>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</si>
  <si>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</si>
  <si>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</si>
  <si>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</si>
  <si>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</si>
  <si>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</si>
  <si>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</si>
  <si>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</si>
  <si>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</si>
  <si>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</si>
  <si>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</si>
  <si>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</si>
  <si>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</si>
  <si>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</si>
  <si>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</si>
  <si>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</si>
  <si>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</si>
  <si>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</si>
  <si>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</si>
  <si>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</si>
  <si>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</si>
  <si>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</si>
  <si>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</si>
  <si>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</si>
  <si>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</si>
  <si>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</si>
  <si>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</si>
  <si>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</si>
  <si>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</si>
  <si>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</si>
  <si>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</si>
  <si>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</si>
  <si>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</si>
  <si>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</si>
  <si>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</si>
  <si>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</si>
  <si>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</si>
  <si>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</si>
  <si>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</si>
  <si>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</si>
  <si>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</si>
  <si>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</si>
  <si>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</si>
  <si>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</si>
  <si>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</si>
  <si>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</si>
  <si>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</si>
  <si>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</si>
  <si>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</si>
  <si>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</si>
  <si>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</si>
  <si>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</si>
  <si>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</si>
  <si>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</si>
  <si>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</si>
  <si>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</si>
  <si>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</si>
  <si>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</si>
  <si>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</si>
  <si>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</si>
  <si>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</si>
  <si>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</si>
  <si>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</si>
  <si>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</si>
  <si>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</si>
  <si>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</si>
  <si>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</si>
  <si>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</si>
  <si>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</si>
  <si>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</si>
  <si>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</si>
  <si>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</si>
  <si>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</si>
  <si>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</si>
  <si>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</si>
  <si>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</si>
  <si>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</si>
  <si>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</si>
  <si>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</si>
  <si>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</si>
  <si>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</si>
  <si>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</si>
  <si>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</si>
  <si>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</si>
  <si>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</si>
  <si>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</si>
  <si>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</si>
  <si>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</si>
  <si>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</si>
  <si>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</si>
  <si>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</si>
  <si>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</si>
  <si>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</si>
  <si>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</si>
  <si>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</si>
  <si>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</si>
  <si>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</si>
  <si>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</si>
  <si>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</si>
  <si>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</si>
  <si>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</si>
  <si>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</si>
  <si>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>PROMETHAZINE</t>
  </si>
  <si>
    <t>STERILE GLOVES 7.5</t>
  </si>
  <si>
    <t>METHYLERGOMETRINE</t>
  </si>
  <si>
    <t>200MCG/ML</t>
  </si>
  <si>
    <t>CEFALEXIN</t>
  </si>
  <si>
    <t>CHROMIC I</t>
  </si>
  <si>
    <t>CHROMIC 2.0 DOUBLE ARM CUTTING</t>
  </si>
  <si>
    <t>VICRYL I</t>
  </si>
  <si>
    <t>VICRYL 3-0</t>
  </si>
  <si>
    <t xml:space="preserve">MEDICAL SUPPLIES </t>
  </si>
  <si>
    <t>POVIDONE IODINE</t>
  </si>
  <si>
    <t>BOTTLE/6ML</t>
  </si>
  <si>
    <t>NASAL CANNULA PEDIA</t>
  </si>
  <si>
    <t>CORD CLAMP</t>
  </si>
  <si>
    <t>ID BRACELET</t>
  </si>
  <si>
    <t>INSULIN SYRINGE</t>
  </si>
  <si>
    <t>CYDEX</t>
  </si>
  <si>
    <t>BETADINE 10%</t>
  </si>
  <si>
    <t>BOTTLE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</si>
</sst>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7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21" fillId="0" borderId="18" xfId="0" applyFont="1" applyFill="1" applyBorder="1" applyAlignment="1" applyProtection="1">
      <alignment wrapText="1"/>
      <protection locked="0"/>
    </xf>
    <xf numFmtId="0" fontId="8" fillId="0" borderId="18" xfId="0" applyFont="1" applyFill="1" applyBorder="1" applyAlignment="1" applyProtection="1">
      <alignment wrapText="1"/>
      <protection locked="0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6" workbookViewId="0">
      <selection activeCell="D62" sqref="D6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8" t="s">
        <v>8</v>
      </c>
      <c r="C12" s="129"/>
      <c r="D12" s="129"/>
      <c r="E12" s="129"/>
      <c r="F12" s="130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31" t="s">
        <v>9</v>
      </c>
      <c r="C13" s="132"/>
      <c r="D13" s="132"/>
      <c r="E13" s="132"/>
      <c r="F13" s="133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31" t="s">
        <v>10</v>
      </c>
      <c r="C14" s="132"/>
      <c r="D14" s="132"/>
      <c r="E14" s="132"/>
      <c r="F14" s="133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34" t="s">
        <v>11</v>
      </c>
      <c r="C15" s="135"/>
      <c r="D15" s="135"/>
      <c r="E15" s="135"/>
      <c r="F15" s="13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2" t="s">
        <v>17</v>
      </c>
      <c r="C18" s="123"/>
      <c r="D18" s="123"/>
      <c r="E18" s="123"/>
      <c r="F18" s="124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2" t="s">
        <v>18</v>
      </c>
      <c r="C22" s="123"/>
      <c r="D22" s="123"/>
      <c r="E22" s="123"/>
      <c r="F22" s="124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25" t="s">
        <v>19</v>
      </c>
      <c r="C28" s="126"/>
      <c r="D28" s="126"/>
      <c r="E28" s="126"/>
      <c r="F28" s="127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2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2" t="s">
        <v>27</v>
      </c>
      <c r="C33" s="123"/>
      <c r="D33" s="123"/>
      <c r="E33" s="123"/>
      <c r="F33" s="124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25" t="s">
        <v>28</v>
      </c>
      <c r="C38" s="126"/>
      <c r="D38" s="123"/>
      <c r="E38" s="126"/>
      <c r="F38" s="124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25" t="s">
        <v>29</v>
      </c>
      <c r="C43" s="126"/>
      <c r="D43" s="123"/>
      <c r="E43" s="126"/>
      <c r="F43" s="124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2" t="s">
        <v>31</v>
      </c>
      <c r="C45" s="123"/>
      <c r="D45" s="123"/>
      <c r="E45" s="123"/>
      <c r="F45" s="124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2" t="s">
        <v>32</v>
      </c>
      <c r="C50" s="123"/>
      <c r="D50" s="123"/>
      <c r="E50" s="123"/>
      <c r="F50" s="124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3166</v>
      </c>
      <c r="E60" s="41">
        <v>34</v>
      </c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2700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4534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0</v>
      </c>
      <c r="E73" s="41">
        <v>60</v>
      </c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0</v>
      </c>
      <c r="E74" s="41">
        <v>100</v>
      </c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236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19000</v>
      </c>
      <c r="E77" s="113">
        <f>SUM(E60:E76)</f>
        <v>194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12:F12"/>
    <mergeCell ref="B13:F13"/>
    <mergeCell ref="B14:F14"/>
    <mergeCell ref="B15:F15"/>
    <mergeCell ref="B18:F18"/>
    <mergeCell ref="B45:F45"/>
    <mergeCell ref="B50:F50"/>
    <mergeCell ref="B22:F22"/>
    <mergeCell ref="B28:F28"/>
    <mergeCell ref="B33:F33"/>
    <mergeCell ref="B38:F38"/>
    <mergeCell ref="B43:F43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C19" sqref="C19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7" t="s">
        <v>47</v>
      </c>
      <c r="C8" s="138"/>
      <c r="D8" s="138"/>
      <c r="E8" s="138"/>
      <c r="F8" s="138"/>
      <c r="G8" s="138"/>
      <c r="H8" s="138"/>
      <c r="I8" s="138"/>
      <c r="J8" s="139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20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3</v>
      </c>
      <c r="I11" s="41">
        <v>80</v>
      </c>
      <c r="J11" s="41">
        <f>H11*I11</f>
        <v>240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21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2</v>
      </c>
      <c r="I12" s="41">
        <v>23</v>
      </c>
      <c r="J12" s="41">
        <f t="shared" ref="J12" si="0">H12*I12</f>
        <v>46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20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2</v>
      </c>
      <c r="I13" s="41">
        <v>650</v>
      </c>
      <c r="J13" s="41">
        <f t="shared" ref="J13:J25" si="1">H13*I13</f>
        <v>1300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20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3</v>
      </c>
      <c r="I14" s="41">
        <v>40</v>
      </c>
      <c r="J14" s="41">
        <f t="shared" si="1"/>
        <v>120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20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4</v>
      </c>
      <c r="I15" s="41">
        <v>30</v>
      </c>
      <c r="J15" s="41">
        <f t="shared" si="1"/>
        <v>120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20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2</v>
      </c>
      <c r="I16" s="41">
        <v>125</v>
      </c>
      <c r="J16" s="41">
        <f t="shared" si="1"/>
        <v>250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20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21" t="s">
        <v>231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20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20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21" t="s">
        <v>227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21" t="s">
        <v>229</v>
      </c>
      <c r="D22" s="73" t="s">
        <v>189</v>
      </c>
      <c r="E22" s="73" t="s">
        <v>230</v>
      </c>
      <c r="F22" s="41">
        <v>0</v>
      </c>
      <c r="G22" s="41">
        <v>0</v>
      </c>
      <c r="H22" s="41">
        <v>3</v>
      </c>
      <c r="I22" s="41">
        <v>50</v>
      </c>
      <c r="J22" s="41">
        <f t="shared" ref="J22:J24" si="2">H22*I22</f>
        <v>150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21"/>
      <c r="D23" s="73"/>
      <c r="E23" s="73"/>
      <c r="F23" s="41">
        <v>0</v>
      </c>
      <c r="G23" s="41">
        <v>0</v>
      </c>
      <c r="H23" s="41"/>
      <c r="I23" s="41"/>
      <c r="J23" s="41">
        <f t="shared" si="2"/>
        <v>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21"/>
      <c r="D24" s="73"/>
      <c r="E24" s="73"/>
      <c r="F24" s="41">
        <v>0</v>
      </c>
      <c r="G24" s="41">
        <v>0</v>
      </c>
      <c r="H24" s="41"/>
      <c r="I24" s="41"/>
      <c r="J24" s="41">
        <f t="shared" si="2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2700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55" workbookViewId="0">
      <selection activeCell="G35" sqref="G35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6" t="s">
        <v>61</v>
      </c>
      <c r="C7" s="147"/>
      <c r="D7" s="147"/>
      <c r="E7" s="147"/>
      <c r="F7" s="147"/>
      <c r="G7" s="148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9" t="s">
        <v>62</v>
      </c>
      <c r="C8" s="150"/>
      <c r="D8" s="150"/>
      <c r="E8" s="150"/>
      <c r="F8" s="150"/>
      <c r="G8" s="151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9" t="s">
        <v>63</v>
      </c>
      <c r="C9" s="150"/>
      <c r="D9" s="150"/>
      <c r="E9" s="150"/>
      <c r="F9" s="150"/>
      <c r="G9" s="151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9" t="s">
        <v>64</v>
      </c>
      <c r="C10" s="150"/>
      <c r="D10" s="150"/>
      <c r="E10" s="150"/>
      <c r="F10" s="150"/>
      <c r="G10" s="151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9" t="s">
        <v>65</v>
      </c>
      <c r="C11" s="150"/>
      <c r="D11" s="150"/>
      <c r="E11" s="150"/>
      <c r="F11" s="150"/>
      <c r="G11" s="151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40" t="s">
        <v>66</v>
      </c>
      <c r="C12" s="141"/>
      <c r="D12" s="141"/>
      <c r="E12" s="141"/>
      <c r="F12" s="141"/>
      <c r="G12" s="142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3" t="s">
        <v>70</v>
      </c>
      <c r="C15" s="144"/>
      <c r="D15" s="144"/>
      <c r="E15" s="144"/>
      <c r="F15" s="144"/>
      <c r="G15" s="145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3" t="s">
        <v>71</v>
      </c>
      <c r="C26" s="144"/>
      <c r="D26" s="144"/>
      <c r="E26" s="144"/>
      <c r="F26" s="144"/>
      <c r="G26" s="145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1</v>
      </c>
      <c r="F28" s="41">
        <v>61</v>
      </c>
      <c r="G28" s="41">
        <f>E28*F28</f>
        <v>61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ref="G30:G33" si="1">E30*F30</f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3</v>
      </c>
      <c r="F33" s="41">
        <v>6</v>
      </c>
      <c r="G33" s="41">
        <f t="shared" si="1"/>
        <v>18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50</v>
      </c>
      <c r="F34" s="41">
        <v>3</v>
      </c>
      <c r="G34" s="41">
        <f>E34*F34</f>
        <v>150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40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2</v>
      </c>
      <c r="F36" s="41">
        <v>110</v>
      </c>
      <c r="G36" s="41">
        <f t="shared" si="2"/>
        <v>220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4</v>
      </c>
      <c r="F39" s="41">
        <v>7</v>
      </c>
      <c r="G39" s="41">
        <f t="shared" si="2"/>
        <v>28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1</v>
      </c>
      <c r="F40" s="41">
        <v>6</v>
      </c>
      <c r="G40" s="41">
        <f t="shared" si="2"/>
        <v>6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237</v>
      </c>
      <c r="D42" s="60" t="s">
        <v>238</v>
      </c>
      <c r="E42" s="41">
        <v>1</v>
      </c>
      <c r="F42" s="41">
        <v>116</v>
      </c>
      <c r="G42" s="41">
        <f t="shared" si="2"/>
        <v>116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3</v>
      </c>
      <c r="F43" s="41">
        <v>25</v>
      </c>
      <c r="G43" s="41">
        <f>E43*F43</f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228</v>
      </c>
      <c r="D44" s="118" t="s">
        <v>168</v>
      </c>
      <c r="E44" s="41">
        <v>2</v>
      </c>
      <c r="F44" s="41">
        <v>25</v>
      </c>
      <c r="G44" s="41">
        <f t="shared" ref="G44:G45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215</v>
      </c>
      <c r="D45" s="118" t="s">
        <v>168</v>
      </c>
      <c r="E45" s="41">
        <v>24</v>
      </c>
      <c r="F45" s="41">
        <v>4</v>
      </c>
      <c r="G45" s="41">
        <f t="shared" si="3"/>
        <v>96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40" t="s">
        <v>224</v>
      </c>
      <c r="D46" s="118" t="s">
        <v>168</v>
      </c>
      <c r="E46" s="41">
        <v>1</v>
      </c>
      <c r="F46" s="41">
        <v>85</v>
      </c>
      <c r="G46" s="41">
        <f t="shared" ref="G46:G54" si="4">E46*F46</f>
        <v>85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226</v>
      </c>
      <c r="D47" s="60" t="s">
        <v>168</v>
      </c>
      <c r="E47" s="41">
        <v>2</v>
      </c>
      <c r="F47" s="41">
        <v>35</v>
      </c>
      <c r="G47" s="41">
        <f t="shared" si="4"/>
        <v>70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239</v>
      </c>
      <c r="D48" s="60" t="s">
        <v>168</v>
      </c>
      <c r="E48" s="41">
        <v>1</v>
      </c>
      <c r="F48" s="41">
        <v>47</v>
      </c>
      <c r="G48" s="41">
        <f t="shared" si="4"/>
        <v>47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209</v>
      </c>
      <c r="D49" s="60" t="s">
        <v>168</v>
      </c>
      <c r="E49" s="41">
        <v>2</v>
      </c>
      <c r="F49" s="41">
        <v>25</v>
      </c>
      <c r="G49" s="41">
        <f t="shared" si="4"/>
        <v>50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232</v>
      </c>
      <c r="D50" s="60" t="s">
        <v>168</v>
      </c>
      <c r="E50" s="41">
        <v>2</v>
      </c>
      <c r="F50" s="41">
        <v>205</v>
      </c>
      <c r="G50" s="41">
        <f t="shared" si="4"/>
        <v>410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233</v>
      </c>
      <c r="D51" s="60" t="s">
        <v>168</v>
      </c>
      <c r="E51" s="41">
        <v>2</v>
      </c>
      <c r="F51" s="41">
        <v>280</v>
      </c>
      <c r="G51" s="41">
        <f>E51*F51</f>
        <v>560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234</v>
      </c>
      <c r="D52" s="60" t="s">
        <v>168</v>
      </c>
      <c r="E52" s="41">
        <v>2</v>
      </c>
      <c r="F52" s="41">
        <v>410</v>
      </c>
      <c r="G52" s="41">
        <f t="shared" si="4"/>
        <v>820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235</v>
      </c>
      <c r="D53" s="60" t="s">
        <v>168</v>
      </c>
      <c r="E53" s="41">
        <v>2</v>
      </c>
      <c r="F53" s="41">
        <v>280</v>
      </c>
      <c r="G53" s="41">
        <f t="shared" si="4"/>
        <v>560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240</v>
      </c>
      <c r="D54" s="60" t="s">
        <v>168</v>
      </c>
      <c r="E54" s="41">
        <v>1</v>
      </c>
      <c r="F54" s="41">
        <v>6</v>
      </c>
      <c r="G54" s="41">
        <f t="shared" si="4"/>
        <v>6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241</v>
      </c>
      <c r="D55" s="60" t="s">
        <v>168</v>
      </c>
      <c r="E55" s="41">
        <v>2</v>
      </c>
      <c r="F55" s="41">
        <v>7</v>
      </c>
      <c r="G55" s="41">
        <f t="shared" ref="G55" si="5">E55*F55</f>
        <v>14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242</v>
      </c>
      <c r="D56" s="60" t="s">
        <v>168</v>
      </c>
      <c r="E56" s="41">
        <v>2</v>
      </c>
      <c r="F56" s="41">
        <v>17</v>
      </c>
      <c r="G56" s="41">
        <f t="shared" ref="G56:G57" si="6">E56*F56</f>
        <v>34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 t="s">
        <v>243</v>
      </c>
      <c r="D57" s="60" t="s">
        <v>168</v>
      </c>
      <c r="E57" s="41">
        <v>1</v>
      </c>
      <c r="F57" s="41">
        <v>30</v>
      </c>
      <c r="G57" s="41">
        <f t="shared" si="6"/>
        <v>30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 t="s">
        <v>244</v>
      </c>
      <c r="D58" s="60" t="s">
        <v>245</v>
      </c>
      <c r="E58" s="41">
        <v>1</v>
      </c>
      <c r="F58" s="41">
        <v>50</v>
      </c>
      <c r="G58" s="41">
        <f t="shared" ref="G58" si="7">E58*F58</f>
        <v>50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4534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3" t="s">
        <v>72</v>
      </c>
      <c r="C65" s="144"/>
      <c r="D65" s="144"/>
      <c r="E65" s="144"/>
      <c r="F65" s="144"/>
      <c r="G65" s="145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2" t="s">
        <v>80</v>
      </c>
      <c r="E11" s="153"/>
      <c r="F11" s="153"/>
      <c r="G11" s="153"/>
      <c r="H11" s="153"/>
      <c r="I11" s="153"/>
      <c r="J11" s="153"/>
      <c r="K11" s="153"/>
      <c r="L11" s="153"/>
      <c r="M11" s="153"/>
      <c r="N11" s="154"/>
      <c r="P11" s="155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6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2018-06-13T06:10:46Z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