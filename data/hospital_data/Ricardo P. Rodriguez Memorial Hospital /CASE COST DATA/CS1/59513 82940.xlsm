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7" i="9" l="1"/>
  <c r="G54" i="9" l="1"/>
  <c r="G53" i="9"/>
  <c r="G52" i="9"/>
  <c r="G51" i="9"/>
  <c r="G50" i="9"/>
  <c r="G49" i="9"/>
  <c r="G48" i="9"/>
  <c r="G47" i="9"/>
  <c r="G46" i="9"/>
  <c r="G29" i="9" l="1"/>
  <c r="J23" i="2"/>
  <c r="J24" i="2" l="1"/>
  <c r="J22" i="2"/>
  <c r="J21" i="2"/>
  <c r="G45" i="9" l="1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56" i="9" l="1"/>
  <c r="J20" i="2"/>
  <c r="J25" i="2" l="1"/>
  <c r="J19" i="2"/>
  <c r="J18" i="2"/>
  <c r="J17" i="2"/>
  <c r="J16" i="2"/>
  <c r="J15" i="2"/>
  <c r="J14" i="2"/>
  <c r="J13" i="2"/>
  <c r="G28" i="9" l="1"/>
  <c r="J28" i="2" l="1"/>
  <c r="G55" i="9" l="1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<sst xmlns="http://schemas.openxmlformats.org/spreadsheetml/2006/main" count="570" uniqueCount="244">
  <si>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</si>
  <si>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</si>
  <si>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</si>
  <si>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</si>
  <si>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</si>
  <si>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</si>
  <si>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</si>
  <si>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</si>
  <si>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</si>
  <si>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</si>
  <si>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</si>
  <si>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</si>
  <si>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</si>
  <si>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</si>
  <si>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</si>
  <si>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</si>
  <si>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</si>
  <si>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</si>
  <si>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</si>
  <si>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</si>
  <si>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</si>
  <si>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</si>
  <si>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</si>
  <si>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</si>
  <si>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</si>
  <si>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</si>
  <si>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</si>
  <si>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</si>
  <si>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</si>
  <si>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</si>
  <si>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</si>
  <si>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</si>
  <si>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</si>
  <si>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</si>
  <si>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</si>
  <si>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</si>
  <si>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</si>
  <si>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</si>
  <si>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</si>
  <si>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</si>
  <si>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</si>
  <si>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</si>
  <si>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</si>
  <si>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</si>
  <si>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</si>
  <si>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</si>
  <si>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</si>
  <si>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</si>
  <si>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</si>
  <si>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</si>
  <si>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</si>
  <si>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</si>
  <si>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</si>
  <si>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</si>
  <si>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</si>
  <si>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</si>
  <si>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</si>
  <si>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</si>
  <si>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</si>
  <si>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</si>
  <si>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</si>
  <si>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</si>
  <si>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</si>
  <si>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</si>
  <si>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</si>
  <si>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</si>
  <si>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</si>
  <si>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</si>
  <si>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</si>
  <si>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</si>
  <si>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</si>
  <si>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</si>
  <si>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</si>
  <si>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</si>
  <si>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</si>
  <si>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</si>
  <si>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</si>
  <si>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</si>
  <si>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</si>
  <si>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</si>
  <si>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</si>
  <si>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</si>
  <si>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</si>
  <si>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</si>
  <si>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</si>
  <si>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</si>
  <si>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</si>
  <si>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</si>
  <si>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</si>
  <si>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</si>
  <si>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</si>
  <si>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</si>
  <si>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</si>
  <si>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</si>
  <si>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</si>
  <si>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</si>
  <si>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</si>
  <si>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</si>
  <si>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</si>
  <si>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</si>
  <si>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</si>
  <si>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</si>
  <si>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</si>
  <si>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</si>
  <si>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</si>
  <si>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</si>
  <si>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</si>
  <si>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</si>
  <si>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</si>
  <si>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</si>
  <si>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</si>
  <si>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</si>
  <si>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</si>
  <si>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</si>
  <si>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</si>
  <si>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</si>
  <si>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</si>
  <si>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</si>
  <si>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</si>
  <si>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</si>
  <si>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</si>
  <si>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</si>
  <si>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</si>
  <si>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</si>
  <si>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</si>
  <si>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</si>
  <si>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</si>
  <si>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</si>
  <si>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</si>
  <si>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</si>
  <si>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</si>
  <si>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</si>
  <si>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</si>
  <si>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</si>
  <si>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</si>
  <si>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</si>
  <si>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</si>
  <si>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</si>
  <si>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</si>
  <si>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</si>
  <si>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</si>
  <si>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</si>
  <si>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</si>
  <si>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</si>
  <si>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</si>
  <si>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</si>
  <si>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</si>
  <si>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</si>
  <si>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</si>
  <si>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</si>
  <si>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</si>
  <si>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</si>
  <si>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</si>
  <si>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</si>
  <si>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</si>
  <si>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</si>
  <si>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</si>
  <si>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</si>
  <si>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</si>
  <si>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</si>
  <si>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</si>
  <si>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</si>
  <si>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</si>
  <si>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</si>
  <si>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</si>
  <si>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</si>
  <si>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</si>
  <si>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</si>
  <si>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</si>
  <si>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</si>
  <si>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</si>
  <si>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</si>
  <si>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</si>
  <si>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</si>
  <si>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</si>
  <si>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</si>
  <si>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</si>
  <si>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</si>
  <si>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</si>
  <si>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</si>
  <si>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</si>
  <si>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</si>
  <si>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</si>
  <si>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</si>
  <si>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</si>
  <si>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</si>
  <si>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</si>
  <si>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</si>
  <si>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</si>
  <si>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</si>
  <si>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</si>
  <si>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</si>
  <si>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</si>
  <si>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</si>
  <si>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</si>
  <si>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</si>
  <si>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</si>
  <si>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</si>
  <si>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</si>
  <si>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</si>
  <si>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</si>
  <si>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</si>
  <si>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</si>
  <si>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</si>
  <si>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</si>
  <si>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</si>
  <si>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</si>
  <si>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</si>
  <si>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</si>
  <si>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</si>
  <si>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</si>
  <si>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</si>
  <si>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</si>
  <si>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</si>
  <si>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</si>
  <si>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</si>
  <si>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</si>
  <si>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</si>
  <si>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</si>
  <si>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</si>
  <si>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</si>
  <si>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</si>
  <si>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</si>
  <si>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</si>
  <si>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</si>
  <si>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</si>
  <si>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</si>
  <si>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>PROMETHAZINE</t>
  </si>
  <si>
    <t>STERILE GLOVES 7.5</t>
  </si>
  <si>
    <t>METHYLERGOMETRINE</t>
  </si>
  <si>
    <t>200MCG/ML</t>
  </si>
  <si>
    <t>CEFALEXIN</t>
  </si>
  <si>
    <t>CHROMIC I</t>
  </si>
  <si>
    <t>CHROMIC 2.0 DOUBLE ARM CUTTING</t>
  </si>
  <si>
    <t>VICRYL I</t>
  </si>
  <si>
    <t>VICRYL 3-0</t>
  </si>
  <si>
    <t xml:space="preserve">MEDICAL SUPPLIES </t>
  </si>
  <si>
    <t>SODIUM CHLORIDE</t>
  </si>
  <si>
    <t>BMMS</t>
  </si>
  <si>
    <t>IV CATHETER G 24</t>
  </si>
  <si>
    <t>POVIDONE IODINE</t>
  </si>
  <si>
    <t>BOTTLE/6ML</t>
  </si>
  <si>
    <t>SPECIMEN CUP</t>
  </si>
  <si>
    <t>ABDOMENAL BINDER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</si>
</sst>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topLeftCell="A56" workbookViewId="0">
      <selection activeCell="D65" sqref="D65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2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3200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2047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3720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 t="s">
        <v>236</v>
      </c>
      <c r="D75" s="41"/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17587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J31" sqref="J31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5</v>
      </c>
      <c r="I11" s="41">
        <v>80</v>
      </c>
      <c r="J11" s="41">
        <f>H11*I11</f>
        <v>400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1</v>
      </c>
      <c r="I12" s="41">
        <v>23</v>
      </c>
      <c r="J12" s="41">
        <f t="shared" ref="J12" si="0">H12*I12</f>
        <v>23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2</v>
      </c>
      <c r="I14" s="41">
        <v>40</v>
      </c>
      <c r="J14" s="41">
        <f t="shared" si="1"/>
        <v>80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2</v>
      </c>
      <c r="I15" s="41">
        <v>30</v>
      </c>
      <c r="J15" s="41">
        <f t="shared" si="1"/>
        <v>60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73" t="s">
        <v>231</v>
      </c>
      <c r="D18" s="116" t="s">
        <v>195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73" t="s">
        <v>227</v>
      </c>
      <c r="D21" s="73" t="s">
        <v>185</v>
      </c>
      <c r="E21" s="73" t="s">
        <v>186</v>
      </c>
      <c r="F21" s="41">
        <v>0</v>
      </c>
      <c r="G21" s="41">
        <v>0</v>
      </c>
      <c r="H21" s="41">
        <v>1</v>
      </c>
      <c r="I21" s="41">
        <v>25</v>
      </c>
      <c r="J21" s="41">
        <f t="shared" si="1"/>
        <v>25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73" t="s">
        <v>229</v>
      </c>
      <c r="D22" s="73" t="s">
        <v>189</v>
      </c>
      <c r="E22" s="73" t="s">
        <v>230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4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73" t="s">
        <v>237</v>
      </c>
      <c r="D23" s="73" t="s">
        <v>183</v>
      </c>
      <c r="E23" s="73" t="s">
        <v>184</v>
      </c>
      <c r="F23" s="41">
        <v>0</v>
      </c>
      <c r="G23" s="41">
        <v>0</v>
      </c>
      <c r="H23" s="41">
        <v>1</v>
      </c>
      <c r="I23" s="41">
        <v>80</v>
      </c>
      <c r="J23" s="41">
        <f t="shared" si="2"/>
        <v>80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 t="s">
        <v>238</v>
      </c>
      <c r="D24" s="73" t="s">
        <v>183</v>
      </c>
      <c r="E24" s="73" t="s">
        <v>184</v>
      </c>
      <c r="F24" s="41">
        <v>0</v>
      </c>
      <c r="G24" s="41">
        <v>0</v>
      </c>
      <c r="H24" s="41">
        <v>1</v>
      </c>
      <c r="I24" s="41">
        <v>105</v>
      </c>
      <c r="J24" s="41">
        <f t="shared" si="2"/>
        <v>105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2047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opLeftCell="A43" workbookViewId="0">
      <selection activeCell="G66" sqref="G66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1</v>
      </c>
      <c r="F28" s="41">
        <v>61</v>
      </c>
      <c r="G28" s="41">
        <f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40" t="s">
        <v>239</v>
      </c>
      <c r="D29" s="118" t="s">
        <v>168</v>
      </c>
      <c r="E29" s="41">
        <v>2</v>
      </c>
      <c r="F29" s="41">
        <v>61</v>
      </c>
      <c r="G29" s="41">
        <f>E29*F29</f>
        <v>122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200</v>
      </c>
      <c r="D30" s="118" t="s">
        <v>168</v>
      </c>
      <c r="E30" s="41">
        <v>2</v>
      </c>
      <c r="F30" s="41">
        <v>65</v>
      </c>
      <c r="G30" s="41">
        <f t="shared" ref="G30:G33" si="1">E30*F30</f>
        <v>130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201</v>
      </c>
      <c r="D31" s="118" t="s">
        <v>168</v>
      </c>
      <c r="E31" s="41">
        <v>2</v>
      </c>
      <c r="F31" s="41">
        <v>6</v>
      </c>
      <c r="G31" s="41">
        <f t="shared" si="1"/>
        <v>12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202</v>
      </c>
      <c r="D32" s="118" t="s">
        <v>168</v>
      </c>
      <c r="E32" s="41">
        <v>1</v>
      </c>
      <c r="F32" s="41">
        <v>40</v>
      </c>
      <c r="G32" s="41">
        <f t="shared" si="1"/>
        <v>40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203</v>
      </c>
      <c r="D33" s="118" t="s">
        <v>217</v>
      </c>
      <c r="E33" s="41">
        <v>5</v>
      </c>
      <c r="F33" s="41">
        <v>45</v>
      </c>
      <c r="G33" s="41">
        <f t="shared" si="1"/>
        <v>225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169</v>
      </c>
      <c r="D34" s="118" t="s">
        <v>168</v>
      </c>
      <c r="E34" s="41">
        <v>2</v>
      </c>
      <c r="F34" s="41">
        <v>6</v>
      </c>
      <c r="G34" s="41">
        <f>E34*F34</f>
        <v>12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204</v>
      </c>
      <c r="D35" s="118" t="s">
        <v>168</v>
      </c>
      <c r="E35" s="41">
        <v>60</v>
      </c>
      <c r="F35" s="41">
        <v>3</v>
      </c>
      <c r="G35" s="41">
        <f t="shared" ref="G35:G42" si="2">E35*F35</f>
        <v>180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205</v>
      </c>
      <c r="D36" s="118" t="s">
        <v>168</v>
      </c>
      <c r="E36" s="41">
        <v>5</v>
      </c>
      <c r="F36" s="41">
        <v>65</v>
      </c>
      <c r="G36" s="41">
        <f t="shared" si="2"/>
        <v>325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210</v>
      </c>
      <c r="D37" s="118" t="s">
        <v>168</v>
      </c>
      <c r="E37" s="41">
        <v>1</v>
      </c>
      <c r="F37" s="41">
        <v>110</v>
      </c>
      <c r="G37" s="41">
        <f t="shared" si="2"/>
        <v>110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206</v>
      </c>
      <c r="D38" s="118" t="s">
        <v>168</v>
      </c>
      <c r="E38" s="41">
        <v>1</v>
      </c>
      <c r="F38" s="41">
        <v>210</v>
      </c>
      <c r="G38" s="41">
        <f t="shared" si="2"/>
        <v>210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207</v>
      </c>
      <c r="D39" s="118" t="s">
        <v>168</v>
      </c>
      <c r="E39" s="41">
        <v>1</v>
      </c>
      <c r="F39" s="41">
        <v>35</v>
      </c>
      <c r="G39" s="41">
        <f t="shared" si="2"/>
        <v>35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208</v>
      </c>
      <c r="D40" s="118" t="s">
        <v>168</v>
      </c>
      <c r="E40" s="41">
        <v>2</v>
      </c>
      <c r="F40" s="41">
        <v>7</v>
      </c>
      <c r="G40" s="41">
        <f t="shared" si="2"/>
        <v>14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170</v>
      </c>
      <c r="D41" s="118" t="s">
        <v>168</v>
      </c>
      <c r="E41" s="41">
        <v>2</v>
      </c>
      <c r="F41" s="41">
        <v>6</v>
      </c>
      <c r="G41" s="41">
        <f t="shared" si="2"/>
        <v>12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171</v>
      </c>
      <c r="D42" s="118" t="s">
        <v>168</v>
      </c>
      <c r="E42" s="41">
        <v>2</v>
      </c>
      <c r="F42" s="41">
        <v>7</v>
      </c>
      <c r="G42" s="41">
        <f t="shared" si="2"/>
        <v>14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40" t="s">
        <v>240</v>
      </c>
      <c r="D43" s="60" t="s">
        <v>241</v>
      </c>
      <c r="E43" s="41">
        <v>1</v>
      </c>
      <c r="F43" s="41">
        <v>116</v>
      </c>
      <c r="G43" s="41">
        <f>E43*F43</f>
        <v>116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211</v>
      </c>
      <c r="D44" s="118" t="s">
        <v>168</v>
      </c>
      <c r="E44" s="41">
        <v>3</v>
      </c>
      <c r="F44" s="41">
        <v>25</v>
      </c>
      <c r="G44" s="41">
        <f t="shared" ref="G44:G45" si="3">E44*F44</f>
        <v>75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40" t="s">
        <v>228</v>
      </c>
      <c r="D45" s="118" t="s">
        <v>168</v>
      </c>
      <c r="E45" s="41">
        <v>2</v>
      </c>
      <c r="F45" s="41">
        <v>25</v>
      </c>
      <c r="G45" s="41">
        <f t="shared" si="3"/>
        <v>50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215</v>
      </c>
      <c r="D46" s="118" t="s">
        <v>168</v>
      </c>
      <c r="E46" s="41">
        <v>25</v>
      </c>
      <c r="F46" s="41">
        <v>4</v>
      </c>
      <c r="G46" s="41">
        <f t="shared" ref="G46:G54" si="4">E46*F46</f>
        <v>100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224</v>
      </c>
      <c r="D47" s="118" t="s">
        <v>168</v>
      </c>
      <c r="E47" s="41">
        <v>1</v>
      </c>
      <c r="F47" s="41">
        <v>85</v>
      </c>
      <c r="G47" s="41">
        <f t="shared" si="4"/>
        <v>85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226</v>
      </c>
      <c r="D48" s="60" t="s">
        <v>168</v>
      </c>
      <c r="E48" s="41">
        <v>1</v>
      </c>
      <c r="F48" s="41">
        <v>35</v>
      </c>
      <c r="G48" s="41">
        <f t="shared" si="4"/>
        <v>35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242</v>
      </c>
      <c r="D49" s="60" t="s">
        <v>168</v>
      </c>
      <c r="E49" s="41">
        <v>1</v>
      </c>
      <c r="F49" s="41">
        <v>15</v>
      </c>
      <c r="G49" s="41">
        <f t="shared" si="4"/>
        <v>15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209</v>
      </c>
      <c r="D50" s="60" t="s">
        <v>168</v>
      </c>
      <c r="E50" s="41">
        <v>1</v>
      </c>
      <c r="F50" s="41">
        <v>25</v>
      </c>
      <c r="G50" s="41">
        <f t="shared" si="4"/>
        <v>25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232</v>
      </c>
      <c r="D51" s="60" t="s">
        <v>168</v>
      </c>
      <c r="E51" s="41">
        <v>1</v>
      </c>
      <c r="F51" s="41">
        <v>205</v>
      </c>
      <c r="G51" s="41">
        <f t="shared" si="4"/>
        <v>205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233</v>
      </c>
      <c r="D52" s="60" t="s">
        <v>168</v>
      </c>
      <c r="E52" s="41">
        <v>1</v>
      </c>
      <c r="F52" s="41">
        <v>280</v>
      </c>
      <c r="G52" s="41">
        <f t="shared" si="4"/>
        <v>280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234</v>
      </c>
      <c r="D53" s="60" t="s">
        <v>168</v>
      </c>
      <c r="E53" s="41">
        <v>1</v>
      </c>
      <c r="F53" s="41">
        <v>410</v>
      </c>
      <c r="G53" s="41">
        <f t="shared" si="4"/>
        <v>410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235</v>
      </c>
      <c r="D54" s="60" t="s">
        <v>168</v>
      </c>
      <c r="E54" s="41">
        <v>1</v>
      </c>
      <c r="F54" s="41">
        <v>280</v>
      </c>
      <c r="G54" s="41">
        <f t="shared" si="4"/>
        <v>280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 t="s">
        <v>243</v>
      </c>
      <c r="D55" s="60" t="s">
        <v>168</v>
      </c>
      <c r="E55" s="41">
        <v>1</v>
      </c>
      <c r="F55" s="41">
        <v>510</v>
      </c>
      <c r="G55" s="41">
        <f t="shared" ref="G55" si="5">E55*F55</f>
        <v>510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/>
      <c r="D56" s="60"/>
      <c r="E56" s="41"/>
      <c r="F56" s="41"/>
      <c r="G56" s="41">
        <f t="shared" ref="G56:G57" si="6">E56*F56</f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/>
      <c r="D57" s="60"/>
      <c r="E57" s="41"/>
      <c r="F57" s="41"/>
      <c r="G57" s="41">
        <f t="shared" si="6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/>
      <c r="D58" s="60"/>
      <c r="E58" s="41"/>
      <c r="F58" s="41"/>
      <c r="G58" s="41">
        <f t="shared" ref="G58" si="7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3720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2018-06-13T06:10:13Z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