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J24" i="2" l="1"/>
  <c r="J23" i="2"/>
  <c r="J22" i="2"/>
  <c r="J21" i="2"/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56" i="9" l="1"/>
  <c r="J20" i="2"/>
  <c r="J25" i="2" l="1"/>
  <c r="J19" i="2"/>
  <c r="J18" i="2"/>
  <c r="J17" i="2"/>
  <c r="J16" i="2"/>
  <c r="J15" i="2"/>
  <c r="J14" i="2"/>
  <c r="J13" i="2"/>
  <c r="G53" i="9" l="1"/>
  <c r="G28" i="9"/>
  <c r="J28" i="2" l="1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<sst xmlns="http://schemas.openxmlformats.org/spreadsheetml/2006/main" count="568" uniqueCount="245">
  <si>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</si>
  <si>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</si>
  <si>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</si>
  <si>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</si>
  <si>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</si>
  <si>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</si>
  <si>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</si>
  <si>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</si>
  <si>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</si>
  <si>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</si>
  <si>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</si>
  <si>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</si>
  <si>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</si>
  <si>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</si>
  <si>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</si>
  <si>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</si>
  <si>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</si>
  <si>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</si>
  <si>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</si>
  <si>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</si>
  <si>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</si>
  <si>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</si>
  <si>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</si>
  <si>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</si>
  <si>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</si>
  <si>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</si>
  <si>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</si>
  <si>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</si>
  <si>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</si>
  <si>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</si>
  <si>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</si>
  <si>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</si>
  <si>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</si>
  <si>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</si>
  <si>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</si>
  <si>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</si>
  <si>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</si>
  <si>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</si>
  <si>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</si>
  <si>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</si>
  <si>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</si>
  <si>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</si>
  <si>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</si>
  <si>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</si>
  <si>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</si>
  <si>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</si>
  <si>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</si>
  <si>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</si>
  <si>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</si>
  <si>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</si>
  <si>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</si>
  <si>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</si>
  <si>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</si>
  <si>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</si>
  <si>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</si>
  <si>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</si>
  <si>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</si>
  <si>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</si>
  <si>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</si>
  <si>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</si>
  <si>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</si>
  <si>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</si>
  <si>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</si>
  <si>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</si>
  <si>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</si>
  <si>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</si>
  <si>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</si>
  <si>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</si>
  <si>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</si>
  <si>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</si>
  <si>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</si>
  <si>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</si>
  <si>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</si>
  <si>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</si>
  <si>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</si>
  <si>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</si>
  <si>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</si>
  <si>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</si>
  <si>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</si>
  <si>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</si>
  <si>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</si>
  <si>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</si>
  <si>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</si>
  <si>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</si>
  <si>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</si>
  <si>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</si>
  <si>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</si>
  <si>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</si>
  <si>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</si>
  <si>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</si>
  <si>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</si>
  <si>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</si>
  <si>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</si>
  <si>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</si>
  <si>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</si>
  <si>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</si>
  <si>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</si>
  <si>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</si>
  <si>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</si>
  <si>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</si>
  <si>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</si>
  <si>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</si>
  <si>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</si>
  <si>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</si>
  <si>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</si>
  <si>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</si>
  <si>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</si>
  <si>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</si>
  <si>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</si>
  <si>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</si>
  <si>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</si>
  <si>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</si>
  <si>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</si>
  <si>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</si>
  <si>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</si>
  <si>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</si>
  <si>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</si>
  <si>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</si>
  <si>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</si>
  <si>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</si>
  <si>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</si>
  <si>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</si>
  <si>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</si>
  <si>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</si>
  <si>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</si>
  <si>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</si>
  <si>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</si>
  <si>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</si>
  <si>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</si>
  <si>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</si>
  <si>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</si>
  <si>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</si>
  <si>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</si>
  <si>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</si>
  <si>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</si>
  <si>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</si>
  <si>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</si>
  <si>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</si>
  <si>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</si>
  <si>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</si>
  <si>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</si>
  <si>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</si>
  <si>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</si>
  <si>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</si>
  <si>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</si>
  <si>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</si>
  <si>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</si>
  <si>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</si>
  <si>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</si>
  <si>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</si>
  <si>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</si>
  <si>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</si>
  <si>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</si>
  <si>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</si>
  <si>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</si>
  <si>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</si>
  <si>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</si>
  <si>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</si>
  <si>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</si>
  <si>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</si>
  <si>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</si>
  <si>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</si>
  <si>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</si>
  <si>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</si>
  <si>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</si>
  <si>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</si>
  <si>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</si>
  <si>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</si>
  <si>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</si>
  <si>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</si>
  <si>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</si>
  <si>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</si>
  <si>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</si>
  <si>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</si>
  <si>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</si>
  <si>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</si>
  <si>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</si>
  <si>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</si>
  <si>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</si>
  <si>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</si>
  <si>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</si>
  <si>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</si>
  <si>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</si>
  <si>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</si>
  <si>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</si>
  <si>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</si>
  <si>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</si>
  <si>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</si>
  <si>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</si>
  <si>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</si>
  <si>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</si>
  <si>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</si>
  <si>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</si>
  <si>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</si>
  <si>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</si>
  <si>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</si>
  <si>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</si>
  <si>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</si>
  <si>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</si>
  <si>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</si>
  <si>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</si>
  <si>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</si>
  <si>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</si>
  <si>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</si>
  <si>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</si>
  <si>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</si>
  <si>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</si>
  <si>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</si>
  <si>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</si>
  <si>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</si>
  <si>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</si>
  <si>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</si>
  <si>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</si>
  <si>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</si>
  <si>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</si>
  <si>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</si>
  <si>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</si>
  <si>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</si>
  <si>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</si>
  <si>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</si>
  <si>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</si>
  <si>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</si>
  <si>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</si>
  <si>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</si>
  <si>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</si>
  <si>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</si>
  <si>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</si>
  <si>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 xml:space="preserve">MEDICAL SUPPLIES </t>
  </si>
  <si>
    <t>PROMETHAZINE</t>
  </si>
  <si>
    <t>ID BRACELET</t>
  </si>
  <si>
    <t>CYDEX</t>
  </si>
  <si>
    <t>POVIDONE IODINE</t>
  </si>
  <si>
    <t>BOTTLE/60ML</t>
  </si>
  <si>
    <t>STERILE GLOVES 7.5</t>
  </si>
  <si>
    <t>METHYLERGOMETRINE</t>
  </si>
  <si>
    <t>200MCG/ML</t>
  </si>
  <si>
    <t>CORD CLAMP</t>
  </si>
  <si>
    <t>CEFALEXIN</t>
  </si>
  <si>
    <t>BETADINE 10%</t>
  </si>
  <si>
    <t>BOTTLE</t>
  </si>
  <si>
    <t>INSULIN SYRINGE</t>
  </si>
  <si>
    <t>METOCLOPRAMIDE</t>
  </si>
  <si>
    <t>5MG/2ML</t>
  </si>
  <si>
    <t>RANITIDINE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</si>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</sst>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8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2131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2036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/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227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16477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H25" sqref="H25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9</v>
      </c>
      <c r="I12" s="41">
        <v>23</v>
      </c>
      <c r="J12" s="41">
        <f t="shared" ref="J12" si="0">H12*I12</f>
        <v>207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2</v>
      </c>
      <c r="I14" s="41">
        <v>40</v>
      </c>
      <c r="J14" s="41">
        <f t="shared" si="1"/>
        <v>80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237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228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234</v>
      </c>
      <c r="D22" s="73" t="s">
        <v>189</v>
      </c>
      <c r="E22" s="73" t="s">
        <v>235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241</v>
      </c>
      <c r="D23" s="73" t="s">
        <v>185</v>
      </c>
      <c r="E23" s="73" t="s">
        <v>242</v>
      </c>
      <c r="F23" s="41">
        <v>0</v>
      </c>
      <c r="G23" s="41">
        <v>0</v>
      </c>
      <c r="H23" s="41">
        <v>3</v>
      </c>
      <c r="I23" s="41">
        <v>20</v>
      </c>
      <c r="J23" s="41">
        <f t="shared" si="2"/>
        <v>60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243</v>
      </c>
      <c r="D24" s="73" t="s">
        <v>185</v>
      </c>
      <c r="E24" s="73" t="s">
        <v>186</v>
      </c>
      <c r="F24" s="41">
        <v>0</v>
      </c>
      <c r="G24" s="41">
        <v>0</v>
      </c>
      <c r="H24" s="41">
        <v>3</v>
      </c>
      <c r="I24" s="41">
        <v>35</v>
      </c>
      <c r="J24" s="41">
        <f t="shared" si="2"/>
        <v>105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2131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3" workbookViewId="0">
      <selection activeCell="G52" sqref="G52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 t="shared" ref="G29:G33" si="1"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si="1"/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7</v>
      </c>
      <c r="F33" s="41">
        <v>6</v>
      </c>
      <c r="G33" s="41">
        <f t="shared" si="1"/>
        <v>42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49</v>
      </c>
      <c r="F34" s="41">
        <v>3</v>
      </c>
      <c r="G34" s="41">
        <f>E34*F34</f>
        <v>147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3</v>
      </c>
      <c r="F39" s="41">
        <v>7</v>
      </c>
      <c r="G39" s="41">
        <f t="shared" si="2"/>
        <v>21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7</v>
      </c>
      <c r="F40" s="41">
        <v>6</v>
      </c>
      <c r="G40" s="41">
        <f t="shared" si="2"/>
        <v>42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244</v>
      </c>
      <c r="D42" s="60" t="s">
        <v>168</v>
      </c>
      <c r="E42" s="41">
        <v>3</v>
      </c>
      <c r="F42" s="41">
        <v>8</v>
      </c>
      <c r="G42" s="41">
        <f t="shared" si="2"/>
        <v>24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2</v>
      </c>
      <c r="F43" s="41">
        <v>25</v>
      </c>
      <c r="G43" s="41">
        <f>E43*F43</f>
        <v>50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233</v>
      </c>
      <c r="D44" s="118" t="s">
        <v>168</v>
      </c>
      <c r="E44" s="41">
        <v>2</v>
      </c>
      <c r="F44" s="41">
        <v>25</v>
      </c>
      <c r="G44" s="41">
        <f t="shared" ref="G44:G52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229</v>
      </c>
      <c r="D45" s="118" t="s">
        <v>168</v>
      </c>
      <c r="E45" s="41">
        <v>2</v>
      </c>
      <c r="F45" s="41">
        <v>7</v>
      </c>
      <c r="G45" s="41">
        <f t="shared" si="3"/>
        <v>14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27</v>
      </c>
      <c r="F46" s="41">
        <v>4</v>
      </c>
      <c r="G46" s="41">
        <f t="shared" si="3"/>
        <v>108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3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231</v>
      </c>
      <c r="D49" s="60" t="s">
        <v>232</v>
      </c>
      <c r="E49" s="41">
        <v>1</v>
      </c>
      <c r="F49" s="41">
        <v>116</v>
      </c>
      <c r="G49" s="41">
        <f t="shared" si="3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2</v>
      </c>
      <c r="F50" s="41">
        <v>25</v>
      </c>
      <c r="G50" s="41">
        <f t="shared" si="3"/>
        <v>50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230</v>
      </c>
      <c r="D51" s="60" t="s">
        <v>168</v>
      </c>
      <c r="E51" s="41">
        <v>1</v>
      </c>
      <c r="F51" s="41">
        <v>30</v>
      </c>
      <c r="G51" s="41">
        <f t="shared" si="3"/>
        <v>30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238</v>
      </c>
      <c r="D52" s="60" t="s">
        <v>239</v>
      </c>
      <c r="E52" s="41">
        <v>1</v>
      </c>
      <c r="F52" s="41">
        <v>50</v>
      </c>
      <c r="G52" s="41">
        <f t="shared" si="3"/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240</v>
      </c>
      <c r="D53" s="60" t="s">
        <v>168</v>
      </c>
      <c r="E53" s="41">
        <v>1</v>
      </c>
      <c r="F53" s="41">
        <v>17</v>
      </c>
      <c r="G53" s="41">
        <f t="shared" ref="G53" si="4">E53*F53</f>
        <v>17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236</v>
      </c>
      <c r="D54" s="60" t="s">
        <v>168</v>
      </c>
      <c r="E54" s="41">
        <v>1</v>
      </c>
      <c r="F54" s="41">
        <v>6</v>
      </c>
      <c r="G54" s="41">
        <f t="shared" ref="G54:G57" si="5">E54*F54</f>
        <v>6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/>
      <c r="D55" s="60"/>
      <c r="E55" s="41"/>
      <c r="F55" s="41"/>
      <c r="G55" s="41">
        <f t="shared" si="5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/>
      <c r="D56" s="60"/>
      <c r="E56" s="41"/>
      <c r="F56" s="41"/>
      <c r="G56" s="41">
        <f t="shared" ref="G56" si="6">E56*F56</f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2036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