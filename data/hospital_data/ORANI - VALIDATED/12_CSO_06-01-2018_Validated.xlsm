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8_{DC98D00D-A4F2-4748-AAAC-C2AB8E49B7D0}" xr6:coauthVersionLast="33" xr6:coauthVersionMax="33" xr10:uidLastSave="{00000000-0000-0000-0000-000000000000}"/>
  <workbookProtection workbookAlgorithmName="SHA-512" workbookHashValue="c44O9NEa4W2Rr8w3wHLdT6qhpl0Kg4MJmWVdhSDUS1peMZF+1ZMybn/uj9tmkxJoI650hwk/zW8/3ktejs1IPw==" workbookSaltValue="zNhXjkdUXQhg1rNAplv1uw==" workbookSpinCount="100000" lockStructure="1"/>
  <bookViews>
    <workbookView xWindow="0" yWindow="0" windowWidth="19200" windowHeight="8150" xr2:uid="{00000000-000D-0000-FFFF-FFFF00000000}"/>
  </bookViews>
  <sheets>
    <sheet name="7.1CSO supplies costs" sheetId="1" r:id="rId1"/>
  </sheets>
  <externalReferences>
    <externalReference r:id="rId2"/>
  </externalReferences>
  <definedNames>
    <definedName name="Drugs">'[1]1.0 Drugs&amp;Med List'!$B$16:$B$315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53" i="1" l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D53" i="1" l="1"/>
</calcChain>
</file>

<file path=xl/sharedStrings.xml><?xml version="1.0" encoding="utf-8"?>
<sst xmlns="http://schemas.openxmlformats.org/spreadsheetml/2006/main" count="143" uniqueCount="91">
  <si>
    <t>Delivery Room</t>
  </si>
  <si>
    <t>Category of supplies</t>
  </si>
  <si>
    <t>Medical supplies</t>
  </si>
  <si>
    <t>Total amount of consumption cost (peso)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</si>
  <si>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Central supply office supervisor/staff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</si>
  <si>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 Central supply logbook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</si>
  <si>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costs of supplies consumed in each unit/department of the hospital</t>
    </r>
  </si>
  <si>
    <t xml:space="preserve">Oxygen </t>
  </si>
  <si>
    <t>Dental Supplies</t>
  </si>
  <si>
    <t>Laboratory Supplies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</si>
  <si>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</si>
  <si>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</si>
  <si>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</si>
  <si>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</si>
  <si>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</si>
  <si>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</si>
  <si>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</si>
  <si>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</si>
  <si>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</si>
  <si>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</si>
  <si>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</si>
  <si>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</si>
  <si>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</si>
  <si>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</si>
  <si>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</si>
  <si>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</si>
  <si>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</si>
  <si>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</si>
  <si>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</si>
  <si>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</si>
  <si>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</si>
  <si>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</si>
  <si>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</si>
  <si>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</si>
  <si>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</si>
  <si>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</si>
  <si>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</si>
  <si>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</si>
  <si>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</si>
  <si>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</si>
  <si>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</si>
  <si>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</si>
  <si>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</si>
  <si>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</si>
  <si>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</si>
  <si>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</si>
  <si>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</si>
  <si>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</si>
  <si>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</si>
  <si>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</si>
  <si>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</si>
  <si>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t>Total</t>
  </si>
  <si>
    <t>Others</t>
  </si>
  <si>
    <t>Sterilization</t>
  </si>
  <si>
    <t>Laboratory</t>
  </si>
  <si>
    <t>Radiology / Diagnostic Imaging (CT Scan, MRI, ECG, Mammography, Endoscopy)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</si>
  <si>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</si>
  <si>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</si>
  <si>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</si>
  <si>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</si>
  <si>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</si>
  <si>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</si>
  <si>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</si>
  <si>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</si>
  <si>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</si>
  <si>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</si>
  <si>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Heart Station</t>
  </si>
  <si>
    <t>Diabetes MAP</t>
  </si>
  <si>
    <t>Hypertension MAP</t>
  </si>
  <si>
    <t>Nuclear Medicine</t>
  </si>
  <si>
    <t>Endoscopy Unit</t>
  </si>
  <si>
    <t>Medical and other supplies and consumables dispensed by Central Supply Office/Unit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</si>
  <si>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expenses of medical and other supplies used by  various departments</t>
    </r>
  </si>
  <si>
    <t>#</t>
  </si>
  <si>
    <t>Period covered:</t>
  </si>
  <si>
    <t>IT Departments</t>
  </si>
  <si>
    <t>Housekeeping</t>
  </si>
  <si>
    <t>Outpatient Department (general)</t>
  </si>
  <si>
    <t xml:space="preserve">Diabetes </t>
  </si>
  <si>
    <t>Hypertension</t>
  </si>
  <si>
    <t>IT Department</t>
  </si>
  <si>
    <t xml:space="preserve">Housekeeping </t>
  </si>
  <si>
    <t>Office of the Chief of Medical Professional Staff / Chief of Clinics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</si>
  <si>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</si>
  <si>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Supplies</t>
  </si>
  <si>
    <t xml:space="preserve">Janitorial Supplies </t>
  </si>
  <si>
    <t xml:space="preserve">Non -Accountable Forms </t>
  </si>
  <si>
    <t>Drugs and Medicines</t>
  </si>
  <si>
    <t xml:space="preserve">X-ray Supplies </t>
  </si>
  <si>
    <t xml:space="preserve">Office supplies </t>
  </si>
  <si>
    <t xml:space="preserve">New Born Screening Kits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</si>
</sst>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0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Calibri"/>
      <family val="2"/>
    </font>
    <font>
      <sz val="11"/>
      <name val="Arial Narrow"/>
      <family val="2"/>
    </font>
    <font>
      <b/>
      <sz val="11"/>
      <color rgb="FFFF0000"/>
      <name val="Arial Narrow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9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8" fillId="0" borderId="1" xfId="0" applyFont="1" applyBorder="1"/>
    <xf numFmtId="0" fontId="8" fillId="0" borderId="0" xfId="0" applyFont="1"/>
    <xf numFmtId="43" fontId="10" fillId="2" borderId="1" xfId="2" applyFont="1" applyFill="1" applyBorder="1" applyProtection="1">
      <protection locked="0"/>
    </xf>
    <xf numFmtId="43" fontId="8" fillId="0" borderId="1" xfId="0" applyNumberFormat="1" applyFont="1" applyBorder="1"/>
    <xf numFmtId="0" fontId="5" fillId="0" borderId="1" xfId="0" applyFont="1" applyBorder="1" applyAlignment="1">
      <alignment horizontal="right" vertical="center"/>
    </xf>
    <xf numFmtId="0" fontId="10" fillId="2" borderId="1" xfId="0" applyFont="1" applyFill="1" applyBorder="1" applyAlignment="1" applyProtection="1">
      <alignment wrapText="1"/>
      <protection locked="0"/>
    </xf>
    <xf numFmtId="0" fontId="5" fillId="0" borderId="0" xfId="0" applyFont="1" applyProtection="1"/>
    <xf numFmtId="0" fontId="5" fillId="0" borderId="0" xfId="0" applyFont="1" applyAlignment="1" applyProtection="1">
      <alignment horizontal="center" wrapText="1"/>
    </xf>
    <xf numFmtId="0" fontId="13" fillId="4" borderId="1" xfId="1" applyFont="1" applyFill="1" applyBorder="1" applyAlignment="1">
      <alignment horizontal="left" vertical="center" wrapText="1"/>
    </xf>
    <xf numFmtId="0" fontId="17" fillId="4" borderId="1" xfId="1" applyFont="1" applyFill="1" applyBorder="1" applyAlignment="1">
      <alignment horizontal="left" vertical="center" wrapText="1"/>
    </xf>
    <xf numFmtId="0" fontId="14" fillId="4" borderId="1" xfId="1" applyFont="1" applyFill="1" applyBorder="1" applyAlignment="1">
      <alignment horizontal="left" vertical="center" wrapText="1"/>
    </xf>
    <xf numFmtId="43" fontId="10" fillId="2" borderId="2" xfId="2" applyFont="1" applyFill="1" applyBorder="1" applyProtection="1">
      <protection locked="0"/>
    </xf>
    <xf numFmtId="0" fontId="4" fillId="4" borderId="1" xfId="1" applyFont="1" applyFill="1" applyBorder="1" applyAlignment="1">
      <alignment vertical="center"/>
    </xf>
    <xf numFmtId="0" fontId="4" fillId="4" borderId="1" xfId="1" applyFont="1" applyFill="1" applyBorder="1" applyAlignment="1">
      <alignment vertical="top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3" fillId="4" borderId="9" xfId="0" applyFont="1" applyFill="1" applyBorder="1"/>
    <xf numFmtId="0" fontId="10" fillId="0" borderId="1" xfId="0" applyFont="1" applyBorder="1" applyAlignment="1" applyProtection="1">
      <alignment horizontal="center" vertical="center"/>
      <protection locked="0"/>
    </xf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3" fillId="3" borderId="0" xfId="0" applyFont="1" applyFill="1"/>
    <xf numFmtId="0" fontId="5" fillId="3" borderId="0" xfId="0" applyFont="1" applyFill="1"/>
    <xf numFmtId="0" fontId="15" fillId="4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3" fillId="0" borderId="0" xfId="0" applyFont="1" applyProtection="1"/>
    <xf numFmtId="0" fontId="5" fillId="4" borderId="1" xfId="0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15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2" fillId="4" borderId="6" xfId="0" applyFont="1" applyFill="1" applyBorder="1" applyAlignment="1">
      <alignment horizontal="left"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13" fillId="3" borderId="3" xfId="1" applyFont="1" applyFill="1" applyBorder="1" applyAlignment="1">
      <alignment wrapText="1"/>
    </xf>
    <xf numFmtId="0" fontId="13" fillId="3" borderId="4" xfId="1" applyFont="1" applyFill="1" applyBorder="1" applyAlignment="1">
      <alignment wrapText="1"/>
    </xf>
    <xf numFmtId="0" fontId="13" fillId="3" borderId="5" xfId="1" applyFont="1" applyFill="1" applyBorder="1" applyAlignment="1">
      <alignment wrapText="1"/>
    </xf>
    <xf numFmtId="0" fontId="13" fillId="3" borderId="1" xfId="1" applyFont="1" applyFill="1" applyBorder="1" applyAlignment="1">
      <alignment wrapText="1"/>
    </xf>
    <xf numFmtId="0" fontId="14" fillId="3" borderId="1" xfId="1" applyFont="1" applyFill="1" applyBorder="1" applyAlignment="1">
      <alignment wrapText="1"/>
    </xf>
    <xf numFmtId="0" fontId="13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19050</xdr:rowOff>
        </xdr:from>
        <xdr:to>
          <xdr:col>1</xdr:col>
          <xdr:colOff>762000</xdr:colOff>
          <xdr:row>14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812800</xdr:colOff>
          <xdr:row>14</xdr:row>
          <xdr:rowOff>19050</xdr:rowOff>
        </xdr:from>
        <xdr:to>
          <xdr:col>1</xdr:col>
          <xdr:colOff>1524000</xdr:colOff>
          <xdr:row>14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0</xdr:colOff>
          <xdr:row>11</xdr:row>
          <xdr:rowOff>9525</xdr:rowOff>
        </xdr:to>
        <xdr:sp macro="" textlink="">
          <xdr:nvSpPr>
            <xdr:cNvPr id="1027" name="SelectI" descr="Select Level I and II Health Faciliti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847725</xdr:colOff>
          <xdr:row>11</xdr:row>
          <xdr:rowOff>9525</xdr:rowOff>
        </xdr:to>
        <xdr:sp macro="" textlink="">
          <xdr:nvSpPr>
            <xdr:cNvPr id="1028" name="SelectIIandIII" descr="Select Level I and II Health Faciliti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DQ54"/>
  <sheetViews>
    <sheetView showGridLines="0" tabSelected="1" topLeftCell="A5" zoomScaleNormal="100" workbookViewId="0">
      <selection activeCell="G18" sqref="G18"/>
    </sheetView>
  </sheetViews>
  <sheetFormatPr defaultColWidth="8.7265625" defaultRowHeight="14" outlineLevelRow="1" x14ac:dyDescent="0.3"/>
  <cols>
    <col min="1" max="1" width="3.81640625" style="2" customWidth="1"/>
    <col min="2" max="2" width="24.1796875" style="2" customWidth="1"/>
    <col min="3" max="3" width="23" style="2" customWidth="1"/>
    <col min="4" max="4" width="14.453125" style="2" customWidth="1"/>
    <col min="5" max="5" width="1.7265625" style="6" customWidth="1"/>
    <col min="6" max="6" width="13.453125" style="6" customWidth="1"/>
    <col min="7" max="7" width="13.1796875" style="6" customWidth="1"/>
    <col min="8" max="8" width="13" style="6" customWidth="1"/>
    <col min="9" max="9" width="14.54296875" style="6" customWidth="1"/>
    <col min="10" max="10" width="11" style="6" customWidth="1"/>
    <col min="11" max="11" width="11.453125" style="6" customWidth="1"/>
    <col min="12" max="12" width="10.54296875" style="6" customWidth="1"/>
    <col min="13" max="13" width="12.453125" style="6" customWidth="1"/>
    <col min="14" max="14" width="9.54296875" style="6" customWidth="1"/>
    <col min="15" max="15" width="10.81640625" style="6" customWidth="1"/>
    <col min="16" max="16" width="10.7265625" style="6" customWidth="1"/>
    <col min="17" max="17" width="8.81640625" style="6" customWidth="1"/>
    <col min="18" max="18" width="12.81640625" style="6" customWidth="1"/>
    <col min="19" max="19" width="10.7265625" style="6" customWidth="1"/>
    <col min="20" max="20" width="10.1796875" style="6" customWidth="1"/>
    <col min="21" max="21" width="9.26953125" style="6" customWidth="1"/>
    <col min="22" max="23" width="11" style="6" customWidth="1"/>
    <col min="24" max="24" width="8.7265625" style="6" customWidth="1"/>
    <col min="25" max="25" width="10.81640625" style="6" customWidth="1"/>
    <col min="26" max="26" width="11.26953125" style="6" customWidth="1"/>
    <col min="27" max="27" width="13.7265625" style="6" customWidth="1"/>
    <col min="28" max="28" width="6.81640625" style="6" customWidth="1"/>
    <col min="29" max="29" width="13.453125" style="6" customWidth="1"/>
    <col min="30" max="30" width="11.453125" style="6" customWidth="1"/>
    <col min="31" max="31" width="8.54296875" style="6" customWidth="1"/>
    <col min="32" max="32" width="10.7265625" style="6" customWidth="1"/>
    <col min="33" max="33" width="9.453125" style="6" customWidth="1"/>
    <col min="34" max="34" width="7.26953125" style="6" customWidth="1"/>
    <col min="35" max="35" width="4.453125" style="6" customWidth="1"/>
    <col min="36" max="36" width="4.26953125" style="6" customWidth="1"/>
    <col min="37" max="37" width="6.54296875" style="6" customWidth="1"/>
    <col min="38" max="38" width="5" style="6" customWidth="1"/>
    <col min="39" max="39" width="5.1796875" style="6" customWidth="1"/>
    <col min="40" max="40" width="3.81640625" style="6" customWidth="1"/>
    <col min="41" max="41" width="9" style="6" customWidth="1"/>
    <col min="42" max="42" width="10.453125" style="6" customWidth="1"/>
    <col min="43" max="43" width="10.7265625" style="6" customWidth="1"/>
    <col min="44" max="44" width="7.453125" style="6" customWidth="1"/>
    <col min="45" max="45" width="5.1796875" style="6" customWidth="1"/>
    <col min="46" max="46" width="9.26953125" style="6" customWidth="1"/>
    <col min="47" max="47" width="8.54296875" style="6" customWidth="1"/>
    <col min="48" max="48" width="7.1796875" style="6" customWidth="1"/>
    <col min="49" max="49" width="7.7265625" style="6" customWidth="1"/>
    <col min="50" max="50" width="7.26953125" style="6" customWidth="1"/>
    <col min="51" max="51" width="10.1796875" style="6" customWidth="1"/>
    <col min="52" max="52" width="6.26953125" style="6" customWidth="1"/>
    <col min="53" max="53" width="9" style="6" customWidth="1"/>
    <col min="54" max="54" width="10" style="6" customWidth="1"/>
    <col min="55" max="55" width="11.453125" style="6" customWidth="1"/>
    <col min="56" max="56" width="7.81640625" style="6" customWidth="1"/>
    <col min="57" max="57" width="7.26953125" style="6" customWidth="1"/>
    <col min="58" max="58" width="7.453125" style="6" customWidth="1"/>
    <col min="59" max="59" width="6.26953125" style="6" customWidth="1"/>
    <col min="60" max="60" width="0.1796875" style="6" customWidth="1"/>
    <col min="61" max="61" width="6.54296875" style="6" hidden="1" customWidth="1"/>
    <col min="62" max="62" width="5" style="6" hidden="1" customWidth="1"/>
    <col min="63" max="63" width="6.81640625" style="6" hidden="1" customWidth="1"/>
    <col min="64" max="64" width="6.453125" style="6" hidden="1" customWidth="1"/>
    <col min="65" max="65" width="5.7265625" style="6" hidden="1" customWidth="1"/>
    <col min="66" max="66" width="6.1796875" style="6" hidden="1" customWidth="1"/>
    <col min="67" max="67" width="7.1796875" style="6" hidden="1" customWidth="1"/>
    <col min="68" max="68" width="5.26953125" style="6" hidden="1" customWidth="1"/>
    <col min="69" max="69" width="5.81640625" style="6" hidden="1" customWidth="1"/>
    <col min="70" max="70" width="5.54296875" style="6" hidden="1" customWidth="1"/>
    <col min="71" max="71" width="5.81640625" style="6" hidden="1" customWidth="1"/>
    <col min="72" max="72" width="6.26953125" style="6" hidden="1" customWidth="1"/>
    <col min="73" max="73" width="6" style="6" hidden="1" customWidth="1"/>
    <col min="74" max="74" width="6.1796875" style="6" hidden="1" customWidth="1"/>
    <col min="75" max="75" width="5.1796875" style="6" hidden="1" customWidth="1"/>
    <col min="76" max="76" width="5.81640625" style="6" hidden="1" customWidth="1"/>
    <col min="77" max="121" width="8.7265625" style="6" hidden="1" customWidth="1"/>
    <col min="122" max="16384" width="8.7265625" style="2"/>
  </cols>
  <sheetData>
    <row r="2" spans="2:121" x14ac:dyDescent="0.3">
      <c r="B2" s="32" t="s">
        <v>71</v>
      </c>
      <c r="C2" s="33"/>
      <c r="D2" s="3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</row>
    <row r="3" spans="2:121" x14ac:dyDescent="0.3">
      <c r="B3" s="1"/>
    </row>
    <row r="4" spans="2:121" hidden="1" outlineLevel="1" x14ac:dyDescent="0.3">
      <c r="B4" s="2" t="s">
        <v>84</v>
      </c>
      <c r="C4" s="3">
        <v>37</v>
      </c>
    </row>
    <row r="5" spans="2:121" s="6" customFormat="1" ht="13.5" customHeight="1" collapsed="1" x14ac:dyDescent="0.3">
      <c r="B5" s="42" t="s">
        <v>6</v>
      </c>
      <c r="C5" s="43"/>
      <c r="D5" s="44"/>
    </row>
    <row r="6" spans="2:121" s="6" customFormat="1" x14ac:dyDescent="0.3">
      <c r="B6" s="24" t="s">
        <v>4</v>
      </c>
      <c r="C6" s="25"/>
      <c r="D6" s="26"/>
    </row>
    <row r="7" spans="2:121" s="6" customFormat="1" x14ac:dyDescent="0.3">
      <c r="B7" s="24" t="s">
        <v>5</v>
      </c>
      <c r="C7" s="25"/>
      <c r="D7" s="26"/>
    </row>
    <row r="8" spans="2:121" s="6" customFormat="1" x14ac:dyDescent="0.3">
      <c r="B8" s="27" t="s">
        <v>74</v>
      </c>
      <c r="C8" s="28">
        <v>2017</v>
      </c>
      <c r="D8" s="26"/>
    </row>
    <row r="9" spans="2:121" s="6" customFormat="1" x14ac:dyDescent="0.3">
      <c r="B9" s="29" t="s">
        <v>72</v>
      </c>
      <c r="C9" s="30"/>
      <c r="D9" s="31"/>
    </row>
    <row r="10" spans="2:121" ht="13" x14ac:dyDescent="0.3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</row>
    <row r="11" spans="2:121" s="13" customFormat="1" x14ac:dyDescent="0.3">
      <c r="B11" s="34" t="s">
        <v>83</v>
      </c>
      <c r="C11" s="34"/>
    </row>
    <row r="12" spans="2:121" s="13" customFormat="1" x14ac:dyDescent="0.3">
      <c r="B12" s="35"/>
      <c r="C12" s="35"/>
      <c r="D12" s="36"/>
    </row>
    <row r="13" spans="2:121" ht="14.5" customHeight="1" x14ac:dyDescent="0.35">
      <c r="B13" s="21"/>
      <c r="C13" s="22"/>
      <c r="D13" s="23"/>
      <c r="E13" s="14"/>
      <c r="F13" s="45" t="s">
        <v>10</v>
      </c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7"/>
      <c r="X13" s="48" t="s">
        <v>26</v>
      </c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50" t="s">
        <v>37</v>
      </c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14"/>
      <c r="BI13" s="38" t="s">
        <v>10</v>
      </c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40" t="s">
        <v>26</v>
      </c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38" t="s">
        <v>37</v>
      </c>
      <c r="CU13" s="38"/>
      <c r="CV13" s="38"/>
      <c r="CW13" s="38"/>
      <c r="CX13" s="38"/>
      <c r="CY13" s="38"/>
      <c r="CZ13" s="38"/>
      <c r="DA13" s="38"/>
      <c r="DB13" s="38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</row>
    <row r="14" spans="2:121" s="4" customFormat="1" ht="99" customHeight="1" x14ac:dyDescent="0.3">
      <c r="B14" s="37" t="s">
        <v>73</v>
      </c>
      <c r="C14" s="19" t="s">
        <v>1</v>
      </c>
      <c r="D14" s="20" t="s">
        <v>3</v>
      </c>
      <c r="E14" s="14"/>
      <c r="F14" s="15" t="s">
        <v>11</v>
      </c>
      <c r="G14" s="15" t="s">
        <v>75</v>
      </c>
      <c r="H14" s="15" t="s">
        <v>12</v>
      </c>
      <c r="I14" s="15" t="s">
        <v>13</v>
      </c>
      <c r="J14" s="15" t="s">
        <v>14</v>
      </c>
      <c r="K14" s="15" t="s">
        <v>15</v>
      </c>
      <c r="L14" s="15" t="s">
        <v>16</v>
      </c>
      <c r="M14" s="15" t="s">
        <v>76</v>
      </c>
      <c r="N14" s="15" t="s">
        <v>17</v>
      </c>
      <c r="O14" s="15" t="s">
        <v>18</v>
      </c>
      <c r="P14" s="15" t="s">
        <v>19</v>
      </c>
      <c r="Q14" s="15" t="s">
        <v>20</v>
      </c>
      <c r="R14" s="15" t="s">
        <v>21</v>
      </c>
      <c r="S14" s="15" t="s">
        <v>22</v>
      </c>
      <c r="T14" s="15" t="s">
        <v>23</v>
      </c>
      <c r="U14" s="15" t="s">
        <v>24</v>
      </c>
      <c r="V14" s="15" t="s">
        <v>25</v>
      </c>
      <c r="W14" s="15" t="s">
        <v>52</v>
      </c>
      <c r="X14" s="15" t="s">
        <v>27</v>
      </c>
      <c r="Y14" s="15" t="s">
        <v>30</v>
      </c>
      <c r="Z14" s="16" t="s">
        <v>53</v>
      </c>
      <c r="AA14" s="15" t="s">
        <v>29</v>
      </c>
      <c r="AB14" s="16" t="s">
        <v>28</v>
      </c>
      <c r="AC14" s="15" t="s">
        <v>54</v>
      </c>
      <c r="AD14" s="15" t="s">
        <v>55</v>
      </c>
      <c r="AE14" s="15" t="s">
        <v>56</v>
      </c>
      <c r="AF14" s="15" t="s">
        <v>0</v>
      </c>
      <c r="AG14" s="15" t="s">
        <v>31</v>
      </c>
      <c r="AH14" s="15" t="s">
        <v>57</v>
      </c>
      <c r="AI14" s="15" t="s">
        <v>32</v>
      </c>
      <c r="AJ14" s="15" t="s">
        <v>33</v>
      </c>
      <c r="AK14" s="15" t="s">
        <v>34</v>
      </c>
      <c r="AL14" s="15" t="s">
        <v>35</v>
      </c>
      <c r="AM14" s="16" t="s">
        <v>58</v>
      </c>
      <c r="AN14" s="16" t="s">
        <v>59</v>
      </c>
      <c r="AO14" s="15" t="s">
        <v>52</v>
      </c>
      <c r="AP14" s="15" t="s">
        <v>77</v>
      </c>
      <c r="AQ14" s="15" t="s">
        <v>60</v>
      </c>
      <c r="AR14" s="15" t="s">
        <v>61</v>
      </c>
      <c r="AS14" s="15" t="s">
        <v>62</v>
      </c>
      <c r="AT14" s="15" t="s">
        <v>63</v>
      </c>
      <c r="AU14" s="15" t="s">
        <v>64</v>
      </c>
      <c r="AV14" s="15" t="s">
        <v>65</v>
      </c>
      <c r="AW14" s="16" t="s">
        <v>78</v>
      </c>
      <c r="AX14" s="15" t="s">
        <v>79</v>
      </c>
      <c r="AY14" s="15" t="s">
        <v>39</v>
      </c>
      <c r="AZ14" s="15" t="s">
        <v>40</v>
      </c>
      <c r="BA14" s="15" t="s">
        <v>36</v>
      </c>
      <c r="BB14" s="15" t="s">
        <v>41</v>
      </c>
      <c r="BC14" s="15" t="s">
        <v>42</v>
      </c>
      <c r="BD14" s="15" t="s">
        <v>43</v>
      </c>
      <c r="BE14" s="15" t="s">
        <v>44</v>
      </c>
      <c r="BF14" s="15" t="s">
        <v>45</v>
      </c>
      <c r="BG14" s="15" t="s">
        <v>46</v>
      </c>
      <c r="BH14" s="14"/>
      <c r="BI14" s="15" t="s">
        <v>11</v>
      </c>
      <c r="BJ14" s="15" t="s">
        <v>80</v>
      </c>
      <c r="BK14" s="15" t="s">
        <v>12</v>
      </c>
      <c r="BL14" s="15" t="s">
        <v>13</v>
      </c>
      <c r="BM14" s="15" t="s">
        <v>14</v>
      </c>
      <c r="BN14" s="15" t="s">
        <v>15</v>
      </c>
      <c r="BO14" s="15" t="s">
        <v>16</v>
      </c>
      <c r="BP14" s="15" t="s">
        <v>81</v>
      </c>
      <c r="BQ14" s="15" t="s">
        <v>17</v>
      </c>
      <c r="BR14" s="15" t="s">
        <v>18</v>
      </c>
      <c r="BS14" s="15" t="s">
        <v>19</v>
      </c>
      <c r="BT14" s="15" t="s">
        <v>20</v>
      </c>
      <c r="BU14" s="15" t="s">
        <v>21</v>
      </c>
      <c r="BV14" s="15" t="s">
        <v>22</v>
      </c>
      <c r="BW14" s="15" t="s">
        <v>23</v>
      </c>
      <c r="BX14" s="15" t="s">
        <v>24</v>
      </c>
      <c r="BY14" s="15" t="s">
        <v>82</v>
      </c>
      <c r="BZ14" s="15" t="s">
        <v>52</v>
      </c>
      <c r="CA14" s="15" t="s">
        <v>27</v>
      </c>
      <c r="CB14" s="15" t="s">
        <v>30</v>
      </c>
      <c r="CC14" s="15" t="s">
        <v>53</v>
      </c>
      <c r="CD14" s="15" t="s">
        <v>29</v>
      </c>
      <c r="CE14" s="15" t="s">
        <v>28</v>
      </c>
      <c r="CF14" s="15" t="s">
        <v>54</v>
      </c>
      <c r="CG14" s="15" t="s">
        <v>55</v>
      </c>
      <c r="CH14" s="15" t="s">
        <v>66</v>
      </c>
      <c r="CI14" s="15" t="s">
        <v>56</v>
      </c>
      <c r="CJ14" s="15" t="s">
        <v>0</v>
      </c>
      <c r="CK14" s="15" t="s">
        <v>31</v>
      </c>
      <c r="CL14" s="15" t="s">
        <v>57</v>
      </c>
      <c r="CM14" s="15" t="s">
        <v>32</v>
      </c>
      <c r="CN14" s="15" t="s">
        <v>33</v>
      </c>
      <c r="CO14" s="15" t="s">
        <v>34</v>
      </c>
      <c r="CP14" s="15" t="s">
        <v>35</v>
      </c>
      <c r="CQ14" s="15" t="s">
        <v>58</v>
      </c>
      <c r="CR14" s="15" t="s">
        <v>59</v>
      </c>
      <c r="CS14" s="16" t="s">
        <v>52</v>
      </c>
      <c r="CT14" s="15" t="s">
        <v>38</v>
      </c>
      <c r="CU14" s="15" t="s">
        <v>60</v>
      </c>
      <c r="CV14" s="15" t="s">
        <v>61</v>
      </c>
      <c r="CW14" s="15" t="s">
        <v>62</v>
      </c>
      <c r="CX14" s="15" t="s">
        <v>63</v>
      </c>
      <c r="CY14" s="15" t="s">
        <v>64</v>
      </c>
      <c r="CZ14" s="15" t="s">
        <v>65</v>
      </c>
      <c r="DA14" s="17" t="s">
        <v>67</v>
      </c>
      <c r="DB14" s="15" t="s">
        <v>68</v>
      </c>
      <c r="DC14" s="15" t="s">
        <v>39</v>
      </c>
      <c r="DD14" s="15" t="s">
        <v>40</v>
      </c>
      <c r="DE14" s="15" t="s">
        <v>69</v>
      </c>
      <c r="DF14" s="15" t="s">
        <v>36</v>
      </c>
      <c r="DG14" s="15" t="s">
        <v>70</v>
      </c>
      <c r="DH14" s="15" t="s">
        <v>41</v>
      </c>
      <c r="DI14" s="15" t="s">
        <v>42</v>
      </c>
      <c r="DJ14" s="15" t="s">
        <v>43</v>
      </c>
      <c r="DK14" s="15" t="s">
        <v>44</v>
      </c>
      <c r="DL14" s="15" t="s">
        <v>45</v>
      </c>
      <c r="DM14" s="15" t="s">
        <v>46</v>
      </c>
      <c r="DN14" s="15" t="s">
        <v>47</v>
      </c>
      <c r="DO14" s="15" t="s">
        <v>48</v>
      </c>
      <c r="DP14" s="15" t="s">
        <v>49</v>
      </c>
      <c r="DQ14" s="15" t="s">
        <v>50</v>
      </c>
    </row>
    <row r="15" spans="2:121" s="5" customFormat="1" x14ac:dyDescent="0.3">
      <c r="B15" s="11">
        <v>1</v>
      </c>
      <c r="C15" s="12" t="s">
        <v>87</v>
      </c>
      <c r="D15" s="9">
        <v>5322031.49</v>
      </c>
      <c r="E15" s="1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4912031.49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>
        <v>410000</v>
      </c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4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</row>
    <row r="16" spans="2:121" x14ac:dyDescent="0.3">
      <c r="B16" s="11">
        <v>2</v>
      </c>
      <c r="C16" s="12" t="s">
        <v>2</v>
      </c>
      <c r="D16" s="9">
        <v>1410293.86</v>
      </c>
      <c r="E16" s="1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>
        <v>1333580.1499999999</v>
      </c>
      <c r="AB16" s="18"/>
      <c r="AC16" s="18">
        <v>14550.51</v>
      </c>
      <c r="AD16" s="18">
        <v>883.76</v>
      </c>
      <c r="AE16" s="18"/>
      <c r="AF16" s="18">
        <v>16345.04</v>
      </c>
      <c r="AG16" s="18"/>
      <c r="AH16" s="18"/>
      <c r="AI16" s="18"/>
      <c r="AJ16" s="18"/>
      <c r="AK16" s="18"/>
      <c r="AL16" s="18"/>
      <c r="AM16" s="18"/>
      <c r="AN16" s="18"/>
      <c r="AO16" s="18"/>
      <c r="AP16" s="18">
        <v>16345.04</v>
      </c>
      <c r="AQ16" s="18">
        <v>9627.5499999999993</v>
      </c>
      <c r="AR16" s="18"/>
      <c r="AS16" s="18"/>
      <c r="AT16" s="18"/>
      <c r="AU16" s="18"/>
      <c r="AV16" s="18"/>
      <c r="AW16" s="18"/>
      <c r="AX16" s="18"/>
      <c r="AY16" s="18">
        <v>16345.04</v>
      </c>
      <c r="AZ16" s="18"/>
      <c r="BA16" s="18"/>
      <c r="BB16" s="18">
        <v>2616.77</v>
      </c>
      <c r="BC16" s="18"/>
      <c r="BD16" s="18"/>
      <c r="BE16" s="18"/>
      <c r="BF16" s="18"/>
      <c r="BG16" s="18"/>
      <c r="BH16" s="14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</row>
    <row r="17" spans="2:121" x14ac:dyDescent="0.3">
      <c r="B17" s="11">
        <v>3</v>
      </c>
      <c r="C17" s="12" t="s">
        <v>88</v>
      </c>
      <c r="D17" s="9">
        <v>226242</v>
      </c>
      <c r="E17" s="1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9">
        <v>226242</v>
      </c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4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</row>
    <row r="18" spans="2:121" x14ac:dyDescent="0.3">
      <c r="B18" s="11">
        <v>4</v>
      </c>
      <c r="C18" s="12" t="s">
        <v>8</v>
      </c>
      <c r="D18" s="9">
        <v>7610.9</v>
      </c>
      <c r="E18" s="1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>
        <v>7610.9</v>
      </c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4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</row>
    <row r="19" spans="2:121" x14ac:dyDescent="0.3">
      <c r="B19" s="11">
        <v>5</v>
      </c>
      <c r="C19" s="12" t="s">
        <v>9</v>
      </c>
      <c r="D19" s="9">
        <v>1999915.9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>
        <v>1999915.9</v>
      </c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</row>
    <row r="20" spans="2:121" x14ac:dyDescent="0.3">
      <c r="B20" s="11">
        <v>6</v>
      </c>
      <c r="C20" s="12" t="s">
        <v>7</v>
      </c>
      <c r="D20" s="9">
        <v>337500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>
        <v>84375</v>
      </c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>
        <v>253125</v>
      </c>
      <c r="BD20" s="18"/>
      <c r="BE20" s="18"/>
      <c r="BF20" s="18"/>
      <c r="BG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</row>
    <row r="21" spans="2:121" x14ac:dyDescent="0.3">
      <c r="B21" s="11">
        <v>7</v>
      </c>
      <c r="C21" s="12" t="s">
        <v>86</v>
      </c>
      <c r="D21" s="9">
        <v>110687</v>
      </c>
      <c r="F21" s="18"/>
      <c r="G21" s="18"/>
      <c r="H21" s="18"/>
      <c r="I21" s="18">
        <v>1200</v>
      </c>
      <c r="J21" s="18"/>
      <c r="K21" s="18"/>
      <c r="L21" s="18"/>
      <c r="M21" s="18"/>
      <c r="N21" s="18"/>
      <c r="O21" s="18">
        <v>2300</v>
      </c>
      <c r="P21" s="18">
        <v>16000</v>
      </c>
      <c r="Q21" s="18"/>
      <c r="R21" s="18"/>
      <c r="S21" s="18">
        <v>18588.5</v>
      </c>
      <c r="T21" s="18"/>
      <c r="U21" s="18"/>
      <c r="V21" s="18">
        <v>2500</v>
      </c>
      <c r="W21" s="18">
        <v>46998.5</v>
      </c>
      <c r="X21" s="18"/>
      <c r="Y21" s="18"/>
      <c r="Z21" s="18"/>
      <c r="AA21" s="18">
        <v>500</v>
      </c>
      <c r="AB21" s="18"/>
      <c r="AC21" s="18">
        <v>5500</v>
      </c>
      <c r="AD21" s="18">
        <v>8000</v>
      </c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>
        <v>5100</v>
      </c>
      <c r="AP21" s="18"/>
      <c r="AQ21" s="18"/>
      <c r="AR21" s="18"/>
      <c r="AS21" s="18"/>
      <c r="AT21" s="18">
        <v>2000</v>
      </c>
      <c r="AU21" s="18"/>
      <c r="AV21" s="18"/>
      <c r="AW21" s="18"/>
      <c r="AX21" s="18"/>
      <c r="AY21" s="18">
        <v>2000</v>
      </c>
      <c r="AZ21" s="18"/>
      <c r="BA21" s="18"/>
      <c r="BB21" s="18"/>
      <c r="BC21" s="18"/>
      <c r="BD21" s="18"/>
      <c r="BE21" s="18"/>
      <c r="BF21" s="18"/>
      <c r="BG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</row>
    <row r="22" spans="2:121" x14ac:dyDescent="0.3">
      <c r="B22" s="11">
        <v>8</v>
      </c>
      <c r="C22" s="12" t="s">
        <v>85</v>
      </c>
      <c r="D22" s="9">
        <v>167331.29999999999</v>
      </c>
      <c r="F22" s="18"/>
      <c r="G22" s="18"/>
      <c r="H22" s="18"/>
      <c r="I22" s="18"/>
      <c r="J22" s="18"/>
      <c r="K22" s="18"/>
      <c r="L22" s="18"/>
      <c r="M22" s="18">
        <v>141543.85999999999</v>
      </c>
      <c r="N22" s="18"/>
      <c r="O22" s="18">
        <v>513.48</v>
      </c>
      <c r="P22" s="18"/>
      <c r="Q22" s="18"/>
      <c r="R22" s="18"/>
      <c r="S22" s="18">
        <v>780.6</v>
      </c>
      <c r="T22" s="18"/>
      <c r="U22" s="18">
        <v>449.66</v>
      </c>
      <c r="V22" s="18"/>
      <c r="W22" s="18"/>
      <c r="X22" s="18">
        <v>9114.98</v>
      </c>
      <c r="Y22" s="18"/>
      <c r="Z22" s="18"/>
      <c r="AA22" s="18">
        <v>546</v>
      </c>
      <c r="AB22" s="18"/>
      <c r="AC22" s="18">
        <v>7570.28</v>
      </c>
      <c r="AD22" s="18"/>
      <c r="AE22" s="18"/>
      <c r="AF22" s="18">
        <v>2615.65</v>
      </c>
      <c r="AG22" s="18"/>
      <c r="AH22" s="18"/>
      <c r="AI22" s="18"/>
      <c r="AJ22" s="18"/>
      <c r="AK22" s="18"/>
      <c r="AL22" s="18"/>
      <c r="AM22" s="18"/>
      <c r="AN22" s="18"/>
      <c r="AO22" s="18"/>
      <c r="AP22" s="18">
        <v>1307.83</v>
      </c>
      <c r="AQ22" s="18">
        <v>1140.5999999999999</v>
      </c>
      <c r="AR22" s="18"/>
      <c r="AS22" s="18"/>
      <c r="AT22" s="18"/>
      <c r="AU22" s="18"/>
      <c r="AV22" s="18"/>
      <c r="AW22" s="18"/>
      <c r="AX22" s="18"/>
      <c r="AY22" s="18">
        <v>1307.83</v>
      </c>
      <c r="AZ22" s="18"/>
      <c r="BA22" s="18"/>
      <c r="BB22" s="18">
        <v>440.53</v>
      </c>
      <c r="BC22" s="18"/>
      <c r="BD22" s="18"/>
      <c r="BE22" s="18"/>
      <c r="BF22" s="18"/>
      <c r="BG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</row>
    <row r="23" spans="2:121" x14ac:dyDescent="0.3">
      <c r="B23" s="11">
        <v>9</v>
      </c>
      <c r="C23" s="12" t="s">
        <v>89</v>
      </c>
      <c r="D23" s="9">
        <v>244862.49</v>
      </c>
      <c r="F23" s="18"/>
      <c r="G23" s="18"/>
      <c r="H23" s="18">
        <v>7319.46</v>
      </c>
      <c r="I23" s="18">
        <v>3659.73</v>
      </c>
      <c r="J23" s="18"/>
      <c r="K23" s="18"/>
      <c r="L23" s="18"/>
      <c r="M23" s="18"/>
      <c r="N23" s="18"/>
      <c r="O23" s="18">
        <v>1456.26</v>
      </c>
      <c r="P23" s="18"/>
      <c r="Q23" s="18"/>
      <c r="R23" s="18">
        <v>154631.94</v>
      </c>
      <c r="S23" s="18">
        <v>5582.5</v>
      </c>
      <c r="T23" s="18"/>
      <c r="U23" s="18">
        <v>3355.09</v>
      </c>
      <c r="V23" s="18"/>
      <c r="W23" s="18">
        <v>52911.08</v>
      </c>
      <c r="X23" s="18"/>
      <c r="Y23" s="18">
        <v>2142.27</v>
      </c>
      <c r="Z23" s="18"/>
      <c r="AA23" s="18"/>
      <c r="AB23" s="18"/>
      <c r="AC23" s="18">
        <v>2912.52</v>
      </c>
      <c r="AD23" s="18">
        <v>2946.52</v>
      </c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>
        <v>2134.7199999999998</v>
      </c>
      <c r="AR23" s="18"/>
      <c r="AS23" s="18"/>
      <c r="AT23" s="18">
        <v>2134.7199999999998</v>
      </c>
      <c r="AU23" s="18"/>
      <c r="AV23" s="18"/>
      <c r="AW23" s="18"/>
      <c r="AX23" s="18"/>
      <c r="AY23" s="18">
        <v>1584.01</v>
      </c>
      <c r="AZ23" s="18"/>
      <c r="BA23" s="18"/>
      <c r="BB23" s="18">
        <v>2091.67</v>
      </c>
      <c r="BC23" s="18"/>
      <c r="BD23" s="18"/>
      <c r="BE23" s="18"/>
      <c r="BF23" s="18"/>
      <c r="BG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</row>
    <row r="24" spans="2:121" x14ac:dyDescent="0.3">
      <c r="B24" s="11">
        <v>10</v>
      </c>
      <c r="C24" s="12" t="s">
        <v>90</v>
      </c>
      <c r="D24" s="9">
        <v>660000</v>
      </c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>
        <v>660000</v>
      </c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</row>
    <row r="25" spans="2:121" x14ac:dyDescent="0.3">
      <c r="B25" s="11">
        <v>11</v>
      </c>
      <c r="C25" s="12"/>
      <c r="D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</row>
    <row r="26" spans="2:121" x14ac:dyDescent="0.3">
      <c r="B26" s="11">
        <v>12</v>
      </c>
      <c r="C26" s="12"/>
      <c r="D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</row>
    <row r="27" spans="2:121" x14ac:dyDescent="0.3">
      <c r="B27" s="11">
        <v>13</v>
      </c>
      <c r="C27" s="12"/>
      <c r="D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</row>
    <row r="28" spans="2:121" x14ac:dyDescent="0.3">
      <c r="B28" s="11">
        <v>14</v>
      </c>
      <c r="C28" s="12"/>
      <c r="D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</row>
    <row r="29" spans="2:121" x14ac:dyDescent="0.3">
      <c r="B29" s="11">
        <v>15</v>
      </c>
      <c r="C29" s="12"/>
      <c r="D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</row>
    <row r="30" spans="2:121" x14ac:dyDescent="0.3">
      <c r="B30" s="11">
        <v>16</v>
      </c>
      <c r="C30" s="12"/>
      <c r="D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</row>
    <row r="31" spans="2:121" x14ac:dyDescent="0.3">
      <c r="B31" s="11">
        <v>17</v>
      </c>
      <c r="C31" s="12"/>
      <c r="D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</row>
    <row r="32" spans="2:121" x14ac:dyDescent="0.3">
      <c r="B32" s="11">
        <v>18</v>
      </c>
      <c r="C32" s="12"/>
      <c r="D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</row>
    <row r="33" spans="2:121" x14ac:dyDescent="0.3">
      <c r="B33" s="11">
        <v>19</v>
      </c>
      <c r="C33" s="12"/>
      <c r="D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</row>
    <row r="34" spans="2:121" x14ac:dyDescent="0.3">
      <c r="B34" s="11">
        <v>20</v>
      </c>
      <c r="C34" s="12"/>
      <c r="D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</row>
    <row r="35" spans="2:121" x14ac:dyDescent="0.3">
      <c r="B35" s="11">
        <v>21</v>
      </c>
      <c r="C35" s="12"/>
      <c r="D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</row>
    <row r="36" spans="2:121" x14ac:dyDescent="0.3">
      <c r="B36" s="11">
        <v>22</v>
      </c>
      <c r="C36" s="12"/>
      <c r="D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</row>
    <row r="37" spans="2:121" x14ac:dyDescent="0.3">
      <c r="B37" s="11">
        <v>23</v>
      </c>
      <c r="C37" s="12"/>
      <c r="D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</row>
    <row r="38" spans="2:121" x14ac:dyDescent="0.3">
      <c r="B38" s="11">
        <v>24</v>
      </c>
      <c r="C38" s="12"/>
      <c r="D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</row>
    <row r="39" spans="2:121" x14ac:dyDescent="0.3">
      <c r="B39" s="11">
        <v>25</v>
      </c>
      <c r="C39" s="12"/>
      <c r="D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</row>
    <row r="40" spans="2:121" x14ac:dyDescent="0.3">
      <c r="B40" s="11">
        <v>26</v>
      </c>
      <c r="C40" s="12"/>
      <c r="D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</row>
    <row r="41" spans="2:121" x14ac:dyDescent="0.3">
      <c r="B41" s="11">
        <v>27</v>
      </c>
      <c r="C41" s="12"/>
      <c r="D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</row>
    <row r="42" spans="2:121" x14ac:dyDescent="0.3">
      <c r="B42" s="11">
        <v>28</v>
      </c>
      <c r="C42" s="12"/>
      <c r="D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</row>
    <row r="43" spans="2:121" x14ac:dyDescent="0.3">
      <c r="B43" s="11">
        <v>29</v>
      </c>
      <c r="C43" s="12"/>
      <c r="D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</row>
    <row r="44" spans="2:121" x14ac:dyDescent="0.3">
      <c r="B44" s="11">
        <v>30</v>
      </c>
      <c r="C44" s="12"/>
      <c r="D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</row>
    <row r="45" spans="2:121" x14ac:dyDescent="0.3">
      <c r="B45" s="11">
        <v>31</v>
      </c>
      <c r="C45" s="12"/>
      <c r="D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</row>
    <row r="46" spans="2:121" x14ac:dyDescent="0.3">
      <c r="B46" s="11">
        <v>32</v>
      </c>
      <c r="C46" s="12"/>
      <c r="D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</row>
    <row r="47" spans="2:121" x14ac:dyDescent="0.3">
      <c r="B47" s="11">
        <v>33</v>
      </c>
      <c r="C47" s="12"/>
      <c r="D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</row>
    <row r="48" spans="2:121" x14ac:dyDescent="0.3">
      <c r="B48" s="11">
        <v>34</v>
      </c>
      <c r="C48" s="12"/>
      <c r="D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</row>
    <row r="49" spans="2:121" x14ac:dyDescent="0.3">
      <c r="B49" s="11">
        <v>35</v>
      </c>
      <c r="C49" s="12"/>
      <c r="D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</row>
    <row r="50" spans="2:121" x14ac:dyDescent="0.3">
      <c r="B50" s="11">
        <v>36</v>
      </c>
      <c r="C50" s="12"/>
      <c r="D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</row>
    <row r="51" spans="2:121" x14ac:dyDescent="0.3">
      <c r="B51" s="11">
        <v>37</v>
      </c>
      <c r="C51" s="12"/>
      <c r="D51" s="9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</row>
    <row r="53" spans="2:121" x14ac:dyDescent="0.3">
      <c r="B53" s="7"/>
      <c r="C53" s="7" t="s">
        <v>51</v>
      </c>
      <c r="D53" s="10">
        <f>SUM(D15:D52)</f>
        <v>10486474.940000001</v>
      </c>
      <c r="F53" s="10">
        <f t="shared" ref="F53:AK53" si="0">SUM(F15:F52)</f>
        <v>0</v>
      </c>
      <c r="G53" s="10">
        <f t="shared" si="0"/>
        <v>0</v>
      </c>
      <c r="H53" s="10">
        <f t="shared" si="0"/>
        <v>7319.46</v>
      </c>
      <c r="I53" s="10">
        <f t="shared" si="0"/>
        <v>4859.7299999999996</v>
      </c>
      <c r="J53" s="10">
        <f t="shared" si="0"/>
        <v>0</v>
      </c>
      <c r="K53" s="10">
        <f t="shared" si="0"/>
        <v>0</v>
      </c>
      <c r="L53" s="10">
        <f t="shared" si="0"/>
        <v>0</v>
      </c>
      <c r="M53" s="10">
        <f t="shared" si="0"/>
        <v>141543.85999999999</v>
      </c>
      <c r="N53" s="10">
        <f t="shared" si="0"/>
        <v>0</v>
      </c>
      <c r="O53" s="10">
        <f t="shared" si="0"/>
        <v>4269.74</v>
      </c>
      <c r="P53" s="10">
        <f t="shared" si="0"/>
        <v>16000</v>
      </c>
      <c r="Q53" s="10">
        <f t="shared" si="0"/>
        <v>0</v>
      </c>
      <c r="R53" s="10">
        <f t="shared" si="0"/>
        <v>154631.94</v>
      </c>
      <c r="S53" s="10">
        <f t="shared" si="0"/>
        <v>24951.599999999999</v>
      </c>
      <c r="T53" s="10">
        <f t="shared" si="0"/>
        <v>0</v>
      </c>
      <c r="U53" s="10">
        <f t="shared" si="0"/>
        <v>3804.75</v>
      </c>
      <c r="V53" s="10">
        <f t="shared" si="0"/>
        <v>2500</v>
      </c>
      <c r="W53" s="10">
        <f t="shared" si="0"/>
        <v>107520.48000000001</v>
      </c>
      <c r="X53" s="10">
        <f t="shared" si="0"/>
        <v>9114.98</v>
      </c>
      <c r="Y53" s="10">
        <f t="shared" si="0"/>
        <v>2142.27</v>
      </c>
      <c r="Z53" s="10">
        <f t="shared" si="0"/>
        <v>0</v>
      </c>
      <c r="AA53" s="10">
        <f t="shared" si="0"/>
        <v>6246657.6400000006</v>
      </c>
      <c r="AB53" s="10">
        <f t="shared" si="0"/>
        <v>0</v>
      </c>
      <c r="AC53" s="10">
        <f t="shared" si="0"/>
        <v>2690449.21</v>
      </c>
      <c r="AD53" s="10">
        <f t="shared" si="0"/>
        <v>238072.28</v>
      </c>
      <c r="AE53" s="10">
        <f t="shared" si="0"/>
        <v>0</v>
      </c>
      <c r="AF53" s="10">
        <f t="shared" si="0"/>
        <v>18960.690000000002</v>
      </c>
      <c r="AG53" s="10">
        <f t="shared" si="0"/>
        <v>0</v>
      </c>
      <c r="AH53" s="10">
        <f t="shared" si="0"/>
        <v>0</v>
      </c>
      <c r="AI53" s="10">
        <f t="shared" si="0"/>
        <v>0</v>
      </c>
      <c r="AJ53" s="10">
        <f t="shared" si="0"/>
        <v>0</v>
      </c>
      <c r="AK53" s="10">
        <f t="shared" si="0"/>
        <v>0</v>
      </c>
      <c r="AL53" s="10">
        <f t="shared" ref="AL53:BG53" si="1">SUM(AL15:AL52)</f>
        <v>0</v>
      </c>
      <c r="AM53" s="10">
        <f t="shared" si="1"/>
        <v>0</v>
      </c>
      <c r="AN53" s="10">
        <f t="shared" si="1"/>
        <v>0</v>
      </c>
      <c r="AO53" s="10">
        <f t="shared" si="1"/>
        <v>5100</v>
      </c>
      <c r="AP53" s="10">
        <f t="shared" si="1"/>
        <v>102027.87000000001</v>
      </c>
      <c r="AQ53" s="10">
        <f t="shared" si="1"/>
        <v>422902.86999999994</v>
      </c>
      <c r="AR53" s="10">
        <f t="shared" si="1"/>
        <v>0</v>
      </c>
      <c r="AS53" s="10">
        <f t="shared" si="1"/>
        <v>0</v>
      </c>
      <c r="AT53" s="10">
        <f t="shared" si="1"/>
        <v>4134.7199999999993</v>
      </c>
      <c r="AU53" s="10">
        <f t="shared" si="1"/>
        <v>0</v>
      </c>
      <c r="AV53" s="10">
        <f t="shared" si="1"/>
        <v>0</v>
      </c>
      <c r="AW53" s="10">
        <f t="shared" si="1"/>
        <v>0</v>
      </c>
      <c r="AX53" s="10">
        <f t="shared" si="1"/>
        <v>0</v>
      </c>
      <c r="AY53" s="10">
        <f t="shared" si="1"/>
        <v>21236.880000000001</v>
      </c>
      <c r="AZ53" s="10">
        <f t="shared" si="1"/>
        <v>0</v>
      </c>
      <c r="BA53" s="10">
        <f t="shared" si="1"/>
        <v>0</v>
      </c>
      <c r="BB53" s="10">
        <f t="shared" si="1"/>
        <v>5148.97</v>
      </c>
      <c r="BC53" s="10">
        <f t="shared" si="1"/>
        <v>253125</v>
      </c>
      <c r="BD53" s="10">
        <f t="shared" si="1"/>
        <v>0</v>
      </c>
      <c r="BE53" s="10">
        <f t="shared" si="1"/>
        <v>0</v>
      </c>
      <c r="BF53" s="10">
        <f t="shared" si="1"/>
        <v>0</v>
      </c>
      <c r="BG53" s="10">
        <f t="shared" si="1"/>
        <v>0</v>
      </c>
      <c r="BI53" s="10">
        <f t="shared" ref="BI53:CN53" si="2">SUM(BI15:BI52)</f>
        <v>0</v>
      </c>
      <c r="BJ53" s="10">
        <f t="shared" si="2"/>
        <v>0</v>
      </c>
      <c r="BK53" s="10">
        <f t="shared" si="2"/>
        <v>0</v>
      </c>
      <c r="BL53" s="10">
        <f t="shared" si="2"/>
        <v>0</v>
      </c>
      <c r="BM53" s="10">
        <f t="shared" si="2"/>
        <v>0</v>
      </c>
      <c r="BN53" s="10">
        <f t="shared" si="2"/>
        <v>0</v>
      </c>
      <c r="BO53" s="10">
        <f t="shared" si="2"/>
        <v>0</v>
      </c>
      <c r="BP53" s="10">
        <f t="shared" si="2"/>
        <v>0</v>
      </c>
      <c r="BQ53" s="10">
        <f t="shared" si="2"/>
        <v>0</v>
      </c>
      <c r="BR53" s="10">
        <f t="shared" si="2"/>
        <v>0</v>
      </c>
      <c r="BS53" s="10">
        <f t="shared" si="2"/>
        <v>0</v>
      </c>
      <c r="BT53" s="10">
        <f t="shared" si="2"/>
        <v>0</v>
      </c>
      <c r="BU53" s="10">
        <f t="shared" si="2"/>
        <v>0</v>
      </c>
      <c r="BV53" s="10">
        <f t="shared" si="2"/>
        <v>0</v>
      </c>
      <c r="BW53" s="10">
        <f t="shared" si="2"/>
        <v>0</v>
      </c>
      <c r="BX53" s="10">
        <f t="shared" si="2"/>
        <v>0</v>
      </c>
      <c r="BY53" s="10">
        <f t="shared" si="2"/>
        <v>0</v>
      </c>
      <c r="BZ53" s="10">
        <f t="shared" si="2"/>
        <v>0</v>
      </c>
      <c r="CA53" s="10">
        <f t="shared" si="2"/>
        <v>0</v>
      </c>
      <c r="CB53" s="10">
        <f t="shared" si="2"/>
        <v>0</v>
      </c>
      <c r="CC53" s="10">
        <f t="shared" si="2"/>
        <v>0</v>
      </c>
      <c r="CD53" s="10">
        <f t="shared" si="2"/>
        <v>0</v>
      </c>
      <c r="CE53" s="10">
        <f t="shared" si="2"/>
        <v>0</v>
      </c>
      <c r="CF53" s="10">
        <f t="shared" si="2"/>
        <v>0</v>
      </c>
      <c r="CG53" s="10">
        <f t="shared" si="2"/>
        <v>0</v>
      </c>
      <c r="CH53" s="10">
        <f t="shared" si="2"/>
        <v>0</v>
      </c>
      <c r="CI53" s="10">
        <f t="shared" si="2"/>
        <v>0</v>
      </c>
      <c r="CJ53" s="10">
        <f t="shared" si="2"/>
        <v>0</v>
      </c>
      <c r="CK53" s="10">
        <f t="shared" si="2"/>
        <v>0</v>
      </c>
      <c r="CL53" s="10">
        <f t="shared" si="2"/>
        <v>0</v>
      </c>
      <c r="CM53" s="10">
        <f t="shared" si="2"/>
        <v>0</v>
      </c>
      <c r="CN53" s="10">
        <f t="shared" si="2"/>
        <v>0</v>
      </c>
      <c r="CO53" s="10">
        <f t="shared" ref="CO53:DQ53" si="3">SUM(CO15:CO52)</f>
        <v>0</v>
      </c>
      <c r="CP53" s="10">
        <f t="shared" si="3"/>
        <v>0</v>
      </c>
      <c r="CQ53" s="10">
        <f t="shared" si="3"/>
        <v>0</v>
      </c>
      <c r="CR53" s="10">
        <f t="shared" si="3"/>
        <v>0</v>
      </c>
      <c r="CS53" s="10">
        <f t="shared" si="3"/>
        <v>0</v>
      </c>
      <c r="CT53" s="10">
        <f t="shared" si="3"/>
        <v>0</v>
      </c>
      <c r="CU53" s="10">
        <f t="shared" si="3"/>
        <v>0</v>
      </c>
      <c r="CV53" s="10">
        <f t="shared" si="3"/>
        <v>0</v>
      </c>
      <c r="CW53" s="10">
        <f t="shared" si="3"/>
        <v>0</v>
      </c>
      <c r="CX53" s="10">
        <f t="shared" si="3"/>
        <v>0</v>
      </c>
      <c r="CY53" s="10">
        <f t="shared" si="3"/>
        <v>0</v>
      </c>
      <c r="CZ53" s="10">
        <f t="shared" si="3"/>
        <v>0</v>
      </c>
      <c r="DA53" s="10">
        <f t="shared" si="3"/>
        <v>0</v>
      </c>
      <c r="DB53" s="10">
        <f t="shared" si="3"/>
        <v>0</v>
      </c>
      <c r="DC53" s="10">
        <f t="shared" si="3"/>
        <v>0</v>
      </c>
      <c r="DD53" s="10">
        <f t="shared" si="3"/>
        <v>0</v>
      </c>
      <c r="DE53" s="10">
        <f t="shared" si="3"/>
        <v>0</v>
      </c>
      <c r="DF53" s="10">
        <f t="shared" si="3"/>
        <v>0</v>
      </c>
      <c r="DG53" s="10">
        <f t="shared" si="3"/>
        <v>0</v>
      </c>
      <c r="DH53" s="10">
        <f t="shared" si="3"/>
        <v>0</v>
      </c>
      <c r="DI53" s="10">
        <f t="shared" si="3"/>
        <v>0</v>
      </c>
      <c r="DJ53" s="10">
        <f t="shared" si="3"/>
        <v>0</v>
      </c>
      <c r="DK53" s="10">
        <f t="shared" si="3"/>
        <v>0</v>
      </c>
      <c r="DL53" s="10">
        <f t="shared" si="3"/>
        <v>0</v>
      </c>
      <c r="DM53" s="10">
        <f t="shared" si="3"/>
        <v>0</v>
      </c>
      <c r="DN53" s="10">
        <f t="shared" si="3"/>
        <v>0</v>
      </c>
      <c r="DO53" s="10">
        <f t="shared" si="3"/>
        <v>0</v>
      </c>
      <c r="DP53" s="10">
        <f t="shared" si="3"/>
        <v>0</v>
      </c>
      <c r="DQ53" s="10">
        <f t="shared" si="3"/>
        <v>0</v>
      </c>
    </row>
    <row r="54" spans="2:121" s="8" customFormat="1" x14ac:dyDescent="0.3">
      <c r="B54" s="2"/>
      <c r="C54" s="2"/>
      <c r="D54" s="2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</row>
  </sheetData>
  <sheetProtection algorithmName="SHA-512" hashValue="qBSv1z7cSpQCsny2aWap7nFjWjGHdDxVeUK5ExiyMCIX8USiQoqwPJO+92LZzC3Zjawj3pECXiWvYI24ZbQAIg==" saltValue="hpmF5sfnzrIedIbUnWpqhQ==" spinCount="100000" sheet="1" objects="1" scenarios="1" formatColumns="0" formatRows="0" sort="0" autoFilter="0"/>
  <mergeCells count="7">
    <mergeCell ref="BI13:BZ13"/>
    <mergeCell ref="CA13:CS13"/>
    <mergeCell ref="CT13:DQ13"/>
    <mergeCell ref="B5:D5"/>
    <mergeCell ref="F13:W13"/>
    <mergeCell ref="X13:AO13"/>
    <mergeCell ref="AP13:BG13"/>
  </mergeCells>
  <dataValidations count="1">
    <dataValidation type="decimal" operator="greaterThanOrEqual" allowBlank="1" showInputMessage="1" showErrorMessage="1" sqref="BI15:DQ51 F15:BG51" xr:uid="{00000000-0002-0000-0000-000000000000}">
      <formula1>0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Supplies" altText="Add Diagnosis">
                <anchor moveWithCells="1">
                  <from>
                    <xdr:col>1</xdr:col>
                    <xdr:colOff>38100</xdr:colOff>
                    <xdr:row>14</xdr:row>
                    <xdr:rowOff>19050</xdr:rowOff>
                  </from>
                  <to>
                    <xdr:col>1</xdr:col>
                    <xdr:colOff>762000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Supplies" altText="Delete Diagnosis">
                <anchor moveWithCells="1">
                  <from>
                    <xdr:col>1</xdr:col>
                    <xdr:colOff>812800</xdr:colOff>
                    <xdr:row>14</xdr:row>
                    <xdr:rowOff>19050</xdr:rowOff>
                  </from>
                  <to>
                    <xdr:col>1</xdr:col>
                    <xdr:colOff>1524000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850900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7.1CSO supplies costs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julienne</cp:lastModifiedBy>
  <dcterms:created xsi:type="dcterms:W3CDTF">2018-04-04T07:34:36Z</dcterms:created>
  <dcterms:modified xsi:type="dcterms:W3CDTF">2018-06-07T06:48:57Z</dcterms:modified>
</cp:coreProperties>
</file>