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13_ncr:1_{AA176EA7-C258-4115-AD0E-2981F18A03D2}" xr6:coauthVersionLast="33" xr6:coauthVersionMax="33" xr10:uidLastSave="{00000000-0000-0000-0000-000000000000}"/>
  <bookViews>
    <workbookView xWindow="0" yWindow="0" windowWidth="15530" windowHeight="7050" xr2:uid="{00000000-000D-0000-FFFF-FFFF00000000}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_xlnm._FilterDatabase" localSheetId="0" hidden="1">'6.1Personnel List'!$C$13:$H$143</definedName>
    <definedName name="_xlnm._FilterDatabase" localSheetId="1" hidden="1">'6.2 Staff Allocation'!$C$12:$DT$142</definedName>
    <definedName name="Drugs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6" i="2" l="1"/>
  <c r="I146" i="2"/>
  <c r="J146" i="2"/>
  <c r="K146" i="2"/>
  <c r="K151" i="2" s="1"/>
  <c r="L146" i="2"/>
  <c r="M146" i="2"/>
  <c r="N146" i="2"/>
  <c r="O146" i="2"/>
  <c r="O151" i="2" s="1"/>
  <c r="P146" i="2"/>
  <c r="Q146" i="2"/>
  <c r="R146" i="2"/>
  <c r="S146" i="2"/>
  <c r="S151" i="2" s="1"/>
  <c r="T146" i="2"/>
  <c r="U146" i="2"/>
  <c r="V146" i="2"/>
  <c r="W146" i="2"/>
  <c r="W151" i="2" s="1"/>
  <c r="X146" i="2"/>
  <c r="Y146" i="2"/>
  <c r="Z146" i="2"/>
  <c r="AA146" i="2"/>
  <c r="AA151" i="2" s="1"/>
  <c r="AB146" i="2"/>
  <c r="AC146" i="2"/>
  <c r="AD146" i="2"/>
  <c r="AE146" i="2"/>
  <c r="AE151" i="2" s="1"/>
  <c r="AF146" i="2"/>
  <c r="AG146" i="2"/>
  <c r="AH146" i="2"/>
  <c r="AI146" i="2"/>
  <c r="AI151" i="2" s="1"/>
  <c r="AJ146" i="2"/>
  <c r="AK146" i="2"/>
  <c r="AL146" i="2"/>
  <c r="AM146" i="2"/>
  <c r="AM151" i="2" s="1"/>
  <c r="AN146" i="2"/>
  <c r="AO146" i="2"/>
  <c r="AP146" i="2"/>
  <c r="AQ146" i="2"/>
  <c r="AQ151" i="2" s="1"/>
  <c r="AR146" i="2"/>
  <c r="AS146" i="2"/>
  <c r="AT146" i="2"/>
  <c r="AU146" i="2"/>
  <c r="AU151" i="2" s="1"/>
  <c r="AV146" i="2"/>
  <c r="AW146" i="2"/>
  <c r="AX146" i="2"/>
  <c r="AY146" i="2"/>
  <c r="AY151" i="2" s="1"/>
  <c r="AZ146" i="2"/>
  <c r="BA146" i="2"/>
  <c r="BB146" i="2"/>
  <c r="BC146" i="2"/>
  <c r="BC151" i="2" s="1"/>
  <c r="BD146" i="2"/>
  <c r="BE146" i="2"/>
  <c r="BF146" i="2"/>
  <c r="BG146" i="2"/>
  <c r="BG151" i="2" s="1"/>
  <c r="BH146" i="2"/>
  <c r="H147" i="2"/>
  <c r="I147" i="2"/>
  <c r="J147" i="2"/>
  <c r="J152" i="2" s="1"/>
  <c r="K147" i="2"/>
  <c r="L147" i="2"/>
  <c r="M147" i="2"/>
  <c r="N147" i="2"/>
  <c r="N152" i="2" s="1"/>
  <c r="O147" i="2"/>
  <c r="P147" i="2"/>
  <c r="Q147" i="2"/>
  <c r="R147" i="2"/>
  <c r="R152" i="2" s="1"/>
  <c r="S147" i="2"/>
  <c r="T147" i="2"/>
  <c r="U147" i="2"/>
  <c r="V147" i="2"/>
  <c r="V152" i="2" s="1"/>
  <c r="W147" i="2"/>
  <c r="X147" i="2"/>
  <c r="Y147" i="2"/>
  <c r="Z147" i="2"/>
  <c r="Z152" i="2" s="1"/>
  <c r="AA147" i="2"/>
  <c r="AB147" i="2"/>
  <c r="AC147" i="2"/>
  <c r="AD147" i="2"/>
  <c r="AD152" i="2" s="1"/>
  <c r="AE147" i="2"/>
  <c r="AF147" i="2"/>
  <c r="AG147" i="2"/>
  <c r="AH147" i="2"/>
  <c r="AH152" i="2" s="1"/>
  <c r="AI147" i="2"/>
  <c r="AJ147" i="2"/>
  <c r="AK147" i="2"/>
  <c r="AL147" i="2"/>
  <c r="AL152" i="2" s="1"/>
  <c r="AM147" i="2"/>
  <c r="AN147" i="2"/>
  <c r="AO147" i="2"/>
  <c r="AP147" i="2"/>
  <c r="AP152" i="2" s="1"/>
  <c r="AQ147" i="2"/>
  <c r="AR147" i="2"/>
  <c r="AS147" i="2"/>
  <c r="AT147" i="2"/>
  <c r="AT152" i="2" s="1"/>
  <c r="AU147" i="2"/>
  <c r="AV147" i="2"/>
  <c r="AW147" i="2"/>
  <c r="AX147" i="2"/>
  <c r="AX152" i="2" s="1"/>
  <c r="AY147" i="2"/>
  <c r="AZ147" i="2"/>
  <c r="BA147" i="2"/>
  <c r="BB147" i="2"/>
  <c r="BB152" i="2" s="1"/>
  <c r="BC147" i="2"/>
  <c r="BD147" i="2"/>
  <c r="BE147" i="2"/>
  <c r="BF147" i="2"/>
  <c r="BF152" i="2" s="1"/>
  <c r="BG147" i="2"/>
  <c r="BH147" i="2"/>
  <c r="H148" i="2"/>
  <c r="I148" i="2"/>
  <c r="I153" i="2" s="1"/>
  <c r="J148" i="2"/>
  <c r="K148" i="2"/>
  <c r="L148" i="2"/>
  <c r="M148" i="2"/>
  <c r="M153" i="2" s="1"/>
  <c r="N148" i="2"/>
  <c r="O148" i="2"/>
  <c r="P148" i="2"/>
  <c r="Q148" i="2"/>
  <c r="Q153" i="2" s="1"/>
  <c r="R148" i="2"/>
  <c r="S148" i="2"/>
  <c r="T148" i="2"/>
  <c r="U148" i="2"/>
  <c r="U153" i="2" s="1"/>
  <c r="V148" i="2"/>
  <c r="W148" i="2"/>
  <c r="X148" i="2"/>
  <c r="Y148" i="2"/>
  <c r="Y153" i="2" s="1"/>
  <c r="Z148" i="2"/>
  <c r="AA148" i="2"/>
  <c r="AB148" i="2"/>
  <c r="AB154" i="2" s="1"/>
  <c r="AC148" i="2"/>
  <c r="AC153" i="2" s="1"/>
  <c r="AD148" i="2"/>
  <c r="AE148" i="2"/>
  <c r="AF148" i="2"/>
  <c r="AF154" i="2" s="1"/>
  <c r="AG148" i="2"/>
  <c r="AG153" i="2" s="1"/>
  <c r="AH148" i="2"/>
  <c r="AI148" i="2"/>
  <c r="AJ148" i="2"/>
  <c r="AJ154" i="2" s="1"/>
  <c r="AK148" i="2"/>
  <c r="AK153" i="2" s="1"/>
  <c r="AL148" i="2"/>
  <c r="AM148" i="2"/>
  <c r="AN148" i="2"/>
  <c r="AN154" i="2" s="1"/>
  <c r="AO148" i="2"/>
  <c r="AO153" i="2" s="1"/>
  <c r="AP148" i="2"/>
  <c r="AQ148" i="2"/>
  <c r="AR148" i="2"/>
  <c r="AR154" i="2" s="1"/>
  <c r="AS148" i="2"/>
  <c r="AS153" i="2" s="1"/>
  <c r="AT148" i="2"/>
  <c r="AU148" i="2"/>
  <c r="AV148" i="2"/>
  <c r="AV154" i="2" s="1"/>
  <c r="AW148" i="2"/>
  <c r="AW153" i="2" s="1"/>
  <c r="AX148" i="2"/>
  <c r="AY148" i="2"/>
  <c r="AZ148" i="2"/>
  <c r="AZ154" i="2" s="1"/>
  <c r="BA148" i="2"/>
  <c r="BA153" i="2" s="1"/>
  <c r="BB148" i="2"/>
  <c r="BC148" i="2"/>
  <c r="BD148" i="2"/>
  <c r="BD154" i="2" s="1"/>
  <c r="BE148" i="2"/>
  <c r="BE153" i="2" s="1"/>
  <c r="BF148" i="2"/>
  <c r="BG148" i="2"/>
  <c r="BH148" i="2"/>
  <c r="BH154" i="2" s="1"/>
  <c r="H149" i="2"/>
  <c r="H154" i="2" s="1"/>
  <c r="I149" i="2"/>
  <c r="J149" i="2"/>
  <c r="K149" i="2"/>
  <c r="L149" i="2"/>
  <c r="L154" i="2" s="1"/>
  <c r="M149" i="2"/>
  <c r="N149" i="2"/>
  <c r="O149" i="2"/>
  <c r="P149" i="2"/>
  <c r="P154" i="2" s="1"/>
  <c r="Q149" i="2"/>
  <c r="R149" i="2"/>
  <c r="S149" i="2"/>
  <c r="T149" i="2"/>
  <c r="T154" i="2" s="1"/>
  <c r="U149" i="2"/>
  <c r="V149" i="2"/>
  <c r="W149" i="2"/>
  <c r="X149" i="2"/>
  <c r="X154" i="2" s="1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H151" i="2"/>
  <c r="I151" i="2"/>
  <c r="J151" i="2"/>
  <c r="L151" i="2"/>
  <c r="M151" i="2"/>
  <c r="N151" i="2"/>
  <c r="P151" i="2"/>
  <c r="Q151" i="2"/>
  <c r="R151" i="2"/>
  <c r="T151" i="2"/>
  <c r="U151" i="2"/>
  <c r="V151" i="2"/>
  <c r="X151" i="2"/>
  <c r="Y151" i="2"/>
  <c r="Z151" i="2"/>
  <c r="AB151" i="2"/>
  <c r="AC151" i="2"/>
  <c r="AD151" i="2"/>
  <c r="AF151" i="2"/>
  <c r="AG151" i="2"/>
  <c r="AH151" i="2"/>
  <c r="AJ151" i="2"/>
  <c r="AK151" i="2"/>
  <c r="AL151" i="2"/>
  <c r="AN151" i="2"/>
  <c r="AO151" i="2"/>
  <c r="AP151" i="2"/>
  <c r="AR151" i="2"/>
  <c r="AS151" i="2"/>
  <c r="AT151" i="2"/>
  <c r="AV151" i="2"/>
  <c r="AW151" i="2"/>
  <c r="AX151" i="2"/>
  <c r="AZ151" i="2"/>
  <c r="BA151" i="2"/>
  <c r="BB151" i="2"/>
  <c r="BD151" i="2"/>
  <c r="BE151" i="2"/>
  <c r="BF151" i="2"/>
  <c r="BH151" i="2"/>
  <c r="H152" i="2"/>
  <c r="I152" i="2"/>
  <c r="L152" i="2"/>
  <c r="M152" i="2"/>
  <c r="P152" i="2"/>
  <c r="Q152" i="2"/>
  <c r="T152" i="2"/>
  <c r="U152" i="2"/>
  <c r="X152" i="2"/>
  <c r="Y152" i="2"/>
  <c r="AC152" i="2"/>
  <c r="AF152" i="2"/>
  <c r="AG152" i="2"/>
  <c r="AJ152" i="2"/>
  <c r="AK152" i="2"/>
  <c r="AN152" i="2"/>
  <c r="AO152" i="2"/>
  <c r="AR152" i="2"/>
  <c r="AS152" i="2"/>
  <c r="AV152" i="2"/>
  <c r="AW152" i="2"/>
  <c r="AZ152" i="2"/>
  <c r="BA152" i="2"/>
  <c r="BD152" i="2"/>
  <c r="BE152" i="2"/>
  <c r="BH152" i="2"/>
  <c r="H153" i="2"/>
  <c r="L153" i="2"/>
  <c r="P153" i="2"/>
  <c r="T153" i="2"/>
  <c r="X153" i="2"/>
  <c r="AB153" i="2"/>
  <c r="AF153" i="2"/>
  <c r="AJ153" i="2"/>
  <c r="AN153" i="2"/>
  <c r="AR153" i="2"/>
  <c r="AV153" i="2"/>
  <c r="AZ153" i="2"/>
  <c r="BD153" i="2"/>
  <c r="BH153" i="2"/>
  <c r="K154" i="2"/>
  <c r="O154" i="2"/>
  <c r="S154" i="2"/>
  <c r="W154" i="2"/>
  <c r="AA154" i="2"/>
  <c r="AE154" i="2"/>
  <c r="AI154" i="2"/>
  <c r="AM154" i="2"/>
  <c r="AQ154" i="2"/>
  <c r="AU154" i="2"/>
  <c r="AY154" i="2"/>
  <c r="BC154" i="2"/>
  <c r="BG154" i="2"/>
  <c r="G147" i="2"/>
  <c r="G146" i="2"/>
  <c r="F157" i="2"/>
  <c r="F156" i="2"/>
  <c r="BB154" i="2" l="1"/>
  <c r="AP154" i="2"/>
  <c r="AL154" i="2"/>
  <c r="AD154" i="2"/>
  <c r="V154" i="2"/>
  <c r="N154" i="2"/>
  <c r="BG153" i="2"/>
  <c r="AY153" i="2"/>
  <c r="AQ153" i="2"/>
  <c r="AE153" i="2"/>
  <c r="W153" i="2"/>
  <c r="O153" i="2"/>
  <c r="K153" i="2"/>
  <c r="BE154" i="2"/>
  <c r="BA154" i="2"/>
  <c r="AW154" i="2"/>
  <c r="AS154" i="2"/>
  <c r="AO154" i="2"/>
  <c r="AK154" i="2"/>
  <c r="AG154" i="2"/>
  <c r="AC154" i="2"/>
  <c r="Y154" i="2"/>
  <c r="U154" i="2"/>
  <c r="Q154" i="2"/>
  <c r="M154" i="2"/>
  <c r="I154" i="2"/>
  <c r="BF153" i="2"/>
  <c r="BB153" i="2"/>
  <c r="AX153" i="2"/>
  <c r="AT153" i="2"/>
  <c r="AP153" i="2"/>
  <c r="AL153" i="2"/>
  <c r="AH153" i="2"/>
  <c r="AD153" i="2"/>
  <c r="Z153" i="2"/>
  <c r="V153" i="2"/>
  <c r="R153" i="2"/>
  <c r="N153" i="2"/>
  <c r="J153" i="2"/>
  <c r="BG152" i="2"/>
  <c r="BC152" i="2"/>
  <c r="AY152" i="2"/>
  <c r="AU152" i="2"/>
  <c r="AQ152" i="2"/>
  <c r="AM152" i="2"/>
  <c r="AI152" i="2"/>
  <c r="AE152" i="2"/>
  <c r="AA152" i="2"/>
  <c r="W152" i="2"/>
  <c r="S152" i="2"/>
  <c r="O152" i="2"/>
  <c r="K152" i="2"/>
  <c r="BF154" i="2"/>
  <c r="AX154" i="2"/>
  <c r="AT154" i="2"/>
  <c r="AH154" i="2"/>
  <c r="Z154" i="2"/>
  <c r="R154" i="2"/>
  <c r="J154" i="2"/>
  <c r="BC153" i="2"/>
  <c r="AU153" i="2"/>
  <c r="AM153" i="2"/>
  <c r="AI153" i="2"/>
  <c r="AA153" i="2"/>
  <c r="S153" i="2"/>
  <c r="AB152" i="2"/>
  <c r="DT14" i="2" l="1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40" i="2"/>
  <c r="DT41" i="2"/>
  <c r="DT42" i="2"/>
  <c r="DT43" i="2"/>
  <c r="DT44" i="2"/>
  <c r="DT45" i="2"/>
  <c r="DT46" i="2"/>
  <c r="DT47" i="2"/>
  <c r="DT48" i="2"/>
  <c r="DT49" i="2"/>
  <c r="DT50" i="2"/>
  <c r="DT51" i="2"/>
  <c r="DT52" i="2"/>
  <c r="DT53" i="2"/>
  <c r="DT54" i="2"/>
  <c r="DT55" i="2"/>
  <c r="DT56" i="2"/>
  <c r="DT57" i="2"/>
  <c r="DT58" i="2"/>
  <c r="DT59" i="2"/>
  <c r="DT60" i="2"/>
  <c r="DT61" i="2"/>
  <c r="DT62" i="2"/>
  <c r="DT63" i="2"/>
  <c r="DT64" i="2"/>
  <c r="DT65" i="2"/>
  <c r="DT66" i="2"/>
  <c r="DT67" i="2"/>
  <c r="DT68" i="2"/>
  <c r="DT69" i="2"/>
  <c r="DT70" i="2"/>
  <c r="DT71" i="2"/>
  <c r="DT72" i="2"/>
  <c r="DT73" i="2"/>
  <c r="DT74" i="2"/>
  <c r="DT75" i="2"/>
  <c r="DT76" i="2"/>
  <c r="DT77" i="2"/>
  <c r="DT78" i="2"/>
  <c r="DT79" i="2"/>
  <c r="DT80" i="2"/>
  <c r="DT81" i="2"/>
  <c r="DT82" i="2"/>
  <c r="DT83" i="2"/>
  <c r="DT84" i="2"/>
  <c r="DT85" i="2"/>
  <c r="DT86" i="2"/>
  <c r="DT87" i="2"/>
  <c r="DT88" i="2"/>
  <c r="DT89" i="2"/>
  <c r="DT90" i="2"/>
  <c r="DT91" i="2"/>
  <c r="DT92" i="2"/>
  <c r="DT93" i="2"/>
  <c r="DT94" i="2"/>
  <c r="DT95" i="2"/>
  <c r="DT96" i="2"/>
  <c r="DT97" i="2"/>
  <c r="DT98" i="2"/>
  <c r="DT99" i="2"/>
  <c r="DT100" i="2"/>
  <c r="DT101" i="2"/>
  <c r="DT102" i="2"/>
  <c r="DT103" i="2"/>
  <c r="DT104" i="2"/>
  <c r="DT105" i="2"/>
  <c r="DT106" i="2"/>
  <c r="DT107" i="2"/>
  <c r="DT108" i="2"/>
  <c r="DT109" i="2"/>
  <c r="DT110" i="2"/>
  <c r="DT111" i="2"/>
  <c r="DT112" i="2"/>
  <c r="DT113" i="2"/>
  <c r="DT114" i="2"/>
  <c r="DT115" i="2"/>
  <c r="DT116" i="2"/>
  <c r="DT117" i="2"/>
  <c r="DT118" i="2"/>
  <c r="DT119" i="2"/>
  <c r="DT120" i="2"/>
  <c r="DT121" i="2"/>
  <c r="DT122" i="2"/>
  <c r="DT123" i="2"/>
  <c r="DT124" i="2"/>
  <c r="DT125" i="2"/>
  <c r="DT126" i="2"/>
  <c r="DT127" i="2"/>
  <c r="DT128" i="2"/>
  <c r="DT129" i="2"/>
  <c r="DT130" i="2"/>
  <c r="DT131" i="2"/>
  <c r="DT132" i="2"/>
  <c r="DT133" i="2"/>
  <c r="DT134" i="2"/>
  <c r="DT135" i="2"/>
  <c r="DT136" i="2"/>
  <c r="DT137" i="2"/>
  <c r="DT138" i="2"/>
  <c r="DT139" i="2"/>
  <c r="DT140" i="2"/>
  <c r="DT141" i="2"/>
  <c r="DT142" i="2"/>
  <c r="DT13" i="2"/>
  <c r="H144" i="2" l="1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G144" i="2"/>
  <c r="G148" i="2" l="1"/>
  <c r="G152" i="2" s="1"/>
  <c r="G149" i="2"/>
  <c r="G153" i="2"/>
  <c r="G151" i="2"/>
  <c r="G150" i="2"/>
  <c r="G154" i="2" s="1"/>
  <c r="DT144" i="2" l="1"/>
  <c r="B21" i="2" l="1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20" i="2" l="1"/>
  <c r="B19" i="2"/>
  <c r="B4" i="5"/>
  <c r="B5" i="5"/>
  <c r="B6" i="5"/>
  <c r="B8" i="5"/>
  <c r="B9" i="5"/>
  <c r="B10" i="5"/>
  <c r="B12" i="5"/>
  <c r="B13" i="5"/>
  <c r="B14" i="5"/>
  <c r="B16" i="5"/>
  <c r="B17" i="5"/>
  <c r="B18" i="5"/>
  <c r="B20" i="5"/>
  <c r="B21" i="5"/>
  <c r="B22" i="5"/>
  <c r="B24" i="5"/>
  <c r="B25" i="5"/>
  <c r="B26" i="5"/>
  <c r="B28" i="5"/>
  <c r="B29" i="5"/>
  <c r="B30" i="5"/>
  <c r="B32" i="5"/>
  <c r="B33" i="5"/>
  <c r="B34" i="5"/>
  <c r="B36" i="5"/>
  <c r="B37" i="5"/>
  <c r="B38" i="5"/>
  <c r="B40" i="5"/>
  <c r="B41" i="5"/>
  <c r="B42" i="5"/>
  <c r="B44" i="5"/>
  <c r="B45" i="5"/>
  <c r="B46" i="5"/>
  <c r="B48" i="5"/>
  <c r="B49" i="5"/>
  <c r="B50" i="5"/>
  <c r="B52" i="5"/>
  <c r="B53" i="5"/>
  <c r="B54" i="5"/>
  <c r="B56" i="5"/>
  <c r="B57" i="5"/>
  <c r="B58" i="5"/>
  <c r="B60" i="5"/>
  <c r="B61" i="5"/>
  <c r="B62" i="5"/>
  <c r="B63" i="5"/>
  <c r="B64" i="5"/>
  <c r="B65" i="5"/>
  <c r="B66" i="5"/>
  <c r="B67" i="5"/>
  <c r="A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B2" i="5" s="1"/>
  <c r="C5" i="3"/>
  <c r="B3" i="5" s="1"/>
  <c r="C6" i="3"/>
  <c r="C7" i="3"/>
  <c r="C8" i="3"/>
  <c r="C9" i="3"/>
  <c r="B7" i="5" s="1"/>
  <c r="C10" i="3"/>
  <c r="C11" i="3"/>
  <c r="C12" i="3"/>
  <c r="C13" i="3"/>
  <c r="B11" i="5" s="1"/>
  <c r="C14" i="3"/>
  <c r="C15" i="3"/>
  <c r="C16" i="3"/>
  <c r="C17" i="3"/>
  <c r="B15" i="5" s="1"/>
  <c r="C18" i="3"/>
  <c r="C19" i="3"/>
  <c r="C20" i="3"/>
  <c r="C21" i="3"/>
  <c r="B19" i="5" s="1"/>
  <c r="C22" i="3"/>
  <c r="C23" i="3"/>
  <c r="C24" i="3"/>
  <c r="C25" i="3"/>
  <c r="B23" i="5" s="1"/>
  <c r="C26" i="3"/>
  <c r="C27" i="3"/>
  <c r="C28" i="3"/>
  <c r="C29" i="3"/>
  <c r="B27" i="5" s="1"/>
  <c r="C30" i="3"/>
  <c r="C31" i="3"/>
  <c r="C32" i="3"/>
  <c r="C33" i="3"/>
  <c r="B31" i="5" s="1"/>
  <c r="C34" i="3"/>
  <c r="C35" i="3"/>
  <c r="C36" i="3"/>
  <c r="C37" i="3"/>
  <c r="B35" i="5" s="1"/>
  <c r="C38" i="3"/>
  <c r="C39" i="3"/>
  <c r="C40" i="3"/>
  <c r="C41" i="3"/>
  <c r="B39" i="5" s="1"/>
  <c r="C42" i="3"/>
  <c r="C43" i="3"/>
  <c r="C44" i="3"/>
  <c r="C45" i="3"/>
  <c r="B43" i="5" s="1"/>
  <c r="C46" i="3"/>
  <c r="C47" i="3"/>
  <c r="C48" i="3"/>
  <c r="C49" i="3"/>
  <c r="B47" i="5" s="1"/>
  <c r="C50" i="3"/>
  <c r="C51" i="3"/>
  <c r="C52" i="3"/>
  <c r="C53" i="3"/>
  <c r="B51" i="5" s="1"/>
  <c r="C54" i="3"/>
  <c r="C55" i="3"/>
  <c r="C56" i="3"/>
  <c r="C57" i="3"/>
  <c r="B55" i="5" s="1"/>
  <c r="C58" i="3"/>
  <c r="C59" i="3"/>
  <c r="C60" i="3"/>
  <c r="C61" i="3"/>
  <c r="B59" i="5" s="1"/>
  <c r="C62" i="3"/>
  <c r="C63" i="3"/>
  <c r="C64" i="3"/>
  <c r="B18" i="2" l="1"/>
  <c r="B17" i="2"/>
  <c r="B16" i="2"/>
  <c r="B15" i="2"/>
  <c r="B14" i="2"/>
  <c r="B13" i="2"/>
</calcChain>
</file>

<file path=xl/sharedStrings.xml><?xml version="1.0" encoding="utf-8"?>
<sst xmlns="http://schemas.openxmlformats.org/spreadsheetml/2006/main" count="1239" uniqueCount="323">
  <si>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</si>
  <si>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</si>
  <si>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</si>
  <si>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</si>
  <si>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</si>
  <si>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</si>
  <si>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</si>
  <si>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</si>
  <si>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</si>
  <si>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</si>
  <si>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</si>
  <si>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</si>
  <si>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</si>
  <si>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</si>
  <si>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</si>
  <si>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JO</t>
  </si>
  <si>
    <t>Permanent</t>
  </si>
  <si>
    <t>Contractual</t>
  </si>
  <si>
    <t>Clerk 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</si>
  <si>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</si>
  <si>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</si>
  <si>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</si>
  <si>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</si>
  <si>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</si>
  <si>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</si>
  <si>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</si>
  <si>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</si>
  <si>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</si>
  <si>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</si>
  <si>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</si>
  <si>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</si>
  <si>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</si>
  <si>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</si>
  <si>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</si>
  <si>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</si>
  <si>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</si>
  <si>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</si>
  <si>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</si>
  <si>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</si>
  <si>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</si>
  <si>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</si>
  <si>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</si>
  <si>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</si>
  <si>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</si>
  <si>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</si>
  <si>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</si>
  <si>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</si>
  <si>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</si>
  <si>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</si>
  <si>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</si>
  <si>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</si>
  <si>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</si>
  <si>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</si>
  <si>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</si>
  <si>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</si>
  <si>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</si>
  <si>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</si>
  <si>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</si>
  <si>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</si>
  <si>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</si>
  <si>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</si>
  <si>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</si>
  <si>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</si>
  <si>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</si>
  <si>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</si>
  <si>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</si>
  <si>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</si>
  <si>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</si>
  <si>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</si>
  <si>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</si>
  <si>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</si>
  <si>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</si>
  <si>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</si>
  <si>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</si>
  <si>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</si>
  <si>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</si>
  <si>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</si>
  <si>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</si>
  <si>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</si>
  <si>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</si>
  <si>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</si>
  <si>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</si>
  <si>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</si>
  <si>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</si>
  <si>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</si>
  <si>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</si>
  <si>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</si>
  <si>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</si>
  <si>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</si>
  <si>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</si>
  <si>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</si>
  <si>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</si>
  <si>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</si>
  <si>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</si>
  <si>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</si>
  <si>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</si>
  <si>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</si>
  <si>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</si>
  <si>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</si>
  <si>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</si>
  <si>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</si>
  <si>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</si>
  <si>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</si>
  <si>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</si>
  <si>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Acuna, Denise Aileen S.</t>
  </si>
  <si>
    <t>Clinical/Medical services -&gt; Internal Medicine Ward</t>
  </si>
  <si>
    <t>Adraneda, Audrina P.</t>
  </si>
  <si>
    <t>Adraneda, Clarisse Joy S.</t>
  </si>
  <si>
    <t>Administrative/Overhead services -&gt; Billing and Claims</t>
  </si>
  <si>
    <t>Adraneda, Ethel S.</t>
  </si>
  <si>
    <t>G4</t>
  </si>
  <si>
    <t>Alba, Mary Rose T.</t>
  </si>
  <si>
    <t>Albelda, Patrick F.</t>
  </si>
  <si>
    <t>Clerk l</t>
  </si>
  <si>
    <t>Administrative/Overhead services -&gt; Health Info Mgt (Admitting)</t>
  </si>
  <si>
    <t>Alejo, Leonardo JR D.</t>
  </si>
  <si>
    <t>Watchman l</t>
  </si>
  <si>
    <t>Administrative/Overhead services -&gt; Security</t>
  </si>
  <si>
    <t>Almero, Juliana D.</t>
  </si>
  <si>
    <t>Pharmacist ll</t>
  </si>
  <si>
    <t>Ancillary services/Support services -&gt; Pharmacy</t>
  </si>
  <si>
    <t>Angeles, Melanie Joyce M.</t>
  </si>
  <si>
    <t>Atanacio, Joshua Elaine I.</t>
  </si>
  <si>
    <t>Social Welfare Officer l</t>
  </si>
  <si>
    <t>Administrative/Overhead services -&gt; Medical Social Work</t>
  </si>
  <si>
    <t>Banzuela, Angelica S.</t>
  </si>
  <si>
    <t>Clinical/Medical services -&gt; Emergency Medicine Department</t>
  </si>
  <si>
    <t>Barrion, Cecilia A.</t>
  </si>
  <si>
    <t>Bautista, Claudine Ann D.</t>
  </si>
  <si>
    <t>Bautista, Edna M.</t>
  </si>
  <si>
    <t>Volunteer</t>
  </si>
  <si>
    <t>Bautista, Herlene C.</t>
  </si>
  <si>
    <t>Bautista, Shaira Jazmine P.</t>
  </si>
  <si>
    <t>Medical Technologist l</t>
  </si>
  <si>
    <t>Ancillary services/Support services -&gt; Laboratory</t>
  </si>
  <si>
    <t>Benitez, Ilene Irish C.</t>
  </si>
  <si>
    <t>Bongabong, Michael D.</t>
  </si>
  <si>
    <t>Utility Worker l</t>
  </si>
  <si>
    <t>Administrative/Overhead services -&gt; Housekeeping</t>
  </si>
  <si>
    <t>Bringula, Carmelito R.</t>
  </si>
  <si>
    <t>G1</t>
  </si>
  <si>
    <t>Ancillary services/Support services -&gt; Nutrition and Dietetics</t>
  </si>
  <si>
    <t>Bringula, Maita-Mia D.</t>
  </si>
  <si>
    <t>Radiology Technician ll</t>
  </si>
  <si>
    <t>G13</t>
  </si>
  <si>
    <t>Ancillary services/Support services -&gt; Radiology / Diagnostic Imaging (CT Scan, MRI, ECG, Mammography, Endoscopy)</t>
  </si>
  <si>
    <t>Bunque, Henry B.</t>
  </si>
  <si>
    <t>Cabalic, Necetta I.</t>
  </si>
  <si>
    <t>G11</t>
  </si>
  <si>
    <t>Cabidog, Cesar C.</t>
  </si>
  <si>
    <t>Utility Worker ll</t>
  </si>
  <si>
    <t>G3</t>
  </si>
  <si>
    <t>Calara, Jonarhoze A.</t>
  </si>
  <si>
    <t>Computer Operator l</t>
  </si>
  <si>
    <t>Canlas, Aileen B.</t>
  </si>
  <si>
    <t>Pharmacist l</t>
  </si>
  <si>
    <t>Canlas, Mary Rose R.</t>
  </si>
  <si>
    <t>Capili, Emily B.</t>
  </si>
  <si>
    <t>Storekeeper ll</t>
  </si>
  <si>
    <t>G6</t>
  </si>
  <si>
    <t>Administrative/Overhead services -&gt; Central Supply Office</t>
  </si>
  <si>
    <t>Capule, Estella Dayan Marie V.</t>
  </si>
  <si>
    <t>Capuli, Diana D.</t>
  </si>
  <si>
    <t>Radiology Technician l</t>
  </si>
  <si>
    <t>Castro, Maridel M.</t>
  </si>
  <si>
    <t>Cristobal, Marvin G.</t>
  </si>
  <si>
    <t>Cristobal, Rosemarie G.</t>
  </si>
  <si>
    <t>Laundry Worke l</t>
  </si>
  <si>
    <t>Cruz, Alfonso Jr A.</t>
  </si>
  <si>
    <t>Driver l</t>
  </si>
  <si>
    <t>Administrative/Overhead services -&gt; Others</t>
  </si>
  <si>
    <t>Cruz, Bienvenido S.</t>
  </si>
  <si>
    <t>Ancillary services/Support services -&gt; Others</t>
  </si>
  <si>
    <t>Cruz, Cecille S.</t>
  </si>
  <si>
    <t>Cruz, Mark Joshua L.</t>
  </si>
  <si>
    <t>Administrative/Overhead services -&gt; IT Departments</t>
  </si>
  <si>
    <t>Cruz, Romeo C.</t>
  </si>
  <si>
    <t>Dacion, Ednalyn N.</t>
  </si>
  <si>
    <t>David, Imelda DS.</t>
  </si>
  <si>
    <t>Deang, Adam Andgeline S.</t>
  </si>
  <si>
    <t>Clinical/Medical services -&gt; Outpatient Department (general)</t>
  </si>
  <si>
    <t>Detablan, Alyssa Mae G.</t>
  </si>
  <si>
    <t>De Guzman, Jaquelyn P.</t>
  </si>
  <si>
    <t>De Jesus, Jaqueline Z.</t>
  </si>
  <si>
    <t>De Jesus, Michael Andrew D.</t>
  </si>
  <si>
    <t>Ancillary services/Support services -&gt; Operating Room / Aneasthesiology / PACU / Recovery Room</t>
  </si>
  <si>
    <t>De Luna, Pedro S.</t>
  </si>
  <si>
    <t>De mesa, Marlene V.</t>
  </si>
  <si>
    <t>Del Rosario, Angela Rose P.</t>
  </si>
  <si>
    <t>Dentist ll</t>
  </si>
  <si>
    <t>G17</t>
  </si>
  <si>
    <t>Clinical/Medical services -&gt; Dental</t>
  </si>
  <si>
    <t>Dela Cirna, Crisanta B.</t>
  </si>
  <si>
    <t>Administrative/Overhead services -&gt; Human Resource Management</t>
  </si>
  <si>
    <t>Dela Cruz, Anna Leveriza P.</t>
  </si>
  <si>
    <t>Dela Cruz, Erbert P.</t>
  </si>
  <si>
    <t>Records Officer l</t>
  </si>
  <si>
    <t>G10</t>
  </si>
  <si>
    <t>Dela Cruz, Myrene P.</t>
  </si>
  <si>
    <t>Clinical/Medical services -&gt; Ob/Gyne Ward</t>
  </si>
  <si>
    <t>Dela Rosa, Andrea G.</t>
  </si>
  <si>
    <t>Diaz, Ryan David M.</t>
  </si>
  <si>
    <t>Clinical/Medical services -&gt; Animal Bite Center</t>
  </si>
  <si>
    <t>Dionisio, Nazarene L.</t>
  </si>
  <si>
    <t>Domingo, Jamie Anne D.</t>
  </si>
  <si>
    <t>Dominguez, Maylene O.</t>
  </si>
  <si>
    <t>Ducut, Mary Ann R.</t>
  </si>
  <si>
    <t>Dumayas, Michael D.</t>
  </si>
  <si>
    <t>Fabian, Maryll M.</t>
  </si>
  <si>
    <t>Fabian, Narcisa M.</t>
  </si>
  <si>
    <t>Laboratory Aide ll</t>
  </si>
  <si>
    <t>Fajardo, Dominique Ellein V.</t>
  </si>
  <si>
    <t>Fernandez, Leonora F.</t>
  </si>
  <si>
    <t>Fuentes, Jocelyn B.</t>
  </si>
  <si>
    <t>G15</t>
  </si>
  <si>
    <t>Garcia, Romelo R.</t>
  </si>
  <si>
    <t>Electrician l</t>
  </si>
  <si>
    <t>Administrative/Overhead services -&gt; Engineering and Facilities Management</t>
  </si>
  <si>
    <t>Gaspi, Remedios D.</t>
  </si>
  <si>
    <t>Medical Officer lll</t>
  </si>
  <si>
    <t>G21</t>
  </si>
  <si>
    <t>Godoy, Celia C.</t>
  </si>
  <si>
    <t>G19</t>
  </si>
  <si>
    <t>Clinical/Medical services -&gt; TB Dots</t>
  </si>
  <si>
    <t>Godoy, Don Hussein C.</t>
  </si>
  <si>
    <t>Gomez, Gerardo C.</t>
  </si>
  <si>
    <t>Guillermo, Raquel O.</t>
  </si>
  <si>
    <t>Guinto, Wilhelmina E.</t>
  </si>
  <si>
    <t>Cook l</t>
  </si>
  <si>
    <t>Hatol, Jeanipher S.</t>
  </si>
  <si>
    <t>Jalaidi, Sheryl F.</t>
  </si>
  <si>
    <t>Julio, Myrna Grace A.</t>
  </si>
  <si>
    <t>Lazarte, Ma. Theresa P.</t>
  </si>
  <si>
    <t>Clinical/Medical services -&gt; Smoking Cessation</t>
  </si>
  <si>
    <t>Llenarez, Cresencio</t>
  </si>
  <si>
    <t>Lim, Chester M.</t>
  </si>
  <si>
    <t>Lopez, Michael Anthony C.</t>
  </si>
  <si>
    <t>Macalinao, Enrico A.</t>
  </si>
  <si>
    <t>Magtanong, Janelle Ann C.</t>
  </si>
  <si>
    <t>Clinical/Medical services -&gt; HIV Aids</t>
  </si>
  <si>
    <t>Malibiran, Cherrylyn S.</t>
  </si>
  <si>
    <t>Manubay, Rosalie P.</t>
  </si>
  <si>
    <t>Medina, Jeffrey P.</t>
  </si>
  <si>
    <t>Medina, John Patrick A.</t>
  </si>
  <si>
    <t>Medina, Ralph Lawrence C.</t>
  </si>
  <si>
    <t>Mina, Anita C.</t>
  </si>
  <si>
    <t>Administrative/Overhead services -&gt; Cash Operations</t>
  </si>
  <si>
    <t>Monteagudo, Rona Mikaela N.</t>
  </si>
  <si>
    <t>Phamacist l</t>
  </si>
  <si>
    <t>Niespla, Leila M.</t>
  </si>
  <si>
    <t>Cashier l</t>
  </si>
  <si>
    <t>Administrative/Overhead services -&gt; Budget and Accounting</t>
  </si>
  <si>
    <t>Ocampo, Diana Elaine O.</t>
  </si>
  <si>
    <t>Omagap, Jeffrey M.</t>
  </si>
  <si>
    <t>Padua, Romeo JR N.</t>
  </si>
  <si>
    <t>Palaypay, Maureen T.</t>
  </si>
  <si>
    <t>Pascual, Jhemar Hope D.</t>
  </si>
  <si>
    <t>Peregrino, Mary Ann R.</t>
  </si>
  <si>
    <t>Medical Technologist ll</t>
  </si>
  <si>
    <t>Ancillary services/Support services -&gt; Blood Bank</t>
  </si>
  <si>
    <t>Ponce, Aurea T.</t>
  </si>
  <si>
    <t>Ramos, Anacel R.</t>
  </si>
  <si>
    <t>Administrative Officer ll</t>
  </si>
  <si>
    <t>Administrative/Overhead services -&gt; Office of the Administrative Officer</t>
  </si>
  <si>
    <t>Remo, Carmen R.</t>
  </si>
  <si>
    <t>Reyes, June G.</t>
  </si>
  <si>
    <t>Reyes, Rosemarie Joy B.</t>
  </si>
  <si>
    <t>Ancillary services/Support services -&gt; Laundry</t>
  </si>
  <si>
    <t>Roman, Jarelle G.</t>
  </si>
  <si>
    <t>Roman, Wilfredo R.</t>
  </si>
  <si>
    <t xml:space="preserve">Roque, Dasched Vincent  M.                  </t>
  </si>
  <si>
    <t>Sanchez, Jennifer Q.</t>
  </si>
  <si>
    <t>Santiago, Rosauro G.</t>
  </si>
  <si>
    <t>Santos, Hector T.</t>
  </si>
  <si>
    <t>OIC Chief of Hospital l</t>
  </si>
  <si>
    <t>G24</t>
  </si>
  <si>
    <t>Administrative/Overhead services -&gt; Office of the Medical Center Chief</t>
  </si>
  <si>
    <t>Santos, Lysa, R.</t>
  </si>
  <si>
    <t>Revenue Collection Clerk lll</t>
  </si>
  <si>
    <t>G9</t>
  </si>
  <si>
    <t>Santos, Marcos D.</t>
  </si>
  <si>
    <t>Santos, Victoria B.</t>
  </si>
  <si>
    <t>Clinical/Medical services -&gt; Malaria</t>
  </si>
  <si>
    <t>Sarmiento, Joel L.</t>
  </si>
  <si>
    <t>Silvestre, Andy D.</t>
  </si>
  <si>
    <t>Sunga, Rosita D.</t>
  </si>
  <si>
    <t>Tagorio, Rodelio P.</t>
  </si>
  <si>
    <t>Tamayo, Grace C.</t>
  </si>
  <si>
    <t>Tarongoy, Vanessa C.</t>
  </si>
  <si>
    <t>Teologo, Wilfredo P.</t>
  </si>
  <si>
    <t>Security Guard l</t>
  </si>
  <si>
    <t>Tolentino, Jocyana I.</t>
  </si>
  <si>
    <t>Torres, Maribeth C.</t>
  </si>
  <si>
    <t>Dental Aide</t>
  </si>
  <si>
    <t>Tria, Bienvenido F.</t>
  </si>
  <si>
    <t>Tuazon, Angie R.</t>
  </si>
  <si>
    <t>Administrative/Overhead services -&gt; Office of the Chief of Medical Professional Staff</t>
  </si>
  <si>
    <t>Valerio, Jowie D.</t>
  </si>
  <si>
    <t>Valencia, Ferdinand B.</t>
  </si>
  <si>
    <t>Chief of Hospital l</t>
  </si>
  <si>
    <t>Valiente, Imelda D.</t>
  </si>
  <si>
    <t>Ventura, Chiaky Kahlen R.</t>
  </si>
  <si>
    <t>Villafania, Grace Cel Q.</t>
  </si>
  <si>
    <t>Villaflor, Glenda I.</t>
  </si>
  <si>
    <t>Villanueva, Rizalde C.</t>
  </si>
  <si>
    <t>Villegas, Rowena I.</t>
  </si>
  <si>
    <t>Clinical/Medical services -&gt; Family Planning Unit</t>
  </si>
  <si>
    <t>Viray, Karl Maverick E.</t>
  </si>
  <si>
    <t xml:space="preserve">Viray, Krizzia Anne E. </t>
  </si>
  <si>
    <t>Yuson, Rechelle M.</t>
  </si>
  <si>
    <t>Zabala, Jennie V.</t>
  </si>
  <si>
    <t>Level I</t>
  </si>
  <si>
    <t>Medical specialists</t>
  </si>
  <si>
    <t>Medical officer</t>
  </si>
  <si>
    <t>Other Medical doctors (Including residents)</t>
  </si>
  <si>
    <t>Nurses</t>
  </si>
  <si>
    <t>Midwife</t>
  </si>
  <si>
    <t xml:space="preserve">Physical Therapist     </t>
  </si>
  <si>
    <t>Pulmonary / Respiratory Therapist</t>
  </si>
  <si>
    <t xml:space="preserve">Nursing attendant   </t>
  </si>
  <si>
    <t>Nursing attendant</t>
  </si>
  <si>
    <t>Nutritionist dietitian</t>
  </si>
  <si>
    <t>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</si>
</sst>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9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9" fontId="18" fillId="0" borderId="1" xfId="0" applyNumberFormat="1" applyFont="1" applyBorder="1" applyProtection="1"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  <xf numFmtId="43" fontId="2" fillId="0" borderId="0" xfId="8" applyFont="1"/>
    <xf numFmtId="43" fontId="2" fillId="0" borderId="0" xfId="0" applyNumberFormat="1" applyFont="1"/>
  </cellXfs>
  <cellStyles count="9">
    <cellStyle name="Comma" xfId="8" builtinId="3"/>
    <cellStyle name="Comma 2" xfId="4" xr:uid="{00000000-0005-0000-0000-000000000000}"/>
    <cellStyle name="Normal" xfId="0" builtinId="0"/>
    <cellStyle name="Normal 2" xfId="1" xr:uid="{00000000-0005-0000-0000-000002000000}"/>
    <cellStyle name="Normal 2 2" xfId="5" xr:uid="{00000000-0005-0000-0000-000003000000}"/>
    <cellStyle name="Normal 2 3" xfId="7" xr:uid="{00000000-0005-0000-0000-000004000000}"/>
    <cellStyle name="Percent" xfId="6" builtinId="5"/>
    <cellStyle name="Percent 2" xfId="2" xr:uid="{00000000-0005-0000-0000-000006000000}"/>
    <cellStyle name="Percent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1193800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4</xdr:col>
          <xdr:colOff>711200</xdr:colOff>
          <xdr:row>11</xdr:row>
          <xdr:rowOff>6350</xdr:rowOff>
        </xdr:to>
        <xdr:sp macro="" textlink="">
          <xdr:nvSpPr>
            <xdr:cNvPr id="1026" name="SelectIIandII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13</xdr:row>
          <xdr:rowOff>12700</xdr:rowOff>
        </xdr:from>
        <xdr:to>
          <xdr:col>1</xdr:col>
          <xdr:colOff>781050</xdr:colOff>
          <xdr:row>13</xdr:row>
          <xdr:rowOff>165100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825500</xdr:colOff>
          <xdr:row>13</xdr:row>
          <xdr:rowOff>12700</xdr:rowOff>
        </xdr:from>
        <xdr:to>
          <xdr:col>1</xdr:col>
          <xdr:colOff>1549400</xdr:colOff>
          <xdr:row>13</xdr:row>
          <xdr:rowOff>165100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2:Y143"/>
  <sheetViews>
    <sheetView showGridLines="0" tabSelected="1" topLeftCell="A35" zoomScale="85" zoomScaleNormal="85" workbookViewId="0">
      <selection activeCell="H107" sqref="H107"/>
    </sheetView>
  </sheetViews>
  <sheetFormatPr defaultColWidth="8.7265625" defaultRowHeight="14" outlineLevelRow="1" x14ac:dyDescent="0.3"/>
  <cols>
    <col min="1" max="1" width="3.81640625" style="13" customWidth="1"/>
    <col min="2" max="2" width="25" style="1" customWidth="1"/>
    <col min="3" max="3" width="30" style="1" customWidth="1"/>
    <col min="4" max="4" width="22.1796875" style="1" customWidth="1"/>
    <col min="5" max="5" width="12.36328125" style="1" customWidth="1"/>
    <col min="6" max="6" width="51.1796875" style="1" bestFit="1" customWidth="1"/>
    <col min="7" max="7" width="24.54296875" style="1" customWidth="1"/>
    <col min="8" max="8" width="6.7265625" style="1" customWidth="1"/>
    <col min="9" max="16384" width="8.726562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93</v>
      </c>
      <c r="C4" s="1">
        <v>130</v>
      </c>
      <c r="D4" s="1" t="s">
        <v>311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103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3" x14ac:dyDescent="0.3"/>
    <row r="11" spans="1:25" s="21" customFormat="1" x14ac:dyDescent="0.3">
      <c r="B11" s="27" t="s">
        <v>94</v>
      </c>
      <c r="C11" s="27"/>
    </row>
    <row r="12" spans="1:25" s="21" customFormat="1" x14ac:dyDescent="0.3">
      <c r="B12" s="28"/>
      <c r="C12" s="28"/>
      <c r="D12" s="29"/>
    </row>
    <row r="13" spans="1:25" ht="49" customHeight="1" x14ac:dyDescent="0.3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 x14ac:dyDescent="0.3">
      <c r="B14" s="4">
        <v>1</v>
      </c>
      <c r="C14" s="39" t="s">
        <v>261</v>
      </c>
      <c r="D14" s="39" t="s">
        <v>262</v>
      </c>
      <c r="E14" s="39" t="s">
        <v>214</v>
      </c>
      <c r="F14" s="39" t="s">
        <v>263</v>
      </c>
      <c r="G14" s="39" t="s">
        <v>16</v>
      </c>
      <c r="H14" s="39">
        <v>1</v>
      </c>
    </row>
    <row r="15" spans="1:25" x14ac:dyDescent="0.3">
      <c r="B15" s="4">
        <v>2</v>
      </c>
      <c r="C15" s="39" t="s">
        <v>249</v>
      </c>
      <c r="D15" s="39" t="s">
        <v>250</v>
      </c>
      <c r="E15" s="39" t="s">
        <v>197</v>
      </c>
      <c r="F15" s="39" t="s">
        <v>251</v>
      </c>
      <c r="G15" s="39" t="s">
        <v>16</v>
      </c>
      <c r="H15" s="39">
        <v>1</v>
      </c>
    </row>
    <row r="16" spans="1:25" x14ac:dyDescent="0.3">
      <c r="B16" s="4">
        <v>3</v>
      </c>
      <c r="C16" s="39" t="s">
        <v>298</v>
      </c>
      <c r="D16" s="39" t="s">
        <v>299</v>
      </c>
      <c r="E16" s="39" t="s">
        <v>275</v>
      </c>
      <c r="F16" s="39" t="s">
        <v>276</v>
      </c>
      <c r="G16" s="39" t="s">
        <v>16</v>
      </c>
      <c r="H16" s="39">
        <v>1</v>
      </c>
    </row>
    <row r="17" spans="2:8" x14ac:dyDescent="0.3">
      <c r="B17" s="4">
        <v>4</v>
      </c>
      <c r="C17" s="39" t="s">
        <v>107</v>
      </c>
      <c r="D17" s="39" t="s">
        <v>18</v>
      </c>
      <c r="E17" s="39"/>
      <c r="F17" s="39" t="s">
        <v>108</v>
      </c>
      <c r="G17" s="39" t="s">
        <v>15</v>
      </c>
      <c r="H17" s="39">
        <v>1</v>
      </c>
    </row>
    <row r="18" spans="2:8" x14ac:dyDescent="0.3">
      <c r="B18" s="4">
        <v>5</v>
      </c>
      <c r="C18" s="39" t="s">
        <v>165</v>
      </c>
      <c r="D18" s="39" t="s">
        <v>18</v>
      </c>
      <c r="E18" s="39"/>
      <c r="F18" s="39" t="s">
        <v>114</v>
      </c>
      <c r="G18" s="39" t="s">
        <v>15</v>
      </c>
      <c r="H18" s="39">
        <v>1</v>
      </c>
    </row>
    <row r="19" spans="2:8" x14ac:dyDescent="0.3">
      <c r="B19" s="4">
        <v>6</v>
      </c>
      <c r="C19" s="39" t="s">
        <v>112</v>
      </c>
      <c r="D19" s="39" t="s">
        <v>113</v>
      </c>
      <c r="E19" s="39"/>
      <c r="F19" s="39" t="s">
        <v>114</v>
      </c>
      <c r="G19" s="39" t="s">
        <v>15</v>
      </c>
      <c r="H19" s="39">
        <v>1</v>
      </c>
    </row>
    <row r="20" spans="2:8" s="13" customFormat="1" x14ac:dyDescent="0.3">
      <c r="B20" s="4">
        <v>7</v>
      </c>
      <c r="C20" s="39" t="s">
        <v>224</v>
      </c>
      <c r="D20" s="39" t="s">
        <v>113</v>
      </c>
      <c r="E20" s="39"/>
      <c r="F20" s="39" t="s">
        <v>120</v>
      </c>
      <c r="G20" s="39" t="s">
        <v>15</v>
      </c>
      <c r="H20" s="39">
        <v>1</v>
      </c>
    </row>
    <row r="21" spans="2:8" s="13" customFormat="1" x14ac:dyDescent="0.3">
      <c r="B21" s="4">
        <v>8</v>
      </c>
      <c r="C21" s="39" t="s">
        <v>245</v>
      </c>
      <c r="D21" s="39" t="s">
        <v>113</v>
      </c>
      <c r="E21" s="39" t="s">
        <v>151</v>
      </c>
      <c r="F21" s="39" t="s">
        <v>246</v>
      </c>
      <c r="G21" s="39" t="s">
        <v>16</v>
      </c>
      <c r="H21" s="39">
        <v>1</v>
      </c>
    </row>
    <row r="22" spans="2:8" s="13" customFormat="1" x14ac:dyDescent="0.3">
      <c r="B22" s="4">
        <v>9</v>
      </c>
      <c r="C22" s="39" t="s">
        <v>260</v>
      </c>
      <c r="D22" s="39" t="s">
        <v>113</v>
      </c>
      <c r="E22" s="39"/>
      <c r="F22" s="39" t="s">
        <v>134</v>
      </c>
      <c r="G22" s="39" t="s">
        <v>15</v>
      </c>
      <c r="H22" s="39">
        <v>1</v>
      </c>
    </row>
    <row r="23" spans="2:8" s="13" customFormat="1" x14ac:dyDescent="0.3">
      <c r="B23" s="4">
        <v>11</v>
      </c>
      <c r="C23" s="39" t="s">
        <v>285</v>
      </c>
      <c r="D23" s="39" t="s">
        <v>113</v>
      </c>
      <c r="E23" s="39"/>
      <c r="F23" s="39" t="s">
        <v>114</v>
      </c>
      <c r="G23" s="39" t="s">
        <v>15</v>
      </c>
      <c r="H23" s="39">
        <v>1</v>
      </c>
    </row>
    <row r="24" spans="2:8" s="13" customFormat="1" x14ac:dyDescent="0.3">
      <c r="B24" s="4">
        <v>12</v>
      </c>
      <c r="C24" s="39" t="s">
        <v>301</v>
      </c>
      <c r="D24" s="39" t="s">
        <v>113</v>
      </c>
      <c r="E24" s="39"/>
      <c r="F24" s="39" t="s">
        <v>108</v>
      </c>
      <c r="G24" s="39" t="s">
        <v>15</v>
      </c>
      <c r="H24" s="39">
        <v>1</v>
      </c>
    </row>
    <row r="25" spans="2:8" s="13" customFormat="1" x14ac:dyDescent="0.3">
      <c r="B25" s="4">
        <v>13</v>
      </c>
      <c r="C25" s="39" t="s">
        <v>152</v>
      </c>
      <c r="D25" s="39" t="s">
        <v>153</v>
      </c>
      <c r="E25" s="39"/>
      <c r="F25" s="39" t="s">
        <v>145</v>
      </c>
      <c r="G25" s="39" t="s">
        <v>15</v>
      </c>
      <c r="H25" s="39">
        <v>1</v>
      </c>
    </row>
    <row r="26" spans="2:8" s="13" customFormat="1" x14ac:dyDescent="0.3">
      <c r="B26" s="4">
        <v>14</v>
      </c>
      <c r="C26" s="39" t="s">
        <v>174</v>
      </c>
      <c r="D26" s="39" t="s">
        <v>153</v>
      </c>
      <c r="E26" s="39"/>
      <c r="F26" s="39" t="s">
        <v>175</v>
      </c>
      <c r="G26" s="39" t="s">
        <v>15</v>
      </c>
      <c r="H26" s="39">
        <v>1</v>
      </c>
    </row>
    <row r="27" spans="2:8" s="13" customFormat="1" x14ac:dyDescent="0.3">
      <c r="B27" s="4">
        <v>15</v>
      </c>
      <c r="C27" s="39" t="s">
        <v>177</v>
      </c>
      <c r="D27" s="39" t="s">
        <v>153</v>
      </c>
      <c r="E27" s="39"/>
      <c r="F27" s="39" t="s">
        <v>114</v>
      </c>
      <c r="G27" s="39" t="s">
        <v>15</v>
      </c>
      <c r="H27" s="39">
        <v>1</v>
      </c>
    </row>
    <row r="28" spans="2:8" s="13" customFormat="1" x14ac:dyDescent="0.3">
      <c r="B28" s="4">
        <v>16</v>
      </c>
      <c r="C28" s="39" t="s">
        <v>192</v>
      </c>
      <c r="D28" s="39" t="s">
        <v>153</v>
      </c>
      <c r="E28" s="39"/>
      <c r="F28" s="39" t="s">
        <v>193</v>
      </c>
      <c r="G28" s="39" t="s">
        <v>15</v>
      </c>
      <c r="H28" s="39">
        <v>1</v>
      </c>
    </row>
    <row r="29" spans="2:8" s="13" customFormat="1" x14ac:dyDescent="0.3">
      <c r="B29" s="4">
        <v>17</v>
      </c>
      <c r="C29" s="39" t="s">
        <v>240</v>
      </c>
      <c r="D29" s="39" t="s">
        <v>153</v>
      </c>
      <c r="E29" s="39"/>
      <c r="F29" s="39" t="s">
        <v>114</v>
      </c>
      <c r="G29" s="39" t="s">
        <v>15</v>
      </c>
      <c r="H29" s="39">
        <v>1</v>
      </c>
    </row>
    <row r="30" spans="2:8" s="13" customFormat="1" x14ac:dyDescent="0.3">
      <c r="B30" s="4">
        <v>18</v>
      </c>
      <c r="C30" s="39" t="s">
        <v>244</v>
      </c>
      <c r="D30" s="39" t="s">
        <v>153</v>
      </c>
      <c r="E30" s="39"/>
      <c r="F30" s="39" t="s">
        <v>175</v>
      </c>
      <c r="G30" s="39" t="s">
        <v>130</v>
      </c>
      <c r="H30" s="39">
        <v>1</v>
      </c>
    </row>
    <row r="31" spans="2:8" s="13" customFormat="1" x14ac:dyDescent="0.3">
      <c r="B31" s="4">
        <v>19</v>
      </c>
      <c r="C31" s="39" t="s">
        <v>302</v>
      </c>
      <c r="D31" s="39" t="s">
        <v>153</v>
      </c>
      <c r="E31" s="39"/>
      <c r="F31" s="39" t="s">
        <v>124</v>
      </c>
      <c r="G31" s="39" t="s">
        <v>15</v>
      </c>
      <c r="H31" s="39">
        <v>1</v>
      </c>
    </row>
    <row r="32" spans="2:8" s="13" customFormat="1" x14ac:dyDescent="0.3">
      <c r="B32" s="4">
        <v>20</v>
      </c>
      <c r="C32" s="39" t="s">
        <v>307</v>
      </c>
      <c r="D32" s="39" t="s">
        <v>153</v>
      </c>
      <c r="E32" s="39"/>
      <c r="F32" s="39" t="s">
        <v>175</v>
      </c>
      <c r="G32" s="39" t="s">
        <v>130</v>
      </c>
      <c r="H32" s="39">
        <v>1</v>
      </c>
    </row>
    <row r="33" spans="2:8" s="13" customFormat="1" x14ac:dyDescent="0.3">
      <c r="B33" s="4">
        <v>21</v>
      </c>
      <c r="C33" s="39" t="s">
        <v>227</v>
      </c>
      <c r="D33" s="39" t="s">
        <v>228</v>
      </c>
      <c r="E33" s="39" t="s">
        <v>151</v>
      </c>
      <c r="F33" s="39" t="s">
        <v>141</v>
      </c>
      <c r="G33" s="39" t="s">
        <v>16</v>
      </c>
      <c r="H33" s="39">
        <v>1</v>
      </c>
    </row>
    <row r="34" spans="2:8" s="13" customFormat="1" x14ac:dyDescent="0.3">
      <c r="B34" s="4">
        <v>22</v>
      </c>
      <c r="C34" s="39" t="s">
        <v>292</v>
      </c>
      <c r="D34" s="39" t="s">
        <v>293</v>
      </c>
      <c r="E34" s="39" t="s">
        <v>110</v>
      </c>
      <c r="F34" s="39" t="s">
        <v>114</v>
      </c>
      <c r="G34" s="39" t="s">
        <v>16</v>
      </c>
      <c r="H34" s="39">
        <v>1</v>
      </c>
    </row>
    <row r="35" spans="2:8" s="13" customFormat="1" x14ac:dyDescent="0.3">
      <c r="B35" s="4">
        <v>23</v>
      </c>
      <c r="C35" s="39" t="s">
        <v>188</v>
      </c>
      <c r="D35" s="39" t="s">
        <v>189</v>
      </c>
      <c r="E35" s="39" t="s">
        <v>190</v>
      </c>
      <c r="F35" s="39" t="s">
        <v>191</v>
      </c>
      <c r="G35" s="39" t="s">
        <v>16</v>
      </c>
      <c r="H35" s="39">
        <v>1</v>
      </c>
    </row>
    <row r="36" spans="2:8" s="13" customFormat="1" x14ac:dyDescent="0.3">
      <c r="B36" s="4">
        <v>24</v>
      </c>
      <c r="C36" s="39" t="s">
        <v>168</v>
      </c>
      <c r="D36" s="39" t="s">
        <v>169</v>
      </c>
      <c r="E36" s="39" t="s">
        <v>151</v>
      </c>
      <c r="F36" s="39" t="s">
        <v>170</v>
      </c>
      <c r="G36" s="39" t="s">
        <v>16</v>
      </c>
      <c r="H36" s="39">
        <v>1</v>
      </c>
    </row>
    <row r="37" spans="2:8" s="13" customFormat="1" x14ac:dyDescent="0.3">
      <c r="B37" s="4">
        <v>25</v>
      </c>
      <c r="C37" s="39" t="s">
        <v>171</v>
      </c>
      <c r="D37" s="39" t="s">
        <v>169</v>
      </c>
      <c r="E37" s="39"/>
      <c r="F37" s="39" t="s">
        <v>172</v>
      </c>
      <c r="G37" s="39" t="s">
        <v>15</v>
      </c>
      <c r="H37" s="39">
        <v>1</v>
      </c>
    </row>
    <row r="38" spans="2:8" s="13" customFormat="1" x14ac:dyDescent="0.3">
      <c r="B38" s="4">
        <v>26</v>
      </c>
      <c r="C38" s="39" t="s">
        <v>242</v>
      </c>
      <c r="D38" s="39" t="s">
        <v>169</v>
      </c>
      <c r="E38" s="39"/>
      <c r="F38" s="39" t="s">
        <v>172</v>
      </c>
      <c r="G38" s="39" t="s">
        <v>15</v>
      </c>
      <c r="H38" s="39">
        <v>1</v>
      </c>
    </row>
    <row r="39" spans="2:8" s="13" customFormat="1" x14ac:dyDescent="0.3">
      <c r="B39" s="4">
        <v>27</v>
      </c>
      <c r="C39" s="39" t="s">
        <v>280</v>
      </c>
      <c r="D39" s="39" t="s">
        <v>169</v>
      </c>
      <c r="E39" s="39" t="s">
        <v>151</v>
      </c>
      <c r="F39" s="39" t="s">
        <v>172</v>
      </c>
      <c r="G39" s="39" t="s">
        <v>16</v>
      </c>
      <c r="H39" s="39">
        <v>1</v>
      </c>
    </row>
    <row r="40" spans="2:8" s="13" customFormat="1" x14ac:dyDescent="0.3">
      <c r="B40" s="4">
        <v>28</v>
      </c>
      <c r="C40" s="39" t="s">
        <v>215</v>
      </c>
      <c r="D40" s="39" t="s">
        <v>216</v>
      </c>
      <c r="E40" s="39" t="s">
        <v>110</v>
      </c>
      <c r="F40" s="39" t="s">
        <v>217</v>
      </c>
      <c r="G40" s="39" t="s">
        <v>16</v>
      </c>
      <c r="H40" s="39">
        <v>1</v>
      </c>
    </row>
    <row r="41" spans="2:8" s="13" customFormat="1" x14ac:dyDescent="0.3">
      <c r="B41" s="4">
        <v>29</v>
      </c>
      <c r="C41" s="39" t="s">
        <v>209</v>
      </c>
      <c r="D41" s="39" t="s">
        <v>210</v>
      </c>
      <c r="E41" s="39" t="s">
        <v>110</v>
      </c>
      <c r="F41" s="39" t="s">
        <v>120</v>
      </c>
      <c r="G41" s="39" t="s">
        <v>16</v>
      </c>
      <c r="H41" s="39">
        <v>1</v>
      </c>
    </row>
    <row r="42" spans="2:8" s="13" customFormat="1" x14ac:dyDescent="0.3">
      <c r="B42" s="4">
        <v>30</v>
      </c>
      <c r="C42" s="39" t="s">
        <v>231</v>
      </c>
      <c r="D42" s="39" t="s">
        <v>210</v>
      </c>
      <c r="E42" s="39" t="s">
        <v>110</v>
      </c>
      <c r="F42" s="39" t="s">
        <v>134</v>
      </c>
      <c r="G42" s="39" t="s">
        <v>16</v>
      </c>
      <c r="H42" s="39">
        <v>1</v>
      </c>
    </row>
    <row r="43" spans="2:8" s="13" customFormat="1" x14ac:dyDescent="0.3">
      <c r="B43" s="4">
        <v>31</v>
      </c>
      <c r="C43" s="39" t="s">
        <v>166</v>
      </c>
      <c r="D43" s="39" t="s">
        <v>167</v>
      </c>
      <c r="E43" s="39" t="s">
        <v>140</v>
      </c>
      <c r="F43" s="39" t="s">
        <v>120</v>
      </c>
      <c r="G43" s="39" t="s">
        <v>16</v>
      </c>
      <c r="H43" s="39">
        <v>1</v>
      </c>
    </row>
    <row r="44" spans="2:8" s="13" customFormat="1" x14ac:dyDescent="0.3">
      <c r="B44" s="4">
        <v>32</v>
      </c>
      <c r="C44" s="39" t="s">
        <v>286</v>
      </c>
      <c r="D44" s="39" t="s">
        <v>167</v>
      </c>
      <c r="E44" s="39" t="s">
        <v>140</v>
      </c>
      <c r="F44" s="39" t="s">
        <v>267</v>
      </c>
      <c r="G44" s="39" t="s">
        <v>16</v>
      </c>
      <c r="H44" s="39">
        <v>1</v>
      </c>
    </row>
    <row r="45" spans="2:8" s="13" customFormat="1" x14ac:dyDescent="0.3">
      <c r="B45" s="4">
        <v>33</v>
      </c>
      <c r="C45" s="39" t="s">
        <v>125</v>
      </c>
      <c r="D45" s="39" t="s">
        <v>312</v>
      </c>
      <c r="E45" s="39"/>
      <c r="F45" s="39" t="s">
        <v>126</v>
      </c>
      <c r="G45" s="39" t="s">
        <v>17</v>
      </c>
      <c r="H45" s="39">
        <v>1</v>
      </c>
    </row>
    <row r="46" spans="2:8" s="13" customFormat="1" x14ac:dyDescent="0.3">
      <c r="B46" s="4">
        <v>34</v>
      </c>
      <c r="C46" s="39" t="s">
        <v>146</v>
      </c>
      <c r="D46" s="39" t="s">
        <v>312</v>
      </c>
      <c r="E46" s="39"/>
      <c r="F46" s="39" t="s">
        <v>126</v>
      </c>
      <c r="G46" s="39" t="s">
        <v>17</v>
      </c>
      <c r="H46" s="39">
        <v>1</v>
      </c>
    </row>
    <row r="47" spans="2:8" s="13" customFormat="1" x14ac:dyDescent="0.3">
      <c r="B47" s="4">
        <v>35</v>
      </c>
      <c r="C47" s="39" t="s">
        <v>230</v>
      </c>
      <c r="D47" s="39" t="s">
        <v>312</v>
      </c>
      <c r="E47" s="39"/>
      <c r="F47" s="39" t="s">
        <v>185</v>
      </c>
      <c r="G47" s="39" t="s">
        <v>17</v>
      </c>
      <c r="H47" s="39">
        <v>0.5</v>
      </c>
    </row>
    <row r="48" spans="2:8" s="13" customFormat="1" x14ac:dyDescent="0.3">
      <c r="B48" s="4">
        <v>36</v>
      </c>
      <c r="C48" s="39" t="s">
        <v>218</v>
      </c>
      <c r="D48" s="39" t="s">
        <v>219</v>
      </c>
      <c r="E48" s="39" t="s">
        <v>220</v>
      </c>
      <c r="F48" s="39" t="s">
        <v>180</v>
      </c>
      <c r="G48" s="39" t="s">
        <v>16</v>
      </c>
      <c r="H48" s="39">
        <v>1</v>
      </c>
    </row>
    <row r="49" spans="2:8" s="13" customFormat="1" x14ac:dyDescent="0.3">
      <c r="B49" s="4">
        <v>37</v>
      </c>
      <c r="C49" s="39" t="s">
        <v>241</v>
      </c>
      <c r="D49" s="39" t="s">
        <v>219</v>
      </c>
      <c r="E49" s="39" t="s">
        <v>220</v>
      </c>
      <c r="F49" s="39" t="s">
        <v>180</v>
      </c>
      <c r="G49" s="39" t="s">
        <v>16</v>
      </c>
      <c r="H49" s="39">
        <v>1</v>
      </c>
    </row>
    <row r="50" spans="2:8" s="13" customFormat="1" x14ac:dyDescent="0.3">
      <c r="B50" s="4">
        <v>38</v>
      </c>
      <c r="C50" s="39" t="s">
        <v>265</v>
      </c>
      <c r="D50" s="39" t="s">
        <v>219</v>
      </c>
      <c r="E50" s="39" t="s">
        <v>220</v>
      </c>
      <c r="F50" s="39" t="s">
        <v>180</v>
      </c>
      <c r="G50" s="39" t="s">
        <v>16</v>
      </c>
      <c r="H50" s="39">
        <v>1</v>
      </c>
    </row>
    <row r="51" spans="2:8" s="13" customFormat="1" x14ac:dyDescent="0.3">
      <c r="B51" s="4">
        <v>39</v>
      </c>
      <c r="C51" s="39" t="s">
        <v>288</v>
      </c>
      <c r="D51" s="39" t="s">
        <v>219</v>
      </c>
      <c r="E51" s="39" t="s">
        <v>220</v>
      </c>
      <c r="F51" s="39" t="s">
        <v>126</v>
      </c>
      <c r="G51" s="39" t="s">
        <v>16</v>
      </c>
      <c r="H51" s="39">
        <v>1</v>
      </c>
    </row>
    <row r="52" spans="2:8" s="13" customFormat="1" x14ac:dyDescent="0.3">
      <c r="B52" s="4">
        <v>40</v>
      </c>
      <c r="C52" s="39" t="s">
        <v>304</v>
      </c>
      <c r="D52" s="39" t="s">
        <v>219</v>
      </c>
      <c r="E52" s="39" t="s">
        <v>220</v>
      </c>
      <c r="F52" s="39" t="s">
        <v>185</v>
      </c>
      <c r="G52" s="39" t="s">
        <v>16</v>
      </c>
      <c r="H52" s="39">
        <v>1</v>
      </c>
    </row>
    <row r="53" spans="2:8" s="13" customFormat="1" x14ac:dyDescent="0.3">
      <c r="B53" s="4">
        <v>41</v>
      </c>
      <c r="C53" s="39" t="s">
        <v>132</v>
      </c>
      <c r="D53" s="39" t="s">
        <v>133</v>
      </c>
      <c r="E53" s="39"/>
      <c r="F53" s="39" t="s">
        <v>134</v>
      </c>
      <c r="G53" s="39" t="s">
        <v>15</v>
      </c>
      <c r="H53" s="39">
        <v>1</v>
      </c>
    </row>
    <row r="54" spans="2:8" s="13" customFormat="1" x14ac:dyDescent="0.3">
      <c r="B54" s="4">
        <v>42</v>
      </c>
      <c r="C54" s="39" t="s">
        <v>243</v>
      </c>
      <c r="D54" s="39" t="s">
        <v>133</v>
      </c>
      <c r="E54" s="39"/>
      <c r="F54" s="39" t="s">
        <v>134</v>
      </c>
      <c r="G54" s="39" t="s">
        <v>15</v>
      </c>
      <c r="H54" s="39">
        <v>1</v>
      </c>
    </row>
    <row r="55" spans="2:8" s="13" customFormat="1" x14ac:dyDescent="0.3">
      <c r="B55" s="4">
        <v>43</v>
      </c>
      <c r="C55" s="39" t="s">
        <v>283</v>
      </c>
      <c r="D55" s="39" t="s">
        <v>133</v>
      </c>
      <c r="E55" s="39"/>
      <c r="F55" s="39" t="s">
        <v>134</v>
      </c>
      <c r="G55" s="39" t="s">
        <v>15</v>
      </c>
      <c r="H55" s="39">
        <v>1</v>
      </c>
    </row>
    <row r="56" spans="2:8" s="13" customFormat="1" x14ac:dyDescent="0.3">
      <c r="B56" s="4">
        <v>44</v>
      </c>
      <c r="C56" s="39" t="s">
        <v>310</v>
      </c>
      <c r="D56" s="39" t="s">
        <v>133</v>
      </c>
      <c r="E56" s="39"/>
      <c r="F56" s="39" t="s">
        <v>134</v>
      </c>
      <c r="G56" s="39" t="s">
        <v>15</v>
      </c>
      <c r="H56" s="39">
        <v>1</v>
      </c>
    </row>
    <row r="57" spans="2:8" s="13" customFormat="1" x14ac:dyDescent="0.3">
      <c r="B57" s="4">
        <v>45</v>
      </c>
      <c r="C57" s="39" t="s">
        <v>257</v>
      </c>
      <c r="D57" s="39" t="s">
        <v>258</v>
      </c>
      <c r="E57" s="39" t="s">
        <v>214</v>
      </c>
      <c r="F57" s="39" t="s">
        <v>259</v>
      </c>
      <c r="G57" s="39" t="s">
        <v>16</v>
      </c>
      <c r="H57" s="39">
        <v>1</v>
      </c>
    </row>
    <row r="58" spans="2:8" s="13" customFormat="1" x14ac:dyDescent="0.3">
      <c r="B58" s="4">
        <v>46</v>
      </c>
      <c r="C58" s="39" t="s">
        <v>281</v>
      </c>
      <c r="D58" s="39" t="s">
        <v>258</v>
      </c>
      <c r="E58" s="39" t="s">
        <v>214</v>
      </c>
      <c r="F58" s="39" t="s">
        <v>282</v>
      </c>
      <c r="G58" s="39" t="s">
        <v>16</v>
      </c>
      <c r="H58" s="39">
        <v>1</v>
      </c>
    </row>
    <row r="59" spans="2:8" s="13" customFormat="1" x14ac:dyDescent="0.3">
      <c r="B59" s="4">
        <v>47</v>
      </c>
      <c r="C59" s="39" t="s">
        <v>104</v>
      </c>
      <c r="D59" s="39" t="s">
        <v>315</v>
      </c>
      <c r="E59" s="39"/>
      <c r="F59" s="39" t="s">
        <v>105</v>
      </c>
      <c r="G59" s="39" t="s">
        <v>15</v>
      </c>
      <c r="H59" s="39">
        <v>1</v>
      </c>
    </row>
    <row r="60" spans="2:8" s="13" customFormat="1" x14ac:dyDescent="0.3">
      <c r="B60" s="4">
        <v>48</v>
      </c>
      <c r="C60" s="39" t="s">
        <v>106</v>
      </c>
      <c r="D60" s="39" t="s">
        <v>315</v>
      </c>
      <c r="E60" s="39"/>
      <c r="F60" s="39" t="s">
        <v>105</v>
      </c>
      <c r="G60" s="39" t="s">
        <v>15</v>
      </c>
      <c r="H60" s="39">
        <v>1</v>
      </c>
    </row>
    <row r="61" spans="2:8" s="13" customFormat="1" x14ac:dyDescent="0.3">
      <c r="B61" s="4">
        <v>49</v>
      </c>
      <c r="C61" s="39" t="s">
        <v>111</v>
      </c>
      <c r="D61" s="39" t="s">
        <v>315</v>
      </c>
      <c r="E61" s="39"/>
      <c r="F61" s="39" t="s">
        <v>108</v>
      </c>
      <c r="G61" s="39" t="s">
        <v>15</v>
      </c>
      <c r="H61" s="89">
        <v>1</v>
      </c>
    </row>
    <row r="62" spans="2:8" s="13" customFormat="1" x14ac:dyDescent="0.3">
      <c r="B62" s="4">
        <v>50</v>
      </c>
      <c r="C62" s="39" t="s">
        <v>121</v>
      </c>
      <c r="D62" s="39" t="s">
        <v>315</v>
      </c>
      <c r="E62" s="39"/>
      <c r="F62" s="39" t="s">
        <v>105</v>
      </c>
      <c r="G62" s="39" t="s">
        <v>15</v>
      </c>
      <c r="H62" s="39">
        <v>1</v>
      </c>
    </row>
    <row r="63" spans="2:8" s="13" customFormat="1" x14ac:dyDescent="0.3">
      <c r="B63" s="4">
        <v>51</v>
      </c>
      <c r="C63" s="39" t="s">
        <v>128</v>
      </c>
      <c r="D63" s="39" t="s">
        <v>315</v>
      </c>
      <c r="E63" s="39"/>
      <c r="F63" s="39" t="s">
        <v>105</v>
      </c>
      <c r="G63" s="39" t="s">
        <v>15</v>
      </c>
      <c r="H63" s="39">
        <v>1</v>
      </c>
    </row>
    <row r="64" spans="2:8" s="13" customFormat="1" x14ac:dyDescent="0.3">
      <c r="B64" s="4">
        <v>52</v>
      </c>
      <c r="C64" s="39" t="s">
        <v>131</v>
      </c>
      <c r="D64" s="39" t="s">
        <v>315</v>
      </c>
      <c r="E64" s="39"/>
      <c r="F64" s="39" t="s">
        <v>105</v>
      </c>
      <c r="G64" s="39" t="s">
        <v>130</v>
      </c>
      <c r="H64" s="39">
        <v>1</v>
      </c>
    </row>
    <row r="65" spans="2:8" s="13" customFormat="1" x14ac:dyDescent="0.3">
      <c r="B65" s="4">
        <v>53</v>
      </c>
      <c r="C65" s="39" t="s">
        <v>135</v>
      </c>
      <c r="D65" s="39" t="s">
        <v>315</v>
      </c>
      <c r="E65" s="39"/>
      <c r="F65" s="39" t="s">
        <v>105</v>
      </c>
      <c r="G65" s="39" t="s">
        <v>15</v>
      </c>
      <c r="H65" s="39">
        <v>1</v>
      </c>
    </row>
    <row r="66" spans="2:8" s="13" customFormat="1" x14ac:dyDescent="0.3">
      <c r="B66" s="4">
        <v>54</v>
      </c>
      <c r="C66" s="39" t="s">
        <v>147</v>
      </c>
      <c r="D66" s="39" t="s">
        <v>315</v>
      </c>
      <c r="E66" s="39" t="s">
        <v>148</v>
      </c>
      <c r="F66" s="39" t="s">
        <v>126</v>
      </c>
      <c r="G66" s="39" t="s">
        <v>16</v>
      </c>
      <c r="H66" s="39">
        <v>1</v>
      </c>
    </row>
    <row r="67" spans="2:8" s="13" customFormat="1" x14ac:dyDescent="0.3">
      <c r="B67" s="4">
        <v>55</v>
      </c>
      <c r="C67" s="39" t="s">
        <v>161</v>
      </c>
      <c r="D67" s="39" t="s">
        <v>315</v>
      </c>
      <c r="E67" s="39"/>
      <c r="F67" s="39" t="s">
        <v>105</v>
      </c>
      <c r="G67" s="39" t="s">
        <v>15</v>
      </c>
      <c r="H67" s="39">
        <v>1</v>
      </c>
    </row>
    <row r="68" spans="2:8" s="13" customFormat="1" x14ac:dyDescent="0.3">
      <c r="B68" s="4">
        <v>56</v>
      </c>
      <c r="C68" s="39" t="s">
        <v>164</v>
      </c>
      <c r="D68" s="39" t="s">
        <v>315</v>
      </c>
      <c r="E68" s="39"/>
      <c r="F68" s="39" t="s">
        <v>126</v>
      </c>
      <c r="G68" s="39" t="s">
        <v>15</v>
      </c>
      <c r="H68" s="39">
        <v>1</v>
      </c>
    </row>
    <row r="69" spans="2:8" s="13" customFormat="1" x14ac:dyDescent="0.3">
      <c r="B69" s="4">
        <v>57</v>
      </c>
      <c r="C69" s="39" t="s">
        <v>173</v>
      </c>
      <c r="D69" s="39" t="s">
        <v>315</v>
      </c>
      <c r="E69" s="39"/>
      <c r="F69" s="39" t="s">
        <v>102</v>
      </c>
      <c r="G69" s="39" t="s">
        <v>15</v>
      </c>
      <c r="H69" s="89">
        <v>1</v>
      </c>
    </row>
    <row r="70" spans="2:8" s="13" customFormat="1" x14ac:dyDescent="0.3">
      <c r="B70" s="4">
        <v>58</v>
      </c>
      <c r="C70" s="39" t="s">
        <v>179</v>
      </c>
      <c r="D70" s="39" t="s">
        <v>315</v>
      </c>
      <c r="E70" s="39"/>
      <c r="F70" s="39" t="s">
        <v>180</v>
      </c>
      <c r="G70" s="39" t="s">
        <v>15</v>
      </c>
      <c r="H70" s="39">
        <v>1</v>
      </c>
    </row>
    <row r="71" spans="2:8" s="13" customFormat="1" x14ac:dyDescent="0.3">
      <c r="B71" s="4">
        <v>59</v>
      </c>
      <c r="C71" s="39" t="s">
        <v>181</v>
      </c>
      <c r="D71" s="39" t="s">
        <v>315</v>
      </c>
      <c r="E71" s="39"/>
      <c r="F71" s="39" t="s">
        <v>180</v>
      </c>
      <c r="G71" s="39" t="s">
        <v>15</v>
      </c>
      <c r="H71" s="39">
        <v>1</v>
      </c>
    </row>
    <row r="72" spans="2:8" s="13" customFormat="1" x14ac:dyDescent="0.3">
      <c r="B72" s="4">
        <v>60</v>
      </c>
      <c r="C72" s="39" t="s">
        <v>182</v>
      </c>
      <c r="D72" s="39" t="s">
        <v>315</v>
      </c>
      <c r="E72" s="39"/>
      <c r="F72" s="39" t="s">
        <v>126</v>
      </c>
      <c r="G72" s="39" t="s">
        <v>15</v>
      </c>
      <c r="H72" s="39">
        <v>1</v>
      </c>
    </row>
    <row r="73" spans="2:8" s="13" customFormat="1" x14ac:dyDescent="0.3">
      <c r="B73" s="4">
        <v>61</v>
      </c>
      <c r="C73" s="39" t="s">
        <v>183</v>
      </c>
      <c r="D73" s="39" t="s">
        <v>315</v>
      </c>
      <c r="E73" s="39"/>
      <c r="F73" s="39" t="s">
        <v>108</v>
      </c>
      <c r="G73" s="39" t="s">
        <v>15</v>
      </c>
      <c r="H73" s="39">
        <v>1</v>
      </c>
    </row>
    <row r="74" spans="2:8" s="13" customFormat="1" x14ac:dyDescent="0.3">
      <c r="B74" s="4">
        <v>62</v>
      </c>
      <c r="C74" s="39" t="s">
        <v>184</v>
      </c>
      <c r="D74" s="39" t="s">
        <v>315</v>
      </c>
      <c r="E74" s="39" t="s">
        <v>148</v>
      </c>
      <c r="F74" s="39" t="s">
        <v>185</v>
      </c>
      <c r="G74" s="39" t="s">
        <v>16</v>
      </c>
      <c r="H74" s="39">
        <v>1</v>
      </c>
    </row>
    <row r="75" spans="2:8" s="13" customFormat="1" x14ac:dyDescent="0.3">
      <c r="B75" s="4">
        <v>63</v>
      </c>
      <c r="C75" s="39" t="s">
        <v>194</v>
      </c>
      <c r="D75" s="39" t="s">
        <v>315</v>
      </c>
      <c r="E75" s="39" t="s">
        <v>148</v>
      </c>
      <c r="F75" s="39" t="s">
        <v>105</v>
      </c>
      <c r="G75" s="39" t="s">
        <v>16</v>
      </c>
      <c r="H75" s="39">
        <v>1</v>
      </c>
    </row>
    <row r="76" spans="2:8" s="13" customFormat="1" x14ac:dyDescent="0.3">
      <c r="B76" s="4">
        <v>64</v>
      </c>
      <c r="C76" s="39" t="s">
        <v>198</v>
      </c>
      <c r="D76" s="39" t="s">
        <v>315</v>
      </c>
      <c r="E76" s="39"/>
      <c r="F76" s="39" t="s">
        <v>199</v>
      </c>
      <c r="G76" s="39" t="s">
        <v>15</v>
      </c>
      <c r="H76" s="39">
        <v>1</v>
      </c>
    </row>
    <row r="77" spans="2:8" s="13" customFormat="1" x14ac:dyDescent="0.3">
      <c r="B77" s="4">
        <v>65</v>
      </c>
      <c r="C77" s="39" t="s">
        <v>201</v>
      </c>
      <c r="D77" s="39" t="s">
        <v>315</v>
      </c>
      <c r="E77" s="39"/>
      <c r="F77" s="39" t="s">
        <v>202</v>
      </c>
      <c r="G77" s="39" t="s">
        <v>15</v>
      </c>
      <c r="H77" s="39">
        <v>1</v>
      </c>
    </row>
    <row r="78" spans="2:8" s="13" customFormat="1" x14ac:dyDescent="0.3">
      <c r="B78" s="4">
        <v>66</v>
      </c>
      <c r="C78" s="39" t="s">
        <v>203</v>
      </c>
      <c r="D78" s="39" t="s">
        <v>315</v>
      </c>
      <c r="E78" s="39"/>
      <c r="F78" s="39" t="s">
        <v>105</v>
      </c>
      <c r="G78" s="39" t="s">
        <v>130</v>
      </c>
      <c r="H78" s="39">
        <v>1</v>
      </c>
    </row>
    <row r="79" spans="2:8" s="13" customFormat="1" x14ac:dyDescent="0.3">
      <c r="B79" s="4">
        <v>67</v>
      </c>
      <c r="C79" s="39" t="s">
        <v>207</v>
      </c>
      <c r="D79" s="39" t="s">
        <v>315</v>
      </c>
      <c r="E79" s="39"/>
      <c r="F79" s="39" t="s">
        <v>180</v>
      </c>
      <c r="G79" s="39" t="s">
        <v>15</v>
      </c>
      <c r="H79" s="39">
        <v>1</v>
      </c>
    </row>
    <row r="80" spans="2:8" s="13" customFormat="1" x14ac:dyDescent="0.3">
      <c r="B80" s="4">
        <v>68</v>
      </c>
      <c r="C80" s="39" t="s">
        <v>208</v>
      </c>
      <c r="D80" s="39" t="s">
        <v>315</v>
      </c>
      <c r="E80" s="39"/>
      <c r="F80" s="39" t="s">
        <v>102</v>
      </c>
      <c r="G80" s="39" t="s">
        <v>15</v>
      </c>
      <c r="H80" s="39">
        <v>1</v>
      </c>
    </row>
    <row r="81" spans="2:8" s="13" customFormat="1" x14ac:dyDescent="0.3">
      <c r="B81" s="4">
        <v>69</v>
      </c>
      <c r="C81" s="39" t="s">
        <v>211</v>
      </c>
      <c r="D81" s="39" t="s">
        <v>315</v>
      </c>
      <c r="E81" s="39"/>
      <c r="F81" s="39" t="s">
        <v>105</v>
      </c>
      <c r="G81" s="39" t="s">
        <v>15</v>
      </c>
      <c r="H81" s="39">
        <v>1</v>
      </c>
    </row>
    <row r="82" spans="2:8" s="13" customFormat="1" x14ac:dyDescent="0.3">
      <c r="B82" s="4">
        <v>70</v>
      </c>
      <c r="C82" s="39" t="s">
        <v>225</v>
      </c>
      <c r="D82" s="39" t="s">
        <v>315</v>
      </c>
      <c r="E82" s="39" t="s">
        <v>148</v>
      </c>
      <c r="F82" s="39" t="s">
        <v>185</v>
      </c>
      <c r="G82" s="39" t="s">
        <v>16</v>
      </c>
      <c r="H82" s="39">
        <v>1</v>
      </c>
    </row>
    <row r="83" spans="2:8" s="13" customFormat="1" x14ac:dyDescent="0.3">
      <c r="B83" s="4">
        <v>71</v>
      </c>
      <c r="C83" s="39" t="s">
        <v>235</v>
      </c>
      <c r="D83" s="39" t="s">
        <v>315</v>
      </c>
      <c r="E83" s="39"/>
      <c r="F83" s="39" t="s">
        <v>126</v>
      </c>
      <c r="G83" s="39" t="s">
        <v>15</v>
      </c>
      <c r="H83" s="39">
        <v>1</v>
      </c>
    </row>
    <row r="84" spans="2:8" s="13" customFormat="1" x14ac:dyDescent="0.3">
      <c r="B84" s="4">
        <v>72</v>
      </c>
      <c r="C84" s="39" t="s">
        <v>236</v>
      </c>
      <c r="D84" s="39" t="s">
        <v>315</v>
      </c>
      <c r="E84" s="39" t="s">
        <v>148</v>
      </c>
      <c r="F84" s="39" t="s">
        <v>202</v>
      </c>
      <c r="G84" s="39" t="s">
        <v>16</v>
      </c>
      <c r="H84" s="39">
        <v>1</v>
      </c>
    </row>
    <row r="85" spans="2:8" s="13" customFormat="1" x14ac:dyDescent="0.3">
      <c r="B85" s="4">
        <v>73</v>
      </c>
      <c r="C85" s="39" t="s">
        <v>238</v>
      </c>
      <c r="D85" s="39" t="s">
        <v>315</v>
      </c>
      <c r="E85" s="39" t="s">
        <v>148</v>
      </c>
      <c r="F85" s="39" t="s">
        <v>239</v>
      </c>
      <c r="G85" s="39" t="s">
        <v>16</v>
      </c>
      <c r="H85" s="39">
        <v>1</v>
      </c>
    </row>
    <row r="86" spans="2:8" s="13" customFormat="1" x14ac:dyDescent="0.3">
      <c r="B86" s="4">
        <v>74</v>
      </c>
      <c r="C86" s="39" t="s">
        <v>252</v>
      </c>
      <c r="D86" s="39" t="s">
        <v>315</v>
      </c>
      <c r="E86" s="39" t="s">
        <v>148</v>
      </c>
      <c r="F86" s="39" t="s">
        <v>126</v>
      </c>
      <c r="G86" s="39" t="s">
        <v>15</v>
      </c>
      <c r="H86" s="39">
        <v>1</v>
      </c>
    </row>
    <row r="87" spans="2:8" s="13" customFormat="1" x14ac:dyDescent="0.3">
      <c r="B87" s="4">
        <v>75</v>
      </c>
      <c r="C87" s="39" t="s">
        <v>254</v>
      </c>
      <c r="D87" s="39" t="s">
        <v>315</v>
      </c>
      <c r="E87" s="39" t="s">
        <v>148</v>
      </c>
      <c r="F87" s="39" t="s">
        <v>126</v>
      </c>
      <c r="G87" s="39" t="s">
        <v>16</v>
      </c>
      <c r="H87" s="39">
        <v>1</v>
      </c>
    </row>
    <row r="88" spans="2:8" s="13" customFormat="1" x14ac:dyDescent="0.3">
      <c r="B88" s="4">
        <v>76</v>
      </c>
      <c r="C88" s="39" t="s">
        <v>256</v>
      </c>
      <c r="D88" s="39" t="s">
        <v>315</v>
      </c>
      <c r="E88" s="39" t="s">
        <v>148</v>
      </c>
      <c r="F88" s="39" t="s">
        <v>180</v>
      </c>
      <c r="G88" s="39" t="s">
        <v>16</v>
      </c>
      <c r="H88" s="39">
        <v>1</v>
      </c>
    </row>
    <row r="89" spans="2:8" s="13" customFormat="1" x14ac:dyDescent="0.3">
      <c r="B89" s="4">
        <v>77</v>
      </c>
      <c r="C89" s="39" t="s">
        <v>268</v>
      </c>
      <c r="D89" s="39" t="s">
        <v>315</v>
      </c>
      <c r="E89" s="39"/>
      <c r="F89" s="39" t="s">
        <v>105</v>
      </c>
      <c r="G89" s="39" t="s">
        <v>15</v>
      </c>
      <c r="H89" s="39">
        <v>1</v>
      </c>
    </row>
    <row r="90" spans="2:8" s="13" customFormat="1" x14ac:dyDescent="0.3">
      <c r="B90" s="4">
        <v>78</v>
      </c>
      <c r="C90" s="39" t="s">
        <v>295</v>
      </c>
      <c r="D90" s="39" t="s">
        <v>315</v>
      </c>
      <c r="E90" s="39" t="s">
        <v>148</v>
      </c>
      <c r="F90" s="39" t="s">
        <v>296</v>
      </c>
      <c r="G90" s="39" t="s">
        <v>16</v>
      </c>
      <c r="H90" s="39">
        <v>1</v>
      </c>
    </row>
    <row r="91" spans="2:8" s="13" customFormat="1" x14ac:dyDescent="0.3">
      <c r="B91" s="4">
        <v>79</v>
      </c>
      <c r="C91" s="39" t="s">
        <v>297</v>
      </c>
      <c r="D91" s="39" t="s">
        <v>315</v>
      </c>
      <c r="E91" s="39" t="s">
        <v>148</v>
      </c>
      <c r="F91" s="39" t="s">
        <v>180</v>
      </c>
      <c r="G91" s="39" t="s">
        <v>16</v>
      </c>
      <c r="H91" s="39">
        <v>1</v>
      </c>
    </row>
    <row r="92" spans="2:8" s="13" customFormat="1" x14ac:dyDescent="0.3">
      <c r="B92" s="4">
        <v>80</v>
      </c>
      <c r="C92" s="39" t="s">
        <v>305</v>
      </c>
      <c r="D92" s="39" t="s">
        <v>315</v>
      </c>
      <c r="E92" s="39" t="s">
        <v>148</v>
      </c>
      <c r="F92" s="39" t="s">
        <v>306</v>
      </c>
      <c r="G92" s="39" t="s">
        <v>16</v>
      </c>
      <c r="H92" s="39">
        <v>1</v>
      </c>
    </row>
    <row r="93" spans="2:8" s="13" customFormat="1" x14ac:dyDescent="0.3">
      <c r="B93" s="4">
        <v>81</v>
      </c>
      <c r="C93" s="39" t="s">
        <v>308</v>
      </c>
      <c r="D93" s="39" t="s">
        <v>315</v>
      </c>
      <c r="E93" s="39"/>
      <c r="F93" s="39" t="s">
        <v>180</v>
      </c>
      <c r="G93" s="39" t="s">
        <v>15</v>
      </c>
      <c r="H93" s="39">
        <v>1</v>
      </c>
    </row>
    <row r="94" spans="2:8" s="13" customFormat="1" x14ac:dyDescent="0.3">
      <c r="B94" s="4">
        <v>82</v>
      </c>
      <c r="C94" s="39" t="s">
        <v>309</v>
      </c>
      <c r="D94" s="39" t="s">
        <v>315</v>
      </c>
      <c r="E94" s="39"/>
      <c r="F94" s="39" t="s">
        <v>108</v>
      </c>
      <c r="G94" s="39" t="s">
        <v>130</v>
      </c>
      <c r="H94" s="39">
        <v>1</v>
      </c>
    </row>
    <row r="95" spans="2:8" s="13" customFormat="1" x14ac:dyDescent="0.3">
      <c r="B95" s="4">
        <v>83</v>
      </c>
      <c r="C95" s="39" t="s">
        <v>232</v>
      </c>
      <c r="D95" s="39" t="s">
        <v>315</v>
      </c>
      <c r="E95" s="39" t="s">
        <v>214</v>
      </c>
      <c r="F95" s="39" t="s">
        <v>233</v>
      </c>
      <c r="G95" s="39" t="s">
        <v>16</v>
      </c>
      <c r="H95" s="39">
        <v>1</v>
      </c>
    </row>
    <row r="96" spans="2:8" s="13" customFormat="1" x14ac:dyDescent="0.3">
      <c r="B96" s="4">
        <v>84</v>
      </c>
      <c r="C96" s="39" t="s">
        <v>264</v>
      </c>
      <c r="D96" s="39" t="s">
        <v>315</v>
      </c>
      <c r="E96" s="39" t="s">
        <v>214</v>
      </c>
      <c r="F96" s="39" t="s">
        <v>126</v>
      </c>
      <c r="G96" s="39" t="s">
        <v>16</v>
      </c>
      <c r="H96" s="39">
        <v>1</v>
      </c>
    </row>
    <row r="97" spans="2:8" s="13" customFormat="1" x14ac:dyDescent="0.3">
      <c r="B97" s="4">
        <v>85</v>
      </c>
      <c r="C97" s="39" t="s">
        <v>221</v>
      </c>
      <c r="D97" s="39" t="s">
        <v>315</v>
      </c>
      <c r="E97" s="39" t="s">
        <v>222</v>
      </c>
      <c r="F97" s="39" t="s">
        <v>223</v>
      </c>
      <c r="G97" s="39" t="s">
        <v>16</v>
      </c>
      <c r="H97" s="39">
        <v>1</v>
      </c>
    </row>
    <row r="98" spans="2:8" s="13" customFormat="1" x14ac:dyDescent="0.3">
      <c r="B98" s="4">
        <v>86</v>
      </c>
      <c r="C98" s="39" t="s">
        <v>109</v>
      </c>
      <c r="D98" s="39" t="s">
        <v>320</v>
      </c>
      <c r="E98" s="39" t="s">
        <v>110</v>
      </c>
      <c r="F98" s="39" t="s">
        <v>102</v>
      </c>
      <c r="G98" s="39" t="s">
        <v>16</v>
      </c>
      <c r="H98" s="39">
        <v>1</v>
      </c>
    </row>
    <row r="99" spans="2:8" s="13" customFormat="1" x14ac:dyDescent="0.3">
      <c r="B99" s="4">
        <v>87</v>
      </c>
      <c r="C99" s="39" t="s">
        <v>127</v>
      </c>
      <c r="D99" s="39" t="s">
        <v>320</v>
      </c>
      <c r="E99" s="39" t="s">
        <v>110</v>
      </c>
      <c r="F99" s="39" t="s">
        <v>102</v>
      </c>
      <c r="G99" s="39" t="s">
        <v>16</v>
      </c>
      <c r="H99" s="39">
        <v>1</v>
      </c>
    </row>
    <row r="100" spans="2:8" s="13" customFormat="1" x14ac:dyDescent="0.3">
      <c r="B100" s="4">
        <v>88</v>
      </c>
      <c r="C100" s="39" t="s">
        <v>129</v>
      </c>
      <c r="D100" s="39" t="s">
        <v>320</v>
      </c>
      <c r="E100" s="39"/>
      <c r="F100" s="39" t="s">
        <v>102</v>
      </c>
      <c r="G100" s="39" t="s">
        <v>130</v>
      </c>
      <c r="H100" s="39">
        <v>1</v>
      </c>
    </row>
    <row r="101" spans="2:8" s="13" customFormat="1" x14ac:dyDescent="0.3">
      <c r="B101" s="4">
        <v>89</v>
      </c>
      <c r="C101" s="39" t="s">
        <v>178</v>
      </c>
      <c r="D101" s="39" t="s">
        <v>320</v>
      </c>
      <c r="E101" s="39" t="s">
        <v>110</v>
      </c>
      <c r="F101" s="39" t="s">
        <v>102</v>
      </c>
      <c r="G101" s="39" t="s">
        <v>16</v>
      </c>
      <c r="H101" s="39">
        <v>1</v>
      </c>
    </row>
    <row r="102" spans="2:8" s="13" customFormat="1" x14ac:dyDescent="0.3">
      <c r="B102" s="4">
        <v>90</v>
      </c>
      <c r="C102" s="39" t="s">
        <v>205</v>
      </c>
      <c r="D102" s="39" t="s">
        <v>320</v>
      </c>
      <c r="E102" s="39"/>
      <c r="F102" s="39" t="s">
        <v>108</v>
      </c>
      <c r="G102" s="39" t="s">
        <v>15</v>
      </c>
      <c r="H102" s="39">
        <v>1</v>
      </c>
    </row>
    <row r="103" spans="2:8" s="13" customFormat="1" x14ac:dyDescent="0.3">
      <c r="B103" s="4">
        <v>91</v>
      </c>
      <c r="C103" s="39" t="s">
        <v>206</v>
      </c>
      <c r="D103" s="39" t="s">
        <v>320</v>
      </c>
      <c r="E103" s="39" t="s">
        <v>110</v>
      </c>
      <c r="F103" s="39" t="s">
        <v>102</v>
      </c>
      <c r="G103" s="39" t="s">
        <v>16</v>
      </c>
      <c r="H103" s="39">
        <v>1</v>
      </c>
    </row>
    <row r="104" spans="2:8" s="13" customFormat="1" x14ac:dyDescent="0.3">
      <c r="B104" s="4">
        <v>92</v>
      </c>
      <c r="C104" s="39" t="s">
        <v>212</v>
      </c>
      <c r="D104" s="39" t="s">
        <v>320</v>
      </c>
      <c r="E104" s="39" t="s">
        <v>110</v>
      </c>
      <c r="F104" s="39" t="s">
        <v>102</v>
      </c>
      <c r="G104" s="39" t="s">
        <v>16</v>
      </c>
      <c r="H104" s="39">
        <v>1</v>
      </c>
    </row>
    <row r="105" spans="2:8" s="13" customFormat="1" x14ac:dyDescent="0.3">
      <c r="B105" s="4">
        <v>93</v>
      </c>
      <c r="C105" s="39" t="s">
        <v>226</v>
      </c>
      <c r="D105" s="39" t="s">
        <v>320</v>
      </c>
      <c r="E105" s="39"/>
      <c r="F105" s="39" t="s">
        <v>102</v>
      </c>
      <c r="G105" s="39" t="s">
        <v>15</v>
      </c>
      <c r="H105" s="39">
        <v>1</v>
      </c>
    </row>
    <row r="106" spans="2:8" s="13" customFormat="1" x14ac:dyDescent="0.3">
      <c r="B106" s="4">
        <v>94</v>
      </c>
      <c r="C106" s="39" t="s">
        <v>229</v>
      </c>
      <c r="D106" s="39" t="s">
        <v>320</v>
      </c>
      <c r="E106" s="39"/>
      <c r="F106" s="39" t="s">
        <v>102</v>
      </c>
      <c r="G106" s="39" t="s">
        <v>15</v>
      </c>
      <c r="H106" s="39">
        <v>1</v>
      </c>
    </row>
    <row r="107" spans="2:8" s="13" customFormat="1" x14ac:dyDescent="0.3">
      <c r="B107" s="4">
        <v>95</v>
      </c>
      <c r="C107" s="39" t="s">
        <v>271</v>
      </c>
      <c r="D107" s="39" t="s">
        <v>320</v>
      </c>
      <c r="E107" s="39" t="s">
        <v>110</v>
      </c>
      <c r="F107" s="39" t="s">
        <v>102</v>
      </c>
      <c r="G107" s="39" t="s">
        <v>16</v>
      </c>
      <c r="H107" s="39">
        <v>1</v>
      </c>
    </row>
    <row r="108" spans="2:8" s="13" customFormat="1" x14ac:dyDescent="0.3">
      <c r="B108" s="4">
        <v>96</v>
      </c>
      <c r="C108" s="39" t="s">
        <v>287</v>
      </c>
      <c r="D108" s="39" t="s">
        <v>320</v>
      </c>
      <c r="E108" s="39" t="s">
        <v>110</v>
      </c>
      <c r="F108" s="39" t="s">
        <v>102</v>
      </c>
      <c r="G108" s="39" t="s">
        <v>16</v>
      </c>
      <c r="H108" s="39">
        <v>1</v>
      </c>
    </row>
    <row r="109" spans="2:8" s="13" customFormat="1" x14ac:dyDescent="0.3">
      <c r="B109" s="4">
        <v>97</v>
      </c>
      <c r="C109" s="39" t="s">
        <v>291</v>
      </c>
      <c r="D109" s="39" t="s">
        <v>320</v>
      </c>
      <c r="E109" s="39"/>
      <c r="F109" s="39" t="s">
        <v>108</v>
      </c>
      <c r="G109" s="39" t="s">
        <v>15</v>
      </c>
      <c r="H109" s="39">
        <v>1</v>
      </c>
    </row>
    <row r="110" spans="2:8" s="13" customFormat="1" x14ac:dyDescent="0.3">
      <c r="B110" s="4">
        <v>98</v>
      </c>
      <c r="C110" s="39" t="s">
        <v>213</v>
      </c>
      <c r="D110" s="39" t="s">
        <v>321</v>
      </c>
      <c r="E110" s="39" t="s">
        <v>214</v>
      </c>
      <c r="F110" s="39" t="s">
        <v>141</v>
      </c>
      <c r="G110" s="39" t="s">
        <v>16</v>
      </c>
      <c r="H110" s="39">
        <v>1</v>
      </c>
    </row>
    <row r="111" spans="2:8" s="13" customFormat="1" x14ac:dyDescent="0.3">
      <c r="B111" s="4">
        <v>99</v>
      </c>
      <c r="C111" s="39" t="s">
        <v>273</v>
      </c>
      <c r="D111" s="39" t="s">
        <v>274</v>
      </c>
      <c r="E111" s="39" t="s">
        <v>275</v>
      </c>
      <c r="F111" s="39" t="s">
        <v>276</v>
      </c>
      <c r="G111" s="39" t="s">
        <v>16</v>
      </c>
      <c r="H111" s="39">
        <v>1</v>
      </c>
    </row>
    <row r="112" spans="2:8" s="13" customFormat="1" x14ac:dyDescent="0.3">
      <c r="B112" s="4">
        <v>100</v>
      </c>
      <c r="C112" s="39" t="s">
        <v>247</v>
      </c>
      <c r="D112" s="39" t="s">
        <v>248</v>
      </c>
      <c r="E112" s="39"/>
      <c r="F112" s="39" t="s">
        <v>120</v>
      </c>
      <c r="G112" s="39" t="s">
        <v>15</v>
      </c>
      <c r="H112" s="39">
        <v>1</v>
      </c>
    </row>
    <row r="113" spans="2:8" s="13" customFormat="1" x14ac:dyDescent="0.3">
      <c r="B113" s="4">
        <v>101</v>
      </c>
      <c r="C113" s="39" t="s">
        <v>154</v>
      </c>
      <c r="D113" s="39" t="s">
        <v>155</v>
      </c>
      <c r="E113" s="39"/>
      <c r="F113" s="39" t="s">
        <v>120</v>
      </c>
      <c r="G113" s="39" t="s">
        <v>15</v>
      </c>
      <c r="H113" s="39">
        <v>1</v>
      </c>
    </row>
    <row r="114" spans="2:8" s="13" customFormat="1" x14ac:dyDescent="0.3">
      <c r="B114" s="4">
        <v>102</v>
      </c>
      <c r="C114" s="39" t="s">
        <v>204</v>
      </c>
      <c r="D114" s="39" t="s">
        <v>155</v>
      </c>
      <c r="E114" s="39"/>
      <c r="F114" s="39" t="s">
        <v>120</v>
      </c>
      <c r="G114" s="39" t="s">
        <v>15</v>
      </c>
      <c r="H114" s="39">
        <v>1</v>
      </c>
    </row>
    <row r="115" spans="2:8" s="13" customFormat="1" x14ac:dyDescent="0.3">
      <c r="B115" s="4">
        <v>103</v>
      </c>
      <c r="C115" s="39" t="s">
        <v>255</v>
      </c>
      <c r="D115" s="39" t="s">
        <v>155</v>
      </c>
      <c r="E115" s="39"/>
      <c r="F115" s="39" t="s">
        <v>120</v>
      </c>
      <c r="G115" s="39" t="s">
        <v>15</v>
      </c>
      <c r="H115" s="39">
        <v>1</v>
      </c>
    </row>
    <row r="116" spans="2:8" s="13" customFormat="1" x14ac:dyDescent="0.3">
      <c r="B116" s="4">
        <v>104</v>
      </c>
      <c r="C116" s="39" t="s">
        <v>303</v>
      </c>
      <c r="D116" s="39" t="s">
        <v>155</v>
      </c>
      <c r="E116" s="39"/>
      <c r="F116" s="39" t="s">
        <v>120</v>
      </c>
      <c r="G116" s="39" t="s">
        <v>15</v>
      </c>
      <c r="H116" s="39">
        <v>1</v>
      </c>
    </row>
    <row r="117" spans="2:8" s="13" customFormat="1" x14ac:dyDescent="0.3">
      <c r="B117" s="4">
        <v>105</v>
      </c>
      <c r="C117" s="39" t="s">
        <v>118</v>
      </c>
      <c r="D117" s="39" t="s">
        <v>119</v>
      </c>
      <c r="E117" s="39"/>
      <c r="F117" s="39" t="s">
        <v>120</v>
      </c>
      <c r="G117" s="39" t="s">
        <v>16</v>
      </c>
      <c r="H117" s="39">
        <v>1</v>
      </c>
    </row>
    <row r="118" spans="2:8" s="13" customFormat="1" x14ac:dyDescent="0.3">
      <c r="B118" s="4">
        <v>106</v>
      </c>
      <c r="C118" s="39" t="s">
        <v>162</v>
      </c>
      <c r="D118" s="39" t="s">
        <v>163</v>
      </c>
      <c r="E118" s="39"/>
      <c r="F118" s="39" t="s">
        <v>145</v>
      </c>
      <c r="G118" s="39" t="s">
        <v>15</v>
      </c>
      <c r="H118" s="39">
        <v>1</v>
      </c>
    </row>
    <row r="119" spans="2:8" s="13" customFormat="1" x14ac:dyDescent="0.3">
      <c r="B119" s="4">
        <v>107</v>
      </c>
      <c r="C119" s="39" t="s">
        <v>187</v>
      </c>
      <c r="D119" s="39" t="s">
        <v>163</v>
      </c>
      <c r="E119" s="39"/>
      <c r="F119" s="39" t="s">
        <v>145</v>
      </c>
      <c r="G119" s="39" t="s">
        <v>15</v>
      </c>
      <c r="H119" s="39">
        <v>1</v>
      </c>
    </row>
    <row r="120" spans="2:8" s="13" customFormat="1" x14ac:dyDescent="0.3">
      <c r="B120" s="4">
        <v>108</v>
      </c>
      <c r="C120" s="39" t="s">
        <v>284</v>
      </c>
      <c r="D120" s="39" t="s">
        <v>163</v>
      </c>
      <c r="E120" s="39"/>
      <c r="F120" s="39" t="s">
        <v>145</v>
      </c>
      <c r="G120" s="39" t="s">
        <v>15</v>
      </c>
      <c r="H120" s="39">
        <v>1</v>
      </c>
    </row>
    <row r="121" spans="2:8" s="13" customFormat="1" x14ac:dyDescent="0.3">
      <c r="B121" s="4">
        <v>109</v>
      </c>
      <c r="C121" s="39" t="s">
        <v>142</v>
      </c>
      <c r="D121" s="39" t="s">
        <v>143</v>
      </c>
      <c r="E121" s="39" t="s">
        <v>144</v>
      </c>
      <c r="F121" s="39" t="s">
        <v>145</v>
      </c>
      <c r="G121" s="39" t="s">
        <v>16</v>
      </c>
      <c r="H121" s="39">
        <v>1</v>
      </c>
    </row>
    <row r="122" spans="2:8" s="13" customFormat="1" x14ac:dyDescent="0.3">
      <c r="B122" s="4">
        <v>110</v>
      </c>
      <c r="C122" s="39" t="s">
        <v>195</v>
      </c>
      <c r="D122" s="39" t="s">
        <v>196</v>
      </c>
      <c r="E122" s="39" t="s">
        <v>197</v>
      </c>
      <c r="F122" s="39" t="s">
        <v>114</v>
      </c>
      <c r="G122" s="39" t="s">
        <v>16</v>
      </c>
      <c r="H122" s="39">
        <v>1</v>
      </c>
    </row>
    <row r="123" spans="2:8" s="13" customFormat="1" x14ac:dyDescent="0.3">
      <c r="B123" s="4">
        <v>111</v>
      </c>
      <c r="C123" s="39" t="s">
        <v>277</v>
      </c>
      <c r="D123" s="39" t="s">
        <v>278</v>
      </c>
      <c r="E123" s="39" t="s">
        <v>279</v>
      </c>
      <c r="F123" s="39" t="s">
        <v>246</v>
      </c>
      <c r="G123" s="39" t="s">
        <v>16</v>
      </c>
      <c r="H123" s="39">
        <v>1</v>
      </c>
    </row>
    <row r="124" spans="2:8" s="13" customFormat="1" x14ac:dyDescent="0.3">
      <c r="B124" s="4">
        <v>112</v>
      </c>
      <c r="C124" s="39" t="s">
        <v>289</v>
      </c>
      <c r="D124" s="39" t="s">
        <v>290</v>
      </c>
      <c r="E124" s="39" t="s">
        <v>151</v>
      </c>
      <c r="F124" s="39" t="s">
        <v>117</v>
      </c>
      <c r="G124" s="39" t="s">
        <v>16</v>
      </c>
      <c r="H124" s="39">
        <v>1</v>
      </c>
    </row>
    <row r="125" spans="2:8" s="13" customFormat="1" x14ac:dyDescent="0.3">
      <c r="B125" s="4">
        <v>113</v>
      </c>
      <c r="C125" s="39" t="s">
        <v>122</v>
      </c>
      <c r="D125" s="39" t="s">
        <v>123</v>
      </c>
      <c r="E125" s="39"/>
      <c r="F125" s="39" t="s">
        <v>124</v>
      </c>
      <c r="G125" s="39" t="s">
        <v>15</v>
      </c>
      <c r="H125" s="39">
        <v>1</v>
      </c>
    </row>
    <row r="126" spans="2:8" s="13" customFormat="1" x14ac:dyDescent="0.3">
      <c r="B126" s="4">
        <v>114</v>
      </c>
      <c r="C126" s="39" t="s">
        <v>200</v>
      </c>
      <c r="D126" s="39" t="s">
        <v>123</v>
      </c>
      <c r="E126" s="39" t="s">
        <v>148</v>
      </c>
      <c r="F126" s="39" t="s">
        <v>124</v>
      </c>
      <c r="G126" s="39" t="s">
        <v>16</v>
      </c>
      <c r="H126" s="39">
        <v>1</v>
      </c>
    </row>
    <row r="127" spans="2:8" s="13" customFormat="1" x14ac:dyDescent="0.3">
      <c r="B127" s="4">
        <v>115</v>
      </c>
      <c r="C127" s="39" t="s">
        <v>157</v>
      </c>
      <c r="D127" s="39" t="s">
        <v>158</v>
      </c>
      <c r="E127" s="39" t="s">
        <v>159</v>
      </c>
      <c r="F127" s="39" t="s">
        <v>160</v>
      </c>
      <c r="G127" s="39" t="s">
        <v>16</v>
      </c>
      <c r="H127" s="39">
        <v>1</v>
      </c>
    </row>
    <row r="128" spans="2:8" s="13" customFormat="1" x14ac:dyDescent="0.3">
      <c r="B128" s="4">
        <v>116</v>
      </c>
      <c r="C128" s="39" t="s">
        <v>136</v>
      </c>
      <c r="D128" s="39" t="s">
        <v>137</v>
      </c>
      <c r="E128" s="39"/>
      <c r="F128" s="39" t="s">
        <v>138</v>
      </c>
      <c r="G128" s="39" t="s">
        <v>130</v>
      </c>
      <c r="H128" s="39">
        <v>1</v>
      </c>
    </row>
    <row r="129" spans="2:8" s="13" customFormat="1" x14ac:dyDescent="0.3">
      <c r="B129" s="4">
        <v>117</v>
      </c>
      <c r="C129" s="39" t="s">
        <v>139</v>
      </c>
      <c r="D129" s="39" t="s">
        <v>137</v>
      </c>
      <c r="E129" s="39" t="s">
        <v>140</v>
      </c>
      <c r="F129" s="39" t="s">
        <v>141</v>
      </c>
      <c r="G129" s="39" t="s">
        <v>16</v>
      </c>
      <c r="H129" s="39">
        <v>1</v>
      </c>
    </row>
    <row r="130" spans="2:8" s="13" customFormat="1" x14ac:dyDescent="0.3">
      <c r="B130" s="4">
        <v>118</v>
      </c>
      <c r="C130" s="39" t="s">
        <v>156</v>
      </c>
      <c r="D130" s="39" t="s">
        <v>137</v>
      </c>
      <c r="E130" s="39" t="s">
        <v>140</v>
      </c>
      <c r="F130" s="39" t="s">
        <v>141</v>
      </c>
      <c r="G130" s="39" t="s">
        <v>16</v>
      </c>
      <c r="H130" s="39">
        <v>1</v>
      </c>
    </row>
    <row r="131" spans="2:8" s="13" customFormat="1" x14ac:dyDescent="0.3">
      <c r="B131" s="4">
        <v>119</v>
      </c>
      <c r="C131" s="39" t="s">
        <v>176</v>
      </c>
      <c r="D131" s="39" t="s">
        <v>137</v>
      </c>
      <c r="E131" s="39" t="s">
        <v>140</v>
      </c>
      <c r="F131" s="39" t="s">
        <v>138</v>
      </c>
      <c r="G131" s="39" t="s">
        <v>16</v>
      </c>
      <c r="H131" s="39">
        <v>1</v>
      </c>
    </row>
    <row r="132" spans="2:8" s="13" customFormat="1" x14ac:dyDescent="0.3">
      <c r="B132" s="4">
        <v>120</v>
      </c>
      <c r="C132" s="39" t="s">
        <v>186</v>
      </c>
      <c r="D132" s="39" t="s">
        <v>137</v>
      </c>
      <c r="E132" s="39"/>
      <c r="F132" s="39" t="s">
        <v>138</v>
      </c>
      <c r="G132" s="39" t="s">
        <v>15</v>
      </c>
      <c r="H132" s="39">
        <v>1</v>
      </c>
    </row>
    <row r="133" spans="2:8" s="13" customFormat="1" x14ac:dyDescent="0.3">
      <c r="B133" s="4">
        <v>121</v>
      </c>
      <c r="C133" s="39" t="s">
        <v>234</v>
      </c>
      <c r="D133" s="39" t="s">
        <v>137</v>
      </c>
      <c r="E133" s="39"/>
      <c r="F133" s="39" t="s">
        <v>138</v>
      </c>
      <c r="G133" s="39" t="s">
        <v>15</v>
      </c>
      <c r="H133" s="39">
        <v>1</v>
      </c>
    </row>
    <row r="134" spans="2:8" s="13" customFormat="1" x14ac:dyDescent="0.3">
      <c r="B134" s="4">
        <v>122</v>
      </c>
      <c r="C134" s="39" t="s">
        <v>237</v>
      </c>
      <c r="D134" s="39" t="s">
        <v>137</v>
      </c>
      <c r="E134" s="39"/>
      <c r="F134" s="39" t="s">
        <v>138</v>
      </c>
      <c r="G134" s="39" t="s">
        <v>15</v>
      </c>
      <c r="H134" s="39">
        <v>1</v>
      </c>
    </row>
    <row r="135" spans="2:8" s="13" customFormat="1" x14ac:dyDescent="0.3">
      <c r="B135" s="4">
        <v>123</v>
      </c>
      <c r="C135" s="39" t="s">
        <v>266</v>
      </c>
      <c r="D135" s="39" t="s">
        <v>137</v>
      </c>
      <c r="E135" s="39"/>
      <c r="F135" s="39" t="s">
        <v>267</v>
      </c>
      <c r="G135" s="39" t="s">
        <v>15</v>
      </c>
      <c r="H135" s="39">
        <v>1</v>
      </c>
    </row>
    <row r="136" spans="2:8" s="13" customFormat="1" x14ac:dyDescent="0.3">
      <c r="B136" s="4">
        <v>124</v>
      </c>
      <c r="C136" s="39" t="s">
        <v>270</v>
      </c>
      <c r="D136" s="39" t="s">
        <v>137</v>
      </c>
      <c r="E136" s="39"/>
      <c r="F136" s="39" t="s">
        <v>138</v>
      </c>
      <c r="G136" s="39" t="s">
        <v>15</v>
      </c>
      <c r="H136" s="39">
        <v>1</v>
      </c>
    </row>
    <row r="137" spans="2:8" s="13" customFormat="1" x14ac:dyDescent="0.3">
      <c r="B137" s="4">
        <v>125</v>
      </c>
      <c r="C137" s="39" t="s">
        <v>294</v>
      </c>
      <c r="D137" s="39" t="s">
        <v>137</v>
      </c>
      <c r="E137" s="39" t="s">
        <v>140</v>
      </c>
      <c r="F137" s="39" t="s">
        <v>138</v>
      </c>
      <c r="G137" s="39" t="s">
        <v>16</v>
      </c>
      <c r="H137" s="39">
        <v>1</v>
      </c>
    </row>
    <row r="138" spans="2:8" s="13" customFormat="1" x14ac:dyDescent="0.3">
      <c r="B138" s="4">
        <v>126</v>
      </c>
      <c r="C138" s="39" t="s">
        <v>149</v>
      </c>
      <c r="D138" s="39" t="s">
        <v>150</v>
      </c>
      <c r="E138" s="39" t="s">
        <v>151</v>
      </c>
      <c r="F138" s="39" t="s">
        <v>138</v>
      </c>
      <c r="G138" s="39" t="s">
        <v>16</v>
      </c>
      <c r="H138" s="39">
        <v>1</v>
      </c>
    </row>
    <row r="139" spans="2:8" s="13" customFormat="1" x14ac:dyDescent="0.3">
      <c r="B139" s="4">
        <v>127</v>
      </c>
      <c r="C139" s="39" t="s">
        <v>300</v>
      </c>
      <c r="D139" s="39" t="s">
        <v>150</v>
      </c>
      <c r="E139" s="39" t="s">
        <v>151</v>
      </c>
      <c r="F139" s="39" t="s">
        <v>191</v>
      </c>
      <c r="G139" s="39" t="s">
        <v>16</v>
      </c>
      <c r="H139" s="39">
        <v>1</v>
      </c>
    </row>
    <row r="140" spans="2:8" s="13" customFormat="1" x14ac:dyDescent="0.3">
      <c r="B140" s="4">
        <v>128</v>
      </c>
      <c r="C140" s="39" t="s">
        <v>115</v>
      </c>
      <c r="D140" s="39" t="s">
        <v>116</v>
      </c>
      <c r="E140" s="39"/>
      <c r="F140" s="39" t="s">
        <v>117</v>
      </c>
      <c r="G140" s="39" t="s">
        <v>15</v>
      </c>
      <c r="H140" s="39">
        <v>1</v>
      </c>
    </row>
    <row r="141" spans="2:8" s="13" customFormat="1" x14ac:dyDescent="0.3">
      <c r="B141" s="4">
        <v>129</v>
      </c>
      <c r="C141" s="39" t="s">
        <v>253</v>
      </c>
      <c r="D141" s="39" t="s">
        <v>116</v>
      </c>
      <c r="E141" s="39"/>
      <c r="F141" s="39" t="s">
        <v>117</v>
      </c>
      <c r="G141" s="39" t="s">
        <v>15</v>
      </c>
      <c r="H141" s="39">
        <v>1</v>
      </c>
    </row>
    <row r="142" spans="2:8" s="13" customFormat="1" x14ac:dyDescent="0.3">
      <c r="B142" s="4">
        <v>130</v>
      </c>
      <c r="C142" s="39" t="s">
        <v>269</v>
      </c>
      <c r="D142" s="39" t="s">
        <v>116</v>
      </c>
      <c r="E142" s="39"/>
      <c r="F142" s="39" t="s">
        <v>117</v>
      </c>
      <c r="G142" s="39" t="s">
        <v>15</v>
      </c>
      <c r="H142" s="39">
        <v>1</v>
      </c>
    </row>
    <row r="143" spans="2:8" s="13" customFormat="1" x14ac:dyDescent="0.3">
      <c r="B143" s="4">
        <v>10</v>
      </c>
      <c r="C143" s="39" t="s">
        <v>272</v>
      </c>
      <c r="D143" s="39" t="s">
        <v>116</v>
      </c>
      <c r="E143" s="39"/>
      <c r="F143" s="39" t="s">
        <v>117</v>
      </c>
      <c r="G143" s="39" t="s">
        <v>15</v>
      </c>
      <c r="H143" s="39">
        <v>1</v>
      </c>
    </row>
  </sheetData>
  <sheetProtection formatColumns="0" formatRows="0" sort="0" autoFilter="0"/>
  <autoFilter ref="C13:H143" xr:uid="{022BA851-B6B1-41D1-B6E5-56791CE80D92}">
    <sortState ref="C14:H143">
      <sortCondition ref="D13:D143"/>
    </sortState>
  </autoFilter>
  <dataValidations count="1">
    <dataValidation type="list" allowBlank="1" showInputMessage="1" showErrorMessage="1" sqref="H14:H143" xr:uid="{00000000-0002-0000-0000-000000000000}">
      <formula1>"1,0.5"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1193800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4</xdr:col>
                    <xdr:colOff>711200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50800</xdr:colOff>
                    <xdr:row>13</xdr:row>
                    <xdr:rowOff>12700</xdr:rowOff>
                  </from>
                  <to>
                    <xdr:col>1</xdr:col>
                    <xdr:colOff>781050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825500</xdr:colOff>
                    <xdr:row>13</xdr:row>
                    <xdr:rowOff>12700</xdr:rowOff>
                  </from>
                  <to>
                    <xdr:col>1</xdr:col>
                    <xdr:colOff>1549400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SelectDept!$B$2:$B$67</xm:f>
          </x14:formula1>
          <xm:sqref>F14:F143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2:DT187"/>
  <sheetViews>
    <sheetView topLeftCell="A37" zoomScale="70" zoomScaleNormal="70" workbookViewId="0">
      <selection activeCell="G47" sqref="G47"/>
    </sheetView>
  </sheetViews>
  <sheetFormatPr defaultColWidth="8.7265625" defaultRowHeight="14" x14ac:dyDescent="0.3"/>
  <cols>
    <col min="1" max="1" width="8.7265625" style="13"/>
    <col min="2" max="2" width="8.7265625" style="1" customWidth="1"/>
    <col min="3" max="3" width="21.7265625" style="1" customWidth="1"/>
    <col min="4" max="4" width="23.26953125" style="1" customWidth="1"/>
    <col min="5" max="5" width="13.81640625" style="1" customWidth="1"/>
    <col min="6" max="6" width="46.6328125" style="13" bestFit="1" customWidth="1"/>
    <col min="7" max="7" width="12.54296875" style="13" bestFit="1" customWidth="1"/>
    <col min="8" max="8" width="11.26953125" style="13" bestFit="1" customWidth="1"/>
    <col min="9" max="9" width="11.6328125" style="13" bestFit="1" customWidth="1"/>
    <col min="10" max="10" width="11.54296875" style="13" bestFit="1" customWidth="1"/>
    <col min="11" max="11" width="11.26953125" style="13" bestFit="1" customWidth="1"/>
    <col min="12" max="12" width="11.54296875" style="13" bestFit="1" customWidth="1"/>
    <col min="13" max="13" width="13.7265625" style="13" bestFit="1" customWidth="1"/>
    <col min="14" max="14" width="11.36328125" style="13" bestFit="1" customWidth="1"/>
    <col min="15" max="15" width="11.26953125" style="13" bestFit="1" customWidth="1"/>
    <col min="16" max="16" width="10.08984375" style="13" bestFit="1" customWidth="1"/>
    <col min="17" max="17" width="10.453125" style="13" bestFit="1" customWidth="1"/>
    <col min="18" max="18" width="11.81640625" style="13" bestFit="1" customWidth="1"/>
    <col min="19" max="19" width="10.08984375" style="13" bestFit="1" customWidth="1"/>
    <col min="20" max="20" width="11.6328125" style="13" bestFit="1" customWidth="1"/>
    <col min="21" max="21" width="11.26953125" style="13" bestFit="1" customWidth="1"/>
    <col min="22" max="22" width="10.08984375" style="13" bestFit="1" customWidth="1"/>
    <col min="23" max="23" width="15.90625" style="13" bestFit="1" customWidth="1"/>
    <col min="24" max="25" width="10.08984375" style="13" bestFit="1" customWidth="1"/>
    <col min="26" max="26" width="10.36328125" style="13" bestFit="1" customWidth="1"/>
    <col min="27" max="27" width="11.36328125" style="13" bestFit="1" customWidth="1"/>
    <col min="28" max="28" width="11.453125" style="13" bestFit="1" customWidth="1"/>
    <col min="29" max="29" width="9.1796875" style="13" bestFit="1" customWidth="1"/>
    <col min="30" max="30" width="11.6328125" style="13" bestFit="1" customWidth="1"/>
    <col min="31" max="31" width="21.81640625" style="13" bestFit="1" customWidth="1"/>
    <col min="32" max="32" width="11.81640625" style="13" bestFit="1" customWidth="1"/>
    <col min="33" max="33" width="11.453125" style="13" bestFit="1" customWidth="1"/>
    <col min="34" max="34" width="16.54296875" style="13" bestFit="1" customWidth="1"/>
    <col min="35" max="35" width="11.54296875" style="13" bestFit="1" customWidth="1"/>
    <col min="36" max="36" width="10" style="13" bestFit="1" customWidth="1"/>
    <col min="37" max="37" width="10.6328125" style="13" bestFit="1" customWidth="1"/>
    <col min="38" max="38" width="10.08984375" style="13" bestFit="1" customWidth="1"/>
    <col min="39" max="39" width="10.453125" style="13" bestFit="1" customWidth="1"/>
    <col min="40" max="40" width="10.7265625" style="13" bestFit="1" customWidth="1"/>
    <col min="41" max="41" width="9.7265625" style="13" bestFit="1" customWidth="1"/>
    <col min="42" max="42" width="10.08984375" style="13" bestFit="1" customWidth="1"/>
    <col min="43" max="43" width="11.54296875" style="13" bestFit="1" customWidth="1"/>
    <col min="44" max="44" width="10.08984375" style="13" bestFit="1" customWidth="1"/>
    <col min="45" max="45" width="10" style="13" bestFit="1" customWidth="1"/>
    <col min="46" max="46" width="10.08984375" style="13" bestFit="1" customWidth="1"/>
    <col min="47" max="47" width="10.453125" style="13" bestFit="1" customWidth="1"/>
    <col min="48" max="48" width="11.26953125" style="13" bestFit="1" customWidth="1"/>
    <col min="49" max="49" width="9.54296875" style="13" bestFit="1" customWidth="1"/>
    <col min="50" max="50" width="10.453125" style="13" bestFit="1" customWidth="1"/>
    <col min="51" max="51" width="11.6328125" style="13" bestFit="1" customWidth="1"/>
    <col min="52" max="52" width="11.90625" style="13" bestFit="1" customWidth="1"/>
    <col min="53" max="53" width="9.54296875" style="13" bestFit="1" customWidth="1"/>
    <col min="54" max="54" width="11" style="13" bestFit="1" customWidth="1"/>
    <col min="55" max="55" width="10.08984375" style="13" bestFit="1" customWidth="1"/>
    <col min="56" max="56" width="10.90625" style="13" bestFit="1" customWidth="1"/>
    <col min="57" max="57" width="10.453125" style="13" bestFit="1" customWidth="1"/>
    <col min="58" max="58" width="10.08984375" style="13" bestFit="1" customWidth="1"/>
    <col min="59" max="59" width="10.453125" style="13" bestFit="1" customWidth="1"/>
    <col min="60" max="60" width="10.08984375" style="13" bestFit="1" customWidth="1"/>
    <col min="61" max="61" width="1.453125" style="13" customWidth="1"/>
    <col min="62" max="77" width="8.7265625" style="13" hidden="1" customWidth="1"/>
    <col min="78" max="78" width="15" style="13" hidden="1" customWidth="1"/>
    <col min="79" max="122" width="8.7265625" style="13" hidden="1" customWidth="1"/>
    <col min="123" max="123" width="1.36328125" style="1" hidden="1" customWidth="1"/>
    <col min="124" max="16384" width="8.726562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2" t="s">
        <v>13</v>
      </c>
      <c r="C4" s="93"/>
      <c r="D4" s="93"/>
      <c r="E4" s="94"/>
    </row>
    <row r="5" spans="1:124" x14ac:dyDescent="0.3">
      <c r="B5" s="33" t="s">
        <v>64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103</v>
      </c>
      <c r="C7" s="34"/>
      <c r="D7" s="87">
        <v>2017</v>
      </c>
      <c r="E7" s="35"/>
    </row>
    <row r="8" spans="1:124" ht="27.75" customHeight="1" x14ac:dyDescent="0.3">
      <c r="B8" s="95" t="s">
        <v>63</v>
      </c>
      <c r="C8" s="96"/>
      <c r="D8" s="96"/>
      <c r="E8" s="97"/>
    </row>
    <row r="10" spans="1:124" ht="20" x14ac:dyDescent="0.4">
      <c r="F10" s="88" t="s">
        <v>4</v>
      </c>
    </row>
    <row r="11" spans="1:124" s="15" customFormat="1" ht="21.5" customHeight="1" x14ac:dyDescent="0.35">
      <c r="B11" s="47"/>
      <c r="C11" s="48"/>
      <c r="D11" s="49"/>
      <c r="E11" s="49"/>
      <c r="F11" s="23"/>
      <c r="G11" s="98" t="s">
        <v>23</v>
      </c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100"/>
      <c r="Y11" s="101" t="s">
        <v>39</v>
      </c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3" t="s">
        <v>50</v>
      </c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23"/>
      <c r="BJ11" s="90" t="s">
        <v>23</v>
      </c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104" t="s">
        <v>39</v>
      </c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90" t="s">
        <v>50</v>
      </c>
      <c r="CV11" s="90"/>
      <c r="CW11" s="90"/>
      <c r="CX11" s="90"/>
      <c r="CY11" s="90"/>
      <c r="CZ11" s="90"/>
      <c r="DA11" s="90"/>
      <c r="DB11" s="90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24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25" t="s">
        <v>90</v>
      </c>
      <c r="AY12" s="24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24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24" t="s">
        <v>65</v>
      </c>
      <c r="BL12" s="24" t="s">
        <v>25</v>
      </c>
      <c r="BM12" s="24" t="s">
        <v>26</v>
      </c>
      <c r="BN12" s="24" t="s">
        <v>27</v>
      </c>
      <c r="BO12" s="24" t="s">
        <v>28</v>
      </c>
      <c r="BP12" s="24" t="s">
        <v>29</v>
      </c>
      <c r="BQ12" s="24" t="s">
        <v>66</v>
      </c>
      <c r="BR12" s="24" t="s">
        <v>30</v>
      </c>
      <c r="BS12" s="24" t="s">
        <v>31</v>
      </c>
      <c r="BT12" s="24" t="s">
        <v>32</v>
      </c>
      <c r="BU12" s="24" t="s">
        <v>33</v>
      </c>
      <c r="BV12" s="24" t="s">
        <v>34</v>
      </c>
      <c r="BW12" s="24" t="s">
        <v>35</v>
      </c>
      <c r="BX12" s="24" t="s">
        <v>36</v>
      </c>
      <c r="BY12" s="24" t="s">
        <v>37</v>
      </c>
      <c r="BZ12" s="24" t="s">
        <v>67</v>
      </c>
      <c r="CA12" s="24" t="s">
        <v>68</v>
      </c>
      <c r="CB12" s="24" t="s">
        <v>40</v>
      </c>
      <c r="CC12" s="24" t="s">
        <v>43</v>
      </c>
      <c r="CD12" s="24" t="s">
        <v>69</v>
      </c>
      <c r="CE12" s="24" t="s">
        <v>42</v>
      </c>
      <c r="CF12" s="24" t="s">
        <v>41</v>
      </c>
      <c r="CG12" s="24" t="s">
        <v>70</v>
      </c>
      <c r="CH12" s="24" t="s">
        <v>71</v>
      </c>
      <c r="CI12" s="24" t="s">
        <v>72</v>
      </c>
      <c r="CJ12" s="24" t="s">
        <v>73</v>
      </c>
      <c r="CK12" s="24" t="s">
        <v>5</v>
      </c>
      <c r="CL12" s="24" t="s">
        <v>44</v>
      </c>
      <c r="CM12" s="24" t="s">
        <v>74</v>
      </c>
      <c r="CN12" s="24" t="s">
        <v>45</v>
      </c>
      <c r="CO12" s="24" t="s">
        <v>46</v>
      </c>
      <c r="CP12" s="24" t="s">
        <v>47</v>
      </c>
      <c r="CQ12" s="24" t="s">
        <v>48</v>
      </c>
      <c r="CR12" s="24" t="s">
        <v>75</v>
      </c>
      <c r="CS12" s="24" t="s">
        <v>76</v>
      </c>
      <c r="CT12" s="25" t="s">
        <v>68</v>
      </c>
      <c r="CU12" s="24" t="s">
        <v>51</v>
      </c>
      <c r="CV12" s="24" t="s">
        <v>77</v>
      </c>
      <c r="CW12" s="24" t="s">
        <v>78</v>
      </c>
      <c r="CX12" s="24" t="s">
        <v>79</v>
      </c>
      <c r="CY12" s="24" t="s">
        <v>80</v>
      </c>
      <c r="CZ12" s="24" t="s">
        <v>81</v>
      </c>
      <c r="DA12" s="24" t="s">
        <v>82</v>
      </c>
      <c r="DB12" s="26" t="s">
        <v>83</v>
      </c>
      <c r="DC12" s="24" t="s">
        <v>84</v>
      </c>
      <c r="DD12" s="24" t="s">
        <v>52</v>
      </c>
      <c r="DE12" s="24" t="s">
        <v>6</v>
      </c>
      <c r="DF12" s="24" t="s">
        <v>85</v>
      </c>
      <c r="DG12" s="24" t="s">
        <v>49</v>
      </c>
      <c r="DH12" s="24" t="s">
        <v>86</v>
      </c>
      <c r="DI12" s="24" t="s">
        <v>53</v>
      </c>
      <c r="DJ12" s="24" t="s">
        <v>54</v>
      </c>
      <c r="DK12" s="24" t="s">
        <v>55</v>
      </c>
      <c r="DL12" s="24" t="s">
        <v>56</v>
      </c>
      <c r="DM12" s="24" t="s">
        <v>57</v>
      </c>
      <c r="DN12" s="24" t="s">
        <v>58</v>
      </c>
      <c r="DO12" s="24" t="s">
        <v>59</v>
      </c>
      <c r="DP12" s="24" t="s">
        <v>60</v>
      </c>
      <c r="DQ12" s="24" t="s">
        <v>61</v>
      </c>
      <c r="DR12" s="24" t="s">
        <v>62</v>
      </c>
      <c r="DT12" s="41" t="s">
        <v>92</v>
      </c>
    </row>
    <row r="13" spans="1:124" x14ac:dyDescent="0.3">
      <c r="B13" s="4">
        <f>'6.1Personnel List'!B14</f>
        <v>1</v>
      </c>
      <c r="C13" s="46" t="s">
        <v>261</v>
      </c>
      <c r="D13" s="46" t="s">
        <v>262</v>
      </c>
      <c r="E13" s="46">
        <v>1</v>
      </c>
      <c r="F13" s="13">
        <v>502548.16000000003</v>
      </c>
      <c r="G13" s="42"/>
      <c r="H13" s="42"/>
      <c r="I13" s="42">
        <v>1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>SUM(G13:DR13)</f>
        <v>1</v>
      </c>
    </row>
    <row r="14" spans="1:124" x14ac:dyDescent="0.3">
      <c r="B14" s="4">
        <f>'6.1Personnel List'!B15</f>
        <v>2</v>
      </c>
      <c r="C14" s="46" t="s">
        <v>249</v>
      </c>
      <c r="D14" s="46" t="s">
        <v>250</v>
      </c>
      <c r="E14" s="46">
        <v>1</v>
      </c>
      <c r="F14" s="13">
        <v>382122.16000000003</v>
      </c>
      <c r="G14" s="42"/>
      <c r="H14" s="42"/>
      <c r="I14" s="42"/>
      <c r="J14" s="42"/>
      <c r="K14" s="42"/>
      <c r="L14" s="42"/>
      <c r="M14" s="42"/>
      <c r="N14" s="42"/>
      <c r="O14" s="42">
        <v>1</v>
      </c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ref="DT14:DT77" si="0">SUM(G14:DR14)</f>
        <v>1</v>
      </c>
    </row>
    <row r="15" spans="1:124" x14ac:dyDescent="0.3">
      <c r="B15" s="4">
        <f>'6.1Personnel List'!B16</f>
        <v>3</v>
      </c>
      <c r="C15" s="46" t="s">
        <v>298</v>
      </c>
      <c r="D15" s="46" t="s">
        <v>299</v>
      </c>
      <c r="E15" s="46">
        <v>1</v>
      </c>
      <c r="F15" s="13">
        <v>1095196.08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0</v>
      </c>
    </row>
    <row r="16" spans="1:124" x14ac:dyDescent="0.3">
      <c r="B16" s="4">
        <f>'6.1Personnel List'!B17</f>
        <v>4</v>
      </c>
      <c r="C16" s="46" t="s">
        <v>107</v>
      </c>
      <c r="D16" s="46" t="s">
        <v>18</v>
      </c>
      <c r="E16" s="46">
        <v>1</v>
      </c>
      <c r="F16" s="13">
        <v>54142.080000000002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>
        <v>1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x14ac:dyDescent="0.3">
      <c r="B17" s="4">
        <f>'6.1Personnel List'!B18</f>
        <v>5</v>
      </c>
      <c r="C17" s="46" t="s">
        <v>165</v>
      </c>
      <c r="D17" s="46" t="s">
        <v>18</v>
      </c>
      <c r="E17" s="46">
        <v>1</v>
      </c>
      <c r="F17" s="13">
        <v>47831.040000000001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>
        <v>1</v>
      </c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x14ac:dyDescent="0.3">
      <c r="B18" s="4">
        <f>'6.1Personnel List'!B19</f>
        <v>6</v>
      </c>
      <c r="C18" s="46" t="s">
        <v>112</v>
      </c>
      <c r="D18" s="46" t="s">
        <v>113</v>
      </c>
      <c r="E18" s="46">
        <v>1</v>
      </c>
      <c r="F18" s="13">
        <v>56481.279999999999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>
        <v>1</v>
      </c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x14ac:dyDescent="0.3">
      <c r="B19" s="4">
        <f>'6.1Personnel List'!B20</f>
        <v>7</v>
      </c>
      <c r="C19" s="46" t="s">
        <v>224</v>
      </c>
      <c r="D19" s="46" t="s">
        <v>113</v>
      </c>
      <c r="E19" s="46">
        <v>1</v>
      </c>
      <c r="F19" s="13">
        <v>63110.400000000001</v>
      </c>
      <c r="G19" s="42"/>
      <c r="H19" s="42">
        <v>0.1</v>
      </c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>
        <v>0.9</v>
      </c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si="0"/>
        <v>1</v>
      </c>
    </row>
    <row r="20" spans="2:124" s="13" customFormat="1" x14ac:dyDescent="0.3">
      <c r="B20" s="4">
        <f>'6.1Personnel List'!B21</f>
        <v>8</v>
      </c>
      <c r="C20" s="46" t="s">
        <v>245</v>
      </c>
      <c r="D20" s="46" t="s">
        <v>113</v>
      </c>
      <c r="E20" s="46">
        <v>1</v>
      </c>
      <c r="F20" s="13">
        <v>260663.59999999998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>
        <v>1</v>
      </c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si="0"/>
        <v>1</v>
      </c>
    </row>
    <row r="21" spans="2:124" s="13" customFormat="1" x14ac:dyDescent="0.3">
      <c r="B21" s="4">
        <f>'6.1Personnel List'!B22</f>
        <v>9</v>
      </c>
      <c r="C21" s="46" t="s">
        <v>260</v>
      </c>
      <c r="D21" s="46" t="s">
        <v>113</v>
      </c>
      <c r="E21" s="46">
        <v>1</v>
      </c>
      <c r="F21" s="13">
        <v>50156.160000000003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>
        <v>0.7</v>
      </c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>
        <v>0.3</v>
      </c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si="0"/>
        <v>1</v>
      </c>
    </row>
    <row r="22" spans="2:124" s="13" customFormat="1" x14ac:dyDescent="0.3">
      <c r="B22" s="4">
        <f>'6.1Personnel List'!B23</f>
        <v>11</v>
      </c>
      <c r="C22" s="46" t="s">
        <v>285</v>
      </c>
      <c r="D22" s="46" t="s">
        <v>113</v>
      </c>
      <c r="E22" s="46">
        <v>1</v>
      </c>
      <c r="F22" s="13">
        <v>23171.48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>
        <v>1</v>
      </c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si="0"/>
        <v>1</v>
      </c>
    </row>
    <row r="23" spans="2:124" s="13" customFormat="1" x14ac:dyDescent="0.3">
      <c r="B23" s="4">
        <f>'6.1Personnel List'!B24</f>
        <v>12</v>
      </c>
      <c r="C23" s="46" t="s">
        <v>301</v>
      </c>
      <c r="D23" s="46" t="s">
        <v>113</v>
      </c>
      <c r="E23" s="46">
        <v>1</v>
      </c>
      <c r="F23" s="13">
        <v>24579.84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>
        <v>1</v>
      </c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si="0"/>
        <v>1</v>
      </c>
    </row>
    <row r="24" spans="2:124" s="13" customFormat="1" x14ac:dyDescent="0.3">
      <c r="B24" s="4">
        <f>'6.1Personnel List'!B25</f>
        <v>13</v>
      </c>
      <c r="C24" s="46" t="s">
        <v>152</v>
      </c>
      <c r="D24" s="46" t="s">
        <v>153</v>
      </c>
      <c r="E24" s="46">
        <v>1</v>
      </c>
      <c r="F24" s="13">
        <v>90671.039999999994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>
        <v>1</v>
      </c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si="0"/>
        <v>1</v>
      </c>
    </row>
    <row r="25" spans="2:124" s="13" customFormat="1" x14ac:dyDescent="0.3">
      <c r="B25" s="4">
        <f>'6.1Personnel List'!B26</f>
        <v>14</v>
      </c>
      <c r="C25" s="46" t="s">
        <v>174</v>
      </c>
      <c r="D25" s="46" t="s">
        <v>153</v>
      </c>
      <c r="E25" s="46">
        <v>1</v>
      </c>
      <c r="F25" s="13">
        <v>85992.48</v>
      </c>
      <c r="G25" s="42"/>
      <c r="H25" s="42">
        <v>1</v>
      </c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si="0"/>
        <v>1</v>
      </c>
    </row>
    <row r="26" spans="2:124" s="13" customFormat="1" x14ac:dyDescent="0.3">
      <c r="B26" s="4">
        <f>'6.1Personnel List'!B27</f>
        <v>15</v>
      </c>
      <c r="C26" s="46" t="s">
        <v>177</v>
      </c>
      <c r="D26" s="46" t="s">
        <v>153</v>
      </c>
      <c r="E26" s="46">
        <v>1</v>
      </c>
      <c r="F26" s="13">
        <v>93790.080000000002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>
        <v>1</v>
      </c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si="0"/>
        <v>1</v>
      </c>
    </row>
    <row r="27" spans="2:124" s="13" customFormat="1" x14ac:dyDescent="0.3">
      <c r="B27" s="4">
        <f>'6.1Personnel List'!B28</f>
        <v>16</v>
      </c>
      <c r="C27" s="46" t="s">
        <v>192</v>
      </c>
      <c r="D27" s="46" t="s">
        <v>153</v>
      </c>
      <c r="E27" s="46">
        <v>1</v>
      </c>
      <c r="F27" s="13">
        <v>82944.800000000003</v>
      </c>
      <c r="G27" s="42"/>
      <c r="H27" s="42"/>
      <c r="I27" s="42"/>
      <c r="J27" s="42">
        <v>1</v>
      </c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si="0"/>
        <v>1</v>
      </c>
    </row>
    <row r="28" spans="2:124" s="13" customFormat="1" x14ac:dyDescent="0.3">
      <c r="B28" s="4">
        <f>'6.1Personnel List'!B29</f>
        <v>17</v>
      </c>
      <c r="C28" s="46" t="s">
        <v>240</v>
      </c>
      <c r="D28" s="46" t="s">
        <v>153</v>
      </c>
      <c r="E28" s="46">
        <v>1</v>
      </c>
      <c r="F28" s="13">
        <v>103621.52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>
        <v>1</v>
      </c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si="0"/>
        <v>1</v>
      </c>
    </row>
    <row r="29" spans="2:124" s="13" customFormat="1" x14ac:dyDescent="0.3">
      <c r="B29" s="4">
        <f>'6.1Personnel List'!B30</f>
        <v>18</v>
      </c>
      <c r="C29" s="46" t="s">
        <v>244</v>
      </c>
      <c r="D29" s="46" t="s">
        <v>153</v>
      </c>
      <c r="E29" s="46">
        <v>1</v>
      </c>
      <c r="F29" s="13">
        <v>88837.079999999987</v>
      </c>
      <c r="G29" s="42"/>
      <c r="H29" s="42">
        <v>1</v>
      </c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si="0"/>
        <v>1</v>
      </c>
    </row>
    <row r="30" spans="2:124" s="13" customFormat="1" x14ac:dyDescent="0.3">
      <c r="B30" s="4">
        <f>'6.1Personnel List'!B31</f>
        <v>19</v>
      </c>
      <c r="C30" s="46" t="s">
        <v>302</v>
      </c>
      <c r="D30" s="46" t="s">
        <v>153</v>
      </c>
      <c r="E30" s="46">
        <v>1</v>
      </c>
      <c r="F30" s="13">
        <v>87003.12</v>
      </c>
      <c r="G30" s="42"/>
      <c r="H30" s="42"/>
      <c r="I30" s="42"/>
      <c r="J30" s="42"/>
      <c r="K30" s="42"/>
      <c r="L30" s="42"/>
      <c r="M30" s="42"/>
      <c r="N30" s="42"/>
      <c r="O30" s="42"/>
      <c r="P30" s="42">
        <v>1</v>
      </c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si="0"/>
        <v>1</v>
      </c>
    </row>
    <row r="31" spans="2:124" s="13" customFormat="1" x14ac:dyDescent="0.3">
      <c r="B31" s="4">
        <f>'6.1Personnel List'!B32</f>
        <v>20</v>
      </c>
      <c r="C31" s="46" t="s">
        <v>307</v>
      </c>
      <c r="D31" s="46" t="s">
        <v>153</v>
      </c>
      <c r="E31" s="46">
        <v>1</v>
      </c>
      <c r="F31" s="13">
        <v>88837.079999999987</v>
      </c>
      <c r="G31" s="42"/>
      <c r="H31" s="42">
        <v>1</v>
      </c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si="0"/>
        <v>1</v>
      </c>
    </row>
    <row r="32" spans="2:124" s="13" customFormat="1" x14ac:dyDescent="0.3">
      <c r="B32" s="4">
        <f>'6.1Personnel List'!B33</f>
        <v>21</v>
      </c>
      <c r="C32" s="46" t="s">
        <v>227</v>
      </c>
      <c r="D32" s="46" t="s">
        <v>228</v>
      </c>
      <c r="E32" s="46">
        <v>1</v>
      </c>
      <c r="F32" s="13">
        <v>251047.12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>
        <v>0.9</v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>
        <v>0.1</v>
      </c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si="0"/>
        <v>1</v>
      </c>
    </row>
    <row r="33" spans="2:124" s="13" customFormat="1" x14ac:dyDescent="0.3">
      <c r="B33" s="4">
        <f>'6.1Personnel List'!B34</f>
        <v>22</v>
      </c>
      <c r="C33" s="46" t="s">
        <v>292</v>
      </c>
      <c r="D33" s="46" t="s">
        <v>293</v>
      </c>
      <c r="E33" s="46">
        <v>1</v>
      </c>
      <c r="F33" s="13">
        <v>269119.40000000002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>
        <v>1</v>
      </c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si="0"/>
        <v>1</v>
      </c>
    </row>
    <row r="34" spans="2:124" s="13" customFormat="1" x14ac:dyDescent="0.3">
      <c r="B34" s="4">
        <f>'6.1Personnel List'!B35</f>
        <v>23</v>
      </c>
      <c r="C34" s="46" t="s">
        <v>188</v>
      </c>
      <c r="D34" s="46" t="s">
        <v>189</v>
      </c>
      <c r="E34" s="46">
        <v>1</v>
      </c>
      <c r="F34" s="13">
        <v>602096.07999999996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>
        <v>0.1</v>
      </c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>
        <v>0.9</v>
      </c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si="0"/>
        <v>1</v>
      </c>
    </row>
    <row r="35" spans="2:124" s="13" customFormat="1" x14ac:dyDescent="0.3">
      <c r="B35" s="4">
        <f>'6.1Personnel List'!B36</f>
        <v>24</v>
      </c>
      <c r="C35" s="46" t="s">
        <v>168</v>
      </c>
      <c r="D35" s="46" t="s">
        <v>169</v>
      </c>
      <c r="E35" s="46">
        <v>1</v>
      </c>
      <c r="F35" s="13">
        <v>260663.59999999998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>
        <v>0.5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>
        <v>0.5</v>
      </c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si="0"/>
        <v>1</v>
      </c>
    </row>
    <row r="36" spans="2:124" s="13" customFormat="1" x14ac:dyDescent="0.3">
      <c r="B36" s="4">
        <f>'6.1Personnel List'!B37</f>
        <v>25</v>
      </c>
      <c r="C36" s="46" t="s">
        <v>171</v>
      </c>
      <c r="D36" s="46" t="s">
        <v>169</v>
      </c>
      <c r="E36" s="46">
        <v>1</v>
      </c>
      <c r="F36" s="13">
        <v>135635.76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>
        <v>0.5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>
        <v>0.5</v>
      </c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si="0"/>
        <v>1</v>
      </c>
    </row>
    <row r="37" spans="2:124" s="13" customFormat="1" x14ac:dyDescent="0.3">
      <c r="B37" s="4">
        <f>'6.1Personnel List'!B38</f>
        <v>26</v>
      </c>
      <c r="C37" s="46" t="s">
        <v>242</v>
      </c>
      <c r="D37" s="46" t="s">
        <v>169</v>
      </c>
      <c r="E37" s="46">
        <v>1</v>
      </c>
      <c r="F37" s="13">
        <v>105626.88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>
        <v>0.5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>
        <v>0.5</v>
      </c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si="0"/>
        <v>1</v>
      </c>
    </row>
    <row r="38" spans="2:124" s="13" customFormat="1" x14ac:dyDescent="0.3">
      <c r="B38" s="4">
        <f>'6.1Personnel List'!B39</f>
        <v>27</v>
      </c>
      <c r="C38" s="46" t="s">
        <v>280</v>
      </c>
      <c r="D38" s="46" t="s">
        <v>169</v>
      </c>
      <c r="E38" s="46">
        <v>1</v>
      </c>
      <c r="F38" s="13">
        <v>260663.59999999998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0.5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>
        <v>0.5</v>
      </c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si="0"/>
        <v>1</v>
      </c>
    </row>
    <row r="39" spans="2:124" s="13" customFormat="1" x14ac:dyDescent="0.3">
      <c r="B39" s="4">
        <f>'6.1Personnel List'!B40</f>
        <v>28</v>
      </c>
      <c r="C39" s="46" t="s">
        <v>215</v>
      </c>
      <c r="D39" s="46" t="s">
        <v>216</v>
      </c>
      <c r="E39" s="46">
        <v>1</v>
      </c>
      <c r="F39" s="13">
        <v>264019.40000000002</v>
      </c>
      <c r="G39" s="42"/>
      <c r="H39" s="42"/>
      <c r="I39" s="42"/>
      <c r="J39" s="42"/>
      <c r="K39" s="42"/>
      <c r="L39" s="42"/>
      <c r="M39" s="42">
        <v>0.7</v>
      </c>
      <c r="N39" s="42">
        <v>0.05</v>
      </c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>
        <v>0.25</v>
      </c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si="0"/>
        <v>1</v>
      </c>
    </row>
    <row r="40" spans="2:124" s="13" customFormat="1" x14ac:dyDescent="0.3">
      <c r="B40" s="4">
        <f>'6.1Personnel List'!B41</f>
        <v>29</v>
      </c>
      <c r="C40" s="46" t="s">
        <v>209</v>
      </c>
      <c r="D40" s="46" t="s">
        <v>210</v>
      </c>
      <c r="E40" s="46">
        <v>1</v>
      </c>
      <c r="F40" s="13">
        <v>277508.68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>
        <v>1</v>
      </c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si="0"/>
        <v>1</v>
      </c>
    </row>
    <row r="41" spans="2:124" s="13" customFormat="1" x14ac:dyDescent="0.3">
      <c r="B41" s="4">
        <f>'6.1Personnel List'!B42</f>
        <v>30</v>
      </c>
      <c r="C41" s="46" t="s">
        <v>231</v>
      </c>
      <c r="D41" s="46" t="s">
        <v>210</v>
      </c>
      <c r="E41" s="46">
        <v>1</v>
      </c>
      <c r="F41" s="13">
        <v>263469.40000000002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>
        <v>1</v>
      </c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si="0"/>
        <v>1</v>
      </c>
    </row>
    <row r="42" spans="2:124" s="13" customFormat="1" x14ac:dyDescent="0.3">
      <c r="B42" s="4">
        <f>'6.1Personnel List'!B43</f>
        <v>31</v>
      </c>
      <c r="C42" s="46" t="s">
        <v>166</v>
      </c>
      <c r="D42" s="46" t="s">
        <v>167</v>
      </c>
      <c r="E42" s="46">
        <v>1</v>
      </c>
      <c r="F42" s="13">
        <v>235845.76000000001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>
        <v>0.5</v>
      </c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>
        <v>0.1</v>
      </c>
      <c r="BE42" s="42">
        <v>0.1</v>
      </c>
      <c r="BF42" s="42">
        <v>0.1</v>
      </c>
      <c r="BG42" s="42">
        <v>0.1</v>
      </c>
      <c r="BH42" s="42">
        <v>0.1</v>
      </c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si="0"/>
        <v>0.99999999999999989</v>
      </c>
    </row>
    <row r="43" spans="2:124" s="13" customFormat="1" x14ac:dyDescent="0.3">
      <c r="B43" s="4">
        <f>'6.1Personnel List'!B44</f>
        <v>32</v>
      </c>
      <c r="C43" s="46" t="s">
        <v>286</v>
      </c>
      <c r="D43" s="46" t="s">
        <v>167</v>
      </c>
      <c r="E43" s="46">
        <v>1</v>
      </c>
      <c r="F43" s="13">
        <v>180864.56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>
        <v>1</v>
      </c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si="0"/>
        <v>1</v>
      </c>
    </row>
    <row r="44" spans="2:124" s="13" customFormat="1" x14ac:dyDescent="0.3">
      <c r="B44" s="4">
        <f>'6.1Personnel List'!B45</f>
        <v>33</v>
      </c>
      <c r="C44" s="46" t="s">
        <v>125</v>
      </c>
      <c r="D44" s="46" t="s">
        <v>312</v>
      </c>
      <c r="E44" s="46">
        <v>1</v>
      </c>
      <c r="F44" s="13">
        <v>486000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>
        <v>0.2</v>
      </c>
      <c r="AH44" s="42"/>
      <c r="AI44" s="42"/>
      <c r="AJ44" s="42"/>
      <c r="AK44" s="42"/>
      <c r="AL44" s="42"/>
      <c r="AM44" s="42"/>
      <c r="AN44" s="42"/>
      <c r="AO44" s="42"/>
      <c r="AP44" s="42"/>
      <c r="AQ44" s="42">
        <v>0.2</v>
      </c>
      <c r="AR44" s="42"/>
      <c r="AS44" s="42"/>
      <c r="AT44" s="42"/>
      <c r="AU44" s="42"/>
      <c r="AV44" s="42"/>
      <c r="AW44" s="42"/>
      <c r="AX44" s="42"/>
      <c r="AY44" s="42"/>
      <c r="AZ44" s="42">
        <v>0.35</v>
      </c>
      <c r="BA44" s="42"/>
      <c r="BB44" s="42"/>
      <c r="BC44" s="42"/>
      <c r="BD44" s="42">
        <v>0.05</v>
      </c>
      <c r="BE44" s="42">
        <v>0.05</v>
      </c>
      <c r="BF44" s="42">
        <v>0.05</v>
      </c>
      <c r="BG44" s="42">
        <v>0.05</v>
      </c>
      <c r="BH44" s="42">
        <v>0.05</v>
      </c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si="0"/>
        <v>1.0000000000000002</v>
      </c>
    </row>
    <row r="45" spans="2:124" s="13" customFormat="1" x14ac:dyDescent="0.3">
      <c r="B45" s="4">
        <f>'6.1Personnel List'!B46</f>
        <v>34</v>
      </c>
      <c r="C45" s="46" t="s">
        <v>146</v>
      </c>
      <c r="D45" s="46" t="s">
        <v>312</v>
      </c>
      <c r="E45" s="46">
        <v>1</v>
      </c>
      <c r="F45" s="13">
        <v>228269.12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>
        <v>0.2</v>
      </c>
      <c r="AH45" s="42"/>
      <c r="AI45" s="42"/>
      <c r="AJ45" s="42"/>
      <c r="AK45" s="42"/>
      <c r="AL45" s="42"/>
      <c r="AM45" s="42"/>
      <c r="AN45" s="42"/>
      <c r="AO45" s="42"/>
      <c r="AP45" s="42"/>
      <c r="AQ45" s="42">
        <v>0.2</v>
      </c>
      <c r="AR45" s="42"/>
      <c r="AS45" s="42"/>
      <c r="AT45" s="42"/>
      <c r="AU45" s="42"/>
      <c r="AV45" s="42"/>
      <c r="AW45" s="42"/>
      <c r="AX45" s="42"/>
      <c r="AY45" s="42"/>
      <c r="AZ45" s="42">
        <v>0.35</v>
      </c>
      <c r="BA45" s="42"/>
      <c r="BB45" s="42"/>
      <c r="BC45" s="42"/>
      <c r="BD45" s="42">
        <v>0.05</v>
      </c>
      <c r="BE45" s="42">
        <v>0.05</v>
      </c>
      <c r="BF45" s="42">
        <v>0.05</v>
      </c>
      <c r="BG45" s="42">
        <v>0.05</v>
      </c>
      <c r="BH45" s="42">
        <v>0.05</v>
      </c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si="0"/>
        <v>1.0000000000000002</v>
      </c>
    </row>
    <row r="46" spans="2:124" s="13" customFormat="1" x14ac:dyDescent="0.3">
      <c r="B46" s="4">
        <f>'6.1Personnel List'!B47</f>
        <v>35</v>
      </c>
      <c r="C46" s="46" t="s">
        <v>230</v>
      </c>
      <c r="D46" s="46" t="s">
        <v>312</v>
      </c>
      <c r="E46" s="46">
        <v>0.5</v>
      </c>
      <c r="F46" s="13">
        <v>25312.1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>
        <v>0.8</v>
      </c>
      <c r="AI46" s="42"/>
      <c r="AJ46" s="42"/>
      <c r="AK46" s="42"/>
      <c r="AL46" s="42"/>
      <c r="AM46" s="42"/>
      <c r="AN46" s="42"/>
      <c r="AO46" s="42"/>
      <c r="AP46" s="42"/>
      <c r="AQ46" s="42">
        <v>0.2</v>
      </c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si="0"/>
        <v>1</v>
      </c>
    </row>
    <row r="47" spans="2:124" s="13" customFormat="1" x14ac:dyDescent="0.3">
      <c r="B47" s="4">
        <f>'6.1Personnel List'!B48</f>
        <v>36</v>
      </c>
      <c r="C47" s="46" t="s">
        <v>218</v>
      </c>
      <c r="D47" s="46" t="s">
        <v>219</v>
      </c>
      <c r="E47" s="46">
        <v>1</v>
      </c>
      <c r="F47" s="106">
        <v>855012.16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>
        <v>0.2</v>
      </c>
      <c r="AH47" s="42"/>
      <c r="AI47" s="42"/>
      <c r="AJ47" s="42"/>
      <c r="AK47" s="42"/>
      <c r="AL47" s="42"/>
      <c r="AM47" s="42"/>
      <c r="AN47" s="42"/>
      <c r="AO47" s="42"/>
      <c r="AP47" s="42"/>
      <c r="AQ47" s="42">
        <v>0.2</v>
      </c>
      <c r="AR47" s="42"/>
      <c r="AS47" s="42"/>
      <c r="AT47" s="42"/>
      <c r="AU47" s="42"/>
      <c r="AV47" s="42"/>
      <c r="AW47" s="42"/>
      <c r="AX47" s="42"/>
      <c r="AY47" s="42"/>
      <c r="AZ47" s="42">
        <v>0.35</v>
      </c>
      <c r="BA47" s="42"/>
      <c r="BB47" s="42"/>
      <c r="BC47" s="42"/>
      <c r="BD47" s="42">
        <v>0.05</v>
      </c>
      <c r="BE47" s="42">
        <v>0.05</v>
      </c>
      <c r="BF47" s="42">
        <v>0.05</v>
      </c>
      <c r="BG47" s="42">
        <v>0.05</v>
      </c>
      <c r="BH47" s="42">
        <v>0.05</v>
      </c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si="0"/>
        <v>1.0000000000000002</v>
      </c>
    </row>
    <row r="48" spans="2:124" s="13" customFormat="1" x14ac:dyDescent="0.3">
      <c r="B48" s="4">
        <f>'6.1Personnel List'!B49</f>
        <v>37</v>
      </c>
      <c r="C48" s="46" t="s">
        <v>241</v>
      </c>
      <c r="D48" s="46" t="s">
        <v>219</v>
      </c>
      <c r="E48" s="46">
        <v>1</v>
      </c>
      <c r="F48" s="13">
        <v>855645.92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>
        <v>0.1</v>
      </c>
      <c r="AH48" s="42"/>
      <c r="AI48" s="42"/>
      <c r="AJ48" s="42"/>
      <c r="AK48" s="42"/>
      <c r="AL48" s="42"/>
      <c r="AM48" s="42"/>
      <c r="AN48" s="42"/>
      <c r="AO48" s="42"/>
      <c r="AP48" s="42"/>
      <c r="AQ48" s="42">
        <v>0.85</v>
      </c>
      <c r="AR48" s="42"/>
      <c r="AS48" s="42"/>
      <c r="AT48" s="42"/>
      <c r="AU48" s="42"/>
      <c r="AV48" s="42"/>
      <c r="AW48" s="42"/>
      <c r="AX48" s="42"/>
      <c r="AY48" s="42"/>
      <c r="AZ48" s="42">
        <v>0.05</v>
      </c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si="0"/>
        <v>1</v>
      </c>
    </row>
    <row r="49" spans="2:124" s="13" customFormat="1" x14ac:dyDescent="0.3">
      <c r="B49" s="4">
        <f>'6.1Personnel List'!B50</f>
        <v>38</v>
      </c>
      <c r="C49" s="46" t="s">
        <v>265</v>
      </c>
      <c r="D49" s="46" t="s">
        <v>219</v>
      </c>
      <c r="E49" s="46">
        <v>1</v>
      </c>
      <c r="F49" s="13">
        <v>831457.86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>
        <v>0.15</v>
      </c>
      <c r="AH49" s="42">
        <v>0.1</v>
      </c>
      <c r="AI49" s="42"/>
      <c r="AJ49" s="42"/>
      <c r="AK49" s="42"/>
      <c r="AL49" s="42"/>
      <c r="AM49" s="42"/>
      <c r="AN49" s="42"/>
      <c r="AO49" s="42"/>
      <c r="AP49" s="42"/>
      <c r="AQ49" s="42">
        <v>0.15</v>
      </c>
      <c r="AR49" s="42"/>
      <c r="AS49" s="42"/>
      <c r="AT49" s="42"/>
      <c r="AU49" s="42"/>
      <c r="AV49" s="42"/>
      <c r="AW49" s="42"/>
      <c r="AX49" s="42"/>
      <c r="AY49" s="42"/>
      <c r="AZ49" s="42">
        <v>0.2</v>
      </c>
      <c r="BA49" s="42"/>
      <c r="BB49" s="42"/>
      <c r="BC49" s="42"/>
      <c r="BD49" s="42">
        <v>0.08</v>
      </c>
      <c r="BE49" s="42">
        <v>0.08</v>
      </c>
      <c r="BF49" s="42">
        <v>0.08</v>
      </c>
      <c r="BG49" s="42">
        <v>0.08</v>
      </c>
      <c r="BH49" s="42">
        <v>0.08</v>
      </c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si="0"/>
        <v>0.99999999999999989</v>
      </c>
    </row>
    <row r="50" spans="2:124" s="13" customFormat="1" x14ac:dyDescent="0.3">
      <c r="B50" s="4">
        <f>'6.1Personnel List'!B51</f>
        <v>39</v>
      </c>
      <c r="C50" s="46" t="s">
        <v>288</v>
      </c>
      <c r="D50" s="46" t="s">
        <v>219</v>
      </c>
      <c r="E50" s="46">
        <v>1</v>
      </c>
      <c r="F50" s="13">
        <v>815013.76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>
        <v>0.1</v>
      </c>
      <c r="AH50" s="42"/>
      <c r="AI50" s="42"/>
      <c r="AJ50" s="42"/>
      <c r="AK50" s="42"/>
      <c r="AL50" s="42"/>
      <c r="AM50" s="42"/>
      <c r="AN50" s="42"/>
      <c r="AO50" s="42"/>
      <c r="AP50" s="42"/>
      <c r="AQ50" s="42">
        <v>0.1</v>
      </c>
      <c r="AR50" s="42"/>
      <c r="AS50" s="42"/>
      <c r="AT50" s="42"/>
      <c r="AU50" s="42"/>
      <c r="AV50" s="42"/>
      <c r="AW50" s="42"/>
      <c r="AX50" s="42"/>
      <c r="AY50" s="42"/>
      <c r="AZ50" s="42">
        <v>0.4</v>
      </c>
      <c r="BA50" s="42"/>
      <c r="BB50" s="42"/>
      <c r="BC50" s="42"/>
      <c r="BD50" s="42">
        <v>0.08</v>
      </c>
      <c r="BE50" s="42">
        <v>0.08</v>
      </c>
      <c r="BF50" s="42">
        <v>0.08</v>
      </c>
      <c r="BG50" s="42">
        <v>0.08</v>
      </c>
      <c r="BH50" s="42">
        <v>0.08</v>
      </c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si="0"/>
        <v>0.99999999999999989</v>
      </c>
    </row>
    <row r="51" spans="2:124" s="13" customFormat="1" x14ac:dyDescent="0.3">
      <c r="B51" s="4">
        <f>'6.1Personnel List'!B52</f>
        <v>40</v>
      </c>
      <c r="C51" s="46" t="s">
        <v>304</v>
      </c>
      <c r="D51" s="46" t="s">
        <v>219</v>
      </c>
      <c r="E51" s="46">
        <v>1</v>
      </c>
      <c r="F51" s="13">
        <v>814763.76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>
        <v>0.1</v>
      </c>
      <c r="AH51" s="42"/>
      <c r="AI51" s="42"/>
      <c r="AJ51" s="42"/>
      <c r="AK51" s="42"/>
      <c r="AL51" s="42"/>
      <c r="AM51" s="42"/>
      <c r="AN51" s="42"/>
      <c r="AO51" s="42"/>
      <c r="AP51" s="42"/>
      <c r="AQ51" s="42">
        <v>0.1</v>
      </c>
      <c r="AR51" s="42"/>
      <c r="AS51" s="42"/>
      <c r="AT51" s="42"/>
      <c r="AU51" s="42"/>
      <c r="AV51" s="42"/>
      <c r="AW51" s="42"/>
      <c r="AX51" s="42"/>
      <c r="AY51" s="42"/>
      <c r="AZ51" s="42">
        <v>0.4</v>
      </c>
      <c r="BA51" s="42"/>
      <c r="BB51" s="42"/>
      <c r="BC51" s="42"/>
      <c r="BD51" s="42">
        <v>0.08</v>
      </c>
      <c r="BE51" s="42">
        <v>0.08</v>
      </c>
      <c r="BF51" s="42">
        <v>0.08</v>
      </c>
      <c r="BG51" s="42">
        <v>0.08</v>
      </c>
      <c r="BH51" s="42">
        <v>0.08</v>
      </c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si="0"/>
        <v>0.99999999999999989</v>
      </c>
    </row>
    <row r="52" spans="2:124" s="13" customFormat="1" x14ac:dyDescent="0.3">
      <c r="B52" s="4">
        <f>'6.1Personnel List'!B53</f>
        <v>41</v>
      </c>
      <c r="C52" s="46" t="s">
        <v>132</v>
      </c>
      <c r="D52" s="46" t="s">
        <v>133</v>
      </c>
      <c r="E52" s="46">
        <v>1</v>
      </c>
      <c r="F52" s="13">
        <v>129215.13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>
        <v>0.02</v>
      </c>
      <c r="AD52" s="42">
        <v>0.8</v>
      </c>
      <c r="AE52" s="42"/>
      <c r="AF52" s="42"/>
      <c r="AG52" s="42">
        <v>0.04</v>
      </c>
      <c r="AH52" s="42"/>
      <c r="AI52" s="42"/>
      <c r="AJ52" s="42"/>
      <c r="AK52" s="42"/>
      <c r="AL52" s="42"/>
      <c r="AM52" s="42"/>
      <c r="AN52" s="42"/>
      <c r="AO52" s="42"/>
      <c r="AP52" s="42"/>
      <c r="AQ52" s="42">
        <v>0.02</v>
      </c>
      <c r="AR52" s="42"/>
      <c r="AS52" s="42"/>
      <c r="AT52" s="42"/>
      <c r="AU52" s="42"/>
      <c r="AV52" s="42"/>
      <c r="AW52" s="42"/>
      <c r="AX52" s="42"/>
      <c r="AY52" s="42"/>
      <c r="AZ52" s="42">
        <v>0.02</v>
      </c>
      <c r="BA52" s="42"/>
      <c r="BB52" s="42"/>
      <c r="BC52" s="42"/>
      <c r="BD52" s="42">
        <v>0.02</v>
      </c>
      <c r="BE52" s="42">
        <v>0.02</v>
      </c>
      <c r="BF52" s="42">
        <v>0.02</v>
      </c>
      <c r="BG52" s="42">
        <v>0.02</v>
      </c>
      <c r="BH52" s="42">
        <v>0.02</v>
      </c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si="0"/>
        <v>1.0000000000000002</v>
      </c>
    </row>
    <row r="53" spans="2:124" s="13" customFormat="1" x14ac:dyDescent="0.3">
      <c r="B53" s="4">
        <f>'6.1Personnel List'!B54</f>
        <v>42</v>
      </c>
      <c r="C53" s="46" t="s">
        <v>243</v>
      </c>
      <c r="D53" s="46" t="s">
        <v>133</v>
      </c>
      <c r="E53" s="46">
        <v>1</v>
      </c>
      <c r="F53" s="13">
        <v>118495.48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>
        <v>0.02</v>
      </c>
      <c r="AD53" s="42">
        <v>0.8</v>
      </c>
      <c r="AE53" s="42"/>
      <c r="AF53" s="42"/>
      <c r="AG53" s="42">
        <v>0.04</v>
      </c>
      <c r="AH53" s="42"/>
      <c r="AI53" s="42"/>
      <c r="AJ53" s="42"/>
      <c r="AK53" s="42"/>
      <c r="AL53" s="42"/>
      <c r="AM53" s="42"/>
      <c r="AN53" s="42"/>
      <c r="AO53" s="42"/>
      <c r="AP53" s="42"/>
      <c r="AQ53" s="42">
        <v>0.02</v>
      </c>
      <c r="AR53" s="42"/>
      <c r="AS53" s="42"/>
      <c r="AT53" s="42"/>
      <c r="AU53" s="42"/>
      <c r="AV53" s="42"/>
      <c r="AW53" s="42"/>
      <c r="AX53" s="42"/>
      <c r="AY53" s="42"/>
      <c r="AZ53" s="42">
        <v>0.02</v>
      </c>
      <c r="BA53" s="42"/>
      <c r="BB53" s="42"/>
      <c r="BC53" s="42"/>
      <c r="BD53" s="42">
        <v>0.02</v>
      </c>
      <c r="BE53" s="42">
        <v>0.02</v>
      </c>
      <c r="BF53" s="42">
        <v>0.02</v>
      </c>
      <c r="BG53" s="42">
        <v>0.02</v>
      </c>
      <c r="BH53" s="42">
        <v>0.02</v>
      </c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si="0"/>
        <v>1.0000000000000002</v>
      </c>
    </row>
    <row r="54" spans="2:124" s="13" customFormat="1" x14ac:dyDescent="0.3">
      <c r="B54" s="4">
        <f>'6.1Personnel List'!B55</f>
        <v>43</v>
      </c>
      <c r="C54" s="46" t="s">
        <v>283</v>
      </c>
      <c r="D54" s="46" t="s">
        <v>133</v>
      </c>
      <c r="E54" s="46">
        <v>1</v>
      </c>
      <c r="F54" s="13">
        <v>123586.44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>
        <v>0.02</v>
      </c>
      <c r="AD54" s="42">
        <v>0.8</v>
      </c>
      <c r="AE54" s="42"/>
      <c r="AF54" s="42"/>
      <c r="AG54" s="42">
        <v>0.04</v>
      </c>
      <c r="AH54" s="42"/>
      <c r="AI54" s="42"/>
      <c r="AJ54" s="42"/>
      <c r="AK54" s="42"/>
      <c r="AL54" s="42"/>
      <c r="AM54" s="42"/>
      <c r="AN54" s="42"/>
      <c r="AO54" s="42"/>
      <c r="AP54" s="42"/>
      <c r="AQ54" s="42">
        <v>0.02</v>
      </c>
      <c r="AR54" s="42"/>
      <c r="AS54" s="42"/>
      <c r="AT54" s="42"/>
      <c r="AU54" s="42"/>
      <c r="AV54" s="42"/>
      <c r="AW54" s="42"/>
      <c r="AX54" s="42"/>
      <c r="AY54" s="42"/>
      <c r="AZ54" s="42">
        <v>0.02</v>
      </c>
      <c r="BA54" s="42"/>
      <c r="BB54" s="42"/>
      <c r="BC54" s="42"/>
      <c r="BD54" s="42">
        <v>0.02</v>
      </c>
      <c r="BE54" s="42">
        <v>0.02</v>
      </c>
      <c r="BF54" s="42">
        <v>0.02</v>
      </c>
      <c r="BG54" s="42">
        <v>0.02</v>
      </c>
      <c r="BH54" s="42">
        <v>0.02</v>
      </c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si="0"/>
        <v>1.0000000000000002</v>
      </c>
    </row>
    <row r="55" spans="2:124" s="13" customFormat="1" x14ac:dyDescent="0.3">
      <c r="B55" s="4">
        <f>'6.1Personnel List'!B56</f>
        <v>44</v>
      </c>
      <c r="C55" s="46" t="s">
        <v>310</v>
      </c>
      <c r="D55" s="46" t="s">
        <v>133</v>
      </c>
      <c r="E55" s="46">
        <v>1</v>
      </c>
      <c r="F55" s="13">
        <v>119944.08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>
        <v>0.02</v>
      </c>
      <c r="AD55" s="42">
        <v>0.8</v>
      </c>
      <c r="AE55" s="42"/>
      <c r="AF55" s="42"/>
      <c r="AG55" s="42">
        <v>0.04</v>
      </c>
      <c r="AH55" s="42"/>
      <c r="AI55" s="42"/>
      <c r="AJ55" s="42"/>
      <c r="AK55" s="42"/>
      <c r="AL55" s="42"/>
      <c r="AM55" s="42"/>
      <c r="AN55" s="42"/>
      <c r="AO55" s="42"/>
      <c r="AP55" s="42"/>
      <c r="AQ55" s="42">
        <v>0.02</v>
      </c>
      <c r="AR55" s="42"/>
      <c r="AS55" s="42"/>
      <c r="AT55" s="42"/>
      <c r="AU55" s="42"/>
      <c r="AV55" s="42"/>
      <c r="AW55" s="42"/>
      <c r="AX55" s="42"/>
      <c r="AY55" s="42"/>
      <c r="AZ55" s="42">
        <v>0.02</v>
      </c>
      <c r="BA55" s="42"/>
      <c r="BB55" s="42"/>
      <c r="BC55" s="42"/>
      <c r="BD55" s="42">
        <v>0.02</v>
      </c>
      <c r="BE55" s="42">
        <v>0.02</v>
      </c>
      <c r="BF55" s="42">
        <v>0.02</v>
      </c>
      <c r="BG55" s="42">
        <v>0.02</v>
      </c>
      <c r="BH55" s="42">
        <v>0.02</v>
      </c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si="0"/>
        <v>1.0000000000000002</v>
      </c>
    </row>
    <row r="56" spans="2:124" s="13" customFormat="1" x14ac:dyDescent="0.3">
      <c r="B56" s="4">
        <f>'6.1Personnel List'!B57</f>
        <v>45</v>
      </c>
      <c r="C56" s="46" t="s">
        <v>257</v>
      </c>
      <c r="D56" s="46" t="s">
        <v>258</v>
      </c>
      <c r="E56" s="46">
        <v>1</v>
      </c>
      <c r="F56" s="13">
        <v>518633.60000000003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>
        <v>0.02</v>
      </c>
      <c r="AD56" s="42">
        <v>0.8</v>
      </c>
      <c r="AE56" s="42"/>
      <c r="AF56" s="42"/>
      <c r="AG56" s="42">
        <v>0.04</v>
      </c>
      <c r="AH56" s="42"/>
      <c r="AI56" s="42"/>
      <c r="AJ56" s="42"/>
      <c r="AK56" s="42"/>
      <c r="AL56" s="42"/>
      <c r="AM56" s="42"/>
      <c r="AN56" s="42"/>
      <c r="AO56" s="42"/>
      <c r="AP56" s="42"/>
      <c r="AQ56" s="42">
        <v>0.02</v>
      </c>
      <c r="AR56" s="42"/>
      <c r="AS56" s="42"/>
      <c r="AT56" s="42"/>
      <c r="AU56" s="42"/>
      <c r="AV56" s="42"/>
      <c r="AW56" s="42"/>
      <c r="AX56" s="42"/>
      <c r="AY56" s="42"/>
      <c r="AZ56" s="42">
        <v>0.02</v>
      </c>
      <c r="BA56" s="42"/>
      <c r="BB56" s="42"/>
      <c r="BC56" s="42"/>
      <c r="BD56" s="42">
        <v>0.02</v>
      </c>
      <c r="BE56" s="42">
        <v>0.02</v>
      </c>
      <c r="BF56" s="42">
        <v>0.02</v>
      </c>
      <c r="BG56" s="42">
        <v>0.02</v>
      </c>
      <c r="BH56" s="42">
        <v>0.02</v>
      </c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si="0"/>
        <v>1.0000000000000002</v>
      </c>
    </row>
    <row r="57" spans="2:124" s="13" customFormat="1" x14ac:dyDescent="0.3">
      <c r="B57" s="4">
        <f>'6.1Personnel List'!B58</f>
        <v>46</v>
      </c>
      <c r="C57" s="46" t="s">
        <v>281</v>
      </c>
      <c r="D57" s="46" t="s">
        <v>258</v>
      </c>
      <c r="E57" s="46">
        <v>1</v>
      </c>
      <c r="F57" s="13">
        <v>556738.07999999996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>
        <v>0.02</v>
      </c>
      <c r="AD57" s="42">
        <v>0.8</v>
      </c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>
        <v>0.08</v>
      </c>
      <c r="AU57" s="42"/>
      <c r="AV57" s="42"/>
      <c r="AW57" s="42">
        <v>0.1</v>
      </c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si="0"/>
        <v>1</v>
      </c>
    </row>
    <row r="58" spans="2:124" s="13" customFormat="1" x14ac:dyDescent="0.3">
      <c r="B58" s="4">
        <f>'6.1Personnel List'!B59</f>
        <v>47</v>
      </c>
      <c r="C58" s="46" t="s">
        <v>104</v>
      </c>
      <c r="D58" s="46" t="s">
        <v>315</v>
      </c>
      <c r="E58" s="46">
        <v>1</v>
      </c>
      <c r="F58" s="13">
        <v>155600.76999999999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>
        <v>0.2</v>
      </c>
      <c r="AH58" s="42">
        <v>0.05</v>
      </c>
      <c r="AI58" s="42"/>
      <c r="AJ58" s="42"/>
      <c r="AK58" s="42"/>
      <c r="AL58" s="42"/>
      <c r="AM58" s="42"/>
      <c r="AN58" s="42"/>
      <c r="AO58" s="42"/>
      <c r="AP58" s="42"/>
      <c r="AQ58" s="42">
        <v>0.25</v>
      </c>
      <c r="AR58" s="42"/>
      <c r="AS58" s="42"/>
      <c r="AT58" s="42"/>
      <c r="AU58" s="42"/>
      <c r="AV58" s="42"/>
      <c r="AW58" s="42"/>
      <c r="AX58" s="42"/>
      <c r="AY58" s="42"/>
      <c r="AZ58" s="42">
        <v>0.25</v>
      </c>
      <c r="BA58" s="42"/>
      <c r="BB58" s="42"/>
      <c r="BC58" s="42"/>
      <c r="BD58" s="42">
        <v>0.05</v>
      </c>
      <c r="BE58" s="42">
        <v>0.05</v>
      </c>
      <c r="BF58" s="42">
        <v>0.05</v>
      </c>
      <c r="BG58" s="42">
        <v>0.05</v>
      </c>
      <c r="BH58" s="42">
        <v>0.05</v>
      </c>
      <c r="BI58" s="43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si="0"/>
        <v>1.0000000000000002</v>
      </c>
    </row>
    <row r="59" spans="2:124" s="13" customFormat="1" x14ac:dyDescent="0.3">
      <c r="B59" s="4">
        <f>'6.1Personnel List'!B60</f>
        <v>48</v>
      </c>
      <c r="C59" s="46" t="s">
        <v>106</v>
      </c>
      <c r="D59" s="46" t="s">
        <v>315</v>
      </c>
      <c r="E59" s="46">
        <v>1</v>
      </c>
      <c r="F59" s="13">
        <v>116150.44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>
        <v>0.2</v>
      </c>
      <c r="AH59" s="42">
        <v>0.05</v>
      </c>
      <c r="AI59" s="42"/>
      <c r="AJ59" s="42"/>
      <c r="AK59" s="42"/>
      <c r="AL59" s="42"/>
      <c r="AM59" s="42"/>
      <c r="AN59" s="42"/>
      <c r="AO59" s="42"/>
      <c r="AP59" s="42"/>
      <c r="AQ59" s="42">
        <v>0.25</v>
      </c>
      <c r="AR59" s="42"/>
      <c r="AS59" s="42"/>
      <c r="AT59" s="42"/>
      <c r="AU59" s="42"/>
      <c r="AV59" s="42"/>
      <c r="AW59" s="42"/>
      <c r="AX59" s="42"/>
      <c r="AY59" s="42"/>
      <c r="AZ59" s="42">
        <v>0.25</v>
      </c>
      <c r="BA59" s="42"/>
      <c r="BB59" s="42"/>
      <c r="BC59" s="42"/>
      <c r="BD59" s="42">
        <v>0.05</v>
      </c>
      <c r="BE59" s="42">
        <v>0.05</v>
      </c>
      <c r="BF59" s="42">
        <v>0.05</v>
      </c>
      <c r="BG59" s="42">
        <v>0.05</v>
      </c>
      <c r="BH59" s="42">
        <v>0.05</v>
      </c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si="0"/>
        <v>1.0000000000000002</v>
      </c>
    </row>
    <row r="60" spans="2:124" s="13" customFormat="1" x14ac:dyDescent="0.3">
      <c r="B60" s="4">
        <f>'6.1Personnel List'!B61</f>
        <v>49</v>
      </c>
      <c r="C60" s="46" t="s">
        <v>111</v>
      </c>
      <c r="D60" s="46" t="s">
        <v>315</v>
      </c>
      <c r="E60" s="46">
        <v>1</v>
      </c>
      <c r="F60" s="13">
        <v>105935.28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>
        <v>1</v>
      </c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si="0"/>
        <v>1</v>
      </c>
    </row>
    <row r="61" spans="2:124" s="13" customFormat="1" x14ac:dyDescent="0.3">
      <c r="B61" s="4">
        <f>'6.1Personnel List'!B62</f>
        <v>50</v>
      </c>
      <c r="C61" s="46" t="s">
        <v>121</v>
      </c>
      <c r="D61" s="46" t="s">
        <v>315</v>
      </c>
      <c r="E61" s="46">
        <v>1</v>
      </c>
      <c r="F61" s="13">
        <v>118456.44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>
        <v>0.5</v>
      </c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>
        <v>0.1</v>
      </c>
      <c r="BE61" s="42">
        <v>0.1</v>
      </c>
      <c r="BF61" s="42">
        <v>0.1</v>
      </c>
      <c r="BG61" s="42">
        <v>0.1</v>
      </c>
      <c r="BH61" s="42">
        <v>0.1</v>
      </c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si="0"/>
        <v>0.99999999999999989</v>
      </c>
    </row>
    <row r="62" spans="2:124" s="13" customFormat="1" x14ac:dyDescent="0.3">
      <c r="B62" s="4">
        <f>'6.1Personnel List'!B63</f>
        <v>51</v>
      </c>
      <c r="C62" s="46" t="s">
        <v>128</v>
      </c>
      <c r="D62" s="46" t="s">
        <v>315</v>
      </c>
      <c r="E62" s="46">
        <v>1</v>
      </c>
      <c r="F62" s="13">
        <v>113383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>
        <v>0.25</v>
      </c>
      <c r="AH62" s="42"/>
      <c r="AI62" s="42"/>
      <c r="AJ62" s="42"/>
      <c r="AK62" s="42"/>
      <c r="AL62" s="42"/>
      <c r="AM62" s="42"/>
      <c r="AN62" s="42"/>
      <c r="AO62" s="42"/>
      <c r="AP62" s="42"/>
      <c r="AQ62" s="42">
        <v>0.25</v>
      </c>
      <c r="AR62" s="42"/>
      <c r="AS62" s="42"/>
      <c r="AT62" s="42"/>
      <c r="AU62" s="42"/>
      <c r="AV62" s="42"/>
      <c r="AW62" s="42"/>
      <c r="AX62" s="42"/>
      <c r="AY62" s="42"/>
      <c r="AZ62" s="42">
        <v>0.25</v>
      </c>
      <c r="BA62" s="42"/>
      <c r="BB62" s="42"/>
      <c r="BC62" s="42"/>
      <c r="BD62" s="42">
        <v>0.05</v>
      </c>
      <c r="BE62" s="42">
        <v>0.05</v>
      </c>
      <c r="BF62" s="42">
        <v>0.05</v>
      </c>
      <c r="BG62" s="42">
        <v>0.05</v>
      </c>
      <c r="BH62" s="42">
        <v>0.05</v>
      </c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si="0"/>
        <v>1.0000000000000002</v>
      </c>
    </row>
    <row r="63" spans="2:124" s="13" customFormat="1" x14ac:dyDescent="0.3">
      <c r="B63" s="4">
        <f>'6.1Personnel List'!B64</f>
        <v>52</v>
      </c>
      <c r="C63" s="46" t="s">
        <v>131</v>
      </c>
      <c r="D63" s="46" t="s">
        <v>315</v>
      </c>
      <c r="E63" s="46">
        <v>1</v>
      </c>
      <c r="F63" s="13">
        <v>39358.080000000002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>
        <v>0.25</v>
      </c>
      <c r="AH63" s="42"/>
      <c r="AI63" s="42"/>
      <c r="AJ63" s="42"/>
      <c r="AK63" s="42"/>
      <c r="AL63" s="42"/>
      <c r="AM63" s="42"/>
      <c r="AN63" s="42"/>
      <c r="AO63" s="42"/>
      <c r="AP63" s="42"/>
      <c r="AQ63" s="42">
        <v>0.25</v>
      </c>
      <c r="AR63" s="42"/>
      <c r="AS63" s="42"/>
      <c r="AT63" s="42"/>
      <c r="AU63" s="42"/>
      <c r="AV63" s="42"/>
      <c r="AW63" s="42"/>
      <c r="AX63" s="42"/>
      <c r="AY63" s="42"/>
      <c r="AZ63" s="42">
        <v>0.25</v>
      </c>
      <c r="BA63" s="42"/>
      <c r="BB63" s="42"/>
      <c r="BC63" s="42"/>
      <c r="BD63" s="42">
        <v>0.05</v>
      </c>
      <c r="BE63" s="42">
        <v>0.05</v>
      </c>
      <c r="BF63" s="42">
        <v>0.05</v>
      </c>
      <c r="BG63" s="42">
        <v>0.05</v>
      </c>
      <c r="BH63" s="42">
        <v>0.05</v>
      </c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si="0"/>
        <v>1.0000000000000002</v>
      </c>
    </row>
    <row r="64" spans="2:124" s="13" customFormat="1" x14ac:dyDescent="0.3">
      <c r="B64" s="4">
        <f>'6.1Personnel List'!B65</f>
        <v>53</v>
      </c>
      <c r="C64" s="46" t="s">
        <v>135</v>
      </c>
      <c r="D64" s="46" t="s">
        <v>315</v>
      </c>
      <c r="E64" s="46">
        <v>1</v>
      </c>
      <c r="F64" s="13">
        <v>141273.64000000001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>
        <v>0.25</v>
      </c>
      <c r="AH64" s="42"/>
      <c r="AI64" s="42"/>
      <c r="AJ64" s="42"/>
      <c r="AK64" s="42"/>
      <c r="AL64" s="42"/>
      <c r="AM64" s="42"/>
      <c r="AN64" s="42"/>
      <c r="AO64" s="42"/>
      <c r="AP64" s="42"/>
      <c r="AQ64" s="42">
        <v>0.25</v>
      </c>
      <c r="AR64" s="42"/>
      <c r="AS64" s="42"/>
      <c r="AT64" s="42"/>
      <c r="AU64" s="42"/>
      <c r="AV64" s="42"/>
      <c r="AW64" s="42"/>
      <c r="AX64" s="42"/>
      <c r="AY64" s="42"/>
      <c r="AZ64" s="42">
        <v>0.25</v>
      </c>
      <c r="BA64" s="42"/>
      <c r="BB64" s="42"/>
      <c r="BC64" s="42"/>
      <c r="BD64" s="42">
        <v>0.05</v>
      </c>
      <c r="BE64" s="42">
        <v>0.05</v>
      </c>
      <c r="BF64" s="42">
        <v>0.05</v>
      </c>
      <c r="BG64" s="42">
        <v>0.05</v>
      </c>
      <c r="BH64" s="42">
        <v>0.05</v>
      </c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si="0"/>
        <v>1.0000000000000002</v>
      </c>
    </row>
    <row r="65" spans="2:124" s="13" customFormat="1" x14ac:dyDescent="0.3">
      <c r="B65" s="4">
        <f>'6.1Personnel List'!B66</f>
        <v>54</v>
      </c>
      <c r="C65" s="46" t="s">
        <v>147</v>
      </c>
      <c r="D65" s="46" t="s">
        <v>315</v>
      </c>
      <c r="E65" s="46">
        <v>1</v>
      </c>
      <c r="F65" s="13">
        <v>410531.93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>
        <v>0.05</v>
      </c>
      <c r="AH65" s="42"/>
      <c r="AI65" s="42"/>
      <c r="AJ65" s="42"/>
      <c r="AK65" s="42"/>
      <c r="AL65" s="42"/>
      <c r="AM65" s="42"/>
      <c r="AN65" s="42"/>
      <c r="AO65" s="42"/>
      <c r="AP65" s="42"/>
      <c r="AQ65" s="42">
        <v>0.05</v>
      </c>
      <c r="AR65" s="42"/>
      <c r="AS65" s="42"/>
      <c r="AT65" s="42"/>
      <c r="AU65" s="42"/>
      <c r="AV65" s="42"/>
      <c r="AW65" s="42"/>
      <c r="AX65" s="42"/>
      <c r="AY65" s="42"/>
      <c r="AZ65" s="42">
        <v>0.5</v>
      </c>
      <c r="BA65" s="42"/>
      <c r="BB65" s="42"/>
      <c r="BC65" s="42"/>
      <c r="BD65" s="42">
        <v>0.08</v>
      </c>
      <c r="BE65" s="42">
        <v>0.08</v>
      </c>
      <c r="BF65" s="42">
        <v>0.08</v>
      </c>
      <c r="BG65" s="42">
        <v>0.08</v>
      </c>
      <c r="BH65" s="42">
        <v>0.08</v>
      </c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si="0"/>
        <v>0.99999999999999978</v>
      </c>
    </row>
    <row r="66" spans="2:124" s="13" customFormat="1" x14ac:dyDescent="0.3">
      <c r="B66" s="4">
        <f>'6.1Personnel List'!B67</f>
        <v>55</v>
      </c>
      <c r="C66" s="46" t="s">
        <v>161</v>
      </c>
      <c r="D66" s="46" t="s">
        <v>315</v>
      </c>
      <c r="E66" s="46">
        <v>1</v>
      </c>
      <c r="F66" s="13">
        <v>149101.53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>
        <v>0.23</v>
      </c>
      <c r="AH66" s="42"/>
      <c r="AI66" s="42"/>
      <c r="AJ66" s="42"/>
      <c r="AK66" s="42"/>
      <c r="AL66" s="42"/>
      <c r="AM66" s="42"/>
      <c r="AN66" s="42"/>
      <c r="AO66" s="42"/>
      <c r="AP66" s="42"/>
      <c r="AQ66" s="42">
        <v>0.25</v>
      </c>
      <c r="AR66" s="42"/>
      <c r="AS66" s="42"/>
      <c r="AT66" s="42"/>
      <c r="AU66" s="42"/>
      <c r="AV66" s="42">
        <v>0.02</v>
      </c>
      <c r="AW66" s="42"/>
      <c r="AX66" s="42"/>
      <c r="AY66" s="42"/>
      <c r="AZ66" s="42">
        <v>0.25</v>
      </c>
      <c r="BA66" s="42"/>
      <c r="BB66" s="42"/>
      <c r="BC66" s="42"/>
      <c r="BD66" s="42">
        <v>0.05</v>
      </c>
      <c r="BE66" s="42">
        <v>0.05</v>
      </c>
      <c r="BF66" s="42">
        <v>0.05</v>
      </c>
      <c r="BG66" s="42">
        <v>0.05</v>
      </c>
      <c r="BH66" s="42">
        <v>0.05</v>
      </c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si="0"/>
        <v>1.0000000000000002</v>
      </c>
    </row>
    <row r="67" spans="2:124" s="13" customFormat="1" x14ac:dyDescent="0.3">
      <c r="B67" s="4">
        <f>'6.1Personnel List'!B68</f>
        <v>56</v>
      </c>
      <c r="C67" s="46" t="s">
        <v>164</v>
      </c>
      <c r="D67" s="46" t="s">
        <v>315</v>
      </c>
      <c r="E67" s="46">
        <v>1</v>
      </c>
      <c r="F67" s="13">
        <v>152507.09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>
        <v>0.23</v>
      </c>
      <c r="AH67" s="42"/>
      <c r="AI67" s="42"/>
      <c r="AJ67" s="42"/>
      <c r="AK67" s="42"/>
      <c r="AL67" s="42"/>
      <c r="AM67" s="42"/>
      <c r="AN67" s="42"/>
      <c r="AO67" s="42"/>
      <c r="AP67" s="42"/>
      <c r="AQ67" s="42">
        <v>0.25</v>
      </c>
      <c r="AR67" s="42"/>
      <c r="AS67" s="42"/>
      <c r="AT67" s="42"/>
      <c r="AU67" s="42"/>
      <c r="AV67" s="42">
        <v>0.02</v>
      </c>
      <c r="AW67" s="42"/>
      <c r="AX67" s="42"/>
      <c r="AY67" s="42"/>
      <c r="AZ67" s="42">
        <v>0.25</v>
      </c>
      <c r="BA67" s="42"/>
      <c r="BB67" s="42"/>
      <c r="BC67" s="42"/>
      <c r="BD67" s="42">
        <v>0.05</v>
      </c>
      <c r="BE67" s="42">
        <v>0.05</v>
      </c>
      <c r="BF67" s="42">
        <v>0.05</v>
      </c>
      <c r="BG67" s="42">
        <v>0.05</v>
      </c>
      <c r="BH67" s="42">
        <v>0.05</v>
      </c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si="0"/>
        <v>1.0000000000000002</v>
      </c>
    </row>
    <row r="68" spans="2:124" s="13" customFormat="1" x14ac:dyDescent="0.3">
      <c r="B68" s="4">
        <f>'6.1Personnel List'!B69</f>
        <v>57</v>
      </c>
      <c r="C68" s="46" t="s">
        <v>173</v>
      </c>
      <c r="D68" s="46" t="s">
        <v>315</v>
      </c>
      <c r="E68" s="46">
        <v>1</v>
      </c>
      <c r="F68" s="13">
        <v>73616.039999999994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>
        <v>0.25</v>
      </c>
      <c r="AH68" s="42"/>
      <c r="AI68" s="42"/>
      <c r="AJ68" s="42"/>
      <c r="AK68" s="42"/>
      <c r="AL68" s="42"/>
      <c r="AM68" s="42"/>
      <c r="AN68" s="42"/>
      <c r="AO68" s="42"/>
      <c r="AP68" s="42"/>
      <c r="AQ68" s="42">
        <v>0.25</v>
      </c>
      <c r="AR68" s="42"/>
      <c r="AS68" s="42"/>
      <c r="AT68" s="42"/>
      <c r="AU68" s="42"/>
      <c r="AV68" s="42"/>
      <c r="AW68" s="42"/>
      <c r="AX68" s="42"/>
      <c r="AY68" s="42"/>
      <c r="AZ68" s="42">
        <v>0.25</v>
      </c>
      <c r="BA68" s="42"/>
      <c r="BB68" s="42"/>
      <c r="BC68" s="42"/>
      <c r="BD68" s="42">
        <v>0.05</v>
      </c>
      <c r="BE68" s="42">
        <v>0.05</v>
      </c>
      <c r="BF68" s="42">
        <v>0.05</v>
      </c>
      <c r="BG68" s="42">
        <v>0.05</v>
      </c>
      <c r="BH68" s="42">
        <v>0.05</v>
      </c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si="0"/>
        <v>1.0000000000000002</v>
      </c>
    </row>
    <row r="69" spans="2:124" s="13" customFormat="1" x14ac:dyDescent="0.3">
      <c r="B69" s="4">
        <f>'6.1Personnel List'!B70</f>
        <v>58</v>
      </c>
      <c r="C69" s="46" t="s">
        <v>179</v>
      </c>
      <c r="D69" s="46" t="s">
        <v>315</v>
      </c>
      <c r="E69" s="46">
        <v>1</v>
      </c>
      <c r="F69" s="13">
        <v>151419.28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>
        <v>0.23</v>
      </c>
      <c r="AH69" s="42"/>
      <c r="AI69" s="42"/>
      <c r="AJ69" s="42"/>
      <c r="AK69" s="42"/>
      <c r="AL69" s="42"/>
      <c r="AM69" s="42"/>
      <c r="AN69" s="42"/>
      <c r="AO69" s="42"/>
      <c r="AP69" s="42"/>
      <c r="AQ69" s="42">
        <v>0.25</v>
      </c>
      <c r="AR69" s="42"/>
      <c r="AS69" s="42"/>
      <c r="AT69" s="42"/>
      <c r="AU69" s="42"/>
      <c r="AV69" s="42">
        <v>0.02</v>
      </c>
      <c r="AW69" s="42"/>
      <c r="AX69" s="42"/>
      <c r="AY69" s="42"/>
      <c r="AZ69" s="42">
        <v>0.25</v>
      </c>
      <c r="BA69" s="42"/>
      <c r="BB69" s="42"/>
      <c r="BC69" s="42"/>
      <c r="BD69" s="42">
        <v>0.05</v>
      </c>
      <c r="BE69" s="42">
        <v>0.05</v>
      </c>
      <c r="BF69" s="42">
        <v>0.05</v>
      </c>
      <c r="BG69" s="42">
        <v>0.05</v>
      </c>
      <c r="BH69" s="42">
        <v>0.05</v>
      </c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si="0"/>
        <v>1.0000000000000002</v>
      </c>
    </row>
    <row r="70" spans="2:124" s="13" customFormat="1" x14ac:dyDescent="0.3">
      <c r="B70" s="4">
        <f>'6.1Personnel List'!B71</f>
        <v>59</v>
      </c>
      <c r="C70" s="46" t="s">
        <v>181</v>
      </c>
      <c r="D70" s="46" t="s">
        <v>315</v>
      </c>
      <c r="E70" s="46">
        <v>1</v>
      </c>
      <c r="F70" s="13">
        <v>112061.2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>
        <v>0.25</v>
      </c>
      <c r="AH70" s="42"/>
      <c r="AI70" s="42"/>
      <c r="AJ70" s="42"/>
      <c r="AK70" s="42"/>
      <c r="AL70" s="42"/>
      <c r="AM70" s="42"/>
      <c r="AN70" s="42"/>
      <c r="AO70" s="42"/>
      <c r="AP70" s="42"/>
      <c r="AQ70" s="42">
        <v>0.25</v>
      </c>
      <c r="AR70" s="42"/>
      <c r="AS70" s="42"/>
      <c r="AT70" s="42"/>
      <c r="AU70" s="42"/>
      <c r="AV70" s="42"/>
      <c r="AW70" s="42"/>
      <c r="AX70" s="42"/>
      <c r="AY70" s="42"/>
      <c r="AZ70" s="42">
        <v>0.25</v>
      </c>
      <c r="BA70" s="42"/>
      <c r="BB70" s="42"/>
      <c r="BC70" s="42"/>
      <c r="BD70" s="42">
        <v>0.05</v>
      </c>
      <c r="BE70" s="42">
        <v>0.05</v>
      </c>
      <c r="BF70" s="42">
        <v>0.05</v>
      </c>
      <c r="BG70" s="42">
        <v>0.05</v>
      </c>
      <c r="BH70" s="42">
        <v>0.05</v>
      </c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si="0"/>
        <v>1.0000000000000002</v>
      </c>
    </row>
    <row r="71" spans="2:124" s="13" customFormat="1" x14ac:dyDescent="0.3">
      <c r="B71" s="4">
        <f>'6.1Personnel List'!B72</f>
        <v>60</v>
      </c>
      <c r="C71" s="46" t="s">
        <v>182</v>
      </c>
      <c r="D71" s="46" t="s">
        <v>315</v>
      </c>
      <c r="E71" s="46">
        <v>1</v>
      </c>
      <c r="F71" s="13">
        <v>44277.84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>
        <v>0.25</v>
      </c>
      <c r="AH71" s="42"/>
      <c r="AI71" s="42"/>
      <c r="AJ71" s="42"/>
      <c r="AK71" s="42"/>
      <c r="AL71" s="42"/>
      <c r="AM71" s="42"/>
      <c r="AN71" s="42"/>
      <c r="AO71" s="42"/>
      <c r="AP71" s="42"/>
      <c r="AQ71" s="42">
        <v>0.25</v>
      </c>
      <c r="AR71" s="42"/>
      <c r="AS71" s="42"/>
      <c r="AT71" s="42"/>
      <c r="AU71" s="42"/>
      <c r="AV71" s="42"/>
      <c r="AW71" s="42"/>
      <c r="AX71" s="42"/>
      <c r="AY71" s="42"/>
      <c r="AZ71" s="42">
        <v>0.25</v>
      </c>
      <c r="BA71" s="42"/>
      <c r="BB71" s="42"/>
      <c r="BC71" s="42"/>
      <c r="BD71" s="42">
        <v>0.05</v>
      </c>
      <c r="BE71" s="42">
        <v>0.05</v>
      </c>
      <c r="BF71" s="42">
        <v>0.05</v>
      </c>
      <c r="BG71" s="42">
        <v>0.05</v>
      </c>
      <c r="BH71" s="42">
        <v>0.05</v>
      </c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si="0"/>
        <v>1.0000000000000002</v>
      </c>
    </row>
    <row r="72" spans="2:124" s="13" customFormat="1" x14ac:dyDescent="0.3">
      <c r="B72" s="4">
        <f>'6.1Personnel List'!B73</f>
        <v>61</v>
      </c>
      <c r="C72" s="46" t="s">
        <v>183</v>
      </c>
      <c r="D72" s="46" t="s">
        <v>315</v>
      </c>
      <c r="E72" s="46">
        <v>1</v>
      </c>
      <c r="F72" s="13">
        <v>109718.96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>
        <v>1</v>
      </c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si="0"/>
        <v>1</v>
      </c>
    </row>
    <row r="73" spans="2:124" s="13" customFormat="1" x14ac:dyDescent="0.3">
      <c r="B73" s="4">
        <f>'6.1Personnel List'!B74</f>
        <v>62</v>
      </c>
      <c r="C73" s="46" t="s">
        <v>184</v>
      </c>
      <c r="D73" s="46" t="s">
        <v>315</v>
      </c>
      <c r="E73" s="46">
        <v>1</v>
      </c>
      <c r="F73" s="13">
        <v>323366.24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>
        <v>0.25</v>
      </c>
      <c r="AI73" s="42"/>
      <c r="AJ73" s="42"/>
      <c r="AK73" s="42"/>
      <c r="AL73" s="42"/>
      <c r="AM73" s="42"/>
      <c r="AN73" s="42"/>
      <c r="AO73" s="42"/>
      <c r="AP73" s="42"/>
      <c r="AQ73" s="42">
        <v>0.25</v>
      </c>
      <c r="AR73" s="42"/>
      <c r="AS73" s="42"/>
      <c r="AT73" s="42"/>
      <c r="AU73" s="42"/>
      <c r="AV73" s="42"/>
      <c r="AW73" s="42"/>
      <c r="AX73" s="42"/>
      <c r="AY73" s="42"/>
      <c r="AZ73" s="42">
        <v>0.25</v>
      </c>
      <c r="BA73" s="42"/>
      <c r="BB73" s="42"/>
      <c r="BC73" s="42"/>
      <c r="BD73" s="42">
        <v>0.05</v>
      </c>
      <c r="BE73" s="42">
        <v>0.05</v>
      </c>
      <c r="BF73" s="42">
        <v>0.05</v>
      </c>
      <c r="BG73" s="42">
        <v>0.05</v>
      </c>
      <c r="BH73" s="42">
        <v>0.05</v>
      </c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si="0"/>
        <v>1.0000000000000002</v>
      </c>
    </row>
    <row r="74" spans="2:124" s="13" customFormat="1" x14ac:dyDescent="0.3">
      <c r="B74" s="4">
        <f>'6.1Personnel List'!B75</f>
        <v>63</v>
      </c>
      <c r="C74" s="46" t="s">
        <v>194</v>
      </c>
      <c r="D74" s="46" t="s">
        <v>315</v>
      </c>
      <c r="E74" s="46">
        <v>1</v>
      </c>
      <c r="F74" s="13">
        <v>388731.24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>
        <v>1</v>
      </c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si="0"/>
        <v>1</v>
      </c>
    </row>
    <row r="75" spans="2:124" s="13" customFormat="1" x14ac:dyDescent="0.3">
      <c r="B75" s="4">
        <f>'6.1Personnel List'!B76</f>
        <v>64</v>
      </c>
      <c r="C75" s="46" t="s">
        <v>198</v>
      </c>
      <c r="D75" s="46" t="s">
        <v>315</v>
      </c>
      <c r="E75" s="46">
        <v>1</v>
      </c>
      <c r="F75" s="13">
        <v>111538.24000000001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>
        <v>0.3</v>
      </c>
      <c r="AH75" s="42"/>
      <c r="AI75" s="42"/>
      <c r="AJ75" s="42"/>
      <c r="AK75" s="42"/>
      <c r="AL75" s="42"/>
      <c r="AM75" s="42"/>
      <c r="AN75" s="42"/>
      <c r="AO75" s="42"/>
      <c r="AP75" s="42"/>
      <c r="AQ75" s="42">
        <v>0.1</v>
      </c>
      <c r="AR75" s="42"/>
      <c r="AS75" s="42"/>
      <c r="AT75" s="42"/>
      <c r="AU75" s="42"/>
      <c r="AV75" s="42"/>
      <c r="AW75" s="42"/>
      <c r="AX75" s="42"/>
      <c r="AY75" s="42"/>
      <c r="AZ75" s="42">
        <v>0.1</v>
      </c>
      <c r="BA75" s="42"/>
      <c r="BB75" s="42"/>
      <c r="BC75" s="42"/>
      <c r="BD75" s="42">
        <v>0.1</v>
      </c>
      <c r="BE75" s="42">
        <v>0.1</v>
      </c>
      <c r="BF75" s="42">
        <v>0.1</v>
      </c>
      <c r="BG75" s="42">
        <v>0.1</v>
      </c>
      <c r="BH75" s="42">
        <v>0.1</v>
      </c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si="0"/>
        <v>0.99999999999999989</v>
      </c>
    </row>
    <row r="76" spans="2:124" s="13" customFormat="1" x14ac:dyDescent="0.3">
      <c r="B76" s="4">
        <f>'6.1Personnel List'!B77</f>
        <v>65</v>
      </c>
      <c r="C76" s="46" t="s">
        <v>201</v>
      </c>
      <c r="D76" s="46" t="s">
        <v>315</v>
      </c>
      <c r="E76" s="46">
        <v>1</v>
      </c>
      <c r="F76" s="13">
        <v>108770.8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>
        <v>0.3</v>
      </c>
      <c r="AS76" s="42"/>
      <c r="AT76" s="42"/>
      <c r="AU76" s="42"/>
      <c r="AV76" s="42"/>
      <c r="AW76" s="42"/>
      <c r="AX76" s="42"/>
      <c r="AY76" s="42"/>
      <c r="AZ76" s="42">
        <v>0.3</v>
      </c>
      <c r="BA76" s="42"/>
      <c r="BB76" s="42"/>
      <c r="BC76" s="42"/>
      <c r="BD76" s="42">
        <v>0.08</v>
      </c>
      <c r="BE76" s="42">
        <v>0.08</v>
      </c>
      <c r="BF76" s="42">
        <v>0.08</v>
      </c>
      <c r="BG76" s="42">
        <v>0.08</v>
      </c>
      <c r="BH76" s="42">
        <v>0.08</v>
      </c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si="0"/>
        <v>0.99999999999999978</v>
      </c>
    </row>
    <row r="77" spans="2:124" s="13" customFormat="1" x14ac:dyDescent="0.3">
      <c r="B77" s="4">
        <f>'6.1Personnel List'!B78</f>
        <v>66</v>
      </c>
      <c r="C77" s="46" t="s">
        <v>203</v>
      </c>
      <c r="D77" s="46" t="s">
        <v>315</v>
      </c>
      <c r="E77" s="46">
        <v>1</v>
      </c>
      <c r="F77" s="13">
        <v>39358.080000000002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>
        <v>0.3</v>
      </c>
      <c r="AR77" s="42"/>
      <c r="AS77" s="42"/>
      <c r="AT77" s="42"/>
      <c r="AU77" s="42"/>
      <c r="AV77" s="42"/>
      <c r="AW77" s="42"/>
      <c r="AX77" s="42"/>
      <c r="AY77" s="42"/>
      <c r="AZ77" s="42">
        <v>0.3</v>
      </c>
      <c r="BA77" s="42"/>
      <c r="BB77" s="42"/>
      <c r="BC77" s="42"/>
      <c r="BD77" s="42">
        <v>0.08</v>
      </c>
      <c r="BE77" s="42">
        <v>0.08</v>
      </c>
      <c r="BF77" s="42">
        <v>0.08</v>
      </c>
      <c r="BG77" s="42">
        <v>0.08</v>
      </c>
      <c r="BH77" s="42">
        <v>0.08</v>
      </c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si="0"/>
        <v>0.99999999999999978</v>
      </c>
    </row>
    <row r="78" spans="2:124" s="13" customFormat="1" x14ac:dyDescent="0.3">
      <c r="B78" s="4">
        <f>'6.1Personnel List'!B79</f>
        <v>67</v>
      </c>
      <c r="C78" s="46" t="s">
        <v>207</v>
      </c>
      <c r="D78" s="46" t="s">
        <v>315</v>
      </c>
      <c r="E78" s="46">
        <v>1</v>
      </c>
      <c r="F78" s="13">
        <v>132040.89000000001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>
        <v>0.25</v>
      </c>
      <c r="S78" s="42"/>
      <c r="T78" s="42">
        <v>0.25</v>
      </c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>
        <v>0.1</v>
      </c>
      <c r="AH78" s="42"/>
      <c r="AI78" s="42"/>
      <c r="AJ78" s="42"/>
      <c r="AK78" s="42"/>
      <c r="AL78" s="42"/>
      <c r="AM78" s="42"/>
      <c r="AN78" s="42"/>
      <c r="AO78" s="42"/>
      <c r="AP78" s="42"/>
      <c r="AQ78" s="42">
        <v>0.1</v>
      </c>
      <c r="AR78" s="42"/>
      <c r="AS78" s="42"/>
      <c r="AT78" s="42"/>
      <c r="AU78" s="42"/>
      <c r="AV78" s="42"/>
      <c r="AW78" s="42"/>
      <c r="AX78" s="42"/>
      <c r="AY78" s="42"/>
      <c r="AZ78" s="42">
        <v>0.1</v>
      </c>
      <c r="BA78" s="42"/>
      <c r="BB78" s="42"/>
      <c r="BC78" s="42"/>
      <c r="BD78" s="42">
        <v>0.04</v>
      </c>
      <c r="BE78" s="42">
        <v>0.04</v>
      </c>
      <c r="BF78" s="42">
        <v>0.04</v>
      </c>
      <c r="BG78" s="42">
        <v>0.04</v>
      </c>
      <c r="BH78" s="42">
        <v>0.04</v>
      </c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:DT141" si="1">SUM(G78:DR78)</f>
        <v>1</v>
      </c>
    </row>
    <row r="79" spans="2:124" s="13" customFormat="1" x14ac:dyDescent="0.3">
      <c r="B79" s="4">
        <f>'6.1Personnel List'!B80</f>
        <v>68</v>
      </c>
      <c r="C79" s="46" t="s">
        <v>208</v>
      </c>
      <c r="D79" s="46" t="s">
        <v>315</v>
      </c>
      <c r="E79" s="46">
        <v>1</v>
      </c>
      <c r="F79" s="13">
        <v>87042.36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>
        <v>0.3</v>
      </c>
      <c r="AH79" s="42"/>
      <c r="AI79" s="42"/>
      <c r="AJ79" s="42"/>
      <c r="AK79" s="42"/>
      <c r="AL79" s="42"/>
      <c r="AM79" s="42"/>
      <c r="AN79" s="42"/>
      <c r="AO79" s="42"/>
      <c r="AP79" s="42"/>
      <c r="AQ79" s="42">
        <v>0.1</v>
      </c>
      <c r="AR79" s="42"/>
      <c r="AS79" s="42"/>
      <c r="AT79" s="42"/>
      <c r="AU79" s="42"/>
      <c r="AV79" s="42"/>
      <c r="AW79" s="42"/>
      <c r="AX79" s="42"/>
      <c r="AY79" s="42"/>
      <c r="AZ79" s="42">
        <v>0.1</v>
      </c>
      <c r="BA79" s="42"/>
      <c r="BB79" s="42"/>
      <c r="BC79" s="42"/>
      <c r="BD79" s="42">
        <v>0.1</v>
      </c>
      <c r="BE79" s="42">
        <v>0.1</v>
      </c>
      <c r="BF79" s="42">
        <v>0.1</v>
      </c>
      <c r="BG79" s="42">
        <v>0.1</v>
      </c>
      <c r="BH79" s="42">
        <v>0.1</v>
      </c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si="1"/>
        <v>0.99999999999999989</v>
      </c>
    </row>
    <row r="80" spans="2:124" s="13" customFormat="1" x14ac:dyDescent="0.3">
      <c r="B80" s="4">
        <f>'6.1Personnel List'!B81</f>
        <v>69</v>
      </c>
      <c r="C80" s="46" t="s">
        <v>211</v>
      </c>
      <c r="D80" s="46" t="s">
        <v>315</v>
      </c>
      <c r="E80" s="46">
        <v>1</v>
      </c>
      <c r="F80" s="13">
        <v>76921.36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>
        <v>0.25</v>
      </c>
      <c r="AH80" s="42"/>
      <c r="AI80" s="42"/>
      <c r="AJ80" s="42"/>
      <c r="AK80" s="42"/>
      <c r="AL80" s="42"/>
      <c r="AM80" s="42"/>
      <c r="AN80" s="42"/>
      <c r="AO80" s="42"/>
      <c r="AP80" s="42"/>
      <c r="AQ80" s="42">
        <v>0.15</v>
      </c>
      <c r="AR80" s="42"/>
      <c r="AS80" s="42"/>
      <c r="AT80" s="42"/>
      <c r="AU80" s="42"/>
      <c r="AV80" s="42"/>
      <c r="AW80" s="42"/>
      <c r="AX80" s="42"/>
      <c r="AY80" s="42"/>
      <c r="AZ80" s="42">
        <v>0.1</v>
      </c>
      <c r="BA80" s="42"/>
      <c r="BB80" s="42"/>
      <c r="BC80" s="42"/>
      <c r="BD80" s="42">
        <v>0.1</v>
      </c>
      <c r="BE80" s="42">
        <v>0.1</v>
      </c>
      <c r="BF80" s="42">
        <v>0.1</v>
      </c>
      <c r="BG80" s="42">
        <v>0.1</v>
      </c>
      <c r="BH80" s="42">
        <v>0.1</v>
      </c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si="1"/>
        <v>0.99999999999999989</v>
      </c>
    </row>
    <row r="81" spans="2:124" s="13" customFormat="1" x14ac:dyDescent="0.3">
      <c r="B81" s="4">
        <f>'6.1Personnel List'!B82</f>
        <v>70</v>
      </c>
      <c r="C81" s="46" t="s">
        <v>225</v>
      </c>
      <c r="D81" s="46" t="s">
        <v>315</v>
      </c>
      <c r="E81" s="46">
        <v>1</v>
      </c>
      <c r="F81" s="13">
        <v>415711.32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>
        <v>0.1</v>
      </c>
      <c r="AI81" s="42"/>
      <c r="AJ81" s="42"/>
      <c r="AK81" s="42"/>
      <c r="AL81" s="42"/>
      <c r="AM81" s="42"/>
      <c r="AN81" s="42"/>
      <c r="AO81" s="42"/>
      <c r="AP81" s="42"/>
      <c r="AQ81" s="42">
        <v>0.8</v>
      </c>
      <c r="AR81" s="42"/>
      <c r="AS81" s="42"/>
      <c r="AT81" s="42"/>
      <c r="AU81" s="42"/>
      <c r="AV81" s="42"/>
      <c r="AW81" s="42"/>
      <c r="AX81" s="42"/>
      <c r="AY81" s="42"/>
      <c r="AZ81" s="42">
        <v>0.1</v>
      </c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si="1"/>
        <v>1</v>
      </c>
    </row>
    <row r="82" spans="2:124" s="13" customFormat="1" x14ac:dyDescent="0.3">
      <c r="B82" s="4">
        <f>'6.1Personnel List'!B83</f>
        <v>71</v>
      </c>
      <c r="C82" s="46" t="s">
        <v>235</v>
      </c>
      <c r="D82" s="46" t="s">
        <v>315</v>
      </c>
      <c r="E82" s="46">
        <v>1</v>
      </c>
      <c r="F82" s="13">
        <v>39358.080000000002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>
        <v>0.1</v>
      </c>
      <c r="AH82" s="42"/>
      <c r="AI82" s="42"/>
      <c r="AJ82" s="42"/>
      <c r="AK82" s="42"/>
      <c r="AL82" s="42"/>
      <c r="AM82" s="42"/>
      <c r="AN82" s="42"/>
      <c r="AO82" s="42"/>
      <c r="AP82" s="42"/>
      <c r="AQ82" s="42">
        <v>0.1</v>
      </c>
      <c r="AR82" s="42"/>
      <c r="AS82" s="42"/>
      <c r="AT82" s="42"/>
      <c r="AU82" s="42"/>
      <c r="AV82" s="42"/>
      <c r="AW82" s="42"/>
      <c r="AX82" s="42"/>
      <c r="AY82" s="42"/>
      <c r="AZ82" s="42">
        <v>0.3</v>
      </c>
      <c r="BA82" s="42"/>
      <c r="BB82" s="42"/>
      <c r="BC82" s="42"/>
      <c r="BD82" s="42">
        <v>0.1</v>
      </c>
      <c r="BE82" s="42">
        <v>0.1</v>
      </c>
      <c r="BF82" s="42">
        <v>0.1</v>
      </c>
      <c r="BG82" s="42">
        <v>0.1</v>
      </c>
      <c r="BH82" s="42">
        <v>0.1</v>
      </c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si="1"/>
        <v>0.99999999999999989</v>
      </c>
    </row>
    <row r="83" spans="2:124" s="13" customFormat="1" x14ac:dyDescent="0.3">
      <c r="B83" s="4">
        <f>'6.1Personnel List'!B84</f>
        <v>72</v>
      </c>
      <c r="C83" s="46" t="s">
        <v>236</v>
      </c>
      <c r="D83" s="46" t="s">
        <v>315</v>
      </c>
      <c r="E83" s="46">
        <v>1</v>
      </c>
      <c r="F83" s="13">
        <v>388731.24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>
        <v>0.1</v>
      </c>
      <c r="AS83" s="42"/>
      <c r="AT83" s="42"/>
      <c r="AU83" s="42"/>
      <c r="AV83" s="42"/>
      <c r="AW83" s="42"/>
      <c r="AX83" s="42"/>
      <c r="AY83" s="42"/>
      <c r="AZ83" s="42">
        <v>0.4</v>
      </c>
      <c r="BA83" s="42"/>
      <c r="BB83" s="42"/>
      <c r="BC83" s="42"/>
      <c r="BD83" s="42">
        <v>0.1</v>
      </c>
      <c r="BE83" s="42">
        <v>0.1</v>
      </c>
      <c r="BF83" s="42">
        <v>0.1</v>
      </c>
      <c r="BG83" s="42">
        <v>0.1</v>
      </c>
      <c r="BH83" s="42">
        <v>0.1</v>
      </c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si="1"/>
        <v>0.99999999999999989</v>
      </c>
    </row>
    <row r="84" spans="2:124" s="13" customFormat="1" x14ac:dyDescent="0.3">
      <c r="B84" s="4">
        <f>'6.1Personnel List'!B85</f>
        <v>73</v>
      </c>
      <c r="C84" s="46" t="s">
        <v>238</v>
      </c>
      <c r="D84" s="46" t="s">
        <v>315</v>
      </c>
      <c r="E84" s="46">
        <v>1</v>
      </c>
      <c r="F84" s="13">
        <v>323366.24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>
        <v>0.1</v>
      </c>
      <c r="AH84" s="42"/>
      <c r="AI84" s="42"/>
      <c r="AJ84" s="42"/>
      <c r="AK84" s="42"/>
      <c r="AL84" s="42"/>
      <c r="AM84" s="42"/>
      <c r="AN84" s="42"/>
      <c r="AO84" s="42"/>
      <c r="AP84" s="42"/>
      <c r="AQ84" s="42">
        <v>0.1</v>
      </c>
      <c r="AR84" s="42"/>
      <c r="AS84" s="42"/>
      <c r="AT84" s="42">
        <v>0.2</v>
      </c>
      <c r="AU84" s="42"/>
      <c r="AV84" s="42"/>
      <c r="AW84" s="42"/>
      <c r="AX84" s="42"/>
      <c r="AY84" s="42"/>
      <c r="AZ84" s="42">
        <v>0.2</v>
      </c>
      <c r="BA84" s="42"/>
      <c r="BB84" s="42"/>
      <c r="BC84" s="42"/>
      <c r="BD84" s="42">
        <v>0.08</v>
      </c>
      <c r="BE84" s="42">
        <v>0.08</v>
      </c>
      <c r="BF84" s="42">
        <v>0.08</v>
      </c>
      <c r="BG84" s="42">
        <v>0.08</v>
      </c>
      <c r="BH84" s="42">
        <v>0.08</v>
      </c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si="1"/>
        <v>0.99999999999999989</v>
      </c>
    </row>
    <row r="85" spans="2:124" s="13" customFormat="1" x14ac:dyDescent="0.3">
      <c r="B85" s="4">
        <f>'6.1Personnel List'!B86</f>
        <v>74</v>
      </c>
      <c r="C85" s="46" t="s">
        <v>252</v>
      </c>
      <c r="D85" s="46" t="s">
        <v>315</v>
      </c>
      <c r="E85" s="46">
        <v>1</v>
      </c>
      <c r="F85" s="13">
        <v>388731.24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>
        <v>0.5</v>
      </c>
      <c r="BA85" s="42"/>
      <c r="BB85" s="42"/>
      <c r="BC85" s="42"/>
      <c r="BD85" s="42">
        <v>0.1</v>
      </c>
      <c r="BE85" s="42">
        <v>0.1</v>
      </c>
      <c r="BF85" s="42">
        <v>0.1</v>
      </c>
      <c r="BG85" s="42">
        <v>0.1</v>
      </c>
      <c r="BH85" s="42">
        <v>0.1</v>
      </c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si="1"/>
        <v>0.99999999999999989</v>
      </c>
    </row>
    <row r="86" spans="2:124" s="13" customFormat="1" x14ac:dyDescent="0.3">
      <c r="B86" s="4">
        <f>'6.1Personnel List'!B87</f>
        <v>75</v>
      </c>
      <c r="C86" s="46" t="s">
        <v>254</v>
      </c>
      <c r="D86" s="46" t="s">
        <v>315</v>
      </c>
      <c r="E86" s="46">
        <v>1</v>
      </c>
      <c r="F86" s="13">
        <v>388506.24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>
        <v>0.5</v>
      </c>
      <c r="BA86" s="42"/>
      <c r="BB86" s="42"/>
      <c r="BC86" s="42"/>
      <c r="BD86" s="42">
        <v>0.1</v>
      </c>
      <c r="BE86" s="42">
        <v>0.1</v>
      </c>
      <c r="BF86" s="42">
        <v>0.1</v>
      </c>
      <c r="BG86" s="42">
        <v>0.1</v>
      </c>
      <c r="BH86" s="42">
        <v>0.1</v>
      </c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si="1"/>
        <v>0.99999999999999989</v>
      </c>
    </row>
    <row r="87" spans="2:124" s="13" customFormat="1" x14ac:dyDescent="0.3">
      <c r="B87" s="4">
        <f>'6.1Personnel List'!B88</f>
        <v>76</v>
      </c>
      <c r="C87" s="46" t="s">
        <v>256</v>
      </c>
      <c r="D87" s="46" t="s">
        <v>315</v>
      </c>
      <c r="E87" s="46">
        <v>1</v>
      </c>
      <c r="F87" s="13">
        <v>323366.24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>
        <v>0.5</v>
      </c>
      <c r="BA87" s="42"/>
      <c r="BB87" s="42"/>
      <c r="BC87" s="42"/>
      <c r="BD87" s="42">
        <v>0.1</v>
      </c>
      <c r="BE87" s="42">
        <v>0.1</v>
      </c>
      <c r="BF87" s="42">
        <v>0.1</v>
      </c>
      <c r="BG87" s="42">
        <v>0.1</v>
      </c>
      <c r="BH87" s="42">
        <v>0.1</v>
      </c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si="1"/>
        <v>0.99999999999999989</v>
      </c>
    </row>
    <row r="88" spans="2:124" s="13" customFormat="1" x14ac:dyDescent="0.3">
      <c r="B88" s="4">
        <f>'6.1Personnel List'!B89</f>
        <v>77</v>
      </c>
      <c r="C88" s="46" t="s">
        <v>268</v>
      </c>
      <c r="D88" s="46" t="s">
        <v>315</v>
      </c>
      <c r="E88" s="46">
        <v>1</v>
      </c>
      <c r="F88" s="13">
        <v>44277.84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>
        <v>0.2</v>
      </c>
      <c r="AH88" s="42"/>
      <c r="AI88" s="42"/>
      <c r="AJ88" s="42"/>
      <c r="AK88" s="42"/>
      <c r="AL88" s="42"/>
      <c r="AM88" s="42"/>
      <c r="AN88" s="42"/>
      <c r="AO88" s="42"/>
      <c r="AP88" s="42"/>
      <c r="AQ88" s="42">
        <v>0.2</v>
      </c>
      <c r="AR88" s="42"/>
      <c r="AS88" s="42"/>
      <c r="AT88" s="42"/>
      <c r="AU88" s="42"/>
      <c r="AV88" s="42"/>
      <c r="AW88" s="42"/>
      <c r="AX88" s="42"/>
      <c r="AY88" s="42"/>
      <c r="AZ88" s="42">
        <v>0.1</v>
      </c>
      <c r="BA88" s="42"/>
      <c r="BB88" s="42"/>
      <c r="BC88" s="42"/>
      <c r="BD88" s="42">
        <v>0.1</v>
      </c>
      <c r="BE88" s="42">
        <v>0.1</v>
      </c>
      <c r="BF88" s="42">
        <v>0.1</v>
      </c>
      <c r="BG88" s="42">
        <v>0.1</v>
      </c>
      <c r="BH88" s="42">
        <v>0.1</v>
      </c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si="1"/>
        <v>0.99999999999999989</v>
      </c>
    </row>
    <row r="89" spans="2:124" s="13" customFormat="1" x14ac:dyDescent="0.3">
      <c r="B89" s="4">
        <f>'6.1Personnel List'!B90</f>
        <v>78</v>
      </c>
      <c r="C89" s="46" t="s">
        <v>295</v>
      </c>
      <c r="D89" s="46" t="s">
        <v>315</v>
      </c>
      <c r="E89" s="46">
        <v>1</v>
      </c>
      <c r="F89" s="13">
        <v>399506.88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>
        <v>0.1</v>
      </c>
      <c r="S89" s="42"/>
      <c r="T89" s="42"/>
      <c r="U89" s="42"/>
      <c r="V89" s="42"/>
      <c r="W89" s="42">
        <v>0.5</v>
      </c>
      <c r="X89" s="42">
        <v>0.08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>
        <v>0.02</v>
      </c>
      <c r="AI89" s="42"/>
      <c r="AJ89" s="42"/>
      <c r="AK89" s="42"/>
      <c r="AL89" s="42"/>
      <c r="AM89" s="42"/>
      <c r="AN89" s="42"/>
      <c r="AO89" s="42"/>
      <c r="AP89" s="42"/>
      <c r="AQ89" s="42">
        <v>0.3</v>
      </c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si="1"/>
        <v>1</v>
      </c>
    </row>
    <row r="90" spans="2:124" s="13" customFormat="1" x14ac:dyDescent="0.3">
      <c r="B90" s="4">
        <f>'6.1Personnel List'!B91</f>
        <v>79</v>
      </c>
      <c r="C90" s="46" t="s">
        <v>297</v>
      </c>
      <c r="D90" s="46" t="s">
        <v>315</v>
      </c>
      <c r="E90" s="46">
        <v>1</v>
      </c>
      <c r="F90" s="13">
        <v>323366.24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>
        <v>0.1</v>
      </c>
      <c r="AR90" s="42"/>
      <c r="AS90" s="42"/>
      <c r="AT90" s="42"/>
      <c r="AU90" s="42"/>
      <c r="AV90" s="42"/>
      <c r="AW90" s="42"/>
      <c r="AX90" s="42"/>
      <c r="AY90" s="42"/>
      <c r="AZ90" s="42">
        <v>0.4</v>
      </c>
      <c r="BA90" s="42"/>
      <c r="BB90" s="42"/>
      <c r="BC90" s="42"/>
      <c r="BD90" s="42">
        <v>0.1</v>
      </c>
      <c r="BE90" s="42">
        <v>0.1</v>
      </c>
      <c r="BF90" s="42">
        <v>0.1</v>
      </c>
      <c r="BG90" s="42">
        <v>0.1</v>
      </c>
      <c r="BH90" s="42">
        <v>0.1</v>
      </c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si="1"/>
        <v>0.99999999999999989</v>
      </c>
    </row>
    <row r="91" spans="2:124" s="13" customFormat="1" x14ac:dyDescent="0.3">
      <c r="B91" s="4">
        <f>'6.1Personnel List'!B92</f>
        <v>80</v>
      </c>
      <c r="C91" s="46" t="s">
        <v>305</v>
      </c>
      <c r="D91" s="46" t="s">
        <v>315</v>
      </c>
      <c r="E91" s="46">
        <v>1</v>
      </c>
      <c r="F91" s="13">
        <v>387931.93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>
        <v>0.2</v>
      </c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>
        <v>0.2</v>
      </c>
      <c r="AS91" s="42"/>
      <c r="AT91" s="42"/>
      <c r="AU91" s="42">
        <v>0.6</v>
      </c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si="1"/>
        <v>1</v>
      </c>
    </row>
    <row r="92" spans="2:124" s="13" customFormat="1" x14ac:dyDescent="0.3">
      <c r="B92" s="4">
        <f>'6.1Personnel List'!B93</f>
        <v>81</v>
      </c>
      <c r="C92" s="46" t="s">
        <v>308</v>
      </c>
      <c r="D92" s="46" t="s">
        <v>315</v>
      </c>
      <c r="E92" s="46">
        <v>1</v>
      </c>
      <c r="F92" s="13">
        <v>39358.080000000002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>
        <v>0.2</v>
      </c>
      <c r="AH92" s="42"/>
      <c r="AI92" s="42"/>
      <c r="AJ92" s="42"/>
      <c r="AK92" s="42"/>
      <c r="AL92" s="42"/>
      <c r="AM92" s="42"/>
      <c r="AN92" s="42"/>
      <c r="AO92" s="42"/>
      <c r="AP92" s="42"/>
      <c r="AQ92" s="42">
        <v>0.1</v>
      </c>
      <c r="AR92" s="42"/>
      <c r="AS92" s="42"/>
      <c r="AT92" s="42"/>
      <c r="AU92" s="42"/>
      <c r="AV92" s="42"/>
      <c r="AW92" s="42"/>
      <c r="AX92" s="42"/>
      <c r="AY92" s="42"/>
      <c r="AZ92" s="42">
        <v>0.2</v>
      </c>
      <c r="BA92" s="42"/>
      <c r="BB92" s="42"/>
      <c r="BC92" s="42"/>
      <c r="BD92" s="42">
        <v>0.1</v>
      </c>
      <c r="BE92" s="42">
        <v>0.1</v>
      </c>
      <c r="BF92" s="42">
        <v>0.1</v>
      </c>
      <c r="BG92" s="42">
        <v>0.1</v>
      </c>
      <c r="BH92" s="42">
        <v>0.1</v>
      </c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si="1"/>
        <v>0.99999999999999989</v>
      </c>
    </row>
    <row r="93" spans="2:124" s="13" customFormat="1" x14ac:dyDescent="0.3">
      <c r="B93" s="4">
        <f>'6.1Personnel List'!B94</f>
        <v>82</v>
      </c>
      <c r="C93" s="46" t="s">
        <v>309</v>
      </c>
      <c r="D93" s="46" t="s">
        <v>315</v>
      </c>
      <c r="E93" s="46">
        <v>1</v>
      </c>
      <c r="F93" s="13">
        <v>39358.080000000002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>
        <v>1</v>
      </c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si="1"/>
        <v>1</v>
      </c>
    </row>
    <row r="94" spans="2:124" s="13" customFormat="1" x14ac:dyDescent="0.3">
      <c r="B94" s="4">
        <f>'6.1Personnel List'!B95</f>
        <v>83</v>
      </c>
      <c r="C94" s="46" t="s">
        <v>232</v>
      </c>
      <c r="D94" s="46" t="s">
        <v>315</v>
      </c>
      <c r="E94" s="46">
        <v>1</v>
      </c>
      <c r="F94" s="13">
        <v>517483.60000000003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>
        <v>0.5</v>
      </c>
      <c r="AW94" s="42"/>
      <c r="AX94" s="42"/>
      <c r="AY94" s="42"/>
      <c r="AZ94" s="42">
        <v>0.25</v>
      </c>
      <c r="BA94" s="42"/>
      <c r="BB94" s="42"/>
      <c r="BC94" s="42"/>
      <c r="BD94" s="42">
        <v>0.05</v>
      </c>
      <c r="BE94" s="42">
        <v>0.05</v>
      </c>
      <c r="BF94" s="42">
        <v>0.05</v>
      </c>
      <c r="BG94" s="42">
        <v>0.05</v>
      </c>
      <c r="BH94" s="42">
        <v>0.05</v>
      </c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si="1"/>
        <v>1.0000000000000002</v>
      </c>
    </row>
    <row r="95" spans="2:124" s="13" customFormat="1" x14ac:dyDescent="0.3">
      <c r="B95" s="4">
        <f>'6.1Personnel List'!B96</f>
        <v>84</v>
      </c>
      <c r="C95" s="46" t="s">
        <v>264</v>
      </c>
      <c r="D95" s="46" t="s">
        <v>315</v>
      </c>
      <c r="E95" s="46">
        <v>1</v>
      </c>
      <c r="F95" s="13">
        <v>522033.60000000003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>
        <v>0.1</v>
      </c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>
        <v>0.4</v>
      </c>
      <c r="BA95" s="42"/>
      <c r="BB95" s="42"/>
      <c r="BC95" s="42"/>
      <c r="BD95" s="42">
        <v>0.1</v>
      </c>
      <c r="BE95" s="42">
        <v>0.1</v>
      </c>
      <c r="BF95" s="42">
        <v>0.1</v>
      </c>
      <c r="BG95" s="42">
        <v>0.1</v>
      </c>
      <c r="BH95" s="42">
        <v>0.1</v>
      </c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si="1"/>
        <v>0.99999999999999989</v>
      </c>
    </row>
    <row r="96" spans="2:124" s="13" customFormat="1" x14ac:dyDescent="0.3">
      <c r="B96" s="4">
        <f>'6.1Personnel List'!B97</f>
        <v>85</v>
      </c>
      <c r="C96" s="46" t="s">
        <v>221</v>
      </c>
      <c r="D96" s="46" t="s">
        <v>315</v>
      </c>
      <c r="E96" s="46">
        <v>1</v>
      </c>
      <c r="F96" s="13">
        <v>602953.25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>
        <v>0.95</v>
      </c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>
        <v>0.05</v>
      </c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si="1"/>
        <v>1</v>
      </c>
    </row>
    <row r="97" spans="2:124" s="13" customFormat="1" x14ac:dyDescent="0.3">
      <c r="B97" s="4">
        <f>'6.1Personnel List'!B98</f>
        <v>86</v>
      </c>
      <c r="C97" s="46" t="s">
        <v>109</v>
      </c>
      <c r="D97" s="46" t="s">
        <v>320</v>
      </c>
      <c r="E97" s="46">
        <v>1</v>
      </c>
      <c r="F97" s="13">
        <v>276489.08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>
        <v>0.4</v>
      </c>
      <c r="AH97" s="42"/>
      <c r="AI97" s="42"/>
      <c r="AJ97" s="42"/>
      <c r="AK97" s="42"/>
      <c r="AL97" s="42"/>
      <c r="AM97" s="42"/>
      <c r="AN97" s="42"/>
      <c r="AO97" s="42"/>
      <c r="AP97" s="42"/>
      <c r="AQ97" s="42">
        <v>0.3</v>
      </c>
      <c r="AR97" s="42"/>
      <c r="AS97" s="42"/>
      <c r="AT97" s="42"/>
      <c r="AU97" s="42"/>
      <c r="AV97" s="42"/>
      <c r="AW97" s="42"/>
      <c r="AX97" s="42"/>
      <c r="AY97" s="42"/>
      <c r="AZ97" s="42">
        <v>0.3</v>
      </c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si="1"/>
        <v>1</v>
      </c>
    </row>
    <row r="98" spans="2:124" s="13" customFormat="1" x14ac:dyDescent="0.3">
      <c r="B98" s="4">
        <f>'6.1Personnel List'!B99</f>
        <v>87</v>
      </c>
      <c r="C98" s="46" t="s">
        <v>127</v>
      </c>
      <c r="D98" s="46" t="s">
        <v>320</v>
      </c>
      <c r="E98" s="46">
        <v>1</v>
      </c>
      <c r="F98" s="13">
        <v>276189.08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>
        <v>0.4</v>
      </c>
      <c r="AH98" s="42"/>
      <c r="AI98" s="42"/>
      <c r="AJ98" s="42"/>
      <c r="AK98" s="42"/>
      <c r="AL98" s="42"/>
      <c r="AM98" s="42"/>
      <c r="AN98" s="42"/>
      <c r="AO98" s="42"/>
      <c r="AP98" s="42"/>
      <c r="AQ98" s="42">
        <v>0.3</v>
      </c>
      <c r="AR98" s="42"/>
      <c r="AS98" s="42"/>
      <c r="AT98" s="42"/>
      <c r="AU98" s="42"/>
      <c r="AV98" s="42"/>
      <c r="AW98" s="42"/>
      <c r="AX98" s="42"/>
      <c r="AY98" s="42"/>
      <c r="AZ98" s="42">
        <v>0.3</v>
      </c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si="1"/>
        <v>1</v>
      </c>
    </row>
    <row r="99" spans="2:124" s="13" customFormat="1" x14ac:dyDescent="0.3">
      <c r="B99" s="4">
        <f>'6.1Personnel List'!B100</f>
        <v>88</v>
      </c>
      <c r="C99" s="46" t="s">
        <v>129</v>
      </c>
      <c r="D99" s="46" t="s">
        <v>320</v>
      </c>
      <c r="E99" s="46">
        <v>1</v>
      </c>
      <c r="F99" s="13">
        <v>44414.18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>
        <v>0.4</v>
      </c>
      <c r="AH99" s="42"/>
      <c r="AI99" s="42"/>
      <c r="AJ99" s="42"/>
      <c r="AK99" s="42"/>
      <c r="AL99" s="42"/>
      <c r="AM99" s="42"/>
      <c r="AN99" s="42"/>
      <c r="AO99" s="42"/>
      <c r="AP99" s="42"/>
      <c r="AQ99" s="42">
        <v>0.3</v>
      </c>
      <c r="AR99" s="42"/>
      <c r="AS99" s="42"/>
      <c r="AT99" s="42"/>
      <c r="AU99" s="42"/>
      <c r="AV99" s="42"/>
      <c r="AW99" s="42"/>
      <c r="AX99" s="42"/>
      <c r="AY99" s="42"/>
      <c r="AZ99" s="42">
        <v>0.3</v>
      </c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si="1"/>
        <v>1</v>
      </c>
    </row>
    <row r="100" spans="2:124" s="13" customFormat="1" x14ac:dyDescent="0.3">
      <c r="B100" s="4">
        <f>'6.1Personnel List'!B101</f>
        <v>89</v>
      </c>
      <c r="C100" s="46" t="s">
        <v>178</v>
      </c>
      <c r="D100" s="46" t="s">
        <v>320</v>
      </c>
      <c r="E100" s="46">
        <v>1</v>
      </c>
      <c r="F100" s="13">
        <v>277208.68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>
        <v>0.4</v>
      </c>
      <c r="AH100" s="42"/>
      <c r="AI100" s="42"/>
      <c r="AJ100" s="42"/>
      <c r="AK100" s="42"/>
      <c r="AL100" s="42"/>
      <c r="AM100" s="42"/>
      <c r="AN100" s="42"/>
      <c r="AO100" s="42"/>
      <c r="AP100" s="42"/>
      <c r="AQ100" s="42">
        <v>0.3</v>
      </c>
      <c r="AR100" s="42"/>
      <c r="AS100" s="42"/>
      <c r="AT100" s="42"/>
      <c r="AU100" s="42"/>
      <c r="AV100" s="42"/>
      <c r="AW100" s="42"/>
      <c r="AX100" s="42"/>
      <c r="AY100" s="42"/>
      <c r="AZ100" s="42">
        <v>0.3</v>
      </c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si="1"/>
        <v>1</v>
      </c>
    </row>
    <row r="101" spans="2:124" s="13" customFormat="1" x14ac:dyDescent="0.3">
      <c r="B101" s="4">
        <f>'6.1Personnel List'!B102</f>
        <v>90</v>
      </c>
      <c r="C101" s="46" t="s">
        <v>205</v>
      </c>
      <c r="D101" s="46" t="s">
        <v>320</v>
      </c>
      <c r="E101" s="46">
        <v>1</v>
      </c>
      <c r="F101" s="13">
        <v>24034.240000000002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>
        <v>1</v>
      </c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si="1"/>
        <v>1</v>
      </c>
    </row>
    <row r="102" spans="2:124" s="13" customFormat="1" x14ac:dyDescent="0.3">
      <c r="B102" s="4">
        <f>'6.1Personnel List'!B103</f>
        <v>91</v>
      </c>
      <c r="C102" s="46" t="s">
        <v>206</v>
      </c>
      <c r="D102" s="46" t="s">
        <v>320</v>
      </c>
      <c r="E102" s="46">
        <v>1</v>
      </c>
      <c r="F102" s="13">
        <v>274689.08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>
        <v>0.4</v>
      </c>
      <c r="AH102" s="42"/>
      <c r="AI102" s="42"/>
      <c r="AJ102" s="42"/>
      <c r="AK102" s="42"/>
      <c r="AL102" s="42"/>
      <c r="AM102" s="42"/>
      <c r="AN102" s="42"/>
      <c r="AO102" s="42"/>
      <c r="AP102" s="42"/>
      <c r="AQ102" s="42">
        <v>0.3</v>
      </c>
      <c r="AR102" s="42"/>
      <c r="AS102" s="42"/>
      <c r="AT102" s="42"/>
      <c r="AU102" s="42"/>
      <c r="AV102" s="42"/>
      <c r="AW102" s="42"/>
      <c r="AX102" s="42"/>
      <c r="AY102" s="42"/>
      <c r="AZ102" s="42">
        <v>0.3</v>
      </c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si="1"/>
        <v>1</v>
      </c>
    </row>
    <row r="103" spans="2:124" s="13" customFormat="1" x14ac:dyDescent="0.3">
      <c r="B103" s="4">
        <f>'6.1Personnel List'!B104</f>
        <v>92</v>
      </c>
      <c r="C103" s="46" t="s">
        <v>212</v>
      </c>
      <c r="D103" s="46" t="s">
        <v>320</v>
      </c>
      <c r="E103" s="46">
        <v>1</v>
      </c>
      <c r="F103" s="13">
        <v>276758.68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>
        <v>0.4</v>
      </c>
      <c r="AH103" s="42"/>
      <c r="AI103" s="42"/>
      <c r="AJ103" s="42"/>
      <c r="AK103" s="42"/>
      <c r="AL103" s="42"/>
      <c r="AM103" s="42"/>
      <c r="AN103" s="42"/>
      <c r="AO103" s="42"/>
      <c r="AP103" s="42"/>
      <c r="AQ103" s="42">
        <v>0.3</v>
      </c>
      <c r="AR103" s="42"/>
      <c r="AS103" s="42"/>
      <c r="AT103" s="42"/>
      <c r="AU103" s="42"/>
      <c r="AV103" s="42"/>
      <c r="AW103" s="42"/>
      <c r="AX103" s="42"/>
      <c r="AY103" s="42"/>
      <c r="AZ103" s="42">
        <v>0.3</v>
      </c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si="1"/>
        <v>1</v>
      </c>
    </row>
    <row r="104" spans="2:124" s="13" customFormat="1" x14ac:dyDescent="0.3">
      <c r="B104" s="4">
        <f>'6.1Personnel List'!B105</f>
        <v>93</v>
      </c>
      <c r="C104" s="46" t="s">
        <v>226</v>
      </c>
      <c r="D104" s="46" t="s">
        <v>320</v>
      </c>
      <c r="E104" s="46">
        <v>1</v>
      </c>
      <c r="F104" s="13">
        <v>60264.959999999999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>
        <v>0.4</v>
      </c>
      <c r="AH104" s="42"/>
      <c r="AI104" s="42"/>
      <c r="AJ104" s="42"/>
      <c r="AK104" s="42"/>
      <c r="AL104" s="42"/>
      <c r="AM104" s="42"/>
      <c r="AN104" s="42"/>
      <c r="AO104" s="42"/>
      <c r="AP104" s="42"/>
      <c r="AQ104" s="42">
        <v>0.3</v>
      </c>
      <c r="AR104" s="42"/>
      <c r="AS104" s="42"/>
      <c r="AT104" s="42"/>
      <c r="AU104" s="42"/>
      <c r="AV104" s="42"/>
      <c r="AW104" s="42"/>
      <c r="AX104" s="42"/>
      <c r="AY104" s="42"/>
      <c r="AZ104" s="42">
        <v>0.3</v>
      </c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si="1"/>
        <v>1</v>
      </c>
    </row>
    <row r="105" spans="2:124" s="13" customFormat="1" x14ac:dyDescent="0.3">
      <c r="B105" s="4">
        <f>'6.1Personnel List'!B106</f>
        <v>94</v>
      </c>
      <c r="C105" s="46" t="s">
        <v>229</v>
      </c>
      <c r="D105" s="46" t="s">
        <v>320</v>
      </c>
      <c r="E105" s="46">
        <v>1</v>
      </c>
      <c r="F105" s="13">
        <v>25110.400000000001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>
        <v>0.4</v>
      </c>
      <c r="AH105" s="42"/>
      <c r="AI105" s="42"/>
      <c r="AJ105" s="42"/>
      <c r="AK105" s="42"/>
      <c r="AL105" s="42"/>
      <c r="AM105" s="42"/>
      <c r="AN105" s="42"/>
      <c r="AO105" s="42"/>
      <c r="AP105" s="42"/>
      <c r="AQ105" s="42">
        <v>0.3</v>
      </c>
      <c r="AR105" s="42"/>
      <c r="AS105" s="42"/>
      <c r="AT105" s="42"/>
      <c r="AU105" s="42"/>
      <c r="AV105" s="42"/>
      <c r="AW105" s="42"/>
      <c r="AX105" s="42"/>
      <c r="AY105" s="42"/>
      <c r="AZ105" s="42">
        <v>0.3</v>
      </c>
      <c r="BA105" s="42"/>
      <c r="BB105" s="42"/>
      <c r="BC105" s="42"/>
      <c r="BD105" s="42"/>
      <c r="BE105" s="42"/>
      <c r="BF105" s="42"/>
      <c r="BG105" s="42"/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si="1"/>
        <v>1</v>
      </c>
    </row>
    <row r="106" spans="2:124" s="13" customFormat="1" x14ac:dyDescent="0.3">
      <c r="B106" s="4">
        <f>'6.1Personnel List'!B107</f>
        <v>95</v>
      </c>
      <c r="C106" s="46" t="s">
        <v>271</v>
      </c>
      <c r="D106" s="46" t="s">
        <v>320</v>
      </c>
      <c r="E106" s="46">
        <v>1</v>
      </c>
      <c r="F106" s="13">
        <v>276889.08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>
        <v>0.4</v>
      </c>
      <c r="AH106" s="42"/>
      <c r="AI106" s="42"/>
      <c r="AJ106" s="42"/>
      <c r="AK106" s="42"/>
      <c r="AL106" s="42"/>
      <c r="AM106" s="42"/>
      <c r="AN106" s="42"/>
      <c r="AO106" s="42"/>
      <c r="AP106" s="42"/>
      <c r="AQ106" s="42">
        <v>0.3</v>
      </c>
      <c r="AR106" s="42"/>
      <c r="AS106" s="42"/>
      <c r="AT106" s="42"/>
      <c r="AU106" s="42"/>
      <c r="AV106" s="42"/>
      <c r="AW106" s="42"/>
      <c r="AX106" s="42"/>
      <c r="AY106" s="42"/>
      <c r="AZ106" s="42">
        <v>0.3</v>
      </c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si="1"/>
        <v>1</v>
      </c>
    </row>
    <row r="107" spans="2:124" s="13" customFormat="1" x14ac:dyDescent="0.3">
      <c r="B107" s="4">
        <f>'6.1Personnel List'!B108</f>
        <v>96</v>
      </c>
      <c r="C107" s="46" t="s">
        <v>287</v>
      </c>
      <c r="D107" s="46" t="s">
        <v>320</v>
      </c>
      <c r="E107" s="46">
        <v>1</v>
      </c>
      <c r="F107" s="13">
        <v>277258.68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>
        <v>0.4</v>
      </c>
      <c r="AH107" s="42"/>
      <c r="AI107" s="42"/>
      <c r="AJ107" s="42"/>
      <c r="AK107" s="42"/>
      <c r="AL107" s="42"/>
      <c r="AM107" s="42"/>
      <c r="AN107" s="42"/>
      <c r="AO107" s="42"/>
      <c r="AP107" s="42"/>
      <c r="AQ107" s="42">
        <v>0.3</v>
      </c>
      <c r="AR107" s="42"/>
      <c r="AS107" s="42"/>
      <c r="AT107" s="42"/>
      <c r="AU107" s="42"/>
      <c r="AV107" s="42"/>
      <c r="AW107" s="42"/>
      <c r="AX107" s="42"/>
      <c r="AY107" s="42"/>
      <c r="AZ107" s="42">
        <v>0.3</v>
      </c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si="1"/>
        <v>1</v>
      </c>
    </row>
    <row r="108" spans="2:124" s="13" customFormat="1" x14ac:dyDescent="0.3">
      <c r="B108" s="4">
        <f>'6.1Personnel List'!B109</f>
        <v>97</v>
      </c>
      <c r="C108" s="46" t="s">
        <v>291</v>
      </c>
      <c r="D108" s="46" t="s">
        <v>320</v>
      </c>
      <c r="E108" s="46">
        <v>1</v>
      </c>
      <c r="F108" s="13">
        <v>27621.439999999999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>
        <v>1</v>
      </c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si="1"/>
        <v>1</v>
      </c>
    </row>
    <row r="109" spans="2:124" s="13" customFormat="1" x14ac:dyDescent="0.3">
      <c r="B109" s="4">
        <f>'6.1Personnel List'!B110</f>
        <v>98</v>
      </c>
      <c r="C109" s="46" t="s">
        <v>213</v>
      </c>
      <c r="D109" s="46" t="s">
        <v>321</v>
      </c>
      <c r="E109" s="46">
        <v>1</v>
      </c>
      <c r="F109" s="13">
        <v>518333.60000000003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>
        <v>0.7</v>
      </c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>
        <v>0.3</v>
      </c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si="1"/>
        <v>1</v>
      </c>
    </row>
    <row r="110" spans="2:124" s="13" customFormat="1" x14ac:dyDescent="0.3">
      <c r="B110" s="4">
        <f>'6.1Personnel List'!B111</f>
        <v>99</v>
      </c>
      <c r="C110" s="46" t="s">
        <v>273</v>
      </c>
      <c r="D110" s="46" t="s">
        <v>274</v>
      </c>
      <c r="E110" s="46">
        <v>1</v>
      </c>
      <c r="F110" s="13">
        <v>1095196.08</v>
      </c>
      <c r="G110" s="42">
        <v>1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si="1"/>
        <v>1</v>
      </c>
    </row>
    <row r="111" spans="2:124" s="13" customFormat="1" x14ac:dyDescent="0.3">
      <c r="B111" s="4">
        <f>'6.1Personnel List'!B112</f>
        <v>100</v>
      </c>
      <c r="C111" s="46" t="s">
        <v>247</v>
      </c>
      <c r="D111" s="46" t="s">
        <v>248</v>
      </c>
      <c r="E111" s="46">
        <v>1</v>
      </c>
      <c r="F111" s="13">
        <v>42091.28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>
        <v>1</v>
      </c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si="1"/>
        <v>1</v>
      </c>
    </row>
    <row r="112" spans="2:124" s="13" customFormat="1" x14ac:dyDescent="0.3">
      <c r="B112" s="4">
        <f>'6.1Personnel List'!B113</f>
        <v>101</v>
      </c>
      <c r="C112" s="46" t="s">
        <v>154</v>
      </c>
      <c r="D112" s="46" t="s">
        <v>155</v>
      </c>
      <c r="E112" s="46">
        <v>1</v>
      </c>
      <c r="F112" s="13">
        <v>140847.26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>
        <v>1</v>
      </c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si="1"/>
        <v>1</v>
      </c>
    </row>
    <row r="113" spans="2:124" s="13" customFormat="1" x14ac:dyDescent="0.3">
      <c r="B113" s="4">
        <f>'6.1Personnel List'!B114</f>
        <v>102</v>
      </c>
      <c r="C113" s="46" t="s">
        <v>204</v>
      </c>
      <c r="D113" s="46" t="s">
        <v>155</v>
      </c>
      <c r="E113" s="46">
        <v>1</v>
      </c>
      <c r="F113" s="13">
        <v>140759.79999999999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>
        <v>1</v>
      </c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si="1"/>
        <v>1</v>
      </c>
    </row>
    <row r="114" spans="2:124" s="13" customFormat="1" x14ac:dyDescent="0.3">
      <c r="B114" s="4">
        <f>'6.1Personnel List'!B115</f>
        <v>103</v>
      </c>
      <c r="C114" s="46" t="s">
        <v>255</v>
      </c>
      <c r="D114" s="46" t="s">
        <v>155</v>
      </c>
      <c r="E114" s="46">
        <v>1</v>
      </c>
      <c r="F114" s="13">
        <v>156843.15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>
        <v>1</v>
      </c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si="1"/>
        <v>1</v>
      </c>
    </row>
    <row r="115" spans="2:124" s="13" customFormat="1" x14ac:dyDescent="0.3">
      <c r="B115" s="4">
        <f>'6.1Personnel List'!B116</f>
        <v>104</v>
      </c>
      <c r="C115" s="46" t="s">
        <v>303</v>
      </c>
      <c r="D115" s="46" t="s">
        <v>155</v>
      </c>
      <c r="E115" s="46">
        <v>1</v>
      </c>
      <c r="F115" s="13">
        <v>141612.56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>
        <v>1</v>
      </c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si="1"/>
        <v>1</v>
      </c>
    </row>
    <row r="116" spans="2:124" s="13" customFormat="1" x14ac:dyDescent="0.3">
      <c r="B116" s="4">
        <f>'6.1Personnel List'!B117</f>
        <v>105</v>
      </c>
      <c r="C116" s="46" t="s">
        <v>118</v>
      </c>
      <c r="D116" s="46" t="s">
        <v>119</v>
      </c>
      <c r="E116" s="46">
        <v>1</v>
      </c>
      <c r="F116" s="13">
        <v>578575.12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>
        <v>1</v>
      </c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si="1"/>
        <v>1</v>
      </c>
    </row>
    <row r="117" spans="2:124" s="13" customFormat="1" x14ac:dyDescent="0.3">
      <c r="B117" s="4">
        <f>'6.1Personnel List'!B118</f>
        <v>106</v>
      </c>
      <c r="C117" s="46" t="s">
        <v>162</v>
      </c>
      <c r="D117" s="46" t="s">
        <v>163</v>
      </c>
      <c r="E117" s="46">
        <v>1</v>
      </c>
      <c r="F117" s="13">
        <v>112095.36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>
        <v>1</v>
      </c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si="1"/>
        <v>1</v>
      </c>
    </row>
    <row r="118" spans="2:124" s="13" customFormat="1" x14ac:dyDescent="0.3">
      <c r="B118" s="4">
        <f>'6.1Personnel List'!B119</f>
        <v>107</v>
      </c>
      <c r="C118" s="46" t="s">
        <v>187</v>
      </c>
      <c r="D118" s="46" t="s">
        <v>163</v>
      </c>
      <c r="E118" s="46">
        <v>1</v>
      </c>
      <c r="F118" s="13">
        <v>140475.82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>
        <v>1</v>
      </c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si="1"/>
        <v>1</v>
      </c>
    </row>
    <row r="119" spans="2:124" s="13" customFormat="1" x14ac:dyDescent="0.3">
      <c r="B119" s="4">
        <f>'6.1Personnel List'!B120</f>
        <v>108</v>
      </c>
      <c r="C119" s="46" t="s">
        <v>284</v>
      </c>
      <c r="D119" s="46" t="s">
        <v>163</v>
      </c>
      <c r="E119" s="46">
        <v>1</v>
      </c>
      <c r="F119" s="13">
        <v>141084.03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>
        <v>1</v>
      </c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si="1"/>
        <v>1</v>
      </c>
    </row>
    <row r="120" spans="2:124" s="13" customFormat="1" x14ac:dyDescent="0.3">
      <c r="B120" s="4">
        <f>'6.1Personnel List'!B121</f>
        <v>109</v>
      </c>
      <c r="C120" s="46" t="s">
        <v>142</v>
      </c>
      <c r="D120" s="46" t="s">
        <v>143</v>
      </c>
      <c r="E120" s="46">
        <v>1</v>
      </c>
      <c r="F120" s="13">
        <v>478842.64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si="1"/>
        <v>1</v>
      </c>
    </row>
    <row r="121" spans="2:124" s="13" customFormat="1" x14ac:dyDescent="0.3">
      <c r="B121" s="4">
        <f>'6.1Personnel List'!B122</f>
        <v>110</v>
      </c>
      <c r="C121" s="46" t="s">
        <v>195</v>
      </c>
      <c r="D121" s="46" t="s">
        <v>196</v>
      </c>
      <c r="E121" s="46">
        <v>1</v>
      </c>
      <c r="F121" s="13">
        <v>303108.32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>
        <v>1</v>
      </c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si="1"/>
        <v>1</v>
      </c>
    </row>
    <row r="122" spans="2:124" s="13" customFormat="1" x14ac:dyDescent="0.3">
      <c r="B122" s="4">
        <f>'6.1Personnel List'!B123</f>
        <v>111</v>
      </c>
      <c r="C122" s="46" t="s">
        <v>277</v>
      </c>
      <c r="D122" s="46" t="s">
        <v>278</v>
      </c>
      <c r="E122" s="46">
        <v>1</v>
      </c>
      <c r="F122" s="13">
        <v>303108.32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si="1"/>
        <v>1</v>
      </c>
    </row>
    <row r="123" spans="2:124" s="13" customFormat="1" x14ac:dyDescent="0.3">
      <c r="B123" s="4">
        <f>'6.1Personnel List'!B124</f>
        <v>112</v>
      </c>
      <c r="C123" s="46" t="s">
        <v>289</v>
      </c>
      <c r="D123" s="46" t="s">
        <v>290</v>
      </c>
      <c r="E123" s="46">
        <v>1</v>
      </c>
      <c r="F123" s="13">
        <v>264180.44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>
        <v>1</v>
      </c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si="1"/>
        <v>1</v>
      </c>
    </row>
    <row r="124" spans="2:124" s="13" customFormat="1" x14ac:dyDescent="0.3">
      <c r="B124" s="4">
        <f>'6.1Personnel List'!B125</f>
        <v>113</v>
      </c>
      <c r="C124" s="46" t="s">
        <v>122</v>
      </c>
      <c r="D124" s="46" t="s">
        <v>123</v>
      </c>
      <c r="E124" s="46">
        <v>1</v>
      </c>
      <c r="F124" s="13">
        <v>52729.04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>
        <v>1</v>
      </c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si="1"/>
        <v>1</v>
      </c>
    </row>
    <row r="125" spans="2:124" s="13" customFormat="1" x14ac:dyDescent="0.3">
      <c r="B125" s="4">
        <f>'6.1Personnel List'!B126</f>
        <v>114</v>
      </c>
      <c r="C125" s="46" t="s">
        <v>200</v>
      </c>
      <c r="D125" s="46" t="s">
        <v>123</v>
      </c>
      <c r="E125" s="46">
        <v>1</v>
      </c>
      <c r="F125" s="13">
        <v>395657.16000000003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>
        <v>1</v>
      </c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si="1"/>
        <v>1</v>
      </c>
    </row>
    <row r="126" spans="2:124" s="13" customFormat="1" x14ac:dyDescent="0.3">
      <c r="B126" s="4">
        <f>'6.1Personnel List'!B127</f>
        <v>115</v>
      </c>
      <c r="C126" s="46" t="s">
        <v>157</v>
      </c>
      <c r="D126" s="46" t="s">
        <v>158</v>
      </c>
      <c r="E126" s="46">
        <v>1</v>
      </c>
      <c r="F126" s="13">
        <v>292882.03999999998</v>
      </c>
      <c r="G126" s="42"/>
      <c r="H126" s="42"/>
      <c r="I126" s="42"/>
      <c r="J126" s="42"/>
      <c r="K126" s="42">
        <v>0.1</v>
      </c>
      <c r="L126" s="42">
        <v>0.2</v>
      </c>
      <c r="M126" s="42"/>
      <c r="N126" s="42"/>
      <c r="O126" s="42"/>
      <c r="P126" s="42"/>
      <c r="Q126" s="42"/>
      <c r="R126" s="42"/>
      <c r="S126" s="42">
        <v>0.7</v>
      </c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si="1"/>
        <v>1</v>
      </c>
    </row>
    <row r="127" spans="2:124" s="13" customFormat="1" x14ac:dyDescent="0.3">
      <c r="B127" s="4">
        <f>'6.1Personnel List'!B128</f>
        <v>116</v>
      </c>
      <c r="C127" s="46" t="s">
        <v>136</v>
      </c>
      <c r="D127" s="46" t="s">
        <v>137</v>
      </c>
      <c r="E127" s="46">
        <v>1</v>
      </c>
      <c r="F127" s="13">
        <v>87081.97</v>
      </c>
      <c r="G127" s="42"/>
      <c r="H127" s="42"/>
      <c r="I127" s="42"/>
      <c r="J127" s="42"/>
      <c r="K127" s="42"/>
      <c r="L127" s="42"/>
      <c r="M127" s="42"/>
      <c r="N127" s="42">
        <v>1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si="1"/>
        <v>1</v>
      </c>
    </row>
    <row r="128" spans="2:124" s="13" customFormat="1" x14ac:dyDescent="0.3">
      <c r="B128" s="4">
        <f>'6.1Personnel List'!B129</f>
        <v>117</v>
      </c>
      <c r="C128" s="46" t="s">
        <v>139</v>
      </c>
      <c r="D128" s="46" t="s">
        <v>137</v>
      </c>
      <c r="E128" s="46">
        <v>1</v>
      </c>
      <c r="F128" s="13">
        <v>239217.63999999998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>
        <v>0.5</v>
      </c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>
        <v>0.5</v>
      </c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si="1"/>
        <v>1</v>
      </c>
    </row>
    <row r="129" spans="2:124" s="13" customFormat="1" x14ac:dyDescent="0.3">
      <c r="B129" s="4">
        <f>'6.1Personnel List'!B130</f>
        <v>118</v>
      </c>
      <c r="C129" s="46" t="s">
        <v>156</v>
      </c>
      <c r="D129" s="46" t="s">
        <v>137</v>
      </c>
      <c r="E129" s="46">
        <v>1</v>
      </c>
      <c r="F129" s="13">
        <v>180864.56</v>
      </c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>
        <v>0.95</v>
      </c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>
        <v>0.05</v>
      </c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si="1"/>
        <v>1</v>
      </c>
    </row>
    <row r="130" spans="2:124" s="13" customFormat="1" x14ac:dyDescent="0.3">
      <c r="B130" s="4">
        <f>'6.1Personnel List'!B131</f>
        <v>119</v>
      </c>
      <c r="C130" s="46" t="s">
        <v>176</v>
      </c>
      <c r="D130" s="46" t="s">
        <v>137</v>
      </c>
      <c r="E130" s="46">
        <v>1</v>
      </c>
      <c r="F130" s="13">
        <v>180864.56</v>
      </c>
      <c r="G130" s="42"/>
      <c r="H130" s="42"/>
      <c r="I130" s="42"/>
      <c r="J130" s="42"/>
      <c r="K130" s="42"/>
      <c r="L130" s="42"/>
      <c r="M130" s="42"/>
      <c r="N130" s="42">
        <v>0.95</v>
      </c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>
        <v>0.05</v>
      </c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si="1"/>
        <v>1</v>
      </c>
    </row>
    <row r="131" spans="2:124" s="13" customFormat="1" x14ac:dyDescent="0.3">
      <c r="B131" s="4">
        <f>'6.1Personnel List'!B132</f>
        <v>120</v>
      </c>
      <c r="C131" s="46" t="s">
        <v>186</v>
      </c>
      <c r="D131" s="46" t="s">
        <v>137</v>
      </c>
      <c r="E131" s="46">
        <v>1</v>
      </c>
      <c r="F131" s="13">
        <v>18448.32</v>
      </c>
      <c r="G131" s="42"/>
      <c r="H131" s="42"/>
      <c r="I131" s="42"/>
      <c r="J131" s="42"/>
      <c r="K131" s="42"/>
      <c r="L131" s="42"/>
      <c r="M131" s="42"/>
      <c r="N131" s="42">
        <v>0.95</v>
      </c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>
        <v>0.05</v>
      </c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si="1"/>
        <v>1</v>
      </c>
    </row>
    <row r="132" spans="2:124" s="13" customFormat="1" x14ac:dyDescent="0.3">
      <c r="B132" s="4">
        <f>'6.1Personnel List'!B133</f>
        <v>121</v>
      </c>
      <c r="C132" s="46" t="s">
        <v>234</v>
      </c>
      <c r="D132" s="46" t="s">
        <v>137</v>
      </c>
      <c r="E132" s="46">
        <v>1</v>
      </c>
      <c r="F132" s="13">
        <v>63870.32</v>
      </c>
      <c r="G132" s="42"/>
      <c r="H132" s="42"/>
      <c r="I132" s="42"/>
      <c r="J132" s="42"/>
      <c r="K132" s="42"/>
      <c r="L132" s="42"/>
      <c r="M132" s="42"/>
      <c r="N132" s="42">
        <v>0.95</v>
      </c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>
        <v>0.05</v>
      </c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si="1"/>
        <v>1</v>
      </c>
    </row>
    <row r="133" spans="2:124" s="13" customFormat="1" x14ac:dyDescent="0.3">
      <c r="B133" s="4">
        <f>'6.1Personnel List'!B134</f>
        <v>122</v>
      </c>
      <c r="C133" s="46" t="s">
        <v>237</v>
      </c>
      <c r="D133" s="46" t="s">
        <v>137</v>
      </c>
      <c r="E133" s="46">
        <v>1</v>
      </c>
      <c r="F133" s="13">
        <v>73094.48</v>
      </c>
      <c r="G133" s="42"/>
      <c r="H133" s="42"/>
      <c r="I133" s="42"/>
      <c r="J133" s="42"/>
      <c r="K133" s="42"/>
      <c r="L133" s="42"/>
      <c r="M133" s="42"/>
      <c r="N133" s="42">
        <v>0.95</v>
      </c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>
        <v>0.05</v>
      </c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si="1"/>
        <v>1</v>
      </c>
    </row>
    <row r="134" spans="2:124" s="13" customFormat="1" x14ac:dyDescent="0.3">
      <c r="B134" s="4">
        <f>'6.1Personnel List'!B135</f>
        <v>123</v>
      </c>
      <c r="C134" s="46" t="s">
        <v>266</v>
      </c>
      <c r="D134" s="46" t="s">
        <v>137</v>
      </c>
      <c r="E134" s="46">
        <v>1</v>
      </c>
      <c r="F134" s="13">
        <v>65801.8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>
        <v>0.6</v>
      </c>
      <c r="U134" s="42"/>
      <c r="V134" s="42"/>
      <c r="W134" s="42"/>
      <c r="X134" s="42"/>
      <c r="Y134" s="42">
        <v>0.4</v>
      </c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si="1"/>
        <v>1</v>
      </c>
    </row>
    <row r="135" spans="2:124" s="13" customFormat="1" x14ac:dyDescent="0.3">
      <c r="B135" s="4">
        <f>'6.1Personnel List'!B136</f>
        <v>124</v>
      </c>
      <c r="C135" s="46" t="s">
        <v>270</v>
      </c>
      <c r="D135" s="46" t="s">
        <v>137</v>
      </c>
      <c r="E135" s="46">
        <v>1</v>
      </c>
      <c r="F135" s="13">
        <v>87081.97</v>
      </c>
      <c r="G135" s="42"/>
      <c r="H135" s="42"/>
      <c r="I135" s="42"/>
      <c r="J135" s="42"/>
      <c r="K135" s="42"/>
      <c r="L135" s="42"/>
      <c r="M135" s="42"/>
      <c r="N135" s="42">
        <v>0.95</v>
      </c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>
        <v>0.05</v>
      </c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si="1"/>
        <v>1</v>
      </c>
    </row>
    <row r="136" spans="2:124" s="13" customFormat="1" x14ac:dyDescent="0.3">
      <c r="B136" s="4">
        <f>'6.1Personnel List'!B137</f>
        <v>125</v>
      </c>
      <c r="C136" s="46" t="s">
        <v>294</v>
      </c>
      <c r="D136" s="46" t="s">
        <v>137</v>
      </c>
      <c r="E136" s="46">
        <v>1</v>
      </c>
      <c r="F136" s="13">
        <v>238867.63999999998</v>
      </c>
      <c r="G136" s="42"/>
      <c r="H136" s="42"/>
      <c r="I136" s="42"/>
      <c r="J136" s="42"/>
      <c r="K136" s="42"/>
      <c r="L136" s="42"/>
      <c r="M136" s="42"/>
      <c r="N136" s="42">
        <v>0.95</v>
      </c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>
        <v>0.05</v>
      </c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si="1"/>
        <v>1</v>
      </c>
    </row>
    <row r="137" spans="2:124" s="13" customFormat="1" x14ac:dyDescent="0.3">
      <c r="B137" s="4">
        <f>'6.1Personnel List'!B138</f>
        <v>126</v>
      </c>
      <c r="C137" s="46" t="s">
        <v>149</v>
      </c>
      <c r="D137" s="46" t="s">
        <v>150</v>
      </c>
      <c r="E137" s="46">
        <v>1</v>
      </c>
      <c r="F137" s="13">
        <v>249622.12</v>
      </c>
      <c r="G137" s="42"/>
      <c r="H137" s="42"/>
      <c r="I137" s="42"/>
      <c r="J137" s="42"/>
      <c r="K137" s="42"/>
      <c r="L137" s="42"/>
      <c r="M137" s="42"/>
      <c r="N137" s="42">
        <v>0.95</v>
      </c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>
        <v>0.05</v>
      </c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si="1"/>
        <v>1</v>
      </c>
    </row>
    <row r="138" spans="2:124" s="13" customFormat="1" x14ac:dyDescent="0.3">
      <c r="B138" s="4">
        <f>'6.1Personnel List'!B139</f>
        <v>127</v>
      </c>
      <c r="C138" s="46" t="s">
        <v>300</v>
      </c>
      <c r="D138" s="46" t="s">
        <v>150</v>
      </c>
      <c r="E138" s="46">
        <v>1</v>
      </c>
      <c r="F138" s="13">
        <v>249622.12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>
        <v>1</v>
      </c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si="1"/>
        <v>1</v>
      </c>
    </row>
    <row r="139" spans="2:124" s="13" customFormat="1" x14ac:dyDescent="0.3">
      <c r="B139" s="4">
        <f>'6.1Personnel List'!B140</f>
        <v>128</v>
      </c>
      <c r="C139" s="46" t="s">
        <v>115</v>
      </c>
      <c r="D139" s="46" t="s">
        <v>116</v>
      </c>
      <c r="E139" s="46">
        <v>1</v>
      </c>
      <c r="F139" s="13">
        <v>99851.6</v>
      </c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>
        <v>1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si="1"/>
        <v>1</v>
      </c>
    </row>
    <row r="140" spans="2:124" s="13" customFormat="1" x14ac:dyDescent="0.3">
      <c r="B140" s="4">
        <f>'6.1Personnel List'!B141</f>
        <v>129</v>
      </c>
      <c r="C140" s="46" t="s">
        <v>253</v>
      </c>
      <c r="D140" s="46" t="s">
        <v>116</v>
      </c>
      <c r="E140" s="46">
        <v>1</v>
      </c>
      <c r="F140" s="13">
        <v>91263.64</v>
      </c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>
        <v>1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si="1"/>
        <v>1</v>
      </c>
    </row>
    <row r="141" spans="2:124" s="13" customFormat="1" x14ac:dyDescent="0.3">
      <c r="B141" s="4">
        <f>'6.1Personnel List'!B142</f>
        <v>130</v>
      </c>
      <c r="C141" s="46" t="s">
        <v>269</v>
      </c>
      <c r="D141" s="46" t="s">
        <v>116</v>
      </c>
      <c r="E141" s="46">
        <v>1</v>
      </c>
      <c r="F141" s="13">
        <v>95789.84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>
        <v>1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si="1"/>
        <v>1</v>
      </c>
    </row>
    <row r="142" spans="2:124" s="13" customFormat="1" x14ac:dyDescent="0.3">
      <c r="B142" s="4">
        <f>'6.1Personnel List'!B143</f>
        <v>10</v>
      </c>
      <c r="C142" s="46" t="s">
        <v>272</v>
      </c>
      <c r="D142" s="46" t="s">
        <v>116</v>
      </c>
      <c r="E142" s="46">
        <v>1</v>
      </c>
      <c r="F142" s="13">
        <v>88825.88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>
        <v>1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2">SUM(G142:DR142)</f>
        <v>1</v>
      </c>
    </row>
    <row r="143" spans="2:124" x14ac:dyDescent="0.3">
      <c r="C143" s="7"/>
      <c r="D143" s="7"/>
      <c r="E143" s="8"/>
    </row>
    <row r="144" spans="2:124" x14ac:dyDescent="0.3">
      <c r="C144" s="7"/>
      <c r="D144" s="7"/>
      <c r="E144" s="8"/>
      <c r="G144" s="106">
        <f>SUMPRODUCT(G13:G142,$E$13:$E$142,$F$13:$F$142)</f>
        <v>1095196.08</v>
      </c>
      <c r="H144" s="106">
        <f t="shared" ref="H144:BH144" si="3">SUMPRODUCT(H13:H142,$E$13:$E$142,$F$13:$F$142)</f>
        <v>269977.67999999993</v>
      </c>
      <c r="I144" s="106">
        <f t="shared" si="3"/>
        <v>502548.16000000003</v>
      </c>
      <c r="J144" s="106">
        <f t="shared" si="3"/>
        <v>82944.800000000003</v>
      </c>
      <c r="K144" s="106">
        <f t="shared" si="3"/>
        <v>29288.203999999998</v>
      </c>
      <c r="L144" s="106">
        <f t="shared" si="3"/>
        <v>58576.407999999996</v>
      </c>
      <c r="M144" s="106">
        <f t="shared" si="3"/>
        <v>184813.58000000002</v>
      </c>
      <c r="N144" s="106">
        <f t="shared" si="3"/>
        <v>966539.87949999992</v>
      </c>
      <c r="O144" s="106">
        <f t="shared" si="3"/>
        <v>382122.16000000003</v>
      </c>
      <c r="P144" s="106">
        <f t="shared" si="3"/>
        <v>535389.32000000007</v>
      </c>
      <c r="Q144" s="106">
        <f t="shared" si="3"/>
        <v>572805.58750000002</v>
      </c>
      <c r="R144" s="106">
        <f t="shared" si="3"/>
        <v>1005193.3425</v>
      </c>
      <c r="S144" s="106">
        <f t="shared" si="3"/>
        <v>205017.42799999999</v>
      </c>
      <c r="T144" s="106">
        <f t="shared" si="3"/>
        <v>518090.83049999998</v>
      </c>
      <c r="U144" s="106">
        <f t="shared" si="3"/>
        <v>563771.91999999993</v>
      </c>
      <c r="V144" s="106">
        <f t="shared" si="3"/>
        <v>639911.4</v>
      </c>
      <c r="W144" s="106">
        <f t="shared" si="3"/>
        <v>199753.44</v>
      </c>
      <c r="X144" s="106">
        <f t="shared" si="3"/>
        <v>413255.47039999999</v>
      </c>
      <c r="Y144" s="106">
        <f t="shared" si="3"/>
        <v>207185.28</v>
      </c>
      <c r="Z144" s="106">
        <f t="shared" si="3"/>
        <v>880206.08000000007</v>
      </c>
      <c r="AA144" s="106">
        <f t="shared" si="3"/>
        <v>66004.850000000006</v>
      </c>
      <c r="AB144" s="106">
        <f t="shared" si="3"/>
        <v>1652960.0899999999</v>
      </c>
      <c r="AC144" s="106">
        <f t="shared" si="3"/>
        <v>31332.256200000003</v>
      </c>
      <c r="AD144" s="106">
        <f t="shared" si="3"/>
        <v>1531806.496</v>
      </c>
      <c r="AE144" s="106">
        <f t="shared" si="3"/>
        <v>963168.89</v>
      </c>
      <c r="AF144" s="106">
        <f t="shared" si="3"/>
        <v>0</v>
      </c>
      <c r="AG144" s="106">
        <f t="shared" si="3"/>
        <v>2586444.164700001</v>
      </c>
      <c r="AH144" s="106">
        <f t="shared" si="3"/>
        <v>237261.01610000001</v>
      </c>
      <c r="AI144" s="106">
        <f t="shared" si="3"/>
        <v>0</v>
      </c>
      <c r="AJ144" s="106">
        <f t="shared" si="3"/>
        <v>0</v>
      </c>
      <c r="AK144" s="106">
        <f t="shared" si="3"/>
        <v>0</v>
      </c>
      <c r="AL144" s="106">
        <f t="shared" si="3"/>
        <v>0</v>
      </c>
      <c r="AM144" s="106">
        <f t="shared" si="3"/>
        <v>0</v>
      </c>
      <c r="AN144" s="106">
        <f t="shared" si="3"/>
        <v>0</v>
      </c>
      <c r="AO144" s="106">
        <f t="shared" si="3"/>
        <v>0</v>
      </c>
      <c r="AP144" s="106">
        <f t="shared" si="3"/>
        <v>736144.23049999995</v>
      </c>
      <c r="AQ144" s="106">
        <f t="shared" si="3"/>
        <v>2974946.7065999988</v>
      </c>
      <c r="AR144" s="106">
        <f t="shared" si="3"/>
        <v>149090.75</v>
      </c>
      <c r="AS144" s="106">
        <f t="shared" si="3"/>
        <v>30147.662500000002</v>
      </c>
      <c r="AT144" s="106">
        <f t="shared" si="3"/>
        <v>109212.2944</v>
      </c>
      <c r="AU144" s="106">
        <f t="shared" si="3"/>
        <v>232759.158</v>
      </c>
      <c r="AV144" s="106">
        <f t="shared" si="3"/>
        <v>267802.35800000001</v>
      </c>
      <c r="AW144" s="106">
        <f t="shared" si="3"/>
        <v>55673.807999999997</v>
      </c>
      <c r="AX144" s="106">
        <f t="shared" si="3"/>
        <v>0</v>
      </c>
      <c r="AY144" s="106">
        <f t="shared" si="3"/>
        <v>0</v>
      </c>
      <c r="AZ144" s="106">
        <f t="shared" si="3"/>
        <v>4037176.4860999999</v>
      </c>
      <c r="BA144" s="106">
        <f t="shared" si="3"/>
        <v>0</v>
      </c>
      <c r="BB144" s="106">
        <f t="shared" si="3"/>
        <v>0</v>
      </c>
      <c r="BC144" s="106">
        <f t="shared" si="3"/>
        <v>791508.59199999995</v>
      </c>
      <c r="BD144" s="106">
        <f t="shared" si="3"/>
        <v>784637.42209999997</v>
      </c>
      <c r="BE144" s="106">
        <f t="shared" si="3"/>
        <v>784637.42209999997</v>
      </c>
      <c r="BF144" s="106">
        <f t="shared" si="3"/>
        <v>784637.42209999997</v>
      </c>
      <c r="BG144" s="106">
        <f t="shared" si="3"/>
        <v>784637.42209999997</v>
      </c>
      <c r="BH144" s="106">
        <f t="shared" si="3"/>
        <v>784637.42209999997</v>
      </c>
      <c r="DT144" s="1">
        <f>SUM(G144:BH144)</f>
        <v>29689213.970000003</v>
      </c>
    </row>
    <row r="145" spans="3:124" x14ac:dyDescent="0.3">
      <c r="C145" s="6"/>
      <c r="D145" s="6"/>
      <c r="E145" s="8"/>
    </row>
    <row r="146" spans="3:124" x14ac:dyDescent="0.3">
      <c r="C146" s="7"/>
      <c r="D146" s="7"/>
      <c r="E146" s="8"/>
      <c r="F146" s="13" t="s">
        <v>312</v>
      </c>
      <c r="G146" s="107">
        <f>SUMPRODUCT(--($D$13:$D$142=$F$146),$E$13:$E$142,$F$13:$F$142,G13:G142)/COUNTIF($D$13:$D$142,$F$146)/$F$157</f>
        <v>0</v>
      </c>
      <c r="H146" s="107">
        <f t="shared" ref="H146:BH151" si="4">SUMPRODUCT(--($D$13:$D$142=$F$146),$E$13:$E$142,$F$13:$F$142,H13:H142)/COUNTIF($D$13:$D$142,$F$146)/$F$157</f>
        <v>0</v>
      </c>
      <c r="I146" s="107">
        <f t="shared" si="4"/>
        <v>0</v>
      </c>
      <c r="J146" s="107">
        <f t="shared" si="4"/>
        <v>0</v>
      </c>
      <c r="K146" s="107">
        <f t="shared" si="4"/>
        <v>0</v>
      </c>
      <c r="L146" s="107">
        <f t="shared" si="4"/>
        <v>0</v>
      </c>
      <c r="M146" s="107">
        <f t="shared" si="4"/>
        <v>0</v>
      </c>
      <c r="N146" s="107">
        <f t="shared" si="4"/>
        <v>0</v>
      </c>
      <c r="O146" s="107">
        <f t="shared" si="4"/>
        <v>0</v>
      </c>
      <c r="P146" s="107">
        <f t="shared" si="4"/>
        <v>0</v>
      </c>
      <c r="Q146" s="107">
        <f t="shared" si="4"/>
        <v>0</v>
      </c>
      <c r="R146" s="107">
        <f t="shared" si="4"/>
        <v>0</v>
      </c>
      <c r="S146" s="107">
        <f t="shared" si="4"/>
        <v>0</v>
      </c>
      <c r="T146" s="107">
        <f t="shared" si="4"/>
        <v>0</v>
      </c>
      <c r="U146" s="107">
        <f t="shared" si="4"/>
        <v>0</v>
      </c>
      <c r="V146" s="107">
        <f t="shared" si="4"/>
        <v>0</v>
      </c>
      <c r="W146" s="107">
        <f t="shared" si="4"/>
        <v>0</v>
      </c>
      <c r="X146" s="107">
        <f t="shared" si="4"/>
        <v>0</v>
      </c>
      <c r="Y146" s="107">
        <f t="shared" si="4"/>
        <v>0</v>
      </c>
      <c r="Z146" s="107">
        <f t="shared" si="4"/>
        <v>0</v>
      </c>
      <c r="AA146" s="107">
        <f t="shared" si="4"/>
        <v>0</v>
      </c>
      <c r="AB146" s="107">
        <f t="shared" si="4"/>
        <v>0</v>
      </c>
      <c r="AC146" s="107">
        <f t="shared" si="4"/>
        <v>0</v>
      </c>
      <c r="AD146" s="107">
        <f t="shared" si="4"/>
        <v>0</v>
      </c>
      <c r="AE146" s="107">
        <f t="shared" si="4"/>
        <v>0</v>
      </c>
      <c r="AF146" s="107">
        <f t="shared" si="4"/>
        <v>0</v>
      </c>
      <c r="AG146" s="107">
        <f t="shared" si="4"/>
        <v>0.42576843109203621</v>
      </c>
      <c r="AH146" s="107">
        <f t="shared" si="4"/>
        <v>3.0176561754887934E-2</v>
      </c>
      <c r="AI146" s="107">
        <f t="shared" si="4"/>
        <v>0</v>
      </c>
      <c r="AJ146" s="107">
        <f t="shared" si="4"/>
        <v>0</v>
      </c>
      <c r="AK146" s="107">
        <f t="shared" si="4"/>
        <v>0</v>
      </c>
      <c r="AL146" s="107">
        <f t="shared" si="4"/>
        <v>0</v>
      </c>
      <c r="AM146" s="107">
        <f t="shared" si="4"/>
        <v>0</v>
      </c>
      <c r="AN146" s="107">
        <f t="shared" si="4"/>
        <v>0</v>
      </c>
      <c r="AO146" s="107">
        <f t="shared" si="4"/>
        <v>0</v>
      </c>
      <c r="AP146" s="107">
        <f t="shared" si="4"/>
        <v>0</v>
      </c>
      <c r="AQ146" s="107">
        <f t="shared" si="4"/>
        <v>0.43331257153075814</v>
      </c>
      <c r="AR146" s="107">
        <f t="shared" si="4"/>
        <v>0</v>
      </c>
      <c r="AS146" s="107">
        <f t="shared" si="4"/>
        <v>0</v>
      </c>
      <c r="AT146" s="107">
        <f t="shared" si="4"/>
        <v>0</v>
      </c>
      <c r="AU146" s="107">
        <f t="shared" si="4"/>
        <v>0</v>
      </c>
      <c r="AV146" s="107">
        <f t="shared" si="4"/>
        <v>0</v>
      </c>
      <c r="AW146" s="107">
        <f t="shared" si="4"/>
        <v>0</v>
      </c>
      <c r="AX146" s="107">
        <f t="shared" si="4"/>
        <v>0</v>
      </c>
      <c r="AY146" s="107">
        <f t="shared" si="4"/>
        <v>0</v>
      </c>
      <c r="AZ146" s="107">
        <f t="shared" si="4"/>
        <v>0.74509475441106332</v>
      </c>
      <c r="BA146" s="107">
        <f t="shared" si="4"/>
        <v>0</v>
      </c>
      <c r="BB146" s="107">
        <f t="shared" si="4"/>
        <v>0</v>
      </c>
      <c r="BC146" s="107">
        <f t="shared" si="4"/>
        <v>0</v>
      </c>
      <c r="BD146" s="107">
        <f t="shared" si="4"/>
        <v>0.10644210777300905</v>
      </c>
      <c r="BE146" s="107">
        <f t="shared" si="4"/>
        <v>0.10644210777300905</v>
      </c>
      <c r="BF146" s="107">
        <f t="shared" si="4"/>
        <v>0.10644210777300905</v>
      </c>
      <c r="BG146" s="107">
        <f t="shared" si="4"/>
        <v>0.10644210777300905</v>
      </c>
      <c r="BH146" s="107">
        <f t="shared" si="4"/>
        <v>0.10644210777300905</v>
      </c>
      <c r="DT146" s="107"/>
    </row>
    <row r="147" spans="3:124" x14ac:dyDescent="0.3">
      <c r="C147" s="7"/>
      <c r="D147" s="7"/>
      <c r="E147" s="8"/>
      <c r="F147" s="13" t="s">
        <v>313</v>
      </c>
      <c r="G147" s="107">
        <f t="shared" ref="G147:V154" si="5">SUMPRODUCT(--($D$13:$D$142=$F$146),$E$13:$E$142,$F$13:$F$142,G14:G143)/COUNTIF($D$13:$D$142,$F$146)/$F$157</f>
        <v>0</v>
      </c>
      <c r="H147" s="107">
        <f t="shared" si="5"/>
        <v>0</v>
      </c>
      <c r="I147" s="107">
        <f t="shared" si="5"/>
        <v>0</v>
      </c>
      <c r="J147" s="107">
        <f t="shared" si="5"/>
        <v>0</v>
      </c>
      <c r="K147" s="107">
        <f t="shared" si="5"/>
        <v>0</v>
      </c>
      <c r="L147" s="107">
        <f t="shared" si="5"/>
        <v>0</v>
      </c>
      <c r="M147" s="107">
        <f t="shared" si="5"/>
        <v>0</v>
      </c>
      <c r="N147" s="107">
        <f t="shared" si="5"/>
        <v>0</v>
      </c>
      <c r="O147" s="107">
        <f t="shared" si="5"/>
        <v>0</v>
      </c>
      <c r="P147" s="107">
        <f t="shared" si="5"/>
        <v>0</v>
      </c>
      <c r="Q147" s="107">
        <f t="shared" si="5"/>
        <v>0</v>
      </c>
      <c r="R147" s="107">
        <f t="shared" si="5"/>
        <v>0</v>
      </c>
      <c r="S147" s="107">
        <f t="shared" si="5"/>
        <v>0</v>
      </c>
      <c r="T147" s="107">
        <f t="shared" si="5"/>
        <v>0</v>
      </c>
      <c r="U147" s="107">
        <f t="shared" si="5"/>
        <v>0</v>
      </c>
      <c r="V147" s="107">
        <f t="shared" si="5"/>
        <v>0</v>
      </c>
      <c r="W147" s="107">
        <f t="shared" si="4"/>
        <v>0</v>
      </c>
      <c r="X147" s="107">
        <f t="shared" si="4"/>
        <v>0</v>
      </c>
      <c r="Y147" s="107">
        <f t="shared" si="4"/>
        <v>0</v>
      </c>
      <c r="Z147" s="107">
        <f t="shared" si="4"/>
        <v>0</v>
      </c>
      <c r="AA147" s="107">
        <f t="shared" si="4"/>
        <v>0</v>
      </c>
      <c r="AB147" s="107">
        <f t="shared" si="4"/>
        <v>0</v>
      </c>
      <c r="AC147" s="107">
        <f t="shared" si="4"/>
        <v>0</v>
      </c>
      <c r="AD147" s="107">
        <f t="shared" si="4"/>
        <v>0</v>
      </c>
      <c r="AE147" s="107">
        <f t="shared" si="4"/>
        <v>0</v>
      </c>
      <c r="AF147" s="107">
        <f t="shared" si="4"/>
        <v>0</v>
      </c>
      <c r="AG147" s="107">
        <f t="shared" si="4"/>
        <v>0.29724371125417265</v>
      </c>
      <c r="AH147" s="107">
        <f t="shared" si="4"/>
        <v>0.54427544110634241</v>
      </c>
      <c r="AI147" s="107">
        <f t="shared" si="4"/>
        <v>0</v>
      </c>
      <c r="AJ147" s="107">
        <f t="shared" si="4"/>
        <v>0</v>
      </c>
      <c r="AK147" s="107">
        <f t="shared" si="4"/>
        <v>0</v>
      </c>
      <c r="AL147" s="107">
        <f t="shared" si="4"/>
        <v>0</v>
      </c>
      <c r="AM147" s="107">
        <f t="shared" si="4"/>
        <v>0</v>
      </c>
      <c r="AN147" s="107">
        <f t="shared" si="4"/>
        <v>0</v>
      </c>
      <c r="AO147" s="107">
        <f t="shared" si="4"/>
        <v>0</v>
      </c>
      <c r="AP147" s="107">
        <f t="shared" si="4"/>
        <v>0</v>
      </c>
      <c r="AQ147" s="107">
        <f t="shared" si="4"/>
        <v>0.43331257153075814</v>
      </c>
      <c r="AR147" s="107">
        <f t="shared" si="4"/>
        <v>0</v>
      </c>
      <c r="AS147" s="107">
        <f t="shared" si="4"/>
        <v>0</v>
      </c>
      <c r="AT147" s="107">
        <f t="shared" si="4"/>
        <v>0</v>
      </c>
      <c r="AU147" s="107">
        <f t="shared" si="4"/>
        <v>0</v>
      </c>
      <c r="AV147" s="107">
        <f t="shared" si="4"/>
        <v>0</v>
      </c>
      <c r="AW147" s="107">
        <f t="shared" si="4"/>
        <v>0</v>
      </c>
      <c r="AX147" s="107">
        <f t="shared" si="4"/>
        <v>0</v>
      </c>
      <c r="AY147" s="107">
        <f t="shared" si="4"/>
        <v>0</v>
      </c>
      <c r="AZ147" s="107">
        <f t="shared" si="4"/>
        <v>0.52017649469480209</v>
      </c>
      <c r="BA147" s="107">
        <f t="shared" si="4"/>
        <v>0</v>
      </c>
      <c r="BB147" s="107">
        <f t="shared" si="4"/>
        <v>0</v>
      </c>
      <c r="BC147" s="107">
        <f t="shared" si="4"/>
        <v>0</v>
      </c>
      <c r="BD147" s="107">
        <f t="shared" si="4"/>
        <v>7.4310927813543162E-2</v>
      </c>
      <c r="BE147" s="107">
        <f t="shared" si="4"/>
        <v>7.4310927813543162E-2</v>
      </c>
      <c r="BF147" s="107">
        <f t="shared" si="4"/>
        <v>7.4310927813543162E-2</v>
      </c>
      <c r="BG147" s="107">
        <f t="shared" si="4"/>
        <v>7.4310927813543162E-2</v>
      </c>
      <c r="BH147" s="107">
        <f t="shared" si="4"/>
        <v>7.4310927813543162E-2</v>
      </c>
      <c r="DT147" s="107"/>
    </row>
    <row r="148" spans="3:124" x14ac:dyDescent="0.3">
      <c r="C148" s="6"/>
      <c r="D148" s="6"/>
      <c r="E148" s="8"/>
      <c r="F148" s="13" t="s">
        <v>314</v>
      </c>
      <c r="G148" s="107">
        <f t="shared" si="5"/>
        <v>0</v>
      </c>
      <c r="H148" s="107">
        <f t="shared" si="4"/>
        <v>0</v>
      </c>
      <c r="I148" s="107">
        <f t="shared" si="4"/>
        <v>0</v>
      </c>
      <c r="J148" s="107">
        <f t="shared" si="4"/>
        <v>0</v>
      </c>
      <c r="K148" s="107">
        <f t="shared" si="4"/>
        <v>0</v>
      </c>
      <c r="L148" s="107">
        <f t="shared" si="4"/>
        <v>0</v>
      </c>
      <c r="M148" s="107">
        <f t="shared" si="4"/>
        <v>0</v>
      </c>
      <c r="N148" s="107">
        <f t="shared" si="4"/>
        <v>0</v>
      </c>
      <c r="O148" s="107">
        <f t="shared" si="4"/>
        <v>0</v>
      </c>
      <c r="P148" s="107">
        <f t="shared" si="4"/>
        <v>0</v>
      </c>
      <c r="Q148" s="107">
        <f t="shared" si="4"/>
        <v>0</v>
      </c>
      <c r="R148" s="107">
        <f t="shared" si="4"/>
        <v>0</v>
      </c>
      <c r="S148" s="107">
        <f t="shared" si="4"/>
        <v>0</v>
      </c>
      <c r="T148" s="107">
        <f t="shared" si="4"/>
        <v>0</v>
      </c>
      <c r="U148" s="107">
        <f t="shared" si="4"/>
        <v>0</v>
      </c>
      <c r="V148" s="107">
        <f t="shared" si="4"/>
        <v>0</v>
      </c>
      <c r="W148" s="107">
        <f t="shared" si="4"/>
        <v>0</v>
      </c>
      <c r="X148" s="107">
        <f t="shared" si="4"/>
        <v>0</v>
      </c>
      <c r="Y148" s="107">
        <f t="shared" si="4"/>
        <v>0</v>
      </c>
      <c r="Z148" s="107">
        <f t="shared" si="4"/>
        <v>0</v>
      </c>
      <c r="AA148" s="107">
        <f t="shared" si="4"/>
        <v>0</v>
      </c>
      <c r="AB148" s="107">
        <f t="shared" si="4"/>
        <v>0</v>
      </c>
      <c r="AC148" s="107">
        <f t="shared" si="4"/>
        <v>0</v>
      </c>
      <c r="AD148" s="107">
        <f t="shared" si="4"/>
        <v>0</v>
      </c>
      <c r="AE148" s="107">
        <f t="shared" si="4"/>
        <v>0</v>
      </c>
      <c r="AF148" s="107">
        <f t="shared" si="4"/>
        <v>0</v>
      </c>
      <c r="AG148" s="107">
        <f t="shared" si="4"/>
        <v>0.13984093049594659</v>
      </c>
      <c r="AH148" s="107">
        <f t="shared" si="4"/>
        <v>1.1587982832618027</v>
      </c>
      <c r="AI148" s="107">
        <f t="shared" si="4"/>
        <v>0</v>
      </c>
      <c r="AJ148" s="107">
        <f t="shared" si="4"/>
        <v>0</v>
      </c>
      <c r="AK148" s="107">
        <f t="shared" si="4"/>
        <v>0</v>
      </c>
      <c r="AL148" s="107">
        <f t="shared" si="4"/>
        <v>0</v>
      </c>
      <c r="AM148" s="107">
        <f t="shared" si="4"/>
        <v>0</v>
      </c>
      <c r="AN148" s="107">
        <f t="shared" si="4"/>
        <v>0</v>
      </c>
      <c r="AO148" s="107">
        <f t="shared" si="4"/>
        <v>0</v>
      </c>
      <c r="AP148" s="107">
        <f t="shared" si="4"/>
        <v>0</v>
      </c>
      <c r="AQ148" s="107">
        <f t="shared" si="4"/>
        <v>0.45783102795660457</v>
      </c>
      <c r="AR148" s="107">
        <f t="shared" si="4"/>
        <v>0</v>
      </c>
      <c r="AS148" s="107">
        <f t="shared" si="4"/>
        <v>0</v>
      </c>
      <c r="AT148" s="107">
        <f t="shared" si="4"/>
        <v>0</v>
      </c>
      <c r="AU148" s="107">
        <f t="shared" si="4"/>
        <v>0</v>
      </c>
      <c r="AV148" s="107">
        <f t="shared" si="4"/>
        <v>0</v>
      </c>
      <c r="AW148" s="107">
        <f t="shared" si="4"/>
        <v>0</v>
      </c>
      <c r="AX148" s="107">
        <f t="shared" si="4"/>
        <v>0</v>
      </c>
      <c r="AY148" s="107">
        <f t="shared" si="4"/>
        <v>0</v>
      </c>
      <c r="AZ148" s="107">
        <f t="shared" si="4"/>
        <v>0.2400065405937053</v>
      </c>
      <c r="BA148" s="107">
        <f t="shared" si="4"/>
        <v>0</v>
      </c>
      <c r="BB148" s="107">
        <f t="shared" si="4"/>
        <v>0</v>
      </c>
      <c r="BC148" s="107">
        <f t="shared" si="4"/>
        <v>0</v>
      </c>
      <c r="BD148" s="107">
        <f t="shared" si="4"/>
        <v>3.40172150691464E-2</v>
      </c>
      <c r="BE148" s="107">
        <f t="shared" si="4"/>
        <v>3.40172150691464E-2</v>
      </c>
      <c r="BF148" s="107">
        <f t="shared" si="4"/>
        <v>3.40172150691464E-2</v>
      </c>
      <c r="BG148" s="107">
        <f t="shared" si="4"/>
        <v>3.40172150691464E-2</v>
      </c>
      <c r="BH148" s="107">
        <f t="shared" si="4"/>
        <v>3.40172150691464E-2</v>
      </c>
      <c r="DT148" s="107"/>
    </row>
    <row r="149" spans="3:124" x14ac:dyDescent="0.3">
      <c r="C149" s="7"/>
      <c r="D149" s="7"/>
      <c r="E149" s="8"/>
      <c r="F149" s="13" t="s">
        <v>315</v>
      </c>
      <c r="G149" s="107">
        <f t="shared" si="5"/>
        <v>0</v>
      </c>
      <c r="H149" s="107">
        <f t="shared" si="4"/>
        <v>0</v>
      </c>
      <c r="I149" s="107">
        <f t="shared" si="4"/>
        <v>0</v>
      </c>
      <c r="J149" s="107">
        <f t="shared" si="4"/>
        <v>0</v>
      </c>
      <c r="K149" s="107">
        <f t="shared" si="4"/>
        <v>0</v>
      </c>
      <c r="L149" s="107">
        <f t="shared" si="4"/>
        <v>0</v>
      </c>
      <c r="M149" s="107">
        <f t="shared" si="4"/>
        <v>0</v>
      </c>
      <c r="N149" s="107">
        <f t="shared" si="4"/>
        <v>0</v>
      </c>
      <c r="O149" s="107">
        <f t="shared" si="4"/>
        <v>0</v>
      </c>
      <c r="P149" s="107">
        <f t="shared" si="4"/>
        <v>0</v>
      </c>
      <c r="Q149" s="107">
        <f t="shared" si="4"/>
        <v>0</v>
      </c>
      <c r="R149" s="107">
        <f t="shared" si="4"/>
        <v>0</v>
      </c>
      <c r="S149" s="107">
        <f t="shared" si="4"/>
        <v>0</v>
      </c>
      <c r="T149" s="107">
        <f t="shared" si="4"/>
        <v>0</v>
      </c>
      <c r="U149" s="107">
        <f t="shared" si="4"/>
        <v>0</v>
      </c>
      <c r="V149" s="107">
        <f t="shared" si="4"/>
        <v>0</v>
      </c>
      <c r="W149" s="107">
        <f t="shared" si="4"/>
        <v>0</v>
      </c>
      <c r="X149" s="107">
        <f t="shared" si="4"/>
        <v>0</v>
      </c>
      <c r="Y149" s="107">
        <f t="shared" si="4"/>
        <v>0</v>
      </c>
      <c r="Z149" s="107">
        <f t="shared" si="4"/>
        <v>0</v>
      </c>
      <c r="AA149" s="107">
        <f t="shared" si="4"/>
        <v>0</v>
      </c>
      <c r="AB149" s="107">
        <f t="shared" si="4"/>
        <v>0</v>
      </c>
      <c r="AC149" s="107">
        <f t="shared" si="4"/>
        <v>0</v>
      </c>
      <c r="AD149" s="107">
        <f t="shared" si="4"/>
        <v>0</v>
      </c>
      <c r="AE149" s="107">
        <f t="shared" si="4"/>
        <v>0</v>
      </c>
      <c r="AF149" s="107">
        <f t="shared" si="4"/>
        <v>0</v>
      </c>
      <c r="AG149" s="107">
        <f t="shared" si="4"/>
        <v>0.3633921062827849</v>
      </c>
      <c r="AH149" s="107">
        <f t="shared" si="4"/>
        <v>3.7720702193609918E-3</v>
      </c>
      <c r="AI149" s="107">
        <f t="shared" si="4"/>
        <v>0</v>
      </c>
      <c r="AJ149" s="107">
        <f t="shared" si="4"/>
        <v>0</v>
      </c>
      <c r="AK149" s="107">
        <f t="shared" si="4"/>
        <v>0</v>
      </c>
      <c r="AL149" s="107">
        <f t="shared" si="4"/>
        <v>0</v>
      </c>
      <c r="AM149" s="107">
        <f t="shared" si="4"/>
        <v>0</v>
      </c>
      <c r="AN149" s="107">
        <f t="shared" si="4"/>
        <v>0</v>
      </c>
      <c r="AO149" s="107">
        <f t="shared" si="4"/>
        <v>0</v>
      </c>
      <c r="AP149" s="107">
        <f t="shared" si="4"/>
        <v>0</v>
      </c>
      <c r="AQ149" s="107">
        <f t="shared" si="4"/>
        <v>0.87365033231998079</v>
      </c>
      <c r="AR149" s="107">
        <f t="shared" si="4"/>
        <v>0</v>
      </c>
      <c r="AS149" s="107">
        <f t="shared" si="4"/>
        <v>0</v>
      </c>
      <c r="AT149" s="107">
        <f t="shared" si="4"/>
        <v>0</v>
      </c>
      <c r="AU149" s="107">
        <f t="shared" si="4"/>
        <v>0</v>
      </c>
      <c r="AV149" s="107">
        <f t="shared" si="4"/>
        <v>0</v>
      </c>
      <c r="AW149" s="107">
        <f t="shared" si="4"/>
        <v>0</v>
      </c>
      <c r="AX149" s="107">
        <f t="shared" si="4"/>
        <v>0</v>
      </c>
      <c r="AY149" s="107">
        <f t="shared" si="4"/>
        <v>0</v>
      </c>
      <c r="AZ149" s="107">
        <f t="shared" si="4"/>
        <v>0.54853560443490701</v>
      </c>
      <c r="BA149" s="107">
        <f t="shared" si="4"/>
        <v>0</v>
      </c>
      <c r="BB149" s="107">
        <f t="shared" si="4"/>
        <v>0</v>
      </c>
      <c r="BC149" s="107">
        <f t="shared" si="4"/>
        <v>0</v>
      </c>
      <c r="BD149" s="107">
        <f t="shared" si="4"/>
        <v>7.5442548879351465E-2</v>
      </c>
      <c r="BE149" s="107">
        <f t="shared" si="4"/>
        <v>7.5442548879351465E-2</v>
      </c>
      <c r="BF149" s="107">
        <f t="shared" si="4"/>
        <v>7.5442548879351465E-2</v>
      </c>
      <c r="BG149" s="107">
        <f t="shared" si="4"/>
        <v>7.5442548879351465E-2</v>
      </c>
      <c r="BH149" s="107">
        <f t="shared" si="4"/>
        <v>7.5442548879351465E-2</v>
      </c>
      <c r="DT149" s="107"/>
    </row>
    <row r="150" spans="3:124" x14ac:dyDescent="0.3">
      <c r="C150" s="7"/>
      <c r="D150" s="7"/>
      <c r="E150" s="8"/>
      <c r="F150" s="13" t="s">
        <v>319</v>
      </c>
      <c r="G150" s="107">
        <f t="shared" si="5"/>
        <v>0</v>
      </c>
      <c r="H150" s="107">
        <f t="shared" si="4"/>
        <v>0</v>
      </c>
      <c r="I150" s="107">
        <f t="shared" si="4"/>
        <v>0</v>
      </c>
      <c r="J150" s="107">
        <f t="shared" si="4"/>
        <v>0</v>
      </c>
      <c r="K150" s="107">
        <f t="shared" si="4"/>
        <v>0</v>
      </c>
      <c r="L150" s="107">
        <f t="shared" si="4"/>
        <v>0</v>
      </c>
      <c r="M150" s="107">
        <f t="shared" si="4"/>
        <v>0</v>
      </c>
      <c r="N150" s="107">
        <f t="shared" si="4"/>
        <v>0</v>
      </c>
      <c r="O150" s="107">
        <f t="shared" si="4"/>
        <v>0</v>
      </c>
      <c r="P150" s="107">
        <f t="shared" si="4"/>
        <v>0</v>
      </c>
      <c r="Q150" s="107">
        <f t="shared" si="4"/>
        <v>0</v>
      </c>
      <c r="R150" s="107">
        <f t="shared" si="4"/>
        <v>0</v>
      </c>
      <c r="S150" s="107">
        <f t="shared" si="4"/>
        <v>0</v>
      </c>
      <c r="T150" s="107">
        <f t="shared" si="4"/>
        <v>0</v>
      </c>
      <c r="U150" s="107">
        <f t="shared" si="4"/>
        <v>0</v>
      </c>
      <c r="V150" s="107">
        <f t="shared" si="4"/>
        <v>0</v>
      </c>
      <c r="W150" s="107">
        <f t="shared" si="4"/>
        <v>0</v>
      </c>
      <c r="X150" s="107">
        <f t="shared" si="4"/>
        <v>0</v>
      </c>
      <c r="Y150" s="107">
        <f t="shared" si="4"/>
        <v>0</v>
      </c>
      <c r="Z150" s="107">
        <f t="shared" si="4"/>
        <v>0</v>
      </c>
      <c r="AA150" s="107">
        <f t="shared" si="4"/>
        <v>0</v>
      </c>
      <c r="AB150" s="107">
        <f t="shared" si="4"/>
        <v>0</v>
      </c>
      <c r="AC150" s="107">
        <f t="shared" si="4"/>
        <v>0</v>
      </c>
      <c r="AD150" s="107">
        <f t="shared" si="4"/>
        <v>0</v>
      </c>
      <c r="AE150" s="107">
        <f t="shared" si="4"/>
        <v>0</v>
      </c>
      <c r="AF150" s="107">
        <f t="shared" si="4"/>
        <v>0</v>
      </c>
      <c r="AG150" s="107">
        <f t="shared" si="4"/>
        <v>0.25067350083452544</v>
      </c>
      <c r="AH150" s="107">
        <f t="shared" si="4"/>
        <v>6.8034430138292801E-2</v>
      </c>
      <c r="AI150" s="107">
        <f t="shared" si="4"/>
        <v>0</v>
      </c>
      <c r="AJ150" s="107">
        <f t="shared" si="4"/>
        <v>0</v>
      </c>
      <c r="AK150" s="107">
        <f t="shared" si="4"/>
        <v>0</v>
      </c>
      <c r="AL150" s="107">
        <f t="shared" si="4"/>
        <v>0</v>
      </c>
      <c r="AM150" s="107">
        <f t="shared" si="4"/>
        <v>0</v>
      </c>
      <c r="AN150" s="107">
        <f t="shared" si="4"/>
        <v>0</v>
      </c>
      <c r="AO150" s="107">
        <f t="shared" si="4"/>
        <v>0</v>
      </c>
      <c r="AP150" s="107">
        <f t="shared" si="4"/>
        <v>0</v>
      </c>
      <c r="AQ150" s="107">
        <f t="shared" si="4"/>
        <v>1.3370468913924654</v>
      </c>
      <c r="AR150" s="107">
        <f t="shared" si="4"/>
        <v>0</v>
      </c>
      <c r="AS150" s="107">
        <f t="shared" si="4"/>
        <v>0</v>
      </c>
      <c r="AT150" s="107">
        <f t="shared" si="4"/>
        <v>0</v>
      </c>
      <c r="AU150" s="107">
        <f t="shared" si="4"/>
        <v>0</v>
      </c>
      <c r="AV150" s="107">
        <f t="shared" si="4"/>
        <v>0</v>
      </c>
      <c r="AW150" s="107">
        <f t="shared" si="4"/>
        <v>0</v>
      </c>
      <c r="AX150" s="107">
        <f t="shared" si="4"/>
        <v>0</v>
      </c>
      <c r="AY150" s="107">
        <f t="shared" si="4"/>
        <v>0</v>
      </c>
      <c r="AZ150" s="107">
        <f t="shared" si="4"/>
        <v>0.22358203385789222</v>
      </c>
      <c r="BA150" s="107">
        <f t="shared" si="4"/>
        <v>0</v>
      </c>
      <c r="BB150" s="107">
        <f t="shared" si="4"/>
        <v>0</v>
      </c>
      <c r="BC150" s="107">
        <f t="shared" si="4"/>
        <v>0</v>
      </c>
      <c r="BD150" s="107">
        <f t="shared" si="4"/>
        <v>5.7445200286123037E-2</v>
      </c>
      <c r="BE150" s="107">
        <f t="shared" si="4"/>
        <v>5.7445200286123037E-2</v>
      </c>
      <c r="BF150" s="107">
        <f t="shared" si="4"/>
        <v>5.7445200286123037E-2</v>
      </c>
      <c r="BG150" s="107">
        <f t="shared" si="4"/>
        <v>5.7445200286123037E-2</v>
      </c>
      <c r="BH150" s="107">
        <f t="shared" si="4"/>
        <v>5.7445200286123037E-2</v>
      </c>
      <c r="DT150" s="107"/>
    </row>
    <row r="151" spans="3:124" x14ac:dyDescent="0.3">
      <c r="C151" s="6"/>
      <c r="D151" s="6"/>
      <c r="E151" s="8"/>
      <c r="F151" s="13" t="s">
        <v>316</v>
      </c>
      <c r="G151" s="107">
        <f t="shared" si="5"/>
        <v>0</v>
      </c>
      <c r="H151" s="107">
        <f t="shared" si="4"/>
        <v>0</v>
      </c>
      <c r="I151" s="107">
        <f t="shared" si="4"/>
        <v>0</v>
      </c>
      <c r="J151" s="107">
        <f t="shared" si="4"/>
        <v>0</v>
      </c>
      <c r="K151" s="107">
        <f t="shared" si="4"/>
        <v>0</v>
      </c>
      <c r="L151" s="107">
        <f t="shared" si="4"/>
        <v>0</v>
      </c>
      <c r="M151" s="107">
        <f t="shared" ref="H151:BH154" si="6">SUMPRODUCT(--($D$13:$D$142=$F$146),$E$13:$E$142,$F$13:$F$142,M18:M147)/COUNTIF($D$13:$D$142,$F$146)/$F$157</f>
        <v>0</v>
      </c>
      <c r="N151" s="107">
        <f t="shared" si="6"/>
        <v>0</v>
      </c>
      <c r="O151" s="107">
        <f t="shared" si="6"/>
        <v>0</v>
      </c>
      <c r="P151" s="107">
        <f t="shared" si="6"/>
        <v>0</v>
      </c>
      <c r="Q151" s="107">
        <f t="shared" si="6"/>
        <v>0</v>
      </c>
      <c r="R151" s="107">
        <f t="shared" si="6"/>
        <v>0</v>
      </c>
      <c r="S151" s="107">
        <f t="shared" si="6"/>
        <v>0</v>
      </c>
      <c r="T151" s="107">
        <f t="shared" si="6"/>
        <v>0</v>
      </c>
      <c r="U151" s="107">
        <f t="shared" si="6"/>
        <v>0</v>
      </c>
      <c r="V151" s="107">
        <f t="shared" si="6"/>
        <v>0</v>
      </c>
      <c r="W151" s="107">
        <f t="shared" si="6"/>
        <v>0</v>
      </c>
      <c r="X151" s="107">
        <f t="shared" si="6"/>
        <v>0</v>
      </c>
      <c r="Y151" s="107">
        <f t="shared" si="6"/>
        <v>0</v>
      </c>
      <c r="Z151" s="107">
        <f t="shared" si="6"/>
        <v>0</v>
      </c>
      <c r="AA151" s="107">
        <f t="shared" si="6"/>
        <v>0</v>
      </c>
      <c r="AB151" s="107">
        <f t="shared" si="6"/>
        <v>0</v>
      </c>
      <c r="AC151" s="107">
        <f t="shared" si="6"/>
        <v>0</v>
      </c>
      <c r="AD151" s="107">
        <f t="shared" si="6"/>
        <v>0</v>
      </c>
      <c r="AE151" s="107">
        <f t="shared" si="6"/>
        <v>0</v>
      </c>
      <c r="AF151" s="107">
        <f t="shared" si="6"/>
        <v>0</v>
      </c>
      <c r="AG151" s="107">
        <f t="shared" si="6"/>
        <v>0.28908117846924175</v>
      </c>
      <c r="AH151" s="107">
        <f t="shared" si="6"/>
        <v>0.14484978540772533</v>
      </c>
      <c r="AI151" s="107">
        <f t="shared" si="6"/>
        <v>0</v>
      </c>
      <c r="AJ151" s="107">
        <f t="shared" si="6"/>
        <v>0</v>
      </c>
      <c r="AK151" s="107">
        <f t="shared" si="6"/>
        <v>0</v>
      </c>
      <c r="AL151" s="107">
        <f t="shared" si="6"/>
        <v>0</v>
      </c>
      <c r="AM151" s="107">
        <f t="shared" si="6"/>
        <v>0</v>
      </c>
      <c r="AN151" s="107">
        <f t="shared" si="6"/>
        <v>0</v>
      </c>
      <c r="AO151" s="107">
        <f t="shared" si="6"/>
        <v>0</v>
      </c>
      <c r="AP151" s="107">
        <f t="shared" si="6"/>
        <v>0</v>
      </c>
      <c r="AQ151" s="107">
        <f t="shared" si="6"/>
        <v>0.28908117846924175</v>
      </c>
      <c r="AR151" s="107">
        <f t="shared" si="6"/>
        <v>0</v>
      </c>
      <c r="AS151" s="107">
        <f t="shared" si="6"/>
        <v>0</v>
      </c>
      <c r="AT151" s="107">
        <f t="shared" si="6"/>
        <v>0</v>
      </c>
      <c r="AU151" s="107">
        <f t="shared" si="6"/>
        <v>0</v>
      </c>
      <c r="AV151" s="107">
        <f t="shared" si="6"/>
        <v>0</v>
      </c>
      <c r="AW151" s="107">
        <f t="shared" si="6"/>
        <v>0</v>
      </c>
      <c r="AX151" s="107">
        <f t="shared" si="6"/>
        <v>0</v>
      </c>
      <c r="AY151" s="107">
        <f t="shared" si="6"/>
        <v>0</v>
      </c>
      <c r="AZ151" s="107">
        <f t="shared" si="6"/>
        <v>0.57692557224606578</v>
      </c>
      <c r="BA151" s="107">
        <f t="shared" si="6"/>
        <v>0</v>
      </c>
      <c r="BB151" s="107">
        <f t="shared" si="6"/>
        <v>0</v>
      </c>
      <c r="BC151" s="107">
        <f t="shared" si="6"/>
        <v>0</v>
      </c>
      <c r="BD151" s="107">
        <f t="shared" si="6"/>
        <v>0.17332502861230328</v>
      </c>
      <c r="BE151" s="107">
        <f t="shared" si="6"/>
        <v>0.17332502861230328</v>
      </c>
      <c r="BF151" s="107">
        <f t="shared" si="6"/>
        <v>0.17332502861230328</v>
      </c>
      <c r="BG151" s="107">
        <f t="shared" si="6"/>
        <v>0.17332502861230328</v>
      </c>
      <c r="BH151" s="107">
        <f t="shared" si="6"/>
        <v>0.17332502861230328</v>
      </c>
      <c r="DT151" s="107"/>
    </row>
    <row r="152" spans="3:124" x14ac:dyDescent="0.3">
      <c r="C152" s="7"/>
      <c r="D152" s="7"/>
      <c r="E152" s="8"/>
      <c r="F152" s="13" t="s">
        <v>321</v>
      </c>
      <c r="G152" s="107">
        <f t="shared" si="5"/>
        <v>0</v>
      </c>
      <c r="H152" s="107">
        <f t="shared" si="6"/>
        <v>0</v>
      </c>
      <c r="I152" s="107">
        <f t="shared" si="6"/>
        <v>0</v>
      </c>
      <c r="J152" s="107">
        <f t="shared" si="6"/>
        <v>0</v>
      </c>
      <c r="K152" s="107">
        <f t="shared" si="6"/>
        <v>0</v>
      </c>
      <c r="L152" s="107">
        <f t="shared" si="6"/>
        <v>0</v>
      </c>
      <c r="M152" s="107">
        <f t="shared" si="6"/>
        <v>0</v>
      </c>
      <c r="N152" s="107">
        <f t="shared" si="6"/>
        <v>0</v>
      </c>
      <c r="O152" s="107">
        <f t="shared" si="6"/>
        <v>0</v>
      </c>
      <c r="P152" s="107">
        <f t="shared" si="6"/>
        <v>0</v>
      </c>
      <c r="Q152" s="107">
        <f t="shared" si="6"/>
        <v>0</v>
      </c>
      <c r="R152" s="107">
        <f t="shared" si="6"/>
        <v>0</v>
      </c>
      <c r="S152" s="107">
        <f t="shared" si="6"/>
        <v>0</v>
      </c>
      <c r="T152" s="107">
        <f t="shared" si="6"/>
        <v>0</v>
      </c>
      <c r="U152" s="107">
        <f t="shared" si="6"/>
        <v>0</v>
      </c>
      <c r="V152" s="107">
        <f t="shared" si="6"/>
        <v>0</v>
      </c>
      <c r="W152" s="107">
        <f t="shared" si="6"/>
        <v>0</v>
      </c>
      <c r="X152" s="107">
        <f t="shared" si="6"/>
        <v>0</v>
      </c>
      <c r="Y152" s="107">
        <f t="shared" si="6"/>
        <v>0</v>
      </c>
      <c r="Z152" s="107">
        <f t="shared" si="6"/>
        <v>0</v>
      </c>
      <c r="AA152" s="107">
        <f t="shared" si="6"/>
        <v>0</v>
      </c>
      <c r="AB152" s="107">
        <f t="shared" si="6"/>
        <v>0</v>
      </c>
      <c r="AC152" s="107">
        <f t="shared" si="6"/>
        <v>7.5441404387219832E-4</v>
      </c>
      <c r="AD152" s="107">
        <f t="shared" si="6"/>
        <v>3.0176561754887934E-2</v>
      </c>
      <c r="AE152" s="107">
        <f t="shared" si="6"/>
        <v>0</v>
      </c>
      <c r="AF152" s="107">
        <f t="shared" si="6"/>
        <v>0</v>
      </c>
      <c r="AG152" s="107">
        <f t="shared" si="6"/>
        <v>0.21439304363376249</v>
      </c>
      <c r="AH152" s="107">
        <f t="shared" si="6"/>
        <v>0</v>
      </c>
      <c r="AI152" s="107">
        <f t="shared" si="6"/>
        <v>0</v>
      </c>
      <c r="AJ152" s="107">
        <f t="shared" si="6"/>
        <v>0</v>
      </c>
      <c r="AK152" s="107">
        <f t="shared" si="6"/>
        <v>0</v>
      </c>
      <c r="AL152" s="107">
        <f t="shared" si="6"/>
        <v>0</v>
      </c>
      <c r="AM152" s="107">
        <f t="shared" si="6"/>
        <v>0</v>
      </c>
      <c r="AN152" s="107">
        <f t="shared" si="6"/>
        <v>0</v>
      </c>
      <c r="AO152" s="107">
        <f t="shared" si="6"/>
        <v>0</v>
      </c>
      <c r="AP152" s="107">
        <f t="shared" si="6"/>
        <v>0</v>
      </c>
      <c r="AQ152" s="107">
        <f t="shared" si="6"/>
        <v>0.2136386295898903</v>
      </c>
      <c r="AR152" s="107">
        <f t="shared" si="6"/>
        <v>0</v>
      </c>
      <c r="AS152" s="107">
        <f t="shared" si="6"/>
        <v>0</v>
      </c>
      <c r="AT152" s="107">
        <f t="shared" si="6"/>
        <v>0</v>
      </c>
      <c r="AU152" s="107">
        <f t="shared" si="6"/>
        <v>0</v>
      </c>
      <c r="AV152" s="107">
        <f t="shared" si="6"/>
        <v>0</v>
      </c>
      <c r="AW152" s="107">
        <f t="shared" si="6"/>
        <v>0</v>
      </c>
      <c r="AX152" s="107">
        <f t="shared" si="6"/>
        <v>0</v>
      </c>
      <c r="AY152" s="107">
        <f t="shared" si="6"/>
        <v>0</v>
      </c>
      <c r="AZ152" s="107">
        <f t="shared" si="6"/>
        <v>0.85229127622794465</v>
      </c>
      <c r="BA152" s="107">
        <f t="shared" si="6"/>
        <v>0</v>
      </c>
      <c r="BB152" s="107">
        <f t="shared" si="6"/>
        <v>0</v>
      </c>
      <c r="BC152" s="107">
        <f t="shared" si="6"/>
        <v>0</v>
      </c>
      <c r="BD152" s="107">
        <f t="shared" si="6"/>
        <v>0.17106178648068671</v>
      </c>
      <c r="BE152" s="107">
        <f t="shared" si="6"/>
        <v>0.17106178648068671</v>
      </c>
      <c r="BF152" s="107">
        <f t="shared" si="6"/>
        <v>0.17106178648068671</v>
      </c>
      <c r="BG152" s="107">
        <f t="shared" si="6"/>
        <v>0.17106178648068671</v>
      </c>
      <c r="BH152" s="107">
        <f t="shared" si="6"/>
        <v>0.17106178648068671</v>
      </c>
      <c r="DT152" s="107"/>
    </row>
    <row r="153" spans="3:124" x14ac:dyDescent="0.3">
      <c r="C153" s="7"/>
      <c r="D153" s="7"/>
      <c r="E153" s="8"/>
      <c r="F153" s="13" t="s">
        <v>317</v>
      </c>
      <c r="G153" s="107">
        <f t="shared" si="5"/>
        <v>0</v>
      </c>
      <c r="H153" s="107">
        <f t="shared" si="6"/>
        <v>0</v>
      </c>
      <c r="I153" s="107">
        <f t="shared" si="6"/>
        <v>0</v>
      </c>
      <c r="J153" s="107">
        <f t="shared" si="6"/>
        <v>0</v>
      </c>
      <c r="K153" s="107">
        <f t="shared" si="6"/>
        <v>0</v>
      </c>
      <c r="L153" s="107">
        <f t="shared" si="6"/>
        <v>0</v>
      </c>
      <c r="M153" s="107">
        <f t="shared" si="6"/>
        <v>0</v>
      </c>
      <c r="N153" s="107">
        <f t="shared" si="6"/>
        <v>0</v>
      </c>
      <c r="O153" s="107">
        <f t="shared" si="6"/>
        <v>0</v>
      </c>
      <c r="P153" s="107">
        <f t="shared" si="6"/>
        <v>0</v>
      </c>
      <c r="Q153" s="107">
        <f t="shared" si="6"/>
        <v>0</v>
      </c>
      <c r="R153" s="107">
        <f t="shared" si="6"/>
        <v>0</v>
      </c>
      <c r="S153" s="107">
        <f t="shared" si="6"/>
        <v>0</v>
      </c>
      <c r="T153" s="107">
        <f t="shared" si="6"/>
        <v>0</v>
      </c>
      <c r="U153" s="107">
        <f t="shared" si="6"/>
        <v>0</v>
      </c>
      <c r="V153" s="107">
        <f t="shared" si="6"/>
        <v>0</v>
      </c>
      <c r="W153" s="107">
        <f t="shared" si="6"/>
        <v>0</v>
      </c>
      <c r="X153" s="107">
        <f t="shared" si="6"/>
        <v>0</v>
      </c>
      <c r="Y153" s="107">
        <f t="shared" si="6"/>
        <v>0</v>
      </c>
      <c r="Z153" s="107">
        <f t="shared" si="6"/>
        <v>0</v>
      </c>
      <c r="AA153" s="107">
        <f t="shared" si="6"/>
        <v>0</v>
      </c>
      <c r="AB153" s="107">
        <f t="shared" si="6"/>
        <v>0</v>
      </c>
      <c r="AC153" s="107">
        <f t="shared" si="6"/>
        <v>1.4361300071530759E-2</v>
      </c>
      <c r="AD153" s="107">
        <f t="shared" si="6"/>
        <v>0.57445200286123033</v>
      </c>
      <c r="AE153" s="107">
        <f t="shared" si="6"/>
        <v>0</v>
      </c>
      <c r="AF153" s="107">
        <f t="shared" si="6"/>
        <v>0</v>
      </c>
      <c r="AG153" s="107">
        <f t="shared" si="6"/>
        <v>0.17357238555078686</v>
      </c>
      <c r="AH153" s="107">
        <f t="shared" si="6"/>
        <v>0</v>
      </c>
      <c r="AI153" s="107">
        <f t="shared" si="6"/>
        <v>0</v>
      </c>
      <c r="AJ153" s="107">
        <f t="shared" si="6"/>
        <v>0</v>
      </c>
      <c r="AK153" s="107">
        <f t="shared" si="6"/>
        <v>0</v>
      </c>
      <c r="AL153" s="107">
        <f t="shared" si="6"/>
        <v>0</v>
      </c>
      <c r="AM153" s="107">
        <f t="shared" si="6"/>
        <v>0</v>
      </c>
      <c r="AN153" s="107">
        <f t="shared" si="6"/>
        <v>0</v>
      </c>
      <c r="AO153" s="107">
        <f t="shared" si="6"/>
        <v>0</v>
      </c>
      <c r="AP153" s="107">
        <f t="shared" si="6"/>
        <v>0</v>
      </c>
      <c r="AQ153" s="107">
        <f t="shared" si="6"/>
        <v>0.15921108547925608</v>
      </c>
      <c r="AR153" s="107">
        <f t="shared" si="6"/>
        <v>0</v>
      </c>
      <c r="AS153" s="107">
        <f t="shared" si="6"/>
        <v>0</v>
      </c>
      <c r="AT153" s="107">
        <f t="shared" si="6"/>
        <v>0</v>
      </c>
      <c r="AU153" s="107">
        <f t="shared" si="6"/>
        <v>0</v>
      </c>
      <c r="AV153" s="107">
        <f t="shared" si="6"/>
        <v>0</v>
      </c>
      <c r="AW153" s="107">
        <f t="shared" si="6"/>
        <v>0</v>
      </c>
      <c r="AX153" s="107">
        <f t="shared" si="6"/>
        <v>0</v>
      </c>
      <c r="AY153" s="107">
        <f t="shared" si="6"/>
        <v>0</v>
      </c>
      <c r="AZ153" s="107">
        <f t="shared" si="6"/>
        <v>0.59376044170243214</v>
      </c>
      <c r="BA153" s="107">
        <f t="shared" si="6"/>
        <v>0</v>
      </c>
      <c r="BB153" s="107">
        <f t="shared" si="6"/>
        <v>0</v>
      </c>
      <c r="BC153" s="107">
        <f t="shared" si="6"/>
        <v>0</v>
      </c>
      <c r="BD153" s="107">
        <f t="shared" si="6"/>
        <v>0.13024112839771101</v>
      </c>
      <c r="BE153" s="107">
        <f t="shared" si="6"/>
        <v>0.13024112839771101</v>
      </c>
      <c r="BF153" s="107">
        <f t="shared" si="6"/>
        <v>0.13024112839771101</v>
      </c>
      <c r="BG153" s="107">
        <f t="shared" si="6"/>
        <v>0.13024112839771101</v>
      </c>
      <c r="BH153" s="107">
        <f t="shared" si="6"/>
        <v>0.13024112839771101</v>
      </c>
    </row>
    <row r="154" spans="3:124" x14ac:dyDescent="0.3">
      <c r="C154" s="6"/>
      <c r="D154" s="6"/>
      <c r="E154" s="8"/>
      <c r="F154" s="13" t="s">
        <v>318</v>
      </c>
      <c r="G154" s="107">
        <f t="shared" si="5"/>
        <v>0</v>
      </c>
      <c r="H154" s="107">
        <f t="shared" si="6"/>
        <v>0</v>
      </c>
      <c r="I154" s="107">
        <f t="shared" si="6"/>
        <v>0</v>
      </c>
      <c r="J154" s="107">
        <f t="shared" si="6"/>
        <v>0</v>
      </c>
      <c r="K154" s="107">
        <f t="shared" si="6"/>
        <v>0</v>
      </c>
      <c r="L154" s="107">
        <f t="shared" si="6"/>
        <v>0</v>
      </c>
      <c r="M154" s="107">
        <f t="shared" si="6"/>
        <v>0</v>
      </c>
      <c r="N154" s="107">
        <f t="shared" si="6"/>
        <v>0</v>
      </c>
      <c r="O154" s="107">
        <f t="shared" si="6"/>
        <v>0</v>
      </c>
      <c r="P154" s="107">
        <f t="shared" si="6"/>
        <v>0</v>
      </c>
      <c r="Q154" s="107">
        <f t="shared" si="6"/>
        <v>0</v>
      </c>
      <c r="R154" s="107">
        <f t="shared" si="6"/>
        <v>0</v>
      </c>
      <c r="S154" s="107">
        <f t="shared" si="6"/>
        <v>0</v>
      </c>
      <c r="T154" s="107">
        <f t="shared" si="6"/>
        <v>0</v>
      </c>
      <c r="U154" s="107">
        <f t="shared" si="6"/>
        <v>0</v>
      </c>
      <c r="V154" s="107">
        <f t="shared" si="6"/>
        <v>0</v>
      </c>
      <c r="W154" s="107">
        <f t="shared" si="6"/>
        <v>0</v>
      </c>
      <c r="X154" s="107">
        <f t="shared" si="6"/>
        <v>0</v>
      </c>
      <c r="Y154" s="107">
        <f t="shared" si="6"/>
        <v>0</v>
      </c>
      <c r="Z154" s="107">
        <f t="shared" si="6"/>
        <v>0</v>
      </c>
      <c r="AA154" s="107">
        <f t="shared" si="6"/>
        <v>0</v>
      </c>
      <c r="AB154" s="107">
        <f t="shared" si="6"/>
        <v>0</v>
      </c>
      <c r="AC154" s="107">
        <f t="shared" si="6"/>
        <v>4.3331257153075821E-2</v>
      </c>
      <c r="AD154" s="107">
        <f t="shared" si="6"/>
        <v>1.7332502861230326</v>
      </c>
      <c r="AE154" s="107">
        <f t="shared" si="6"/>
        <v>0</v>
      </c>
      <c r="AF154" s="107">
        <f t="shared" si="6"/>
        <v>0</v>
      </c>
      <c r="AG154" s="107">
        <f t="shared" si="6"/>
        <v>8.6662514306151642E-2</v>
      </c>
      <c r="AH154" s="107">
        <f t="shared" si="6"/>
        <v>0</v>
      </c>
      <c r="AI154" s="107">
        <f t="shared" si="6"/>
        <v>0</v>
      </c>
      <c r="AJ154" s="107">
        <f t="shared" si="6"/>
        <v>0</v>
      </c>
      <c r="AK154" s="107">
        <f t="shared" si="6"/>
        <v>0</v>
      </c>
      <c r="AL154" s="107">
        <f t="shared" si="6"/>
        <v>0</v>
      </c>
      <c r="AM154" s="107">
        <f t="shared" si="6"/>
        <v>0</v>
      </c>
      <c r="AN154" s="107">
        <f t="shared" si="6"/>
        <v>0</v>
      </c>
      <c r="AO154" s="107">
        <f t="shared" si="6"/>
        <v>0</v>
      </c>
      <c r="AP154" s="107">
        <f t="shared" si="6"/>
        <v>0</v>
      </c>
      <c r="AQ154" s="107">
        <f t="shared" si="6"/>
        <v>4.3331257153075821E-2</v>
      </c>
      <c r="AR154" s="107">
        <f t="shared" si="6"/>
        <v>0</v>
      </c>
      <c r="AS154" s="107">
        <f t="shared" si="6"/>
        <v>0</v>
      </c>
      <c r="AT154" s="107">
        <f t="shared" si="6"/>
        <v>0</v>
      </c>
      <c r="AU154" s="107">
        <f t="shared" si="6"/>
        <v>0</v>
      </c>
      <c r="AV154" s="107">
        <f t="shared" si="6"/>
        <v>0</v>
      </c>
      <c r="AW154" s="107">
        <f t="shared" si="6"/>
        <v>0</v>
      </c>
      <c r="AX154" s="107">
        <f t="shared" si="6"/>
        <v>0</v>
      </c>
      <c r="AY154" s="107">
        <f t="shared" si="6"/>
        <v>0</v>
      </c>
      <c r="AZ154" s="107">
        <f t="shared" si="6"/>
        <v>4.3331257153075821E-2</v>
      </c>
      <c r="BA154" s="107">
        <f t="shared" si="6"/>
        <v>0</v>
      </c>
      <c r="BB154" s="107">
        <f t="shared" si="6"/>
        <v>0</v>
      </c>
      <c r="BC154" s="107">
        <f t="shared" si="6"/>
        <v>0</v>
      </c>
      <c r="BD154" s="107">
        <f t="shared" si="6"/>
        <v>4.3331257153075821E-2</v>
      </c>
      <c r="BE154" s="107">
        <f t="shared" si="6"/>
        <v>4.3331257153075821E-2</v>
      </c>
      <c r="BF154" s="107">
        <f t="shared" si="6"/>
        <v>4.3331257153075821E-2</v>
      </c>
      <c r="BG154" s="107">
        <f t="shared" si="6"/>
        <v>4.3331257153075821E-2</v>
      </c>
      <c r="BH154" s="107">
        <f t="shared" si="6"/>
        <v>4.3331257153075821E-2</v>
      </c>
    </row>
    <row r="155" spans="3:124" x14ac:dyDescent="0.3">
      <c r="C155" s="7"/>
      <c r="D155" s="7"/>
      <c r="E155" s="8"/>
    </row>
    <row r="156" spans="3:124" x14ac:dyDescent="0.3">
      <c r="C156" s="7" t="s">
        <v>322</v>
      </c>
      <c r="D156" s="7"/>
      <c r="E156" s="8"/>
      <c r="F156" s="106">
        <f>60*8*22*12</f>
        <v>126720</v>
      </c>
    </row>
    <row r="157" spans="3:124" x14ac:dyDescent="0.3">
      <c r="C157" s="5"/>
      <c r="D157" s="6"/>
      <c r="E157" s="8"/>
      <c r="F157" s="106">
        <f>1864*60</f>
        <v>111840</v>
      </c>
    </row>
    <row r="158" spans="3:124" x14ac:dyDescent="0.3">
      <c r="C158" s="7"/>
      <c r="D158" s="7"/>
      <c r="E158" s="8"/>
    </row>
    <row r="159" spans="3:124" x14ac:dyDescent="0.3">
      <c r="C159" s="7"/>
      <c r="D159" s="7"/>
      <c r="E159" s="8"/>
    </row>
    <row r="160" spans="3:124" x14ac:dyDescent="0.3">
      <c r="C160" s="5"/>
      <c r="D160" s="9"/>
      <c r="E160" s="10"/>
    </row>
    <row r="161" spans="3:5" x14ac:dyDescent="0.3">
      <c r="C161" s="9"/>
      <c r="D161" s="9"/>
      <c r="E161" s="10"/>
    </row>
    <row r="162" spans="3:5" x14ac:dyDescent="0.3">
      <c r="C162" s="7"/>
      <c r="D162" s="7"/>
      <c r="E162" s="8"/>
    </row>
    <row r="163" spans="3:5" x14ac:dyDescent="0.3">
      <c r="C163" s="7"/>
      <c r="D163" s="7"/>
      <c r="E163" s="8"/>
    </row>
    <row r="164" spans="3:5" x14ac:dyDescent="0.3">
      <c r="C164" s="9"/>
      <c r="D164" s="9"/>
      <c r="E164" s="10"/>
    </row>
    <row r="165" spans="3:5" x14ac:dyDescent="0.3">
      <c r="C165" s="7"/>
      <c r="D165" s="7"/>
      <c r="E165" s="8"/>
    </row>
    <row r="166" spans="3:5" x14ac:dyDescent="0.3">
      <c r="C166" s="7"/>
      <c r="D166" s="7"/>
      <c r="E166" s="8"/>
    </row>
    <row r="167" spans="3:5" x14ac:dyDescent="0.3">
      <c r="C167" s="9"/>
      <c r="D167" s="9"/>
      <c r="E167" s="10"/>
    </row>
    <row r="168" spans="3:5" x14ac:dyDescent="0.3">
      <c r="C168" s="7"/>
      <c r="D168" s="7"/>
      <c r="E168" s="8"/>
    </row>
    <row r="169" spans="3:5" x14ac:dyDescent="0.3">
      <c r="C169" s="7"/>
      <c r="D169" s="7"/>
      <c r="E169" s="8"/>
    </row>
    <row r="170" spans="3:5" x14ac:dyDescent="0.3">
      <c r="C170" s="5"/>
      <c r="D170" s="5"/>
      <c r="E170" s="11"/>
    </row>
    <row r="171" spans="3:5" x14ac:dyDescent="0.3">
      <c r="C171" s="9"/>
      <c r="D171" s="9"/>
      <c r="E171" s="10"/>
    </row>
    <row r="172" spans="3:5" x14ac:dyDescent="0.3">
      <c r="C172" s="7"/>
      <c r="D172" s="7"/>
      <c r="E172" s="12"/>
    </row>
    <row r="173" spans="3:5" x14ac:dyDescent="0.3">
      <c r="C173" s="7"/>
      <c r="D173" s="7"/>
      <c r="E173" s="12"/>
    </row>
    <row r="174" spans="3:5" x14ac:dyDescent="0.3">
      <c r="C174" s="9"/>
      <c r="D174" s="9"/>
      <c r="E174" s="10"/>
    </row>
    <row r="175" spans="3:5" x14ac:dyDescent="0.3">
      <c r="C175" s="7"/>
      <c r="D175" s="7"/>
      <c r="E175" s="12"/>
    </row>
    <row r="176" spans="3:5" x14ac:dyDescent="0.3">
      <c r="C176" s="7"/>
      <c r="D176" s="7"/>
      <c r="E176" s="12"/>
    </row>
    <row r="177" spans="3:5" x14ac:dyDescent="0.3">
      <c r="C177" s="9"/>
      <c r="D177" s="9"/>
      <c r="E177" s="10"/>
    </row>
    <row r="178" spans="3:5" x14ac:dyDescent="0.3">
      <c r="C178" s="7"/>
      <c r="D178" s="7"/>
      <c r="E178" s="12"/>
    </row>
    <row r="179" spans="3:5" x14ac:dyDescent="0.3">
      <c r="C179" s="7"/>
      <c r="D179" s="7"/>
      <c r="E179" s="12"/>
    </row>
    <row r="180" spans="3:5" x14ac:dyDescent="0.3">
      <c r="C180" s="7"/>
      <c r="D180" s="7"/>
      <c r="E180" s="12"/>
    </row>
    <row r="181" spans="3:5" x14ac:dyDescent="0.3">
      <c r="C181" s="5"/>
      <c r="D181" s="5"/>
      <c r="E181" s="11"/>
    </row>
    <row r="182" spans="3:5" x14ac:dyDescent="0.3">
      <c r="C182" s="7"/>
      <c r="D182" s="7"/>
      <c r="E182" s="12"/>
    </row>
    <row r="183" spans="3:5" x14ac:dyDescent="0.3">
      <c r="C183" s="7"/>
      <c r="D183" s="7"/>
      <c r="E183" s="12"/>
    </row>
    <row r="184" spans="3:5" x14ac:dyDescent="0.3">
      <c r="C184" s="7"/>
      <c r="D184" s="7"/>
      <c r="E184" s="12"/>
    </row>
    <row r="185" spans="3:5" x14ac:dyDescent="0.3">
      <c r="C185" s="7"/>
      <c r="D185" s="7"/>
      <c r="E185" s="12"/>
    </row>
    <row r="186" spans="3:5" x14ac:dyDescent="0.3">
      <c r="C186" s="7"/>
      <c r="D186" s="7"/>
      <c r="E186" s="12"/>
    </row>
    <row r="187" spans="3:5" x14ac:dyDescent="0.3">
      <c r="C187" s="7"/>
      <c r="D187" s="7"/>
      <c r="E187" s="12"/>
    </row>
  </sheetData>
  <sheetProtection formatColumns="0" formatRows="0" sort="0" autoFilter="0"/>
  <autoFilter ref="C12:DT142" xr:uid="{E7056815-8ED6-4ECC-A7C5-5F32CBD6E1B1}">
    <sortState ref="C13:DT142">
      <sortCondition ref="D12:D142"/>
    </sortState>
  </autoFilter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62:E169 E171:E180 E182:E187 E143:E159" xr:uid="{00000000-0002-0000-0100-000000000000}">
      <formula1>0</formula1>
      <formula2>1</formula2>
    </dataValidation>
    <dataValidation type="decimal" operator="greaterThanOrEqual" allowBlank="1" showInputMessage="1" showErrorMessage="1" sqref="BJ13:DR142 G13:BH142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67"/>
  <sheetViews>
    <sheetView topLeftCell="A36" workbookViewId="0">
      <selection activeCell="B2" sqref="B2:B67"/>
    </sheetView>
  </sheetViews>
  <sheetFormatPr defaultColWidth="9.08984375" defaultRowHeight="14.5" x14ac:dyDescent="0.35"/>
  <cols>
    <col min="1" max="1" width="9.08984375" style="84"/>
    <col min="2" max="2" width="58.08984375" style="84" bestFit="1" customWidth="1"/>
    <col min="3" max="16384" width="9.08984375" style="84"/>
  </cols>
  <sheetData>
    <row r="1" spans="1:2" x14ac:dyDescent="0.35">
      <c r="B1" s="85" t="s">
        <v>101</v>
      </c>
    </row>
    <row r="2" spans="1:2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3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3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3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3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3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3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3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3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3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3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3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3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3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3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3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53125" defaultRowHeight="15" customHeight="1" x14ac:dyDescent="0.35"/>
  <cols>
    <col min="1" max="1" width="39.54296875" style="53" customWidth="1"/>
    <col min="2" max="2" width="65.7265625" style="53" customWidth="1"/>
    <col min="3" max="3" width="86.54296875" style="53" bestFit="1" customWidth="1"/>
    <col min="4" max="16384" width="14.453125" style="53"/>
  </cols>
  <sheetData>
    <row r="1" spans="1:3" ht="15" customHeight="1" x14ac:dyDescent="0.35">
      <c r="A1" s="83" t="s">
        <v>100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99</v>
      </c>
      <c r="B3" s="81" t="s">
        <v>98</v>
      </c>
    </row>
    <row r="4" spans="1:3" ht="15" customHeight="1" x14ac:dyDescent="0.35">
      <c r="A4" s="77" t="s">
        <v>23</v>
      </c>
      <c r="B4" s="81" t="s">
        <v>24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23</v>
      </c>
      <c r="B5" s="80" t="s">
        <v>87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23</v>
      </c>
      <c r="B6" s="80" t="s">
        <v>25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23</v>
      </c>
      <c r="B7" s="80" t="s">
        <v>26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23</v>
      </c>
      <c r="B8" s="80" t="s">
        <v>27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23</v>
      </c>
      <c r="B9" s="80" t="s">
        <v>28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23</v>
      </c>
      <c r="B10" s="80" t="s">
        <v>29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23</v>
      </c>
      <c r="B11" s="80" t="s">
        <v>88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23</v>
      </c>
      <c r="B12" s="80" t="s">
        <v>30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23</v>
      </c>
      <c r="B13" s="80" t="s">
        <v>31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23</v>
      </c>
      <c r="B14" s="80" t="s">
        <v>32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23</v>
      </c>
      <c r="B15" s="80" t="s">
        <v>33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23</v>
      </c>
      <c r="B16" s="80" t="s">
        <v>34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23</v>
      </c>
      <c r="B17" s="80" t="s">
        <v>35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23</v>
      </c>
      <c r="B18" s="80" t="s">
        <v>36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23</v>
      </c>
      <c r="B19" s="80" t="s">
        <v>37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23</v>
      </c>
      <c r="B20" s="80" t="s">
        <v>38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23</v>
      </c>
      <c r="B21" s="77" t="s">
        <v>68</v>
      </c>
      <c r="C21" s="54" t="str">
        <f t="shared" si="0"/>
        <v>Administrative/Overhead services -&gt; Others</v>
      </c>
    </row>
    <row r="22" spans="1:3" ht="15" customHeight="1" x14ac:dyDescent="0.35">
      <c r="A22" s="74" t="s">
        <v>39</v>
      </c>
      <c r="B22" s="74" t="s">
        <v>40</v>
      </c>
      <c r="C22" s="54" t="str">
        <f t="shared" si="0"/>
        <v>Ancillary services/Support services -&gt; Laundry</v>
      </c>
    </row>
    <row r="23" spans="1:3" ht="15" customHeight="1" x14ac:dyDescent="0.35">
      <c r="A23" s="74" t="s">
        <v>39</v>
      </c>
      <c r="B23" s="74" t="s">
        <v>43</v>
      </c>
      <c r="C23" s="54" t="str">
        <f t="shared" si="0"/>
        <v>Ancillary services/Support services -&gt; Nutrition and Dietetics</v>
      </c>
    </row>
    <row r="24" spans="1:3" ht="15" customHeight="1" x14ac:dyDescent="0.35">
      <c r="A24" s="74" t="s">
        <v>39</v>
      </c>
      <c r="B24" s="76" t="s">
        <v>69</v>
      </c>
      <c r="C24" s="54" t="str">
        <f t="shared" si="0"/>
        <v>Ancillary services/Support services -&gt; Sterilization</v>
      </c>
    </row>
    <row r="25" spans="1:3" ht="15" customHeight="1" x14ac:dyDescent="0.35">
      <c r="A25" s="74" t="s">
        <v>39</v>
      </c>
      <c r="B25" s="74" t="s">
        <v>42</v>
      </c>
      <c r="C25" s="54" t="str">
        <f t="shared" si="0"/>
        <v>Ancillary services/Support services -&gt; Pharmacy</v>
      </c>
    </row>
    <row r="26" spans="1:3" ht="14.5" x14ac:dyDescent="0.35">
      <c r="A26" s="74" t="s">
        <v>39</v>
      </c>
      <c r="B26" s="76" t="s">
        <v>41</v>
      </c>
      <c r="C26" s="54" t="str">
        <f t="shared" si="0"/>
        <v>Ancillary services/Support services -&gt; Blood Bank</v>
      </c>
    </row>
    <row r="27" spans="1:3" ht="14.5" x14ac:dyDescent="0.35">
      <c r="A27" s="74" t="s">
        <v>39</v>
      </c>
      <c r="B27" s="74" t="s">
        <v>70</v>
      </c>
      <c r="C27" s="54" t="str">
        <f t="shared" si="0"/>
        <v>Ancillary services/Support services -&gt; Laboratory</v>
      </c>
    </row>
    <row r="28" spans="1:3" ht="14.5" x14ac:dyDescent="0.35">
      <c r="A28" s="74" t="s">
        <v>39</v>
      </c>
      <c r="B28" s="74" t="s">
        <v>71</v>
      </c>
      <c r="C28" s="54" t="str">
        <f t="shared" si="0"/>
        <v>Ancillary services/Support services -&gt; Radiology / Diagnostic Imaging (CT Scan, MRI, ECG, Mammography, Endoscopy)</v>
      </c>
    </row>
    <row r="29" spans="1:3" ht="14.5" x14ac:dyDescent="0.35">
      <c r="A29" s="74" t="s">
        <v>39</v>
      </c>
      <c r="B29" s="74" t="s">
        <v>73</v>
      </c>
      <c r="C29" s="54" t="str">
        <f t="shared" si="0"/>
        <v>Ancillary services/Support services -&gt; Physiotherapy / Rehabilitation</v>
      </c>
    </row>
    <row r="30" spans="1:3" ht="14.5" x14ac:dyDescent="0.35">
      <c r="A30" s="74" t="s">
        <v>39</v>
      </c>
      <c r="B30" s="74" t="s">
        <v>5</v>
      </c>
      <c r="C30" s="54" t="str">
        <f t="shared" si="0"/>
        <v>Ancillary services/Support services -&gt; Delivery Room</v>
      </c>
    </row>
    <row r="31" spans="1:3" ht="14.5" x14ac:dyDescent="0.35">
      <c r="A31" s="74" t="s">
        <v>39</v>
      </c>
      <c r="B31" s="79" t="s">
        <v>44</v>
      </c>
      <c r="C31" s="54" t="str">
        <f t="shared" si="0"/>
        <v>Ancillary services/Support services -&gt; Operating Room / Aneasthesiology / PACU / Recovery Room</v>
      </c>
    </row>
    <row r="32" spans="1:3" ht="14.5" x14ac:dyDescent="0.35">
      <c r="A32" s="74" t="s">
        <v>39</v>
      </c>
      <c r="B32" s="74" t="s">
        <v>74</v>
      </c>
      <c r="C32" s="54" t="str">
        <f t="shared" si="0"/>
        <v>Ancillary services/Support services -&gt; Respiratory Unit</v>
      </c>
    </row>
    <row r="33" spans="1:3" ht="14.5" x14ac:dyDescent="0.35">
      <c r="A33" s="74" t="s">
        <v>39</v>
      </c>
      <c r="B33" s="79" t="s">
        <v>45</v>
      </c>
      <c r="C33" s="54" t="str">
        <f t="shared" si="0"/>
        <v>Ancillary services/Support services -&gt; Medical ICU</v>
      </c>
    </row>
    <row r="34" spans="1:3" ht="14.5" x14ac:dyDescent="0.35">
      <c r="A34" s="74" t="s">
        <v>39</v>
      </c>
      <c r="B34" s="79" t="s">
        <v>46</v>
      </c>
      <c r="C34" s="54" t="str">
        <f t="shared" si="0"/>
        <v>Ancillary services/Support services -&gt; Neonatal ICU*</v>
      </c>
    </row>
    <row r="35" spans="1:3" ht="14.5" x14ac:dyDescent="0.35">
      <c r="A35" s="74" t="s">
        <v>39</v>
      </c>
      <c r="B35" s="79" t="s">
        <v>47</v>
      </c>
      <c r="C35" s="54" t="str">
        <f t="shared" si="0"/>
        <v>Ancillary services/Support services -&gt; Surgical ICU*</v>
      </c>
    </row>
    <row r="36" spans="1:3" ht="14.5" x14ac:dyDescent="0.35">
      <c r="A36" s="74" t="s">
        <v>39</v>
      </c>
      <c r="B36" s="79" t="s">
        <v>48</v>
      </c>
      <c r="C36" s="54" t="str">
        <f t="shared" ref="C36:C57" si="1">CONCATENATE(A36, " -&gt; ",B36)</f>
        <v>Ancillary services/Support services -&gt; Pediatric ICU*</v>
      </c>
    </row>
    <row r="37" spans="1:3" ht="14.5" x14ac:dyDescent="0.35">
      <c r="A37" s="74" t="s">
        <v>39</v>
      </c>
      <c r="B37" s="76" t="s">
        <v>75</v>
      </c>
      <c r="C37" s="54" t="str">
        <f t="shared" si="1"/>
        <v>Ancillary services/Support services -&gt; Burn Unit</v>
      </c>
    </row>
    <row r="38" spans="1:3" ht="14.5" x14ac:dyDescent="0.35">
      <c r="A38" s="74" t="s">
        <v>39</v>
      </c>
      <c r="B38" s="76" t="s">
        <v>76</v>
      </c>
      <c r="C38" s="54" t="str">
        <f t="shared" si="1"/>
        <v>Ancillary services/Support services -&gt; Morgue</v>
      </c>
    </row>
    <row r="39" spans="1:3" ht="14.5" x14ac:dyDescent="0.35">
      <c r="A39" s="74" t="s">
        <v>39</v>
      </c>
      <c r="B39" s="78" t="s">
        <v>68</v>
      </c>
      <c r="C39" s="54" t="str">
        <f t="shared" si="1"/>
        <v>Ancillary services/Support services -&gt; Others</v>
      </c>
    </row>
    <row r="40" spans="1:3" ht="14.5" x14ac:dyDescent="0.35">
      <c r="A40" s="75" t="s">
        <v>50</v>
      </c>
      <c r="B40" s="77" t="s">
        <v>89</v>
      </c>
      <c r="C40" s="54" t="str">
        <f t="shared" si="1"/>
        <v>Clinical/Medical services -&gt; Outpatient Department (general)</v>
      </c>
    </row>
    <row r="41" spans="1:3" ht="14.5" x14ac:dyDescent="0.35">
      <c r="A41" s="75" t="s">
        <v>50</v>
      </c>
      <c r="B41" s="74" t="s">
        <v>77</v>
      </c>
      <c r="C41" s="54" t="str">
        <f t="shared" si="1"/>
        <v>Clinical/Medical services -&gt; Animal Bite Center</v>
      </c>
    </row>
    <row r="42" spans="1:3" ht="14.5" x14ac:dyDescent="0.35">
      <c r="A42" s="75" t="s">
        <v>50</v>
      </c>
      <c r="B42" s="74" t="s">
        <v>78</v>
      </c>
      <c r="C42" s="54" t="str">
        <f t="shared" si="1"/>
        <v>Clinical/Medical services -&gt; TB Dots</v>
      </c>
    </row>
    <row r="43" spans="1:3" ht="14.5" x14ac:dyDescent="0.35">
      <c r="A43" s="75" t="s">
        <v>50</v>
      </c>
      <c r="B43" s="74" t="s">
        <v>79</v>
      </c>
      <c r="C43" s="54" t="str">
        <f t="shared" si="1"/>
        <v>Clinical/Medical services -&gt; HIV Aids</v>
      </c>
    </row>
    <row r="44" spans="1:3" ht="14.5" x14ac:dyDescent="0.35">
      <c r="A44" s="75" t="s">
        <v>50</v>
      </c>
      <c r="B44" s="74" t="s">
        <v>80</v>
      </c>
      <c r="C44" s="54" t="str">
        <f t="shared" si="1"/>
        <v>Clinical/Medical services -&gt; Family Planning Unit</v>
      </c>
    </row>
    <row r="45" spans="1:3" ht="14.5" x14ac:dyDescent="0.35">
      <c r="A45" s="75" t="s">
        <v>50</v>
      </c>
      <c r="B45" s="74" t="s">
        <v>81</v>
      </c>
      <c r="C45" s="54" t="str">
        <f t="shared" si="1"/>
        <v>Clinical/Medical services -&gt; Smoking Cessation</v>
      </c>
    </row>
    <row r="46" spans="1:3" ht="14.5" x14ac:dyDescent="0.35">
      <c r="A46" s="75" t="s">
        <v>50</v>
      </c>
      <c r="B46" s="74" t="s">
        <v>82</v>
      </c>
      <c r="C46" s="54" t="str">
        <f t="shared" si="1"/>
        <v>Clinical/Medical services -&gt; Malaria</v>
      </c>
    </row>
    <row r="47" spans="1:3" ht="14.5" x14ac:dyDescent="0.35">
      <c r="A47" s="75" t="s">
        <v>50</v>
      </c>
      <c r="B47" s="76" t="s">
        <v>90</v>
      </c>
      <c r="C47" s="54" t="str">
        <f t="shared" si="1"/>
        <v xml:space="preserve">Clinical/Medical services -&gt; Diabetes </v>
      </c>
    </row>
    <row r="48" spans="1:3" ht="14.5" x14ac:dyDescent="0.35">
      <c r="A48" s="75" t="s">
        <v>50</v>
      </c>
      <c r="B48" s="74" t="s">
        <v>91</v>
      </c>
      <c r="C48" s="54" t="str">
        <f t="shared" si="1"/>
        <v>Clinical/Medical services -&gt; Hypertension</v>
      </c>
    </row>
    <row r="49" spans="1:3" ht="14.5" x14ac:dyDescent="0.35">
      <c r="A49" s="75" t="s">
        <v>50</v>
      </c>
      <c r="B49" s="74" t="s">
        <v>52</v>
      </c>
      <c r="C49" s="54" t="str">
        <f t="shared" si="1"/>
        <v>Clinical/Medical services -&gt; Emergency Medicine Department</v>
      </c>
    </row>
    <row r="50" spans="1:3" ht="14.5" x14ac:dyDescent="0.35">
      <c r="A50" s="75" t="s">
        <v>50</v>
      </c>
      <c r="B50" s="74" t="s">
        <v>6</v>
      </c>
      <c r="C50" s="54" t="str">
        <f t="shared" si="1"/>
        <v>Clinical/Medical services -&gt; Dialysis Unit</v>
      </c>
    </row>
    <row r="51" spans="1:3" ht="14.5" x14ac:dyDescent="0.35">
      <c r="A51" s="75" t="s">
        <v>50</v>
      </c>
      <c r="B51" s="74" t="s">
        <v>49</v>
      </c>
      <c r="C51" s="54" t="str">
        <f t="shared" si="1"/>
        <v>Clinical/Medical services -&gt; Radiation Oncology Unit*</v>
      </c>
    </row>
    <row r="52" spans="1:3" ht="14.5" x14ac:dyDescent="0.35">
      <c r="A52" s="75" t="s">
        <v>50</v>
      </c>
      <c r="B52" s="74" t="s">
        <v>53</v>
      </c>
      <c r="C52" s="54" t="str">
        <f t="shared" si="1"/>
        <v>Clinical/Medical services -&gt; Dental</v>
      </c>
    </row>
    <row r="53" spans="1:3" ht="14.5" x14ac:dyDescent="0.35">
      <c r="A53" s="75" t="s">
        <v>50</v>
      </c>
      <c r="B53" s="74" t="s">
        <v>54</v>
      </c>
      <c r="C53" s="54" t="str">
        <f t="shared" si="1"/>
        <v>Clinical/Medical services -&gt; Internal Medicine Ward</v>
      </c>
    </row>
    <row r="54" spans="1:3" ht="14.5" x14ac:dyDescent="0.35">
      <c r="A54" s="75" t="s">
        <v>50</v>
      </c>
      <c r="B54" s="74" t="s">
        <v>55</v>
      </c>
      <c r="C54" s="54" t="str">
        <f t="shared" si="1"/>
        <v>Clinical/Medical services -&gt; Pediatric Ward</v>
      </c>
    </row>
    <row r="55" spans="1:3" ht="14.5" x14ac:dyDescent="0.35">
      <c r="A55" s="75" t="s">
        <v>50</v>
      </c>
      <c r="B55" s="74" t="s">
        <v>56</v>
      </c>
      <c r="C55" s="54" t="str">
        <f t="shared" si="1"/>
        <v>Clinical/Medical services -&gt; Surgical Ward</v>
      </c>
    </row>
    <row r="56" spans="1:3" ht="14.5" x14ac:dyDescent="0.35">
      <c r="A56" s="75" t="s">
        <v>50</v>
      </c>
      <c r="B56" s="74" t="s">
        <v>57</v>
      </c>
      <c r="C56" s="54" t="str">
        <f t="shared" si="1"/>
        <v>Clinical/Medical services -&gt; Ob/Gyne Ward</v>
      </c>
    </row>
    <row r="57" spans="1:3" ht="14.5" x14ac:dyDescent="0.35">
      <c r="A57" s="75" t="s">
        <v>50</v>
      </c>
      <c r="B57" s="74" t="s">
        <v>58</v>
      </c>
      <c r="C57" s="54" t="str">
        <f t="shared" si="1"/>
        <v>Clinical/Medical services -&gt; Private Ward</v>
      </c>
    </row>
    <row r="58" spans="1:3" ht="14.5" x14ac:dyDescent="0.35">
      <c r="A58" s="56"/>
      <c r="B58" s="56"/>
    </row>
    <row r="59" spans="1:3" ht="14.5" x14ac:dyDescent="0.35">
      <c r="A59" s="56"/>
      <c r="B59" s="56"/>
    </row>
    <row r="60" spans="1:3" ht="14.5" x14ac:dyDescent="0.35">
      <c r="A60" s="56"/>
      <c r="B60" s="56"/>
    </row>
    <row r="61" spans="1:3" ht="14.5" x14ac:dyDescent="0.35">
      <c r="A61" s="56"/>
      <c r="B61" s="56"/>
    </row>
    <row r="62" spans="1:3" ht="14.5" x14ac:dyDescent="0.35">
      <c r="A62" s="56" t="s">
        <v>97</v>
      </c>
      <c r="B62" s="73" t="s">
        <v>96</v>
      </c>
    </row>
    <row r="63" spans="1:3" ht="14.5" x14ac:dyDescent="0.35">
      <c r="A63" s="56"/>
      <c r="B63" s="73" t="s">
        <v>95</v>
      </c>
    </row>
    <row r="64" spans="1:3" ht="14.5" x14ac:dyDescent="0.35">
      <c r="A64" s="72"/>
      <c r="B64" s="72"/>
    </row>
    <row r="65" spans="1:2" ht="14.5" x14ac:dyDescent="0.35">
      <c r="A65" s="72"/>
      <c r="B65" s="72"/>
    </row>
    <row r="66" spans="1:2" ht="14.5" x14ac:dyDescent="0.35">
      <c r="A66" s="72"/>
      <c r="B66" s="72"/>
    </row>
    <row r="67" spans="1:2" ht="14.5" x14ac:dyDescent="0.35">
      <c r="A67" s="72"/>
      <c r="B67" s="72"/>
    </row>
    <row r="68" spans="1:2" ht="14.5" x14ac:dyDescent="0.35">
      <c r="A68" s="72"/>
      <c r="B68" s="72"/>
    </row>
    <row r="69" spans="1:2" ht="14.5" x14ac:dyDescent="0.35">
      <c r="A69" s="72"/>
      <c r="B69" s="72"/>
    </row>
    <row r="70" spans="1:2" ht="14.5" x14ac:dyDescent="0.35">
      <c r="A70" s="72"/>
      <c r="B70" s="72"/>
    </row>
    <row r="71" spans="1:2" ht="14.5" x14ac:dyDescent="0.35">
      <c r="A71" s="72"/>
      <c r="B71" s="72"/>
    </row>
    <row r="72" spans="1:2" ht="14.5" x14ac:dyDescent="0.35">
      <c r="A72" s="72"/>
      <c r="B72" s="72"/>
    </row>
    <row r="73" spans="1:2" ht="14.5" x14ac:dyDescent="0.35">
      <c r="A73" s="72"/>
      <c r="B73" s="72"/>
    </row>
    <row r="74" spans="1:2" ht="14.5" x14ac:dyDescent="0.35">
      <c r="A74" s="72"/>
      <c r="B74" s="72"/>
    </row>
    <row r="75" spans="1:2" ht="14.5" x14ac:dyDescent="0.35">
      <c r="A75" s="72"/>
      <c r="B75" s="72"/>
    </row>
    <row r="76" spans="1:2" ht="14.5" x14ac:dyDescent="0.35">
      <c r="A76" s="72"/>
      <c r="B76" s="72"/>
    </row>
    <row r="77" spans="1:2" ht="14.5" x14ac:dyDescent="0.35">
      <c r="A77" s="72"/>
      <c r="B77" s="72"/>
    </row>
    <row r="78" spans="1:2" ht="14.5" x14ac:dyDescent="0.35">
      <c r="A78" s="72"/>
      <c r="B78" s="72"/>
    </row>
    <row r="79" spans="1:2" ht="14.5" x14ac:dyDescent="0.35">
      <c r="A79" s="72"/>
      <c r="B79" s="72"/>
    </row>
    <row r="80" spans="1:2" ht="14.5" x14ac:dyDescent="0.35">
      <c r="A80" s="72"/>
      <c r="B80" s="72"/>
    </row>
    <row r="81" spans="1:2" ht="14.5" x14ac:dyDescent="0.35">
      <c r="A81" s="72"/>
      <c r="B81" s="72"/>
    </row>
    <row r="82" spans="1:2" ht="14.5" x14ac:dyDescent="0.35">
      <c r="A82" s="72"/>
      <c r="B82" s="72"/>
    </row>
    <row r="83" spans="1:2" ht="14.5" x14ac:dyDescent="0.35">
      <c r="A83" s="72"/>
      <c r="B83" s="72"/>
    </row>
    <row r="84" spans="1:2" ht="14.5" x14ac:dyDescent="0.35">
      <c r="A84" s="72"/>
      <c r="B84" s="72"/>
    </row>
    <row r="85" spans="1:2" ht="14.5" x14ac:dyDescent="0.35">
      <c r="A85" s="72"/>
      <c r="B85" s="72"/>
    </row>
    <row r="86" spans="1:2" ht="14.5" x14ac:dyDescent="0.35">
      <c r="A86" s="72"/>
      <c r="B86" s="72"/>
    </row>
    <row r="87" spans="1:2" ht="14.5" x14ac:dyDescent="0.35">
      <c r="A87" s="72"/>
      <c r="B87" s="72"/>
    </row>
    <row r="88" spans="1:2" ht="14.5" x14ac:dyDescent="0.35">
      <c r="A88" s="72"/>
      <c r="B88" s="72"/>
    </row>
    <row r="89" spans="1:2" ht="14.5" x14ac:dyDescent="0.35">
      <c r="A89" s="72"/>
      <c r="B89" s="72"/>
    </row>
    <row r="90" spans="1:2" ht="14.5" x14ac:dyDescent="0.35">
      <c r="A90" s="72"/>
      <c r="B90" s="72"/>
    </row>
    <row r="91" spans="1:2" ht="14.5" x14ac:dyDescent="0.35">
      <c r="A91" s="72"/>
      <c r="B91" s="72"/>
    </row>
    <row r="92" spans="1:2" ht="14.5" x14ac:dyDescent="0.35">
      <c r="A92" s="72"/>
      <c r="B92" s="72"/>
    </row>
    <row r="93" spans="1:2" ht="14.5" x14ac:dyDescent="0.35">
      <c r="A93" s="72"/>
      <c r="B93" s="72"/>
    </row>
    <row r="94" spans="1:2" ht="14.5" x14ac:dyDescent="0.35">
      <c r="A94" s="72"/>
      <c r="B94" s="72"/>
    </row>
    <row r="95" spans="1:2" ht="14.5" x14ac:dyDescent="0.35">
      <c r="A95" s="72"/>
      <c r="B95" s="72"/>
    </row>
    <row r="96" spans="1:2" ht="14.5" x14ac:dyDescent="0.35">
      <c r="A96" s="72"/>
      <c r="B96" s="72"/>
    </row>
    <row r="97" spans="1:2" ht="14.5" x14ac:dyDescent="0.35">
      <c r="A97" s="72"/>
      <c r="B97" s="72"/>
    </row>
    <row r="98" spans="1:2" ht="14.5" x14ac:dyDescent="0.35">
      <c r="A98" s="72"/>
      <c r="B98" s="72"/>
    </row>
    <row r="99" spans="1:2" ht="14.5" x14ac:dyDescent="0.35">
      <c r="A99" s="72"/>
      <c r="B99" s="72"/>
    </row>
    <row r="100" spans="1:2" ht="14.5" x14ac:dyDescent="0.35">
      <c r="A100" s="72"/>
      <c r="B100" s="72"/>
    </row>
    <row r="101" spans="1:2" ht="14.5" x14ac:dyDescent="0.35">
      <c r="A101" s="72"/>
      <c r="B101" s="72"/>
    </row>
    <row r="102" spans="1:2" ht="14.5" x14ac:dyDescent="0.35">
      <c r="A102" s="72"/>
      <c r="B102" s="72"/>
    </row>
    <row r="103" spans="1:2" ht="14.5" x14ac:dyDescent="0.35">
      <c r="A103" s="72"/>
      <c r="B103" s="72"/>
    </row>
    <row r="104" spans="1:2" ht="14.5" x14ac:dyDescent="0.35">
      <c r="A104" s="72"/>
      <c r="B104" s="72"/>
    </row>
    <row r="105" spans="1:2" ht="14.5" x14ac:dyDescent="0.35">
      <c r="A105" s="72"/>
      <c r="B105" s="72"/>
    </row>
    <row r="106" spans="1:2" ht="14.5" x14ac:dyDescent="0.35">
      <c r="A106" s="72"/>
      <c r="B106" s="72"/>
    </row>
    <row r="107" spans="1:2" ht="14.5" x14ac:dyDescent="0.35">
      <c r="A107" s="72"/>
      <c r="B107" s="72"/>
    </row>
    <row r="108" spans="1:2" ht="14.5" x14ac:dyDescent="0.35">
      <c r="A108" s="72"/>
      <c r="B108" s="72"/>
    </row>
    <row r="109" spans="1:2" ht="14.5" x14ac:dyDescent="0.35">
      <c r="A109" s="72"/>
      <c r="B109" s="72"/>
    </row>
    <row r="110" spans="1:2" ht="14.5" x14ac:dyDescent="0.35">
      <c r="A110" s="72"/>
      <c r="B110" s="72"/>
    </row>
    <row r="111" spans="1:2" ht="14.5" x14ac:dyDescent="0.35">
      <c r="A111" s="72"/>
      <c r="B111" s="72"/>
    </row>
    <row r="112" spans="1:2" ht="14.5" x14ac:dyDescent="0.35">
      <c r="A112" s="72"/>
      <c r="B112" s="72"/>
    </row>
    <row r="113" spans="1:2" ht="14.5" x14ac:dyDescent="0.35">
      <c r="A113" s="72"/>
      <c r="B113" s="72"/>
    </row>
    <row r="114" spans="1:2" ht="14.5" x14ac:dyDescent="0.35">
      <c r="A114" s="72"/>
      <c r="B114" s="72"/>
    </row>
    <row r="115" spans="1:2" ht="14.5" x14ac:dyDescent="0.35">
      <c r="A115" s="72"/>
      <c r="B115" s="72"/>
    </row>
    <row r="116" spans="1:2" ht="14.5" x14ac:dyDescent="0.35">
      <c r="A116" s="72"/>
      <c r="B116" s="72"/>
    </row>
    <row r="117" spans="1:2" ht="14.5" x14ac:dyDescent="0.35">
      <c r="A117" s="72"/>
      <c r="B117" s="72"/>
    </row>
    <row r="118" spans="1:2" ht="14.5" x14ac:dyDescent="0.35">
      <c r="A118" s="72"/>
      <c r="B118" s="72"/>
    </row>
    <row r="119" spans="1:2" ht="14.5" x14ac:dyDescent="0.35">
      <c r="A119" s="72"/>
      <c r="B119" s="72"/>
    </row>
    <row r="120" spans="1:2" ht="14.5" x14ac:dyDescent="0.35">
      <c r="A120" s="72"/>
      <c r="B120" s="72"/>
    </row>
    <row r="121" spans="1:2" ht="14.5" x14ac:dyDescent="0.35">
      <c r="A121" s="72"/>
      <c r="B121" s="72"/>
    </row>
    <row r="122" spans="1:2" ht="14.5" x14ac:dyDescent="0.35">
      <c r="A122" s="72"/>
      <c r="B122" s="72"/>
    </row>
    <row r="123" spans="1:2" ht="14.5" x14ac:dyDescent="0.35">
      <c r="A123" s="72"/>
      <c r="B123" s="72"/>
    </row>
    <row r="124" spans="1:2" ht="14.5" x14ac:dyDescent="0.35">
      <c r="A124" s="72"/>
      <c r="B124" s="72"/>
    </row>
    <row r="125" spans="1:2" ht="14.5" x14ac:dyDescent="0.35">
      <c r="A125" s="72"/>
      <c r="B125" s="72"/>
    </row>
    <row r="126" spans="1:2" ht="14.5" x14ac:dyDescent="0.35">
      <c r="A126" s="72"/>
      <c r="B126" s="72"/>
    </row>
    <row r="127" spans="1:2" ht="14.5" x14ac:dyDescent="0.35">
      <c r="A127" s="72"/>
      <c r="B127" s="72"/>
    </row>
    <row r="128" spans="1:2" ht="14.5" x14ac:dyDescent="0.35">
      <c r="A128" s="72"/>
      <c r="B128" s="72"/>
    </row>
    <row r="129" spans="1:2" ht="14.5" x14ac:dyDescent="0.35">
      <c r="A129" s="72"/>
      <c r="B129" s="72"/>
    </row>
    <row r="130" spans="1:2" ht="14.5" x14ac:dyDescent="0.35">
      <c r="A130" s="72"/>
      <c r="B130" s="72"/>
    </row>
    <row r="131" spans="1:2" ht="14.5" x14ac:dyDescent="0.35">
      <c r="A131" s="72"/>
      <c r="B131" s="72"/>
    </row>
    <row r="132" spans="1:2" ht="14.5" x14ac:dyDescent="0.35">
      <c r="A132" s="72"/>
      <c r="B132" s="72"/>
    </row>
    <row r="133" spans="1:2" ht="14.5" x14ac:dyDescent="0.35">
      <c r="A133" s="72"/>
      <c r="B133" s="72"/>
    </row>
    <row r="134" spans="1:2" ht="14.5" x14ac:dyDescent="0.35">
      <c r="A134" s="72"/>
      <c r="B134" s="72"/>
    </row>
    <row r="135" spans="1:2" ht="14.5" x14ac:dyDescent="0.35">
      <c r="A135" s="72"/>
      <c r="B135" s="72"/>
    </row>
    <row r="136" spans="1:2" ht="14.5" x14ac:dyDescent="0.35">
      <c r="A136" s="72"/>
      <c r="B136" s="72"/>
    </row>
    <row r="137" spans="1:2" ht="14.5" x14ac:dyDescent="0.35">
      <c r="A137" s="72"/>
      <c r="B137" s="72"/>
    </row>
    <row r="138" spans="1:2" ht="14.5" x14ac:dyDescent="0.35">
      <c r="A138" s="72"/>
      <c r="B138" s="72"/>
    </row>
    <row r="139" spans="1:2" ht="14.5" x14ac:dyDescent="0.35">
      <c r="A139" s="72"/>
      <c r="B139" s="72"/>
    </row>
    <row r="140" spans="1:2" ht="14.5" x14ac:dyDescent="0.35">
      <c r="A140" s="72"/>
      <c r="B140" s="72"/>
    </row>
    <row r="141" spans="1:2" ht="14.5" x14ac:dyDescent="0.35">
      <c r="A141" s="72"/>
      <c r="B141" s="72"/>
    </row>
    <row r="142" spans="1:2" ht="14.5" x14ac:dyDescent="0.35">
      <c r="A142" s="72"/>
      <c r="B142" s="72"/>
    </row>
    <row r="143" spans="1:2" ht="14.5" x14ac:dyDescent="0.35">
      <c r="A143" s="72"/>
      <c r="B143" s="72"/>
    </row>
    <row r="144" spans="1:2" ht="14.5" x14ac:dyDescent="0.35">
      <c r="A144" s="72"/>
      <c r="B144" s="72"/>
    </row>
    <row r="145" spans="1:2" ht="14.5" x14ac:dyDescent="0.35">
      <c r="A145" s="72"/>
      <c r="B145" s="72"/>
    </row>
    <row r="146" spans="1:2" ht="14.5" x14ac:dyDescent="0.35">
      <c r="A146" s="72"/>
      <c r="B146" s="72"/>
    </row>
    <row r="147" spans="1:2" ht="14.5" x14ac:dyDescent="0.35">
      <c r="A147" s="72"/>
      <c r="B147" s="72"/>
    </row>
    <row r="148" spans="1:2" ht="14.5" x14ac:dyDescent="0.35">
      <c r="A148" s="72"/>
      <c r="B148" s="72"/>
    </row>
    <row r="149" spans="1:2" ht="14.5" x14ac:dyDescent="0.35">
      <c r="A149" s="72"/>
      <c r="B149" s="72"/>
    </row>
    <row r="150" spans="1:2" ht="14.5" x14ac:dyDescent="0.35">
      <c r="A150" s="72"/>
      <c r="B150" s="72"/>
    </row>
    <row r="151" spans="1:2" ht="14.5" x14ac:dyDescent="0.35">
      <c r="A151" s="72"/>
      <c r="B151" s="72"/>
    </row>
    <row r="152" spans="1:2" ht="14.5" x14ac:dyDescent="0.35">
      <c r="A152" s="72"/>
      <c r="B152" s="72"/>
    </row>
    <row r="153" spans="1:2" ht="14.5" x14ac:dyDescent="0.35">
      <c r="A153" s="72"/>
      <c r="B153" s="72"/>
    </row>
    <row r="154" spans="1:2" ht="14.5" x14ac:dyDescent="0.35">
      <c r="A154" s="72"/>
      <c r="B154" s="72"/>
    </row>
    <row r="155" spans="1:2" ht="14.5" x14ac:dyDescent="0.35">
      <c r="A155" s="72"/>
      <c r="B155" s="72"/>
    </row>
    <row r="156" spans="1:2" ht="14.5" x14ac:dyDescent="0.35">
      <c r="A156" s="72"/>
      <c r="B156" s="72"/>
    </row>
    <row r="157" spans="1:2" ht="14.5" x14ac:dyDescent="0.35">
      <c r="A157" s="72"/>
      <c r="B157" s="72"/>
    </row>
    <row r="158" spans="1:2" ht="14.5" x14ac:dyDescent="0.35">
      <c r="A158" s="72"/>
      <c r="B158" s="72"/>
    </row>
    <row r="159" spans="1:2" ht="14.5" x14ac:dyDescent="0.35">
      <c r="A159" s="72"/>
      <c r="B159" s="72"/>
    </row>
    <row r="160" spans="1:2" ht="14.5" x14ac:dyDescent="0.35">
      <c r="A160" s="72"/>
      <c r="B160" s="72"/>
    </row>
    <row r="161" spans="1:2" ht="14.5" x14ac:dyDescent="0.35">
      <c r="A161" s="72"/>
      <c r="B161" s="72"/>
    </row>
    <row r="162" spans="1:2" ht="14.5" x14ac:dyDescent="0.35">
      <c r="A162" s="72"/>
      <c r="B162" s="72"/>
    </row>
    <row r="163" spans="1:2" ht="14.5" x14ac:dyDescent="0.35">
      <c r="A163" s="72"/>
      <c r="B163" s="72"/>
    </row>
    <row r="164" spans="1:2" ht="14.5" x14ac:dyDescent="0.35">
      <c r="A164" s="72"/>
      <c r="B164" s="72"/>
    </row>
    <row r="165" spans="1:2" ht="14.5" x14ac:dyDescent="0.35">
      <c r="A165" s="72"/>
      <c r="B165" s="72"/>
    </row>
    <row r="166" spans="1:2" ht="14.5" x14ac:dyDescent="0.35">
      <c r="A166" s="72"/>
      <c r="B166" s="72"/>
    </row>
    <row r="167" spans="1:2" ht="14.5" x14ac:dyDescent="0.35">
      <c r="A167" s="72"/>
      <c r="B167" s="72"/>
    </row>
    <row r="168" spans="1:2" ht="14.5" x14ac:dyDescent="0.35">
      <c r="A168" s="72"/>
      <c r="B168" s="72"/>
    </row>
    <row r="169" spans="1:2" ht="14.5" x14ac:dyDescent="0.35">
      <c r="A169" s="72"/>
      <c r="B169" s="72"/>
    </row>
    <row r="170" spans="1:2" ht="14.5" x14ac:dyDescent="0.35">
      <c r="A170" s="72"/>
      <c r="B170" s="72"/>
    </row>
    <row r="171" spans="1:2" ht="14.5" x14ac:dyDescent="0.35">
      <c r="A171" s="72"/>
      <c r="B171" s="72"/>
    </row>
    <row r="172" spans="1:2" ht="14.5" x14ac:dyDescent="0.35">
      <c r="A172" s="72"/>
      <c r="B172" s="72"/>
    </row>
    <row r="173" spans="1:2" ht="14.5" x14ac:dyDescent="0.35">
      <c r="A173" s="72"/>
      <c r="B173" s="72"/>
    </row>
    <row r="174" spans="1:2" ht="14.5" x14ac:dyDescent="0.35">
      <c r="A174" s="72"/>
      <c r="B174" s="72"/>
    </row>
    <row r="175" spans="1:2" ht="14.5" x14ac:dyDescent="0.35">
      <c r="A175" s="72"/>
      <c r="B175" s="72"/>
    </row>
    <row r="176" spans="1:2" ht="14.5" x14ac:dyDescent="0.35">
      <c r="A176" s="72"/>
      <c r="B176" s="72"/>
    </row>
    <row r="177" spans="1:2" ht="14.5" x14ac:dyDescent="0.35">
      <c r="A177" s="72"/>
      <c r="B177" s="72"/>
    </row>
    <row r="178" spans="1:2" ht="14.5" x14ac:dyDescent="0.35">
      <c r="A178" s="72"/>
      <c r="B178" s="72"/>
    </row>
    <row r="179" spans="1:2" ht="14.5" x14ac:dyDescent="0.35">
      <c r="A179" s="72"/>
      <c r="B179" s="72"/>
    </row>
    <row r="180" spans="1:2" ht="14.5" x14ac:dyDescent="0.35">
      <c r="A180" s="72"/>
      <c r="B180" s="72"/>
    </row>
    <row r="181" spans="1:2" ht="14.5" x14ac:dyDescent="0.35">
      <c r="A181" s="72"/>
      <c r="B181" s="72"/>
    </row>
    <row r="182" spans="1:2" ht="14.5" x14ac:dyDescent="0.35">
      <c r="A182" s="72"/>
      <c r="B182" s="72"/>
    </row>
    <row r="183" spans="1:2" ht="14.5" x14ac:dyDescent="0.35">
      <c r="A183" s="72"/>
      <c r="B183" s="72"/>
    </row>
    <row r="184" spans="1:2" ht="14.5" x14ac:dyDescent="0.35">
      <c r="A184" s="72"/>
      <c r="B184" s="72"/>
    </row>
    <row r="185" spans="1:2" ht="14.5" x14ac:dyDescent="0.35">
      <c r="A185" s="72"/>
      <c r="B185" s="72"/>
    </row>
    <row r="186" spans="1:2" ht="14.5" x14ac:dyDescent="0.35">
      <c r="A186" s="72"/>
      <c r="B186" s="72"/>
    </row>
    <row r="187" spans="1:2" ht="14.5" x14ac:dyDescent="0.35">
      <c r="A187" s="72"/>
      <c r="B187" s="72"/>
    </row>
    <row r="188" spans="1:2" ht="14.5" x14ac:dyDescent="0.35">
      <c r="A188" s="72"/>
      <c r="B188" s="72"/>
    </row>
    <row r="189" spans="1:2" ht="14.5" x14ac:dyDescent="0.35">
      <c r="A189" s="72"/>
      <c r="B189" s="72"/>
    </row>
    <row r="190" spans="1:2" ht="14.5" x14ac:dyDescent="0.35">
      <c r="A190" s="72"/>
      <c r="B190" s="72"/>
    </row>
    <row r="191" spans="1:2" ht="14.5" x14ac:dyDescent="0.35">
      <c r="A191" s="72"/>
      <c r="B191" s="72"/>
    </row>
    <row r="192" spans="1:2" ht="14.5" x14ac:dyDescent="0.35">
      <c r="A192" s="72"/>
      <c r="B192" s="72"/>
    </row>
    <row r="193" spans="1:2" ht="14.5" x14ac:dyDescent="0.35">
      <c r="A193" s="72"/>
      <c r="B193" s="72"/>
    </row>
    <row r="194" spans="1:2" ht="14.5" x14ac:dyDescent="0.35">
      <c r="A194" s="72"/>
      <c r="B194" s="72"/>
    </row>
    <row r="195" spans="1:2" ht="14.5" x14ac:dyDescent="0.35">
      <c r="A195" s="72"/>
      <c r="B195" s="72"/>
    </row>
    <row r="196" spans="1:2" ht="14.5" x14ac:dyDescent="0.35">
      <c r="A196" s="72"/>
      <c r="B196" s="72"/>
    </row>
    <row r="197" spans="1:2" ht="14.5" x14ac:dyDescent="0.35">
      <c r="A197" s="72"/>
      <c r="B197" s="72"/>
    </row>
    <row r="198" spans="1:2" ht="14.5" x14ac:dyDescent="0.35">
      <c r="A198" s="72"/>
      <c r="B198" s="72"/>
    </row>
    <row r="199" spans="1:2" ht="14.5" x14ac:dyDescent="0.35">
      <c r="A199" s="72"/>
      <c r="B199" s="72"/>
    </row>
    <row r="200" spans="1:2" ht="14.5" x14ac:dyDescent="0.35">
      <c r="A200" s="72"/>
      <c r="B200" s="72"/>
    </row>
    <row r="201" spans="1:2" ht="14.5" x14ac:dyDescent="0.35">
      <c r="A201" s="72"/>
      <c r="B201" s="72"/>
    </row>
    <row r="202" spans="1:2" ht="14.5" x14ac:dyDescent="0.35">
      <c r="A202" s="72"/>
      <c r="B202" s="72"/>
    </row>
    <row r="203" spans="1:2" ht="14.5" x14ac:dyDescent="0.35">
      <c r="A203" s="72"/>
      <c r="B203" s="72"/>
    </row>
    <row r="204" spans="1:2" ht="14.5" x14ac:dyDescent="0.35">
      <c r="A204" s="72"/>
      <c r="B204" s="72"/>
    </row>
    <row r="205" spans="1:2" ht="14.5" x14ac:dyDescent="0.35">
      <c r="A205" s="72"/>
      <c r="B205" s="72"/>
    </row>
    <row r="206" spans="1:2" ht="14.5" x14ac:dyDescent="0.35">
      <c r="A206" s="72"/>
      <c r="B206" s="72"/>
    </row>
    <row r="207" spans="1:2" ht="14.5" x14ac:dyDescent="0.35">
      <c r="A207" s="72"/>
      <c r="B207" s="72"/>
    </row>
    <row r="208" spans="1:2" ht="14.5" x14ac:dyDescent="0.35">
      <c r="A208" s="72"/>
      <c r="B208" s="72"/>
    </row>
    <row r="209" spans="1:2" ht="14.5" x14ac:dyDescent="0.35">
      <c r="A209" s="72"/>
      <c r="B209" s="72"/>
    </row>
    <row r="210" spans="1:2" ht="14.5" x14ac:dyDescent="0.35">
      <c r="A210" s="72"/>
      <c r="B210" s="72"/>
    </row>
    <row r="211" spans="1:2" ht="14.5" x14ac:dyDescent="0.35">
      <c r="A211" s="72"/>
      <c r="B211" s="72"/>
    </row>
    <row r="212" spans="1:2" ht="14.5" x14ac:dyDescent="0.35">
      <c r="A212" s="72"/>
      <c r="B212" s="72"/>
    </row>
    <row r="213" spans="1:2" ht="14.5" x14ac:dyDescent="0.35">
      <c r="A213" s="72"/>
      <c r="B213" s="72"/>
    </row>
    <row r="214" spans="1:2" ht="14.5" x14ac:dyDescent="0.35">
      <c r="A214" s="72"/>
      <c r="B214" s="72"/>
    </row>
    <row r="215" spans="1:2" ht="14.5" x14ac:dyDescent="0.35">
      <c r="A215" s="72"/>
      <c r="B215" s="72"/>
    </row>
    <row r="216" spans="1:2" ht="14.5" x14ac:dyDescent="0.35">
      <c r="A216" s="72"/>
      <c r="B216" s="72"/>
    </row>
    <row r="217" spans="1:2" ht="14.5" x14ac:dyDescent="0.35">
      <c r="A217" s="72"/>
      <c r="B217" s="72"/>
    </row>
    <row r="218" spans="1:2" ht="14.5" x14ac:dyDescent="0.35">
      <c r="A218" s="72"/>
      <c r="B218" s="72"/>
    </row>
    <row r="219" spans="1:2" ht="14.5" x14ac:dyDescent="0.35">
      <c r="A219" s="72"/>
      <c r="B219" s="72"/>
    </row>
    <row r="220" spans="1:2" ht="14.5" x14ac:dyDescent="0.35">
      <c r="A220" s="72"/>
      <c r="B220" s="72"/>
    </row>
    <row r="221" spans="1:2" ht="14.5" x14ac:dyDescent="0.35">
      <c r="A221" s="72"/>
      <c r="B221" s="72"/>
    </row>
    <row r="222" spans="1:2" ht="14.5" x14ac:dyDescent="0.35">
      <c r="A222" s="72"/>
      <c r="B222" s="72"/>
    </row>
    <row r="223" spans="1:2" ht="14.5" x14ac:dyDescent="0.35">
      <c r="A223" s="72"/>
      <c r="B223" s="72"/>
    </row>
    <row r="224" spans="1:2" ht="14.5" x14ac:dyDescent="0.35">
      <c r="A224" s="72"/>
      <c r="B224" s="72"/>
    </row>
    <row r="225" spans="1:2" ht="14.5" x14ac:dyDescent="0.35">
      <c r="A225" s="72"/>
      <c r="B225" s="72"/>
    </row>
    <row r="226" spans="1:2" ht="14.5" x14ac:dyDescent="0.35">
      <c r="A226" s="72"/>
      <c r="B226" s="72"/>
    </row>
    <row r="227" spans="1:2" ht="14.5" x14ac:dyDescent="0.35">
      <c r="A227" s="72"/>
      <c r="B227" s="72"/>
    </row>
    <row r="228" spans="1:2" ht="14.5" x14ac:dyDescent="0.35">
      <c r="A228" s="72"/>
      <c r="B228" s="72"/>
    </row>
    <row r="229" spans="1:2" ht="14.5" x14ac:dyDescent="0.35">
      <c r="A229" s="72"/>
      <c r="B229" s="72"/>
    </row>
    <row r="230" spans="1:2" ht="14.5" x14ac:dyDescent="0.35">
      <c r="A230" s="72"/>
      <c r="B230" s="72"/>
    </row>
    <row r="231" spans="1:2" ht="14.5" x14ac:dyDescent="0.35">
      <c r="A231" s="72"/>
      <c r="B231" s="72"/>
    </row>
    <row r="232" spans="1:2" ht="14.5" x14ac:dyDescent="0.35">
      <c r="A232" s="72"/>
      <c r="B232" s="72"/>
    </row>
    <row r="233" spans="1:2" ht="14.5" x14ac:dyDescent="0.35">
      <c r="A233" s="72"/>
      <c r="B233" s="72"/>
    </row>
    <row r="234" spans="1:2" ht="14.5" x14ac:dyDescent="0.35">
      <c r="A234" s="72"/>
      <c r="B234" s="72"/>
    </row>
    <row r="235" spans="1:2" ht="14.5" x14ac:dyDescent="0.35">
      <c r="A235" s="72"/>
      <c r="B235" s="72"/>
    </row>
    <row r="236" spans="1:2" ht="14.5" x14ac:dyDescent="0.35">
      <c r="A236" s="72"/>
      <c r="B236" s="72"/>
    </row>
    <row r="237" spans="1:2" ht="14.5" x14ac:dyDescent="0.35">
      <c r="A237" s="72"/>
      <c r="B237" s="72"/>
    </row>
    <row r="238" spans="1:2" ht="14.5" x14ac:dyDescent="0.35">
      <c r="A238" s="72"/>
      <c r="B238" s="72"/>
    </row>
    <row r="239" spans="1:2" ht="14.5" x14ac:dyDescent="0.35">
      <c r="A239" s="72"/>
      <c r="B239" s="72"/>
    </row>
    <row r="240" spans="1:2" ht="14.5" x14ac:dyDescent="0.35">
      <c r="A240" s="72"/>
      <c r="B240" s="72"/>
    </row>
    <row r="241" spans="1:2" ht="14.5" x14ac:dyDescent="0.35">
      <c r="A241" s="72"/>
      <c r="B241" s="72"/>
    </row>
    <row r="242" spans="1:2" ht="14.5" x14ac:dyDescent="0.35">
      <c r="A242" s="72"/>
      <c r="B242" s="72"/>
    </row>
    <row r="243" spans="1:2" ht="14.5" x14ac:dyDescent="0.35">
      <c r="A243" s="72"/>
      <c r="B243" s="72"/>
    </row>
    <row r="244" spans="1:2" ht="14.5" x14ac:dyDescent="0.35">
      <c r="A244" s="72"/>
      <c r="B244" s="72"/>
    </row>
    <row r="245" spans="1:2" ht="14.5" x14ac:dyDescent="0.35">
      <c r="A245" s="72"/>
      <c r="B245" s="72"/>
    </row>
    <row r="246" spans="1:2" ht="14.5" x14ac:dyDescent="0.35">
      <c r="A246" s="72"/>
      <c r="B246" s="72"/>
    </row>
    <row r="247" spans="1:2" ht="14.5" x14ac:dyDescent="0.35">
      <c r="A247" s="72"/>
      <c r="B247" s="72"/>
    </row>
    <row r="248" spans="1:2" ht="14.5" x14ac:dyDescent="0.35">
      <c r="A248" s="72"/>
      <c r="B248" s="72"/>
    </row>
    <row r="249" spans="1:2" ht="14.5" x14ac:dyDescent="0.35">
      <c r="A249" s="72"/>
      <c r="B249" s="72"/>
    </row>
    <row r="250" spans="1:2" ht="14.5" x14ac:dyDescent="0.35">
      <c r="A250" s="72"/>
      <c r="B250" s="72"/>
    </row>
    <row r="251" spans="1:2" ht="14.5" x14ac:dyDescent="0.35">
      <c r="A251" s="72"/>
      <c r="B251" s="72"/>
    </row>
    <row r="252" spans="1:2" ht="14.5" x14ac:dyDescent="0.35">
      <c r="A252" s="72"/>
      <c r="B252" s="72"/>
    </row>
    <row r="253" spans="1:2" ht="14.5" x14ac:dyDescent="0.35">
      <c r="A253" s="72"/>
      <c r="B253" s="72"/>
    </row>
    <row r="254" spans="1:2" ht="14.5" x14ac:dyDescent="0.35">
      <c r="A254" s="72"/>
      <c r="B254" s="72"/>
    </row>
    <row r="255" spans="1:2" ht="14.5" x14ac:dyDescent="0.35">
      <c r="A255" s="72"/>
      <c r="B255" s="72"/>
    </row>
    <row r="256" spans="1:2" ht="14.5" x14ac:dyDescent="0.35">
      <c r="A256" s="72"/>
      <c r="B256" s="72"/>
    </row>
    <row r="257" spans="1:2" ht="14.5" x14ac:dyDescent="0.35">
      <c r="A257" s="72"/>
      <c r="B257" s="72"/>
    </row>
    <row r="258" spans="1:2" ht="14.5" x14ac:dyDescent="0.35">
      <c r="A258" s="72"/>
      <c r="B258" s="72"/>
    </row>
    <row r="259" spans="1:2" ht="14.5" x14ac:dyDescent="0.35">
      <c r="A259" s="72"/>
      <c r="B259" s="72"/>
    </row>
    <row r="260" spans="1:2" ht="14.5" x14ac:dyDescent="0.35">
      <c r="A260" s="72"/>
      <c r="B260" s="72"/>
    </row>
    <row r="261" spans="1:2" ht="14.5" x14ac:dyDescent="0.35">
      <c r="A261" s="72"/>
      <c r="B261" s="72"/>
    </row>
    <row r="262" spans="1:2" ht="14.5" x14ac:dyDescent="0.35">
      <c r="A262" s="72"/>
      <c r="B262" s="72"/>
    </row>
    <row r="263" spans="1:2" ht="14.5" x14ac:dyDescent="0.35">
      <c r="A263" s="72"/>
      <c r="B263" s="72"/>
    </row>
    <row r="264" spans="1:2" ht="14.5" x14ac:dyDescent="0.35">
      <c r="A264" s="72"/>
      <c r="B264" s="72"/>
    </row>
    <row r="265" spans="1:2" ht="14.5" x14ac:dyDescent="0.35">
      <c r="A265" s="72"/>
      <c r="B265" s="72"/>
    </row>
    <row r="266" spans="1:2" ht="14.5" x14ac:dyDescent="0.35">
      <c r="A266" s="72"/>
      <c r="B266" s="72"/>
    </row>
    <row r="267" spans="1:2" ht="14.5" x14ac:dyDescent="0.35">
      <c r="A267" s="72"/>
      <c r="B267" s="72"/>
    </row>
    <row r="268" spans="1:2" ht="14.5" x14ac:dyDescent="0.35">
      <c r="A268" s="72"/>
      <c r="B268" s="72"/>
    </row>
    <row r="269" spans="1:2" ht="14.5" x14ac:dyDescent="0.35">
      <c r="A269" s="72"/>
      <c r="B269" s="72"/>
    </row>
    <row r="270" spans="1:2" ht="14.5" x14ac:dyDescent="0.35">
      <c r="A270" s="72"/>
      <c r="B270" s="72"/>
    </row>
    <row r="271" spans="1:2" ht="14.5" x14ac:dyDescent="0.35">
      <c r="A271" s="72"/>
      <c r="B271" s="72"/>
    </row>
    <row r="272" spans="1:2" ht="14.5" x14ac:dyDescent="0.35">
      <c r="A272" s="72"/>
      <c r="B272" s="72"/>
    </row>
    <row r="273" spans="1:2" ht="14.5" x14ac:dyDescent="0.35">
      <c r="A273" s="72"/>
      <c r="B273" s="72"/>
    </row>
    <row r="274" spans="1:2" ht="14.5" x14ac:dyDescent="0.35">
      <c r="A274" s="72"/>
      <c r="B274" s="72"/>
    </row>
    <row r="275" spans="1:2" ht="14.5" x14ac:dyDescent="0.35">
      <c r="A275" s="72"/>
      <c r="B275" s="72"/>
    </row>
    <row r="276" spans="1:2" ht="14.5" x14ac:dyDescent="0.35">
      <c r="A276" s="72"/>
      <c r="B276" s="72"/>
    </row>
    <row r="277" spans="1:2" ht="14.5" x14ac:dyDescent="0.35">
      <c r="A277" s="72"/>
      <c r="B277" s="72"/>
    </row>
    <row r="278" spans="1:2" ht="14.5" x14ac:dyDescent="0.35">
      <c r="A278" s="72"/>
      <c r="B278" s="72"/>
    </row>
    <row r="279" spans="1:2" ht="14.5" x14ac:dyDescent="0.35">
      <c r="A279" s="72"/>
      <c r="B279" s="72"/>
    </row>
    <row r="280" spans="1:2" ht="14.5" x14ac:dyDescent="0.35">
      <c r="A280" s="72"/>
      <c r="B280" s="72"/>
    </row>
    <row r="281" spans="1:2" ht="14.5" x14ac:dyDescent="0.35">
      <c r="A281" s="72"/>
      <c r="B281" s="72"/>
    </row>
    <row r="282" spans="1:2" ht="14.5" x14ac:dyDescent="0.35">
      <c r="A282" s="72"/>
      <c r="B282" s="72"/>
    </row>
    <row r="283" spans="1:2" ht="14.5" x14ac:dyDescent="0.35">
      <c r="A283" s="72"/>
      <c r="B283" s="72"/>
    </row>
    <row r="284" spans="1:2" ht="14.5" x14ac:dyDescent="0.35">
      <c r="A284" s="72"/>
      <c r="B284" s="72"/>
    </row>
    <row r="285" spans="1:2" ht="14.5" x14ac:dyDescent="0.35">
      <c r="A285" s="72"/>
      <c r="B285" s="72"/>
    </row>
    <row r="286" spans="1:2" ht="14.5" x14ac:dyDescent="0.35">
      <c r="A286" s="72"/>
      <c r="B286" s="72"/>
    </row>
    <row r="287" spans="1:2" ht="14.5" x14ac:dyDescent="0.35">
      <c r="A287" s="72"/>
      <c r="B287" s="72"/>
    </row>
    <row r="288" spans="1:2" ht="14.5" x14ac:dyDescent="0.35">
      <c r="A288" s="72"/>
      <c r="B288" s="72"/>
    </row>
    <row r="289" spans="1:2" ht="14.5" x14ac:dyDescent="0.35">
      <c r="A289" s="72"/>
      <c r="B289" s="72"/>
    </row>
    <row r="290" spans="1:2" ht="14.5" x14ac:dyDescent="0.35">
      <c r="A290" s="72"/>
      <c r="B290" s="72"/>
    </row>
    <row r="291" spans="1:2" ht="14.5" x14ac:dyDescent="0.35">
      <c r="A291" s="72"/>
      <c r="B291" s="72"/>
    </row>
    <row r="292" spans="1:2" ht="14.5" x14ac:dyDescent="0.35">
      <c r="A292" s="72"/>
      <c r="B292" s="72"/>
    </row>
    <row r="293" spans="1:2" ht="14.5" x14ac:dyDescent="0.35">
      <c r="A293" s="72"/>
      <c r="B293" s="72"/>
    </row>
    <row r="294" spans="1:2" ht="14.5" x14ac:dyDescent="0.35">
      <c r="A294" s="72"/>
      <c r="B294" s="72"/>
    </row>
    <row r="295" spans="1:2" ht="14.5" x14ac:dyDescent="0.35">
      <c r="A295" s="72"/>
      <c r="B295" s="72"/>
    </row>
    <row r="296" spans="1:2" ht="14.5" x14ac:dyDescent="0.35">
      <c r="A296" s="72"/>
      <c r="B296" s="72"/>
    </row>
    <row r="297" spans="1:2" ht="14.5" x14ac:dyDescent="0.35">
      <c r="A297" s="72"/>
      <c r="B297" s="72"/>
    </row>
    <row r="298" spans="1:2" ht="14.5" x14ac:dyDescent="0.35">
      <c r="A298" s="72"/>
      <c r="B298" s="72"/>
    </row>
    <row r="299" spans="1:2" ht="14.5" x14ac:dyDescent="0.35">
      <c r="A299" s="72"/>
      <c r="B299" s="72"/>
    </row>
    <row r="300" spans="1:2" ht="14.5" x14ac:dyDescent="0.35">
      <c r="A300" s="72"/>
      <c r="B300" s="72"/>
    </row>
    <row r="301" spans="1:2" ht="14.5" x14ac:dyDescent="0.35">
      <c r="A301" s="72"/>
      <c r="B301" s="72"/>
    </row>
    <row r="302" spans="1:2" ht="14.5" x14ac:dyDescent="0.35">
      <c r="A302" s="72"/>
      <c r="B302" s="72"/>
    </row>
    <row r="303" spans="1:2" ht="14.5" x14ac:dyDescent="0.35">
      <c r="A303" s="72"/>
      <c r="B303" s="72"/>
    </row>
    <row r="304" spans="1:2" ht="14.5" x14ac:dyDescent="0.35">
      <c r="A304" s="72"/>
      <c r="B304" s="72"/>
    </row>
    <row r="305" spans="1:2" ht="14.5" x14ac:dyDescent="0.35">
      <c r="A305" s="72"/>
      <c r="B305" s="72"/>
    </row>
    <row r="306" spans="1:2" ht="14.5" x14ac:dyDescent="0.35">
      <c r="A306" s="72"/>
      <c r="B306" s="72"/>
    </row>
    <row r="307" spans="1:2" ht="14.5" x14ac:dyDescent="0.35">
      <c r="A307" s="72"/>
      <c r="B307" s="72"/>
    </row>
    <row r="308" spans="1:2" ht="14.5" x14ac:dyDescent="0.35">
      <c r="A308" s="72"/>
      <c r="B308" s="72"/>
    </row>
    <row r="309" spans="1:2" ht="14.5" x14ac:dyDescent="0.35">
      <c r="A309" s="72"/>
      <c r="B309" s="72"/>
    </row>
    <row r="310" spans="1:2" ht="14.5" x14ac:dyDescent="0.35">
      <c r="A310" s="72"/>
      <c r="B310" s="72"/>
    </row>
    <row r="311" spans="1:2" ht="14.5" x14ac:dyDescent="0.35">
      <c r="A311" s="72"/>
      <c r="B311" s="72"/>
    </row>
    <row r="312" spans="1:2" ht="14.5" x14ac:dyDescent="0.35">
      <c r="A312" s="72"/>
      <c r="B312" s="72"/>
    </row>
    <row r="313" spans="1:2" ht="14.5" x14ac:dyDescent="0.35">
      <c r="A313" s="72"/>
      <c r="B313" s="72"/>
    </row>
    <row r="314" spans="1:2" ht="14.5" x14ac:dyDescent="0.35">
      <c r="A314" s="72"/>
      <c r="B314" s="72"/>
    </row>
    <row r="315" spans="1:2" ht="14.5" x14ac:dyDescent="0.35">
      <c r="A315" s="72"/>
      <c r="B315" s="72"/>
    </row>
    <row r="316" spans="1:2" ht="14.5" x14ac:dyDescent="0.35">
      <c r="A316" s="72"/>
      <c r="B316" s="72"/>
    </row>
    <row r="317" spans="1:2" ht="14.5" x14ac:dyDescent="0.35">
      <c r="A317" s="72"/>
      <c r="B317" s="72"/>
    </row>
    <row r="318" spans="1:2" ht="14.5" x14ac:dyDescent="0.35">
      <c r="A318" s="72"/>
      <c r="B318" s="72"/>
    </row>
    <row r="319" spans="1:2" ht="14.5" x14ac:dyDescent="0.35">
      <c r="A319" s="72"/>
      <c r="B319" s="72"/>
    </row>
    <row r="320" spans="1:2" ht="14.5" x14ac:dyDescent="0.35">
      <c r="A320" s="72"/>
      <c r="B320" s="72"/>
    </row>
    <row r="321" spans="1:2" ht="14.5" x14ac:dyDescent="0.35">
      <c r="A321" s="72"/>
      <c r="B321" s="72"/>
    </row>
    <row r="322" spans="1:2" ht="14.5" x14ac:dyDescent="0.35">
      <c r="A322" s="72"/>
      <c r="B322" s="72"/>
    </row>
    <row r="323" spans="1:2" ht="14.5" x14ac:dyDescent="0.35">
      <c r="A323" s="72"/>
      <c r="B323" s="72"/>
    </row>
    <row r="324" spans="1:2" ht="14.5" x14ac:dyDescent="0.35">
      <c r="A324" s="72"/>
      <c r="B324" s="72"/>
    </row>
    <row r="325" spans="1:2" ht="14.5" x14ac:dyDescent="0.35">
      <c r="A325" s="72"/>
      <c r="B325" s="72"/>
    </row>
    <row r="326" spans="1:2" ht="14.5" x14ac:dyDescent="0.35">
      <c r="A326" s="72"/>
      <c r="B326" s="72"/>
    </row>
    <row r="327" spans="1:2" ht="14.5" x14ac:dyDescent="0.35">
      <c r="A327" s="72"/>
      <c r="B327" s="72"/>
    </row>
    <row r="328" spans="1:2" ht="14.5" x14ac:dyDescent="0.35">
      <c r="A328" s="72"/>
      <c r="B328" s="72"/>
    </row>
    <row r="329" spans="1:2" ht="14.5" x14ac:dyDescent="0.35">
      <c r="A329" s="72"/>
      <c r="B329" s="72"/>
    </row>
    <row r="330" spans="1:2" ht="14.5" x14ac:dyDescent="0.35">
      <c r="A330" s="72"/>
      <c r="B330" s="72"/>
    </row>
    <row r="331" spans="1:2" ht="14.5" x14ac:dyDescent="0.35">
      <c r="A331" s="72"/>
      <c r="B331" s="72"/>
    </row>
    <row r="332" spans="1:2" ht="14.5" x14ac:dyDescent="0.35">
      <c r="A332" s="72"/>
      <c r="B332" s="72"/>
    </row>
    <row r="333" spans="1:2" ht="14.5" x14ac:dyDescent="0.35">
      <c r="A333" s="72"/>
      <c r="B333" s="72"/>
    </row>
    <row r="334" spans="1:2" ht="14.5" x14ac:dyDescent="0.35">
      <c r="A334" s="72"/>
      <c r="B334" s="72"/>
    </row>
    <row r="335" spans="1:2" ht="14.5" x14ac:dyDescent="0.35">
      <c r="A335" s="72"/>
      <c r="B335" s="72"/>
    </row>
    <row r="336" spans="1:2" ht="14.5" x14ac:dyDescent="0.35">
      <c r="A336" s="72"/>
      <c r="B336" s="72"/>
    </row>
    <row r="337" spans="1:2" ht="14.5" x14ac:dyDescent="0.35">
      <c r="A337" s="72"/>
      <c r="B337" s="72"/>
    </row>
    <row r="338" spans="1:2" ht="14.5" x14ac:dyDescent="0.35">
      <c r="A338" s="72"/>
      <c r="B338" s="72"/>
    </row>
    <row r="339" spans="1:2" ht="14.5" x14ac:dyDescent="0.35">
      <c r="A339" s="72"/>
      <c r="B339" s="72"/>
    </row>
    <row r="340" spans="1:2" ht="14.5" x14ac:dyDescent="0.35">
      <c r="A340" s="72"/>
      <c r="B340" s="72"/>
    </row>
    <row r="341" spans="1:2" ht="14.5" x14ac:dyDescent="0.35">
      <c r="A341" s="72"/>
      <c r="B341" s="72"/>
    </row>
    <row r="342" spans="1:2" ht="14.5" x14ac:dyDescent="0.35">
      <c r="A342" s="72"/>
      <c r="B342" s="72"/>
    </row>
    <row r="343" spans="1:2" ht="14.5" x14ac:dyDescent="0.35">
      <c r="A343" s="72"/>
      <c r="B343" s="72"/>
    </row>
    <row r="344" spans="1:2" ht="14.5" x14ac:dyDescent="0.35">
      <c r="A344" s="72"/>
      <c r="B344" s="72"/>
    </row>
    <row r="345" spans="1:2" ht="14.5" x14ac:dyDescent="0.35">
      <c r="A345" s="72"/>
      <c r="B345" s="72"/>
    </row>
    <row r="346" spans="1:2" ht="14.5" x14ac:dyDescent="0.35">
      <c r="A346" s="72"/>
      <c r="B346" s="72"/>
    </row>
    <row r="347" spans="1:2" ht="14.5" x14ac:dyDescent="0.35">
      <c r="A347" s="72"/>
      <c r="B347" s="72"/>
    </row>
    <row r="348" spans="1:2" ht="14.5" x14ac:dyDescent="0.35">
      <c r="A348" s="72"/>
      <c r="B348" s="72"/>
    </row>
    <row r="349" spans="1:2" ht="14.5" x14ac:dyDescent="0.35">
      <c r="A349" s="72"/>
      <c r="B349" s="72"/>
    </row>
    <row r="350" spans="1:2" ht="14.5" x14ac:dyDescent="0.35">
      <c r="A350" s="72"/>
      <c r="B350" s="72"/>
    </row>
    <row r="351" spans="1:2" ht="14.5" x14ac:dyDescent="0.35">
      <c r="A351" s="72"/>
      <c r="B351" s="72"/>
    </row>
    <row r="352" spans="1:2" ht="14.5" x14ac:dyDescent="0.35">
      <c r="A352" s="72"/>
      <c r="B352" s="72"/>
    </row>
    <row r="353" spans="1:2" ht="14.5" x14ac:dyDescent="0.35">
      <c r="A353" s="72"/>
      <c r="B353" s="72"/>
    </row>
    <row r="354" spans="1:2" ht="14.5" x14ac:dyDescent="0.35">
      <c r="A354" s="72"/>
      <c r="B354" s="72"/>
    </row>
    <row r="355" spans="1:2" ht="14.5" x14ac:dyDescent="0.35">
      <c r="A355" s="72"/>
      <c r="B355" s="72"/>
    </row>
    <row r="356" spans="1:2" ht="14.5" x14ac:dyDescent="0.35">
      <c r="A356" s="72"/>
      <c r="B356" s="72"/>
    </row>
    <row r="357" spans="1:2" ht="14.5" x14ac:dyDescent="0.35">
      <c r="A357" s="72"/>
      <c r="B357" s="72"/>
    </row>
    <row r="358" spans="1:2" ht="14.5" x14ac:dyDescent="0.35">
      <c r="A358" s="72"/>
      <c r="B358" s="72"/>
    </row>
    <row r="359" spans="1:2" ht="14.5" x14ac:dyDescent="0.35">
      <c r="A359" s="72"/>
      <c r="B359" s="72"/>
    </row>
    <row r="360" spans="1:2" ht="14.5" x14ac:dyDescent="0.35">
      <c r="A360" s="72"/>
      <c r="B360" s="72"/>
    </row>
    <row r="361" spans="1:2" ht="14.5" x14ac:dyDescent="0.35">
      <c r="A361" s="72"/>
      <c r="B361" s="72"/>
    </row>
    <row r="362" spans="1:2" ht="14.5" x14ac:dyDescent="0.35">
      <c r="A362" s="72"/>
      <c r="B362" s="72"/>
    </row>
    <row r="363" spans="1:2" ht="14.5" x14ac:dyDescent="0.35">
      <c r="A363" s="72"/>
      <c r="B363" s="72"/>
    </row>
    <row r="364" spans="1:2" ht="14.5" x14ac:dyDescent="0.35">
      <c r="A364" s="72"/>
      <c r="B364" s="72"/>
    </row>
    <row r="365" spans="1:2" ht="14.5" x14ac:dyDescent="0.35">
      <c r="A365" s="72"/>
      <c r="B365" s="72"/>
    </row>
    <row r="366" spans="1:2" ht="14.5" x14ac:dyDescent="0.35">
      <c r="A366" s="72"/>
      <c r="B366" s="72"/>
    </row>
    <row r="367" spans="1:2" ht="14.5" x14ac:dyDescent="0.35">
      <c r="A367" s="72"/>
      <c r="B367" s="72"/>
    </row>
    <row r="368" spans="1:2" ht="14.5" x14ac:dyDescent="0.35">
      <c r="A368" s="72"/>
      <c r="B368" s="72"/>
    </row>
    <row r="369" spans="1:2" ht="14.5" x14ac:dyDescent="0.35">
      <c r="A369" s="72"/>
      <c r="B369" s="72"/>
    </row>
    <row r="370" spans="1:2" ht="14.5" x14ac:dyDescent="0.35">
      <c r="A370" s="72"/>
      <c r="B370" s="72"/>
    </row>
    <row r="371" spans="1:2" ht="14.5" x14ac:dyDescent="0.35">
      <c r="A371" s="72"/>
      <c r="B371" s="72"/>
    </row>
    <row r="372" spans="1:2" ht="14.5" x14ac:dyDescent="0.35">
      <c r="A372" s="72"/>
      <c r="B372" s="72"/>
    </row>
    <row r="373" spans="1:2" ht="14.5" x14ac:dyDescent="0.35">
      <c r="A373" s="72"/>
      <c r="B373" s="72"/>
    </row>
    <row r="374" spans="1:2" ht="14.5" x14ac:dyDescent="0.35">
      <c r="A374" s="72"/>
      <c r="B374" s="72"/>
    </row>
    <row r="375" spans="1:2" ht="14.5" x14ac:dyDescent="0.35">
      <c r="A375" s="72"/>
      <c r="B375" s="72"/>
    </row>
    <row r="376" spans="1:2" ht="14.5" x14ac:dyDescent="0.35">
      <c r="A376" s="72"/>
      <c r="B376" s="72"/>
    </row>
    <row r="377" spans="1:2" ht="14.5" x14ac:dyDescent="0.35">
      <c r="A377" s="72"/>
      <c r="B377" s="72"/>
    </row>
    <row r="378" spans="1:2" ht="14.5" x14ac:dyDescent="0.35">
      <c r="A378" s="72"/>
      <c r="B378" s="72"/>
    </row>
    <row r="379" spans="1:2" ht="14.5" x14ac:dyDescent="0.35">
      <c r="A379" s="72"/>
      <c r="B379" s="72"/>
    </row>
    <row r="380" spans="1:2" ht="14.5" x14ac:dyDescent="0.35">
      <c r="A380" s="72"/>
      <c r="B380" s="72"/>
    </row>
    <row r="381" spans="1:2" ht="14.5" x14ac:dyDescent="0.35">
      <c r="A381" s="72"/>
      <c r="B381" s="72"/>
    </row>
    <row r="382" spans="1:2" ht="14.5" x14ac:dyDescent="0.35">
      <c r="A382" s="72"/>
      <c r="B382" s="72"/>
    </row>
    <row r="383" spans="1:2" ht="14.5" x14ac:dyDescent="0.35">
      <c r="A383" s="72"/>
      <c r="B383" s="72"/>
    </row>
    <row r="384" spans="1:2" ht="14.5" x14ac:dyDescent="0.35">
      <c r="A384" s="72"/>
      <c r="B384" s="72"/>
    </row>
    <row r="385" spans="1:2" ht="14.5" x14ac:dyDescent="0.35">
      <c r="A385" s="72"/>
      <c r="B385" s="72"/>
    </row>
    <row r="386" spans="1:2" ht="14.5" x14ac:dyDescent="0.35">
      <c r="A386" s="72"/>
      <c r="B386" s="72"/>
    </row>
    <row r="387" spans="1:2" ht="14.5" x14ac:dyDescent="0.35">
      <c r="A387" s="72"/>
      <c r="B387" s="72"/>
    </row>
    <row r="388" spans="1:2" ht="14.5" x14ac:dyDescent="0.35">
      <c r="A388" s="72"/>
      <c r="B388" s="72"/>
    </row>
    <row r="389" spans="1:2" ht="14.5" x14ac:dyDescent="0.35">
      <c r="A389" s="72"/>
      <c r="B389" s="72"/>
    </row>
    <row r="390" spans="1:2" ht="14.5" x14ac:dyDescent="0.35">
      <c r="A390" s="72"/>
      <c r="B390" s="72"/>
    </row>
    <row r="391" spans="1:2" ht="14.5" x14ac:dyDescent="0.35">
      <c r="A391" s="72"/>
      <c r="B391" s="72"/>
    </row>
    <row r="392" spans="1:2" ht="14.5" x14ac:dyDescent="0.35">
      <c r="A392" s="72"/>
      <c r="B392" s="72"/>
    </row>
    <row r="393" spans="1:2" ht="14.5" x14ac:dyDescent="0.35">
      <c r="A393" s="72"/>
      <c r="B393" s="72"/>
    </row>
    <row r="394" spans="1:2" ht="14.5" x14ac:dyDescent="0.35">
      <c r="A394" s="72"/>
      <c r="B394" s="72"/>
    </row>
    <row r="395" spans="1:2" ht="14.5" x14ac:dyDescent="0.35">
      <c r="A395" s="72"/>
      <c r="B395" s="72"/>
    </row>
    <row r="396" spans="1:2" ht="14.5" x14ac:dyDescent="0.35">
      <c r="A396" s="72"/>
      <c r="B396" s="72"/>
    </row>
    <row r="397" spans="1:2" ht="14.5" x14ac:dyDescent="0.35">
      <c r="A397" s="72"/>
      <c r="B397" s="72"/>
    </row>
    <row r="398" spans="1:2" ht="14.5" x14ac:dyDescent="0.35">
      <c r="A398" s="72"/>
      <c r="B398" s="72"/>
    </row>
    <row r="399" spans="1:2" ht="14.5" x14ac:dyDescent="0.35">
      <c r="A399" s="72"/>
      <c r="B399" s="72"/>
    </row>
    <row r="400" spans="1:2" ht="14.5" x14ac:dyDescent="0.35">
      <c r="A400" s="72"/>
      <c r="B400" s="72"/>
    </row>
    <row r="401" spans="1:2" ht="14.5" x14ac:dyDescent="0.35">
      <c r="A401" s="72"/>
      <c r="B401" s="72"/>
    </row>
    <row r="402" spans="1:2" ht="14.5" x14ac:dyDescent="0.35">
      <c r="A402" s="72"/>
      <c r="B402" s="72"/>
    </row>
    <row r="403" spans="1:2" ht="14.5" x14ac:dyDescent="0.35">
      <c r="A403" s="72"/>
      <c r="B403" s="72"/>
    </row>
    <row r="404" spans="1:2" ht="14.5" x14ac:dyDescent="0.35">
      <c r="A404" s="72"/>
      <c r="B404" s="72"/>
    </row>
    <row r="405" spans="1:2" ht="14.5" x14ac:dyDescent="0.35">
      <c r="A405" s="72"/>
      <c r="B405" s="72"/>
    </row>
    <row r="406" spans="1:2" ht="14.5" x14ac:dyDescent="0.35">
      <c r="A406" s="72"/>
      <c r="B406" s="72"/>
    </row>
    <row r="407" spans="1:2" ht="14.5" x14ac:dyDescent="0.35">
      <c r="A407" s="72"/>
      <c r="B407" s="72"/>
    </row>
    <row r="408" spans="1:2" ht="14.5" x14ac:dyDescent="0.35">
      <c r="A408" s="72"/>
      <c r="B408" s="72"/>
    </row>
    <row r="409" spans="1:2" ht="14.5" x14ac:dyDescent="0.35">
      <c r="A409" s="72"/>
      <c r="B409" s="72"/>
    </row>
    <row r="410" spans="1:2" ht="14.5" x14ac:dyDescent="0.35">
      <c r="A410" s="72"/>
      <c r="B410" s="72"/>
    </row>
    <row r="411" spans="1:2" ht="14.5" x14ac:dyDescent="0.35">
      <c r="A411" s="72"/>
      <c r="B411" s="72"/>
    </row>
    <row r="412" spans="1:2" ht="14.5" x14ac:dyDescent="0.35">
      <c r="A412" s="72"/>
      <c r="B412" s="72"/>
    </row>
    <row r="413" spans="1:2" ht="14.5" x14ac:dyDescent="0.35">
      <c r="A413" s="72"/>
      <c r="B413" s="72"/>
    </row>
    <row r="414" spans="1:2" ht="14.5" x14ac:dyDescent="0.35">
      <c r="A414" s="72"/>
      <c r="B414" s="72"/>
    </row>
    <row r="415" spans="1:2" ht="14.5" x14ac:dyDescent="0.35">
      <c r="A415" s="72"/>
      <c r="B415" s="72"/>
    </row>
    <row r="416" spans="1:2" ht="14.5" x14ac:dyDescent="0.35">
      <c r="A416" s="72"/>
      <c r="B416" s="72"/>
    </row>
    <row r="417" spans="1:2" ht="14.5" x14ac:dyDescent="0.35">
      <c r="A417" s="72"/>
      <c r="B417" s="72"/>
    </row>
    <row r="418" spans="1:2" ht="14.5" x14ac:dyDescent="0.35">
      <c r="A418" s="72"/>
      <c r="B418" s="72"/>
    </row>
    <row r="419" spans="1:2" ht="14.5" x14ac:dyDescent="0.35">
      <c r="A419" s="72"/>
      <c r="B419" s="72"/>
    </row>
    <row r="420" spans="1:2" ht="14.5" x14ac:dyDescent="0.35">
      <c r="A420" s="72"/>
      <c r="B420" s="72"/>
    </row>
    <row r="421" spans="1:2" ht="14.5" x14ac:dyDescent="0.35">
      <c r="A421" s="72"/>
      <c r="B421" s="72"/>
    </row>
    <row r="422" spans="1:2" ht="14.5" x14ac:dyDescent="0.35">
      <c r="A422" s="72"/>
      <c r="B422" s="72"/>
    </row>
    <row r="423" spans="1:2" ht="14.5" x14ac:dyDescent="0.35">
      <c r="A423" s="72"/>
      <c r="B423" s="72"/>
    </row>
    <row r="424" spans="1:2" ht="14.5" x14ac:dyDescent="0.35">
      <c r="A424" s="72"/>
      <c r="B424" s="72"/>
    </row>
    <row r="425" spans="1:2" ht="14.5" x14ac:dyDescent="0.35">
      <c r="A425" s="72"/>
      <c r="B425" s="72"/>
    </row>
    <row r="426" spans="1:2" ht="14.5" x14ac:dyDescent="0.35">
      <c r="A426" s="72"/>
      <c r="B426" s="72"/>
    </row>
    <row r="427" spans="1:2" ht="14.5" x14ac:dyDescent="0.35">
      <c r="A427" s="72"/>
      <c r="B427" s="72"/>
    </row>
    <row r="428" spans="1:2" ht="14.5" x14ac:dyDescent="0.35">
      <c r="A428" s="72"/>
      <c r="B428" s="72"/>
    </row>
    <row r="429" spans="1:2" ht="14.5" x14ac:dyDescent="0.35">
      <c r="A429" s="72"/>
      <c r="B429" s="72"/>
    </row>
    <row r="430" spans="1:2" ht="14.5" x14ac:dyDescent="0.35">
      <c r="A430" s="72"/>
      <c r="B430" s="72"/>
    </row>
    <row r="431" spans="1:2" ht="14.5" x14ac:dyDescent="0.35">
      <c r="A431" s="72"/>
      <c r="B431" s="72"/>
    </row>
    <row r="432" spans="1:2" ht="14.5" x14ac:dyDescent="0.35">
      <c r="A432" s="72"/>
      <c r="B432" s="72"/>
    </row>
    <row r="433" spans="1:2" ht="14.5" x14ac:dyDescent="0.35">
      <c r="A433" s="72"/>
      <c r="B433" s="72"/>
    </row>
    <row r="434" spans="1:2" ht="14.5" x14ac:dyDescent="0.35">
      <c r="A434" s="72"/>
      <c r="B434" s="72"/>
    </row>
    <row r="435" spans="1:2" ht="14.5" x14ac:dyDescent="0.35">
      <c r="A435" s="72"/>
      <c r="B435" s="72"/>
    </row>
    <row r="436" spans="1:2" ht="14.5" x14ac:dyDescent="0.35">
      <c r="A436" s="72"/>
      <c r="B436" s="72"/>
    </row>
    <row r="437" spans="1:2" ht="14.5" x14ac:dyDescent="0.35">
      <c r="A437" s="72"/>
      <c r="B437" s="72"/>
    </row>
    <row r="438" spans="1:2" ht="14.5" x14ac:dyDescent="0.35">
      <c r="A438" s="72"/>
      <c r="B438" s="72"/>
    </row>
    <row r="439" spans="1:2" ht="14.5" x14ac:dyDescent="0.35">
      <c r="A439" s="72"/>
      <c r="B439" s="72"/>
    </row>
    <row r="440" spans="1:2" ht="14.5" x14ac:dyDescent="0.35">
      <c r="A440" s="72"/>
      <c r="B440" s="72"/>
    </row>
    <row r="441" spans="1:2" ht="14.5" x14ac:dyDescent="0.35">
      <c r="A441" s="72"/>
      <c r="B441" s="72"/>
    </row>
    <row r="442" spans="1:2" ht="14.5" x14ac:dyDescent="0.35">
      <c r="A442" s="72"/>
      <c r="B442" s="72"/>
    </row>
    <row r="443" spans="1:2" ht="14.5" x14ac:dyDescent="0.35">
      <c r="A443" s="72"/>
      <c r="B443" s="72"/>
    </row>
    <row r="444" spans="1:2" ht="14.5" x14ac:dyDescent="0.35">
      <c r="A444" s="72"/>
      <c r="B444" s="72"/>
    </row>
    <row r="445" spans="1:2" ht="14.5" x14ac:dyDescent="0.35">
      <c r="A445" s="72"/>
      <c r="B445" s="72"/>
    </row>
    <row r="446" spans="1:2" ht="14.5" x14ac:dyDescent="0.35">
      <c r="A446" s="72"/>
      <c r="B446" s="72"/>
    </row>
    <row r="447" spans="1:2" ht="14.5" x14ac:dyDescent="0.35">
      <c r="A447" s="72"/>
      <c r="B447" s="72"/>
    </row>
    <row r="448" spans="1:2" ht="14.5" x14ac:dyDescent="0.35">
      <c r="A448" s="72"/>
      <c r="B448" s="72"/>
    </row>
    <row r="449" spans="1:2" ht="14.5" x14ac:dyDescent="0.35">
      <c r="A449" s="72"/>
      <c r="B449" s="72"/>
    </row>
    <row r="450" spans="1:2" ht="14.5" x14ac:dyDescent="0.35">
      <c r="A450" s="72"/>
      <c r="B450" s="72"/>
    </row>
    <row r="451" spans="1:2" ht="14.5" x14ac:dyDescent="0.35">
      <c r="A451" s="72"/>
      <c r="B451" s="72"/>
    </row>
    <row r="452" spans="1:2" ht="14.5" x14ac:dyDescent="0.35">
      <c r="A452" s="72"/>
      <c r="B452" s="72"/>
    </row>
    <row r="453" spans="1:2" ht="14.5" x14ac:dyDescent="0.35">
      <c r="A453" s="72"/>
      <c r="B453" s="72"/>
    </row>
    <row r="454" spans="1:2" ht="14.5" x14ac:dyDescent="0.35">
      <c r="A454" s="72"/>
      <c r="B454" s="72"/>
    </row>
    <row r="455" spans="1:2" ht="14.5" x14ac:dyDescent="0.35">
      <c r="A455" s="72"/>
      <c r="B455" s="72"/>
    </row>
    <row r="456" spans="1:2" ht="14.5" x14ac:dyDescent="0.35">
      <c r="A456" s="72"/>
      <c r="B456" s="72"/>
    </row>
    <row r="457" spans="1:2" ht="14.5" x14ac:dyDescent="0.35">
      <c r="A457" s="72"/>
      <c r="B457" s="72"/>
    </row>
    <row r="458" spans="1:2" ht="14.5" x14ac:dyDescent="0.35">
      <c r="A458" s="72"/>
      <c r="B458" s="72"/>
    </row>
    <row r="459" spans="1:2" ht="14.5" x14ac:dyDescent="0.35">
      <c r="A459" s="72"/>
      <c r="B459" s="72"/>
    </row>
    <row r="460" spans="1:2" ht="14.5" x14ac:dyDescent="0.35">
      <c r="A460" s="72"/>
      <c r="B460" s="72"/>
    </row>
    <row r="461" spans="1:2" ht="14.5" x14ac:dyDescent="0.35">
      <c r="A461" s="72"/>
      <c r="B461" s="72"/>
    </row>
    <row r="462" spans="1:2" ht="14.5" x14ac:dyDescent="0.35">
      <c r="A462" s="72"/>
      <c r="B462" s="72"/>
    </row>
    <row r="463" spans="1:2" ht="14.5" x14ac:dyDescent="0.35">
      <c r="A463" s="72"/>
      <c r="B463" s="72"/>
    </row>
    <row r="464" spans="1:2" ht="14.5" x14ac:dyDescent="0.35">
      <c r="A464" s="72"/>
      <c r="B464" s="72"/>
    </row>
    <row r="465" spans="1:2" ht="14.5" x14ac:dyDescent="0.35">
      <c r="A465" s="72"/>
      <c r="B465" s="72"/>
    </row>
    <row r="466" spans="1:2" ht="14.5" x14ac:dyDescent="0.35">
      <c r="A466" s="72"/>
      <c r="B466" s="72"/>
    </row>
    <row r="467" spans="1:2" ht="14.5" x14ac:dyDescent="0.35">
      <c r="A467" s="72"/>
      <c r="B467" s="72"/>
    </row>
    <row r="468" spans="1:2" ht="14.5" x14ac:dyDescent="0.35">
      <c r="A468" s="72"/>
      <c r="B468" s="72"/>
    </row>
    <row r="469" spans="1:2" ht="14.5" x14ac:dyDescent="0.35">
      <c r="A469" s="72"/>
      <c r="B469" s="72"/>
    </row>
    <row r="470" spans="1:2" ht="14.5" x14ac:dyDescent="0.35">
      <c r="A470" s="72"/>
      <c r="B470" s="72"/>
    </row>
    <row r="471" spans="1:2" ht="14.5" x14ac:dyDescent="0.35">
      <c r="A471" s="72"/>
      <c r="B471" s="72"/>
    </row>
    <row r="472" spans="1:2" ht="14.5" x14ac:dyDescent="0.35">
      <c r="A472" s="72"/>
      <c r="B472" s="72"/>
    </row>
    <row r="473" spans="1:2" ht="14.5" x14ac:dyDescent="0.35">
      <c r="A473" s="72"/>
      <c r="B473" s="72"/>
    </row>
    <row r="474" spans="1:2" ht="14.5" x14ac:dyDescent="0.35">
      <c r="A474" s="72"/>
      <c r="B474" s="72"/>
    </row>
    <row r="475" spans="1:2" ht="14.5" x14ac:dyDescent="0.35">
      <c r="A475" s="72"/>
      <c r="B475" s="72"/>
    </row>
    <row r="476" spans="1:2" ht="14.5" x14ac:dyDescent="0.35">
      <c r="A476" s="72"/>
      <c r="B476" s="72"/>
    </row>
    <row r="477" spans="1:2" ht="14.5" x14ac:dyDescent="0.35">
      <c r="A477" s="72"/>
      <c r="B477" s="72"/>
    </row>
    <row r="478" spans="1:2" ht="14.5" x14ac:dyDescent="0.35">
      <c r="A478" s="72"/>
      <c r="B478" s="72"/>
    </row>
    <row r="479" spans="1:2" ht="14.5" x14ac:dyDescent="0.35">
      <c r="A479" s="72"/>
      <c r="B479" s="72"/>
    </row>
    <row r="480" spans="1:2" ht="14.5" x14ac:dyDescent="0.35">
      <c r="A480" s="72"/>
      <c r="B480" s="72"/>
    </row>
    <row r="481" spans="1:2" ht="14.5" x14ac:dyDescent="0.35">
      <c r="A481" s="72"/>
      <c r="B481" s="72"/>
    </row>
    <row r="482" spans="1:2" ht="14.5" x14ac:dyDescent="0.35">
      <c r="A482" s="72"/>
      <c r="B482" s="72"/>
    </row>
    <row r="483" spans="1:2" ht="14.5" x14ac:dyDescent="0.35">
      <c r="A483" s="72"/>
      <c r="B483" s="72"/>
    </row>
    <row r="484" spans="1:2" ht="14.5" x14ac:dyDescent="0.35">
      <c r="A484" s="72"/>
      <c r="B484" s="72"/>
    </row>
    <row r="485" spans="1:2" ht="14.5" x14ac:dyDescent="0.35">
      <c r="A485" s="72"/>
      <c r="B485" s="72"/>
    </row>
    <row r="486" spans="1:2" ht="14.5" x14ac:dyDescent="0.35">
      <c r="A486" s="72"/>
      <c r="B486" s="72"/>
    </row>
    <row r="487" spans="1:2" ht="14.5" x14ac:dyDescent="0.35">
      <c r="A487" s="72"/>
      <c r="B487" s="72"/>
    </row>
    <row r="488" spans="1:2" ht="14.5" x14ac:dyDescent="0.35">
      <c r="A488" s="72"/>
      <c r="B488" s="72"/>
    </row>
    <row r="489" spans="1:2" ht="14.5" x14ac:dyDescent="0.35">
      <c r="A489" s="72"/>
      <c r="B489" s="72"/>
    </row>
    <row r="490" spans="1:2" ht="14.5" x14ac:dyDescent="0.35">
      <c r="A490" s="72"/>
      <c r="B490" s="72"/>
    </row>
    <row r="491" spans="1:2" ht="14.5" x14ac:dyDescent="0.35">
      <c r="A491" s="72"/>
      <c r="B491" s="72"/>
    </row>
    <row r="492" spans="1:2" ht="14.5" x14ac:dyDescent="0.35">
      <c r="A492" s="72"/>
      <c r="B492" s="72"/>
    </row>
    <row r="493" spans="1:2" ht="14.5" x14ac:dyDescent="0.35">
      <c r="A493" s="72"/>
      <c r="B493" s="72"/>
    </row>
    <row r="494" spans="1:2" ht="14.5" x14ac:dyDescent="0.35">
      <c r="A494" s="72"/>
      <c r="B494" s="72"/>
    </row>
    <row r="495" spans="1:2" ht="14.5" x14ac:dyDescent="0.35">
      <c r="A495" s="72"/>
      <c r="B495" s="72"/>
    </row>
    <row r="496" spans="1:2" ht="14.5" x14ac:dyDescent="0.35">
      <c r="A496" s="72"/>
      <c r="B496" s="72"/>
    </row>
    <row r="497" spans="1:2" ht="14.5" x14ac:dyDescent="0.35">
      <c r="A497" s="72"/>
      <c r="B497" s="72"/>
    </row>
    <row r="498" spans="1:2" ht="14.5" x14ac:dyDescent="0.35">
      <c r="A498" s="72"/>
      <c r="B498" s="72"/>
    </row>
    <row r="499" spans="1:2" ht="14.5" x14ac:dyDescent="0.35">
      <c r="A499" s="72"/>
      <c r="B499" s="72"/>
    </row>
    <row r="500" spans="1:2" ht="14.5" x14ac:dyDescent="0.35">
      <c r="A500" s="72"/>
      <c r="B500" s="72"/>
    </row>
    <row r="501" spans="1:2" ht="14.5" x14ac:dyDescent="0.35">
      <c r="A501" s="72"/>
      <c r="B501" s="72"/>
    </row>
    <row r="502" spans="1:2" ht="14.5" x14ac:dyDescent="0.35">
      <c r="A502" s="72"/>
      <c r="B502" s="72"/>
    </row>
    <row r="503" spans="1:2" ht="14.5" x14ac:dyDescent="0.35">
      <c r="A503" s="72"/>
      <c r="B503" s="72"/>
    </row>
    <row r="504" spans="1:2" ht="14.5" x14ac:dyDescent="0.35">
      <c r="A504" s="72"/>
      <c r="B504" s="72"/>
    </row>
    <row r="505" spans="1:2" ht="14.5" x14ac:dyDescent="0.35">
      <c r="A505" s="72"/>
      <c r="B505" s="72"/>
    </row>
    <row r="506" spans="1:2" ht="14.5" x14ac:dyDescent="0.35">
      <c r="A506" s="72"/>
      <c r="B506" s="72"/>
    </row>
    <row r="507" spans="1:2" ht="14.5" x14ac:dyDescent="0.35">
      <c r="A507" s="72"/>
      <c r="B507" s="72"/>
    </row>
    <row r="508" spans="1:2" ht="14.5" x14ac:dyDescent="0.35">
      <c r="A508" s="72"/>
      <c r="B508" s="72"/>
    </row>
    <row r="509" spans="1:2" ht="14.5" x14ac:dyDescent="0.35">
      <c r="A509" s="72"/>
      <c r="B509" s="72"/>
    </row>
    <row r="510" spans="1:2" ht="14.5" x14ac:dyDescent="0.35">
      <c r="A510" s="72"/>
      <c r="B510" s="72"/>
    </row>
    <row r="511" spans="1:2" ht="14.5" x14ac:dyDescent="0.35">
      <c r="A511" s="72"/>
      <c r="B511" s="72"/>
    </row>
    <row r="512" spans="1:2" ht="14.5" x14ac:dyDescent="0.35">
      <c r="A512" s="72"/>
      <c r="B512" s="72"/>
    </row>
    <row r="513" spans="1:2" ht="14.5" x14ac:dyDescent="0.35">
      <c r="A513" s="72"/>
      <c r="B513" s="72"/>
    </row>
    <row r="514" spans="1:2" ht="14.5" x14ac:dyDescent="0.35">
      <c r="A514" s="72"/>
      <c r="B514" s="72"/>
    </row>
    <row r="515" spans="1:2" ht="14.5" x14ac:dyDescent="0.35">
      <c r="A515" s="72"/>
      <c r="B515" s="72"/>
    </row>
    <row r="516" spans="1:2" ht="14.5" x14ac:dyDescent="0.35">
      <c r="A516" s="72"/>
      <c r="B516" s="72"/>
    </row>
    <row r="517" spans="1:2" ht="14.5" x14ac:dyDescent="0.35">
      <c r="A517" s="72"/>
      <c r="B517" s="72"/>
    </row>
    <row r="518" spans="1:2" ht="14.5" x14ac:dyDescent="0.35">
      <c r="A518" s="72"/>
      <c r="B518" s="72"/>
    </row>
    <row r="519" spans="1:2" ht="14.5" x14ac:dyDescent="0.35">
      <c r="A519" s="72"/>
      <c r="B519" s="72"/>
    </row>
    <row r="520" spans="1:2" ht="14.5" x14ac:dyDescent="0.35">
      <c r="A520" s="72"/>
      <c r="B520" s="72"/>
    </row>
    <row r="521" spans="1:2" ht="14.5" x14ac:dyDescent="0.35">
      <c r="A521" s="72"/>
      <c r="B521" s="72"/>
    </row>
    <row r="522" spans="1:2" ht="14.5" x14ac:dyDescent="0.35">
      <c r="A522" s="72"/>
      <c r="B522" s="72"/>
    </row>
    <row r="523" spans="1:2" ht="14.5" x14ac:dyDescent="0.35">
      <c r="A523" s="72"/>
      <c r="B523" s="72"/>
    </row>
    <row r="524" spans="1:2" ht="14.5" x14ac:dyDescent="0.35">
      <c r="A524" s="72"/>
      <c r="B524" s="72"/>
    </row>
    <row r="525" spans="1:2" ht="14.5" x14ac:dyDescent="0.35">
      <c r="A525" s="72"/>
      <c r="B525" s="72"/>
    </row>
    <row r="526" spans="1:2" ht="14.5" x14ac:dyDescent="0.35">
      <c r="A526" s="72"/>
      <c r="B526" s="72"/>
    </row>
    <row r="527" spans="1:2" ht="14.5" x14ac:dyDescent="0.35">
      <c r="A527" s="72"/>
      <c r="B527" s="72"/>
    </row>
    <row r="528" spans="1:2" ht="14.5" x14ac:dyDescent="0.35">
      <c r="A528" s="72"/>
      <c r="B528" s="72"/>
    </row>
    <row r="529" spans="1:2" ht="14.5" x14ac:dyDescent="0.35">
      <c r="A529" s="72"/>
      <c r="B529" s="72"/>
    </row>
    <row r="530" spans="1:2" ht="14.5" x14ac:dyDescent="0.35">
      <c r="A530" s="72"/>
      <c r="B530" s="72"/>
    </row>
    <row r="531" spans="1:2" ht="14.5" x14ac:dyDescent="0.35">
      <c r="A531" s="72"/>
      <c r="B531" s="72"/>
    </row>
    <row r="532" spans="1:2" ht="14.5" x14ac:dyDescent="0.35">
      <c r="A532" s="72"/>
      <c r="B532" s="72"/>
    </row>
    <row r="533" spans="1:2" ht="14.5" x14ac:dyDescent="0.35">
      <c r="A533" s="72"/>
      <c r="B533" s="72"/>
    </row>
    <row r="534" spans="1:2" ht="14.5" x14ac:dyDescent="0.35">
      <c r="A534" s="72"/>
      <c r="B534" s="72"/>
    </row>
    <row r="535" spans="1:2" ht="14.5" x14ac:dyDescent="0.35">
      <c r="A535" s="72"/>
      <c r="B535" s="72"/>
    </row>
    <row r="536" spans="1:2" ht="14.5" x14ac:dyDescent="0.35">
      <c r="A536" s="72"/>
      <c r="B536" s="72"/>
    </row>
    <row r="537" spans="1:2" ht="14.5" x14ac:dyDescent="0.35">
      <c r="A537" s="72"/>
      <c r="B537" s="72"/>
    </row>
    <row r="538" spans="1:2" ht="14.5" x14ac:dyDescent="0.35">
      <c r="A538" s="72"/>
      <c r="B538" s="72"/>
    </row>
    <row r="539" spans="1:2" ht="14.5" x14ac:dyDescent="0.35">
      <c r="A539" s="72"/>
      <c r="B539" s="72"/>
    </row>
    <row r="540" spans="1:2" ht="14.5" x14ac:dyDescent="0.35">
      <c r="A540" s="72"/>
      <c r="B540" s="72"/>
    </row>
    <row r="541" spans="1:2" ht="14.5" x14ac:dyDescent="0.35">
      <c r="A541" s="72"/>
      <c r="B541" s="72"/>
    </row>
    <row r="542" spans="1:2" ht="14.5" x14ac:dyDescent="0.35">
      <c r="A542" s="72"/>
      <c r="B542" s="72"/>
    </row>
    <row r="543" spans="1:2" ht="14.5" x14ac:dyDescent="0.35">
      <c r="A543" s="72"/>
      <c r="B543" s="72"/>
    </row>
    <row r="544" spans="1:2" ht="14.5" x14ac:dyDescent="0.35">
      <c r="A544" s="72"/>
      <c r="B544" s="72"/>
    </row>
    <row r="545" spans="1:2" ht="14.5" x14ac:dyDescent="0.35">
      <c r="A545" s="72"/>
      <c r="B545" s="72"/>
    </row>
    <row r="546" spans="1:2" ht="14.5" x14ac:dyDescent="0.35">
      <c r="A546" s="72"/>
      <c r="B546" s="72"/>
    </row>
    <row r="547" spans="1:2" ht="14.5" x14ac:dyDescent="0.35">
      <c r="A547" s="72"/>
      <c r="B547" s="72"/>
    </row>
    <row r="548" spans="1:2" ht="14.5" x14ac:dyDescent="0.35">
      <c r="A548" s="72"/>
      <c r="B548" s="72"/>
    </row>
    <row r="549" spans="1:2" ht="14.5" x14ac:dyDescent="0.35">
      <c r="A549" s="72"/>
      <c r="B549" s="72"/>
    </row>
    <row r="550" spans="1:2" ht="14.5" x14ac:dyDescent="0.35">
      <c r="A550" s="72"/>
      <c r="B550" s="72"/>
    </row>
    <row r="551" spans="1:2" ht="14.5" x14ac:dyDescent="0.35">
      <c r="A551" s="72"/>
      <c r="B551" s="72"/>
    </row>
    <row r="552" spans="1:2" ht="14.5" x14ac:dyDescent="0.35">
      <c r="A552" s="72"/>
      <c r="B552" s="72"/>
    </row>
    <row r="553" spans="1:2" ht="14.5" x14ac:dyDescent="0.35">
      <c r="A553" s="72"/>
      <c r="B553" s="72"/>
    </row>
    <row r="554" spans="1:2" ht="14.5" x14ac:dyDescent="0.35">
      <c r="A554" s="72"/>
      <c r="B554" s="72"/>
    </row>
    <row r="555" spans="1:2" ht="14.5" x14ac:dyDescent="0.35">
      <c r="A555" s="72"/>
      <c r="B555" s="72"/>
    </row>
    <row r="556" spans="1:2" ht="14.5" x14ac:dyDescent="0.35">
      <c r="A556" s="72"/>
      <c r="B556" s="72"/>
    </row>
    <row r="557" spans="1:2" ht="14.5" x14ac:dyDescent="0.35">
      <c r="A557" s="72"/>
      <c r="B557" s="72"/>
    </row>
    <row r="558" spans="1:2" ht="14.5" x14ac:dyDescent="0.35">
      <c r="A558" s="72"/>
      <c r="B558" s="72"/>
    </row>
    <row r="559" spans="1:2" ht="14.5" x14ac:dyDescent="0.35">
      <c r="A559" s="72"/>
      <c r="B559" s="72"/>
    </row>
    <row r="560" spans="1:2" ht="14.5" x14ac:dyDescent="0.35">
      <c r="A560" s="72"/>
      <c r="B560" s="72"/>
    </row>
    <row r="561" spans="1:2" ht="14.5" x14ac:dyDescent="0.35">
      <c r="A561" s="72"/>
      <c r="B561" s="72"/>
    </row>
    <row r="562" spans="1:2" ht="14.5" x14ac:dyDescent="0.35">
      <c r="A562" s="72"/>
      <c r="B562" s="72"/>
    </row>
    <row r="563" spans="1:2" ht="14.5" x14ac:dyDescent="0.35">
      <c r="A563" s="72"/>
      <c r="B563" s="72"/>
    </row>
    <row r="564" spans="1:2" ht="14.5" x14ac:dyDescent="0.35">
      <c r="A564" s="72"/>
      <c r="B564" s="72"/>
    </row>
    <row r="565" spans="1:2" ht="14.5" x14ac:dyDescent="0.35">
      <c r="A565" s="72"/>
      <c r="B565" s="72"/>
    </row>
    <row r="566" spans="1:2" ht="14.5" x14ac:dyDescent="0.35">
      <c r="A566" s="72"/>
      <c r="B566" s="72"/>
    </row>
    <row r="567" spans="1:2" ht="14.5" x14ac:dyDescent="0.35">
      <c r="A567" s="72"/>
      <c r="B567" s="72"/>
    </row>
    <row r="568" spans="1:2" ht="14.5" x14ac:dyDescent="0.35">
      <c r="A568" s="72"/>
      <c r="B568" s="72"/>
    </row>
    <row r="569" spans="1:2" ht="14.5" x14ac:dyDescent="0.35">
      <c r="A569" s="72"/>
      <c r="B569" s="72"/>
    </row>
    <row r="570" spans="1:2" ht="14.5" x14ac:dyDescent="0.35">
      <c r="A570" s="72"/>
      <c r="B570" s="72"/>
    </row>
    <row r="571" spans="1:2" ht="14.5" x14ac:dyDescent="0.35">
      <c r="A571" s="72"/>
      <c r="B571" s="72"/>
    </row>
    <row r="572" spans="1:2" ht="14.5" x14ac:dyDescent="0.35">
      <c r="A572" s="72"/>
      <c r="B572" s="72"/>
    </row>
    <row r="573" spans="1:2" ht="14.5" x14ac:dyDescent="0.35">
      <c r="A573" s="72"/>
      <c r="B573" s="72"/>
    </row>
    <row r="574" spans="1:2" ht="14.5" x14ac:dyDescent="0.35">
      <c r="A574" s="72"/>
      <c r="B574" s="72"/>
    </row>
    <row r="575" spans="1:2" ht="14.5" x14ac:dyDescent="0.35">
      <c r="A575" s="72"/>
      <c r="B575" s="72"/>
    </row>
    <row r="576" spans="1:2" ht="14.5" x14ac:dyDescent="0.35">
      <c r="A576" s="72"/>
      <c r="B576" s="72"/>
    </row>
    <row r="577" spans="1:2" ht="14.5" x14ac:dyDescent="0.35">
      <c r="A577" s="72"/>
      <c r="B577" s="72"/>
    </row>
    <row r="578" spans="1:2" ht="14.5" x14ac:dyDescent="0.35">
      <c r="A578" s="72"/>
      <c r="B578" s="72"/>
    </row>
    <row r="579" spans="1:2" ht="14.5" x14ac:dyDescent="0.35">
      <c r="A579" s="72"/>
      <c r="B579" s="72"/>
    </row>
    <row r="580" spans="1:2" ht="14.5" x14ac:dyDescent="0.35">
      <c r="A580" s="72"/>
      <c r="B580" s="72"/>
    </row>
    <row r="581" spans="1:2" ht="14.5" x14ac:dyDescent="0.35">
      <c r="A581" s="72"/>
      <c r="B581" s="72"/>
    </row>
    <row r="582" spans="1:2" ht="14.5" x14ac:dyDescent="0.35">
      <c r="A582" s="72"/>
      <c r="B582" s="72"/>
    </row>
    <row r="583" spans="1:2" ht="14.5" x14ac:dyDescent="0.35">
      <c r="A583" s="72"/>
      <c r="B583" s="72"/>
    </row>
    <row r="584" spans="1:2" ht="14.5" x14ac:dyDescent="0.35">
      <c r="A584" s="72"/>
      <c r="B584" s="72"/>
    </row>
    <row r="585" spans="1:2" ht="14.5" x14ac:dyDescent="0.35">
      <c r="A585" s="72"/>
      <c r="B585" s="72"/>
    </row>
    <row r="586" spans="1:2" ht="14.5" x14ac:dyDescent="0.35">
      <c r="A586" s="72"/>
      <c r="B586" s="72"/>
    </row>
    <row r="587" spans="1:2" ht="14.5" x14ac:dyDescent="0.35">
      <c r="A587" s="72"/>
      <c r="B587" s="72"/>
    </row>
    <row r="588" spans="1:2" ht="14.5" x14ac:dyDescent="0.35">
      <c r="A588" s="72"/>
      <c r="B588" s="72"/>
    </row>
    <row r="589" spans="1:2" ht="14.5" x14ac:dyDescent="0.35">
      <c r="A589" s="72"/>
      <c r="B589" s="72"/>
    </row>
    <row r="590" spans="1:2" ht="14.5" x14ac:dyDescent="0.35">
      <c r="A590" s="72"/>
      <c r="B590" s="72"/>
    </row>
    <row r="591" spans="1:2" ht="14.5" x14ac:dyDescent="0.35">
      <c r="A591" s="72"/>
      <c r="B591" s="72"/>
    </row>
    <row r="592" spans="1:2" ht="14.5" x14ac:dyDescent="0.35">
      <c r="A592" s="72"/>
      <c r="B592" s="72"/>
    </row>
    <row r="593" spans="1:2" ht="14.5" x14ac:dyDescent="0.35">
      <c r="A593" s="72"/>
      <c r="B593" s="72"/>
    </row>
    <row r="594" spans="1:2" ht="14.5" x14ac:dyDescent="0.35">
      <c r="A594" s="72"/>
      <c r="B594" s="72"/>
    </row>
    <row r="595" spans="1:2" ht="14.5" x14ac:dyDescent="0.35">
      <c r="A595" s="72"/>
      <c r="B595" s="72"/>
    </row>
    <row r="596" spans="1:2" ht="14.5" x14ac:dyDescent="0.35">
      <c r="A596" s="72"/>
      <c r="B596" s="72"/>
    </row>
    <row r="597" spans="1:2" ht="14.5" x14ac:dyDescent="0.35">
      <c r="A597" s="72"/>
      <c r="B597" s="72"/>
    </row>
    <row r="598" spans="1:2" ht="14.5" x14ac:dyDescent="0.35">
      <c r="A598" s="72"/>
      <c r="B598" s="72"/>
    </row>
    <row r="599" spans="1:2" ht="14.5" x14ac:dyDescent="0.35">
      <c r="A599" s="72"/>
      <c r="B599" s="72"/>
    </row>
    <row r="600" spans="1:2" ht="14.5" x14ac:dyDescent="0.35">
      <c r="A600" s="72"/>
      <c r="B600" s="72"/>
    </row>
    <row r="601" spans="1:2" ht="14.5" x14ac:dyDescent="0.35">
      <c r="A601" s="72"/>
      <c r="B601" s="72"/>
    </row>
    <row r="602" spans="1:2" ht="14.5" x14ac:dyDescent="0.35">
      <c r="A602" s="72"/>
      <c r="B602" s="72"/>
    </row>
    <row r="603" spans="1:2" ht="14.5" x14ac:dyDescent="0.35">
      <c r="A603" s="72"/>
      <c r="B603" s="72"/>
    </row>
    <row r="604" spans="1:2" ht="14.5" x14ac:dyDescent="0.35">
      <c r="A604" s="72"/>
      <c r="B604" s="72"/>
    </row>
    <row r="605" spans="1:2" ht="14.5" x14ac:dyDescent="0.35">
      <c r="A605" s="72"/>
      <c r="B605" s="72"/>
    </row>
    <row r="606" spans="1:2" ht="14.5" x14ac:dyDescent="0.35">
      <c r="A606" s="72"/>
      <c r="B606" s="72"/>
    </row>
    <row r="607" spans="1:2" ht="14.5" x14ac:dyDescent="0.35">
      <c r="A607" s="72"/>
      <c r="B607" s="72"/>
    </row>
    <row r="608" spans="1:2" ht="14.5" x14ac:dyDescent="0.35">
      <c r="A608" s="72"/>
      <c r="B608" s="72"/>
    </row>
    <row r="609" spans="1:2" ht="14.5" x14ac:dyDescent="0.35">
      <c r="A609" s="72"/>
      <c r="B609" s="72"/>
    </row>
    <row r="610" spans="1:2" ht="14.5" x14ac:dyDescent="0.35">
      <c r="A610" s="72"/>
      <c r="B610" s="72"/>
    </row>
    <row r="611" spans="1:2" ht="14.5" x14ac:dyDescent="0.35">
      <c r="A611" s="72"/>
      <c r="B611" s="72"/>
    </row>
    <row r="612" spans="1:2" ht="14.5" x14ac:dyDescent="0.35">
      <c r="A612" s="72"/>
      <c r="B612" s="72"/>
    </row>
    <row r="613" spans="1:2" ht="14.5" x14ac:dyDescent="0.35">
      <c r="A613" s="72"/>
      <c r="B613" s="72"/>
    </row>
    <row r="614" spans="1:2" ht="14.5" x14ac:dyDescent="0.35">
      <c r="A614" s="72"/>
      <c r="B614" s="72"/>
    </row>
    <row r="615" spans="1:2" ht="14.5" x14ac:dyDescent="0.35">
      <c r="A615" s="72"/>
      <c r="B615" s="72"/>
    </row>
    <row r="616" spans="1:2" ht="14.5" x14ac:dyDescent="0.35">
      <c r="A616" s="72"/>
      <c r="B616" s="72"/>
    </row>
    <row r="617" spans="1:2" ht="14.5" x14ac:dyDescent="0.35">
      <c r="A617" s="72"/>
      <c r="B617" s="72"/>
    </row>
    <row r="618" spans="1:2" ht="14.5" x14ac:dyDescent="0.35">
      <c r="A618" s="72"/>
      <c r="B618" s="72"/>
    </row>
    <row r="619" spans="1:2" ht="14.5" x14ac:dyDescent="0.35">
      <c r="A619" s="72"/>
      <c r="B619" s="72"/>
    </row>
    <row r="620" spans="1:2" ht="14.5" x14ac:dyDescent="0.35">
      <c r="A620" s="72"/>
      <c r="B620" s="72"/>
    </row>
    <row r="621" spans="1:2" ht="14.5" x14ac:dyDescent="0.35">
      <c r="A621" s="72"/>
      <c r="B621" s="72"/>
    </row>
    <row r="622" spans="1:2" ht="14.5" x14ac:dyDescent="0.35">
      <c r="A622" s="72"/>
      <c r="B622" s="72"/>
    </row>
    <row r="623" spans="1:2" ht="14.5" x14ac:dyDescent="0.35">
      <c r="A623" s="72"/>
      <c r="B623" s="72"/>
    </row>
    <row r="624" spans="1:2" ht="14.5" x14ac:dyDescent="0.35">
      <c r="A624" s="72"/>
      <c r="B624" s="72"/>
    </row>
    <row r="625" spans="1:2" ht="14.5" x14ac:dyDescent="0.35">
      <c r="A625" s="72"/>
      <c r="B625" s="72"/>
    </row>
    <row r="626" spans="1:2" ht="14.5" x14ac:dyDescent="0.35">
      <c r="A626" s="72"/>
      <c r="B626" s="72"/>
    </row>
    <row r="627" spans="1:2" ht="14.5" x14ac:dyDescent="0.35">
      <c r="A627" s="72"/>
      <c r="B627" s="72"/>
    </row>
    <row r="628" spans="1:2" ht="14.5" x14ac:dyDescent="0.35">
      <c r="A628" s="72"/>
      <c r="B628" s="72"/>
    </row>
    <row r="629" spans="1:2" ht="14.5" x14ac:dyDescent="0.35">
      <c r="A629" s="72"/>
      <c r="B629" s="72"/>
    </row>
    <row r="630" spans="1:2" ht="14.5" x14ac:dyDescent="0.35">
      <c r="A630" s="72"/>
      <c r="B630" s="72"/>
    </row>
    <row r="631" spans="1:2" ht="14.5" x14ac:dyDescent="0.35">
      <c r="A631" s="72"/>
      <c r="B631" s="72"/>
    </row>
    <row r="632" spans="1:2" ht="14.5" x14ac:dyDescent="0.35">
      <c r="A632" s="72"/>
      <c r="B632" s="72"/>
    </row>
    <row r="633" spans="1:2" ht="14.5" x14ac:dyDescent="0.35">
      <c r="A633" s="72"/>
      <c r="B633" s="72"/>
    </row>
    <row r="634" spans="1:2" ht="14.5" x14ac:dyDescent="0.35">
      <c r="A634" s="72"/>
      <c r="B634" s="72"/>
    </row>
    <row r="635" spans="1:2" ht="14.5" x14ac:dyDescent="0.35">
      <c r="A635" s="72"/>
      <c r="B635" s="72"/>
    </row>
    <row r="636" spans="1:2" ht="14.5" x14ac:dyDescent="0.35">
      <c r="A636" s="72"/>
      <c r="B636" s="72"/>
    </row>
    <row r="637" spans="1:2" ht="14.5" x14ac:dyDescent="0.35">
      <c r="A637" s="72"/>
      <c r="B637" s="72"/>
    </row>
    <row r="638" spans="1:2" ht="14.5" x14ac:dyDescent="0.35">
      <c r="A638" s="72"/>
      <c r="B638" s="72"/>
    </row>
    <row r="639" spans="1:2" ht="14.5" x14ac:dyDescent="0.35">
      <c r="A639" s="72"/>
      <c r="B639" s="72"/>
    </row>
    <row r="640" spans="1:2" ht="14.5" x14ac:dyDescent="0.35">
      <c r="A640" s="72"/>
      <c r="B640" s="72"/>
    </row>
    <row r="641" spans="1:2" ht="14.5" x14ac:dyDescent="0.35">
      <c r="A641" s="72"/>
      <c r="B641" s="72"/>
    </row>
    <row r="642" spans="1:2" ht="14.5" x14ac:dyDescent="0.35">
      <c r="A642" s="72"/>
      <c r="B642" s="72"/>
    </row>
    <row r="643" spans="1:2" ht="14.5" x14ac:dyDescent="0.35">
      <c r="A643" s="72"/>
      <c r="B643" s="72"/>
    </row>
    <row r="644" spans="1:2" ht="14.5" x14ac:dyDescent="0.35">
      <c r="A644" s="72"/>
      <c r="B644" s="72"/>
    </row>
    <row r="645" spans="1:2" ht="14.5" x14ac:dyDescent="0.35">
      <c r="A645" s="72"/>
      <c r="B645" s="72"/>
    </row>
    <row r="646" spans="1:2" ht="14.5" x14ac:dyDescent="0.35">
      <c r="A646" s="72"/>
      <c r="B646" s="72"/>
    </row>
    <row r="647" spans="1:2" ht="14.5" x14ac:dyDescent="0.35">
      <c r="A647" s="72"/>
      <c r="B647" s="72"/>
    </row>
    <row r="648" spans="1:2" ht="14.5" x14ac:dyDescent="0.35">
      <c r="A648" s="72"/>
      <c r="B648" s="72"/>
    </row>
    <row r="649" spans="1:2" ht="14.5" x14ac:dyDescent="0.35">
      <c r="A649" s="72"/>
      <c r="B649" s="72"/>
    </row>
    <row r="650" spans="1:2" ht="14.5" x14ac:dyDescent="0.35">
      <c r="A650" s="72"/>
      <c r="B650" s="72"/>
    </row>
    <row r="651" spans="1:2" ht="14.5" x14ac:dyDescent="0.35">
      <c r="A651" s="72"/>
      <c r="B651" s="72"/>
    </row>
    <row r="652" spans="1:2" ht="14.5" x14ac:dyDescent="0.35">
      <c r="A652" s="72"/>
      <c r="B652" s="72"/>
    </row>
    <row r="653" spans="1:2" ht="14.5" x14ac:dyDescent="0.35">
      <c r="A653" s="72"/>
      <c r="B653" s="72"/>
    </row>
    <row r="654" spans="1:2" ht="14.5" x14ac:dyDescent="0.35">
      <c r="A654" s="72"/>
      <c r="B654" s="72"/>
    </row>
    <row r="655" spans="1:2" ht="14.5" x14ac:dyDescent="0.35">
      <c r="A655" s="72"/>
      <c r="B655" s="72"/>
    </row>
    <row r="656" spans="1:2" ht="14.5" x14ac:dyDescent="0.35">
      <c r="A656" s="72"/>
      <c r="B656" s="72"/>
    </row>
    <row r="657" spans="1:2" ht="14.5" x14ac:dyDescent="0.35">
      <c r="A657" s="72"/>
      <c r="B657" s="72"/>
    </row>
    <row r="658" spans="1:2" ht="14.5" x14ac:dyDescent="0.35">
      <c r="A658" s="72"/>
      <c r="B658" s="72"/>
    </row>
    <row r="659" spans="1:2" ht="14.5" x14ac:dyDescent="0.35">
      <c r="A659" s="72"/>
      <c r="B659" s="72"/>
    </row>
    <row r="660" spans="1:2" ht="14.5" x14ac:dyDescent="0.35">
      <c r="A660" s="72"/>
      <c r="B660" s="72"/>
    </row>
    <row r="661" spans="1:2" ht="14.5" x14ac:dyDescent="0.35">
      <c r="A661" s="72"/>
      <c r="B661" s="72"/>
    </row>
    <row r="662" spans="1:2" ht="14.5" x14ac:dyDescent="0.35">
      <c r="A662" s="72"/>
      <c r="B662" s="72"/>
    </row>
    <row r="663" spans="1:2" ht="14.5" x14ac:dyDescent="0.35">
      <c r="A663" s="72"/>
      <c r="B663" s="72"/>
    </row>
    <row r="664" spans="1:2" ht="14.5" x14ac:dyDescent="0.35">
      <c r="A664" s="72"/>
      <c r="B664" s="72"/>
    </row>
    <row r="665" spans="1:2" ht="14.5" x14ac:dyDescent="0.35">
      <c r="A665" s="72"/>
      <c r="B665" s="72"/>
    </row>
    <row r="666" spans="1:2" ht="14.5" x14ac:dyDescent="0.35">
      <c r="A666" s="72"/>
      <c r="B666" s="72"/>
    </row>
    <row r="667" spans="1:2" ht="14.5" x14ac:dyDescent="0.35">
      <c r="A667" s="72"/>
      <c r="B667" s="72"/>
    </row>
    <row r="668" spans="1:2" ht="14.5" x14ac:dyDescent="0.35">
      <c r="A668" s="72"/>
      <c r="B668" s="72"/>
    </row>
    <row r="669" spans="1:2" ht="14.5" x14ac:dyDescent="0.35">
      <c r="A669" s="72"/>
      <c r="B669" s="72"/>
    </row>
    <row r="670" spans="1:2" ht="14.5" x14ac:dyDescent="0.35">
      <c r="A670" s="72"/>
      <c r="B670" s="72"/>
    </row>
    <row r="671" spans="1:2" ht="14.5" x14ac:dyDescent="0.35">
      <c r="A671" s="72"/>
      <c r="B671" s="72"/>
    </row>
    <row r="672" spans="1:2" ht="14.5" x14ac:dyDescent="0.35">
      <c r="A672" s="72"/>
      <c r="B672" s="72"/>
    </row>
    <row r="673" spans="1:2" ht="14.5" x14ac:dyDescent="0.35">
      <c r="A673" s="72"/>
      <c r="B673" s="72"/>
    </row>
    <row r="674" spans="1:2" ht="14.5" x14ac:dyDescent="0.35">
      <c r="A674" s="72"/>
      <c r="B674" s="72"/>
    </row>
    <row r="675" spans="1:2" ht="14.5" x14ac:dyDescent="0.35">
      <c r="A675" s="72"/>
      <c r="B675" s="72"/>
    </row>
    <row r="676" spans="1:2" ht="14.5" x14ac:dyDescent="0.35">
      <c r="A676" s="72"/>
      <c r="B676" s="72"/>
    </row>
    <row r="677" spans="1:2" ht="14.5" x14ac:dyDescent="0.35">
      <c r="A677" s="72"/>
      <c r="B677" s="72"/>
    </row>
    <row r="678" spans="1:2" ht="14.5" x14ac:dyDescent="0.35">
      <c r="A678" s="72"/>
      <c r="B678" s="72"/>
    </row>
    <row r="679" spans="1:2" ht="14.5" x14ac:dyDescent="0.35">
      <c r="A679" s="72"/>
      <c r="B679" s="72"/>
    </row>
    <row r="680" spans="1:2" ht="14.5" x14ac:dyDescent="0.35">
      <c r="A680" s="72"/>
      <c r="B680" s="72"/>
    </row>
    <row r="681" spans="1:2" ht="14.5" x14ac:dyDescent="0.35">
      <c r="A681" s="72"/>
      <c r="B681" s="72"/>
    </row>
    <row r="682" spans="1:2" ht="14.5" x14ac:dyDescent="0.35">
      <c r="A682" s="72"/>
      <c r="B682" s="72"/>
    </row>
    <row r="683" spans="1:2" ht="14.5" x14ac:dyDescent="0.35">
      <c r="A683" s="72"/>
      <c r="B683" s="72"/>
    </row>
    <row r="684" spans="1:2" ht="14.5" x14ac:dyDescent="0.35">
      <c r="A684" s="72"/>
      <c r="B684" s="72"/>
    </row>
    <row r="685" spans="1:2" ht="14.5" x14ac:dyDescent="0.35">
      <c r="A685" s="72"/>
      <c r="B685" s="72"/>
    </row>
    <row r="686" spans="1:2" ht="14.5" x14ac:dyDescent="0.35">
      <c r="A686" s="72"/>
      <c r="B686" s="72"/>
    </row>
    <row r="687" spans="1:2" ht="14.5" x14ac:dyDescent="0.35">
      <c r="A687" s="72"/>
      <c r="B687" s="72"/>
    </row>
    <row r="688" spans="1:2" ht="14.5" x14ac:dyDescent="0.35">
      <c r="A688" s="72"/>
      <c r="B688" s="72"/>
    </row>
    <row r="689" spans="1:2" ht="14.5" x14ac:dyDescent="0.35">
      <c r="A689" s="72"/>
      <c r="B689" s="72"/>
    </row>
    <row r="690" spans="1:2" ht="14.5" x14ac:dyDescent="0.35">
      <c r="A690" s="72"/>
      <c r="B690" s="72"/>
    </row>
    <row r="691" spans="1:2" ht="14.5" x14ac:dyDescent="0.35">
      <c r="A691" s="72"/>
      <c r="B691" s="72"/>
    </row>
    <row r="692" spans="1:2" ht="14.5" x14ac:dyDescent="0.35">
      <c r="A692" s="72"/>
      <c r="B692" s="72"/>
    </row>
    <row r="693" spans="1:2" ht="14.5" x14ac:dyDescent="0.35">
      <c r="A693" s="72"/>
      <c r="B693" s="72"/>
    </row>
    <row r="694" spans="1:2" ht="14.5" x14ac:dyDescent="0.35">
      <c r="A694" s="72"/>
      <c r="B694" s="72"/>
    </row>
    <row r="695" spans="1:2" ht="14.5" x14ac:dyDescent="0.35">
      <c r="A695" s="72"/>
      <c r="B695" s="72"/>
    </row>
    <row r="696" spans="1:2" ht="14.5" x14ac:dyDescent="0.35">
      <c r="A696" s="72"/>
      <c r="B696" s="72"/>
    </row>
    <row r="697" spans="1:2" ht="14.5" x14ac:dyDescent="0.35">
      <c r="A697" s="72"/>
      <c r="B697" s="72"/>
    </row>
    <row r="698" spans="1:2" ht="14.5" x14ac:dyDescent="0.35">
      <c r="A698" s="72"/>
      <c r="B698" s="72"/>
    </row>
    <row r="699" spans="1:2" ht="14.5" x14ac:dyDescent="0.35">
      <c r="A699" s="72"/>
      <c r="B699" s="72"/>
    </row>
    <row r="700" spans="1:2" ht="14.5" x14ac:dyDescent="0.35">
      <c r="A700" s="72"/>
      <c r="B700" s="72"/>
    </row>
    <row r="701" spans="1:2" ht="14.5" x14ac:dyDescent="0.35">
      <c r="A701" s="72"/>
      <c r="B701" s="72"/>
    </row>
    <row r="702" spans="1:2" ht="14.5" x14ac:dyDescent="0.35">
      <c r="A702" s="72"/>
      <c r="B702" s="72"/>
    </row>
    <row r="703" spans="1:2" ht="14.5" x14ac:dyDescent="0.35">
      <c r="A703" s="72"/>
      <c r="B703" s="72"/>
    </row>
    <row r="704" spans="1:2" ht="14.5" x14ac:dyDescent="0.35">
      <c r="A704" s="72"/>
      <c r="B704" s="72"/>
    </row>
    <row r="705" spans="1:2" ht="14.5" x14ac:dyDescent="0.35">
      <c r="A705" s="72"/>
      <c r="B705" s="72"/>
    </row>
    <row r="706" spans="1:2" ht="14.5" x14ac:dyDescent="0.35">
      <c r="A706" s="72"/>
      <c r="B706" s="72"/>
    </row>
    <row r="707" spans="1:2" ht="14.5" x14ac:dyDescent="0.35">
      <c r="A707" s="72"/>
      <c r="B707" s="72"/>
    </row>
    <row r="708" spans="1:2" ht="14.5" x14ac:dyDescent="0.35">
      <c r="A708" s="72"/>
      <c r="B708" s="72"/>
    </row>
    <row r="709" spans="1:2" ht="14.5" x14ac:dyDescent="0.35">
      <c r="A709" s="72"/>
      <c r="B709" s="72"/>
    </row>
    <row r="710" spans="1:2" ht="14.5" x14ac:dyDescent="0.35">
      <c r="A710" s="72"/>
      <c r="B710" s="72"/>
    </row>
    <row r="711" spans="1:2" ht="14.5" x14ac:dyDescent="0.35">
      <c r="A711" s="72"/>
      <c r="B711" s="72"/>
    </row>
    <row r="712" spans="1:2" ht="14.5" x14ac:dyDescent="0.35">
      <c r="A712" s="72"/>
      <c r="B712" s="72"/>
    </row>
    <row r="713" spans="1:2" ht="14.5" x14ac:dyDescent="0.35">
      <c r="A713" s="72"/>
      <c r="B713" s="72"/>
    </row>
    <row r="714" spans="1:2" ht="14.5" x14ac:dyDescent="0.35">
      <c r="A714" s="72"/>
      <c r="B714" s="72"/>
    </row>
    <row r="715" spans="1:2" ht="14.5" x14ac:dyDescent="0.35">
      <c r="A715" s="72"/>
      <c r="B715" s="72"/>
    </row>
    <row r="716" spans="1:2" ht="14.5" x14ac:dyDescent="0.35">
      <c r="A716" s="72"/>
      <c r="B716" s="72"/>
    </row>
    <row r="717" spans="1:2" ht="14.5" x14ac:dyDescent="0.35">
      <c r="A717" s="72"/>
      <c r="B717" s="72"/>
    </row>
    <row r="718" spans="1:2" ht="14.5" x14ac:dyDescent="0.35">
      <c r="A718" s="72"/>
      <c r="B718" s="72"/>
    </row>
    <row r="719" spans="1:2" ht="14.5" x14ac:dyDescent="0.35">
      <c r="A719" s="72"/>
      <c r="B719" s="72"/>
    </row>
    <row r="720" spans="1:2" ht="14.5" x14ac:dyDescent="0.35">
      <c r="A720" s="72"/>
      <c r="B720" s="72"/>
    </row>
    <row r="721" spans="1:2" ht="14.5" x14ac:dyDescent="0.35">
      <c r="A721" s="72"/>
      <c r="B721" s="72"/>
    </row>
    <row r="722" spans="1:2" ht="14.5" x14ac:dyDescent="0.35">
      <c r="A722" s="72"/>
      <c r="B722" s="72"/>
    </row>
    <row r="723" spans="1:2" ht="14.5" x14ac:dyDescent="0.35">
      <c r="A723" s="72"/>
      <c r="B723" s="72"/>
    </row>
    <row r="724" spans="1:2" ht="14.5" x14ac:dyDescent="0.35">
      <c r="A724" s="72"/>
      <c r="B724" s="72"/>
    </row>
    <row r="725" spans="1:2" ht="14.5" x14ac:dyDescent="0.35">
      <c r="A725" s="72"/>
      <c r="B725" s="72"/>
    </row>
    <row r="726" spans="1:2" ht="14.5" x14ac:dyDescent="0.35">
      <c r="A726" s="72"/>
      <c r="B726" s="72"/>
    </row>
    <row r="727" spans="1:2" ht="14.5" x14ac:dyDescent="0.35">
      <c r="A727" s="72"/>
      <c r="B727" s="72"/>
    </row>
    <row r="728" spans="1:2" ht="14.5" x14ac:dyDescent="0.35">
      <c r="A728" s="72"/>
      <c r="B728" s="72"/>
    </row>
    <row r="729" spans="1:2" ht="14.5" x14ac:dyDescent="0.35">
      <c r="A729" s="72"/>
      <c r="B729" s="72"/>
    </row>
    <row r="730" spans="1:2" ht="14.5" x14ac:dyDescent="0.35">
      <c r="A730" s="72"/>
      <c r="B730" s="72"/>
    </row>
    <row r="731" spans="1:2" ht="14.5" x14ac:dyDescent="0.35">
      <c r="A731" s="72"/>
      <c r="B731" s="72"/>
    </row>
    <row r="732" spans="1:2" ht="14.5" x14ac:dyDescent="0.35">
      <c r="A732" s="72"/>
      <c r="B732" s="72"/>
    </row>
    <row r="733" spans="1:2" ht="14.5" x14ac:dyDescent="0.35">
      <c r="A733" s="72"/>
      <c r="B733" s="72"/>
    </row>
    <row r="734" spans="1:2" ht="14.5" x14ac:dyDescent="0.35">
      <c r="A734" s="72"/>
      <c r="B734" s="72"/>
    </row>
    <row r="735" spans="1:2" ht="14.5" x14ac:dyDescent="0.35">
      <c r="A735" s="72"/>
      <c r="B735" s="72"/>
    </row>
    <row r="736" spans="1:2" ht="14.5" x14ac:dyDescent="0.35">
      <c r="A736" s="72"/>
      <c r="B736" s="72"/>
    </row>
    <row r="737" spans="1:2" ht="14.5" x14ac:dyDescent="0.35">
      <c r="A737" s="72"/>
      <c r="B737" s="72"/>
    </row>
    <row r="738" spans="1:2" ht="14.5" x14ac:dyDescent="0.35">
      <c r="A738" s="72"/>
      <c r="B738" s="72"/>
    </row>
    <row r="739" spans="1:2" ht="14.5" x14ac:dyDescent="0.35">
      <c r="A739" s="72"/>
      <c r="B739" s="72"/>
    </row>
    <row r="740" spans="1:2" ht="14.5" x14ac:dyDescent="0.35">
      <c r="A740" s="72"/>
      <c r="B740" s="72"/>
    </row>
    <row r="741" spans="1:2" ht="14.5" x14ac:dyDescent="0.35">
      <c r="A741" s="72"/>
      <c r="B741" s="72"/>
    </row>
    <row r="742" spans="1:2" ht="14.5" x14ac:dyDescent="0.35">
      <c r="A742" s="72"/>
      <c r="B742" s="72"/>
    </row>
    <row r="743" spans="1:2" ht="14.5" x14ac:dyDescent="0.35">
      <c r="A743" s="72"/>
      <c r="B743" s="72"/>
    </row>
    <row r="744" spans="1:2" ht="14.5" x14ac:dyDescent="0.35">
      <c r="A744" s="72"/>
      <c r="B744" s="72"/>
    </row>
    <row r="745" spans="1:2" ht="14.5" x14ac:dyDescent="0.35">
      <c r="A745" s="72"/>
      <c r="B745" s="72"/>
    </row>
    <row r="746" spans="1:2" ht="14.5" x14ac:dyDescent="0.35">
      <c r="A746" s="72"/>
      <c r="B746" s="72"/>
    </row>
    <row r="747" spans="1:2" ht="14.5" x14ac:dyDescent="0.35">
      <c r="A747" s="72"/>
      <c r="B747" s="72"/>
    </row>
    <row r="748" spans="1:2" ht="14.5" x14ac:dyDescent="0.35">
      <c r="A748" s="72"/>
      <c r="B748" s="72"/>
    </row>
    <row r="749" spans="1:2" ht="14.5" x14ac:dyDescent="0.35">
      <c r="A749" s="72"/>
      <c r="B749" s="72"/>
    </row>
    <row r="750" spans="1:2" ht="14.5" x14ac:dyDescent="0.35">
      <c r="A750" s="72"/>
      <c r="B750" s="72"/>
    </row>
    <row r="751" spans="1:2" ht="14.5" x14ac:dyDescent="0.35">
      <c r="A751" s="72"/>
      <c r="B751" s="72"/>
    </row>
    <row r="752" spans="1:2" ht="14.5" x14ac:dyDescent="0.35">
      <c r="A752" s="72"/>
      <c r="B752" s="72"/>
    </row>
    <row r="753" spans="1:2" ht="14.5" x14ac:dyDescent="0.35">
      <c r="A753" s="72"/>
      <c r="B753" s="72"/>
    </row>
    <row r="754" spans="1:2" ht="14.5" x14ac:dyDescent="0.35">
      <c r="A754" s="72"/>
      <c r="B754" s="72"/>
    </row>
    <row r="755" spans="1:2" ht="14.5" x14ac:dyDescent="0.35">
      <c r="A755" s="72"/>
      <c r="B755" s="72"/>
    </row>
    <row r="756" spans="1:2" ht="14.5" x14ac:dyDescent="0.35">
      <c r="A756" s="72"/>
      <c r="B756" s="72"/>
    </row>
    <row r="757" spans="1:2" ht="14.5" x14ac:dyDescent="0.35">
      <c r="A757" s="72"/>
      <c r="B757" s="72"/>
    </row>
    <row r="758" spans="1:2" ht="14.5" x14ac:dyDescent="0.35">
      <c r="A758" s="72"/>
      <c r="B758" s="72"/>
    </row>
    <row r="759" spans="1:2" ht="14.5" x14ac:dyDescent="0.35">
      <c r="A759" s="72"/>
      <c r="B759" s="72"/>
    </row>
    <row r="760" spans="1:2" ht="14.5" x14ac:dyDescent="0.35">
      <c r="A760" s="72"/>
      <c r="B760" s="72"/>
    </row>
    <row r="761" spans="1:2" ht="14.5" x14ac:dyDescent="0.35">
      <c r="A761" s="72"/>
      <c r="B761" s="72"/>
    </row>
    <row r="762" spans="1:2" ht="14.5" x14ac:dyDescent="0.35">
      <c r="A762" s="72"/>
      <c r="B762" s="72"/>
    </row>
    <row r="763" spans="1:2" ht="14.5" x14ac:dyDescent="0.35">
      <c r="A763" s="72"/>
      <c r="B763" s="72"/>
    </row>
    <row r="764" spans="1:2" ht="14.5" x14ac:dyDescent="0.35">
      <c r="A764" s="72"/>
      <c r="B764" s="72"/>
    </row>
    <row r="765" spans="1:2" ht="14.5" x14ac:dyDescent="0.35">
      <c r="A765" s="72"/>
      <c r="B765" s="72"/>
    </row>
    <row r="766" spans="1:2" ht="14.5" x14ac:dyDescent="0.35">
      <c r="A766" s="72"/>
      <c r="B766" s="72"/>
    </row>
    <row r="767" spans="1:2" ht="14.5" x14ac:dyDescent="0.35">
      <c r="A767" s="72"/>
      <c r="B767" s="72"/>
    </row>
    <row r="768" spans="1:2" ht="14.5" x14ac:dyDescent="0.35">
      <c r="A768" s="72"/>
      <c r="B768" s="72"/>
    </row>
    <row r="769" spans="1:2" ht="14.5" x14ac:dyDescent="0.35">
      <c r="A769" s="72"/>
      <c r="B769" s="72"/>
    </row>
    <row r="770" spans="1:2" ht="14.5" x14ac:dyDescent="0.35">
      <c r="A770" s="72"/>
      <c r="B770" s="72"/>
    </row>
    <row r="771" spans="1:2" ht="14.5" x14ac:dyDescent="0.35">
      <c r="A771" s="72"/>
      <c r="B771" s="72"/>
    </row>
    <row r="772" spans="1:2" ht="14.5" x14ac:dyDescent="0.35">
      <c r="A772" s="72"/>
      <c r="B772" s="72"/>
    </row>
    <row r="773" spans="1:2" ht="14.5" x14ac:dyDescent="0.35">
      <c r="A773" s="72"/>
      <c r="B773" s="72"/>
    </row>
    <row r="774" spans="1:2" ht="14.5" x14ac:dyDescent="0.35">
      <c r="A774" s="72"/>
      <c r="B774" s="72"/>
    </row>
    <row r="775" spans="1:2" ht="14.5" x14ac:dyDescent="0.35">
      <c r="A775" s="72"/>
      <c r="B775" s="72"/>
    </row>
    <row r="776" spans="1:2" ht="14.5" x14ac:dyDescent="0.35">
      <c r="A776" s="72"/>
      <c r="B776" s="72"/>
    </row>
    <row r="777" spans="1:2" ht="14.5" x14ac:dyDescent="0.35">
      <c r="A777" s="72"/>
      <c r="B777" s="72"/>
    </row>
    <row r="778" spans="1:2" ht="14.5" x14ac:dyDescent="0.35">
      <c r="A778" s="72"/>
      <c r="B778" s="72"/>
    </row>
    <row r="779" spans="1:2" ht="14.5" x14ac:dyDescent="0.35">
      <c r="A779" s="72"/>
      <c r="B779" s="72"/>
    </row>
    <row r="780" spans="1:2" ht="14.5" x14ac:dyDescent="0.35">
      <c r="A780" s="72"/>
      <c r="B780" s="72"/>
    </row>
    <row r="781" spans="1:2" ht="14.5" x14ac:dyDescent="0.35">
      <c r="A781" s="72"/>
      <c r="B781" s="72"/>
    </row>
    <row r="782" spans="1:2" ht="14.5" x14ac:dyDescent="0.35">
      <c r="A782" s="72"/>
      <c r="B782" s="72"/>
    </row>
    <row r="783" spans="1:2" ht="14.5" x14ac:dyDescent="0.35">
      <c r="A783" s="72"/>
      <c r="B783" s="72"/>
    </row>
    <row r="784" spans="1:2" ht="14.5" x14ac:dyDescent="0.35">
      <c r="A784" s="72"/>
      <c r="B784" s="72"/>
    </row>
    <row r="785" spans="1:2" ht="14.5" x14ac:dyDescent="0.35">
      <c r="A785" s="72"/>
      <c r="B785" s="72"/>
    </row>
    <row r="786" spans="1:2" ht="14.5" x14ac:dyDescent="0.35">
      <c r="A786" s="72"/>
      <c r="B786" s="72"/>
    </row>
    <row r="787" spans="1:2" ht="14.5" x14ac:dyDescent="0.35">
      <c r="A787" s="72"/>
      <c r="B787" s="72"/>
    </row>
    <row r="788" spans="1:2" ht="14.5" x14ac:dyDescent="0.35">
      <c r="A788" s="72"/>
      <c r="B788" s="72"/>
    </row>
    <row r="789" spans="1:2" ht="14.5" x14ac:dyDescent="0.35">
      <c r="A789" s="72"/>
      <c r="B789" s="72"/>
    </row>
    <row r="790" spans="1:2" ht="14.5" x14ac:dyDescent="0.35">
      <c r="A790" s="72"/>
      <c r="B790" s="72"/>
    </row>
    <row r="791" spans="1:2" ht="14.5" x14ac:dyDescent="0.35">
      <c r="A791" s="72"/>
      <c r="B791" s="72"/>
    </row>
    <row r="792" spans="1:2" ht="14.5" x14ac:dyDescent="0.35">
      <c r="A792" s="72"/>
      <c r="B792" s="72"/>
    </row>
    <row r="793" spans="1:2" ht="14.5" x14ac:dyDescent="0.35">
      <c r="A793" s="72"/>
      <c r="B793" s="72"/>
    </row>
    <row r="794" spans="1:2" ht="14.5" x14ac:dyDescent="0.35">
      <c r="A794" s="72"/>
      <c r="B794" s="72"/>
    </row>
    <row r="795" spans="1:2" ht="14.5" x14ac:dyDescent="0.35">
      <c r="A795" s="72"/>
      <c r="B795" s="72"/>
    </row>
    <row r="796" spans="1:2" ht="14.5" x14ac:dyDescent="0.35">
      <c r="A796" s="72"/>
      <c r="B796" s="72"/>
    </row>
    <row r="797" spans="1:2" ht="14.5" x14ac:dyDescent="0.35">
      <c r="A797" s="72"/>
      <c r="B797" s="72"/>
    </row>
    <row r="798" spans="1:2" ht="14.5" x14ac:dyDescent="0.35">
      <c r="A798" s="72"/>
      <c r="B798" s="72"/>
    </row>
    <row r="799" spans="1:2" ht="14.5" x14ac:dyDescent="0.35">
      <c r="A799" s="72"/>
      <c r="B799" s="72"/>
    </row>
    <row r="800" spans="1:2" ht="14.5" x14ac:dyDescent="0.35">
      <c r="A800" s="72"/>
      <c r="B800" s="72"/>
    </row>
    <row r="801" spans="1:2" ht="14.5" x14ac:dyDescent="0.35">
      <c r="A801" s="72"/>
      <c r="B801" s="72"/>
    </row>
    <row r="802" spans="1:2" ht="14.5" x14ac:dyDescent="0.35">
      <c r="A802" s="72"/>
      <c r="B802" s="72"/>
    </row>
    <row r="803" spans="1:2" ht="14.5" x14ac:dyDescent="0.35">
      <c r="A803" s="72"/>
      <c r="B803" s="72"/>
    </row>
    <row r="804" spans="1:2" ht="14.5" x14ac:dyDescent="0.35">
      <c r="A804" s="72"/>
      <c r="B804" s="72"/>
    </row>
    <row r="805" spans="1:2" ht="14.5" x14ac:dyDescent="0.35">
      <c r="A805" s="72"/>
      <c r="B805" s="72"/>
    </row>
    <row r="806" spans="1:2" ht="14.5" x14ac:dyDescent="0.35">
      <c r="A806" s="72"/>
      <c r="B806" s="72"/>
    </row>
    <row r="807" spans="1:2" ht="14.5" x14ac:dyDescent="0.35">
      <c r="A807" s="72"/>
      <c r="B807" s="72"/>
    </row>
    <row r="808" spans="1:2" ht="14.5" x14ac:dyDescent="0.35">
      <c r="A808" s="72"/>
      <c r="B808" s="72"/>
    </row>
    <row r="809" spans="1:2" ht="14.5" x14ac:dyDescent="0.35">
      <c r="A809" s="72"/>
      <c r="B809" s="72"/>
    </row>
    <row r="810" spans="1:2" ht="14.5" x14ac:dyDescent="0.35">
      <c r="A810" s="72"/>
      <c r="B810" s="72"/>
    </row>
    <row r="811" spans="1:2" ht="14.5" x14ac:dyDescent="0.35">
      <c r="A811" s="72"/>
      <c r="B811" s="72"/>
    </row>
    <row r="812" spans="1:2" ht="14.5" x14ac:dyDescent="0.35">
      <c r="A812" s="72"/>
      <c r="B812" s="72"/>
    </row>
    <row r="813" spans="1:2" ht="14.5" x14ac:dyDescent="0.35">
      <c r="A813" s="72"/>
      <c r="B813" s="72"/>
    </row>
    <row r="814" spans="1:2" ht="14.5" x14ac:dyDescent="0.35">
      <c r="A814" s="72"/>
      <c r="B814" s="72"/>
    </row>
    <row r="815" spans="1:2" ht="14.5" x14ac:dyDescent="0.35">
      <c r="A815" s="72"/>
      <c r="B815" s="72"/>
    </row>
    <row r="816" spans="1:2" ht="14.5" x14ac:dyDescent="0.35">
      <c r="A816" s="72"/>
      <c r="B816" s="72"/>
    </row>
    <row r="817" spans="1:2" ht="14.5" x14ac:dyDescent="0.35">
      <c r="A817" s="72"/>
      <c r="B817" s="72"/>
    </row>
    <row r="818" spans="1:2" ht="14.5" x14ac:dyDescent="0.35">
      <c r="A818" s="72"/>
      <c r="B818" s="72"/>
    </row>
    <row r="819" spans="1:2" ht="14.5" x14ac:dyDescent="0.35">
      <c r="A819" s="72"/>
      <c r="B819" s="72"/>
    </row>
    <row r="820" spans="1:2" ht="14.5" x14ac:dyDescent="0.35">
      <c r="A820" s="72"/>
      <c r="B820" s="72"/>
    </row>
    <row r="821" spans="1:2" ht="14.5" x14ac:dyDescent="0.35">
      <c r="A821" s="72"/>
      <c r="B821" s="72"/>
    </row>
    <row r="822" spans="1:2" ht="14.5" x14ac:dyDescent="0.35">
      <c r="A822" s="72"/>
      <c r="B822" s="72"/>
    </row>
    <row r="823" spans="1:2" ht="14.5" x14ac:dyDescent="0.35">
      <c r="A823" s="72"/>
      <c r="B823" s="72"/>
    </row>
    <row r="824" spans="1:2" ht="14.5" x14ac:dyDescent="0.35">
      <c r="A824" s="72"/>
      <c r="B824" s="72"/>
    </row>
    <row r="825" spans="1:2" ht="14.5" x14ac:dyDescent="0.35">
      <c r="A825" s="72"/>
      <c r="B825" s="72"/>
    </row>
    <row r="826" spans="1:2" ht="14.5" x14ac:dyDescent="0.35">
      <c r="A826" s="72"/>
      <c r="B826" s="72"/>
    </row>
    <row r="827" spans="1:2" ht="14.5" x14ac:dyDescent="0.35">
      <c r="A827" s="72"/>
      <c r="B827" s="72"/>
    </row>
    <row r="828" spans="1:2" ht="14.5" x14ac:dyDescent="0.35">
      <c r="A828" s="72"/>
      <c r="B828" s="72"/>
    </row>
    <row r="829" spans="1:2" ht="14.5" x14ac:dyDescent="0.35">
      <c r="A829" s="72"/>
      <c r="B829" s="72"/>
    </row>
    <row r="830" spans="1:2" ht="14.5" x14ac:dyDescent="0.35">
      <c r="A830" s="72"/>
      <c r="B830" s="72"/>
    </row>
    <row r="831" spans="1:2" ht="14.5" x14ac:dyDescent="0.35">
      <c r="A831" s="72"/>
      <c r="B831" s="72"/>
    </row>
    <row r="832" spans="1:2" ht="14.5" x14ac:dyDescent="0.35">
      <c r="A832" s="72"/>
      <c r="B832" s="72"/>
    </row>
    <row r="833" spans="1:2" ht="14.5" x14ac:dyDescent="0.35">
      <c r="A833" s="72"/>
      <c r="B833" s="72"/>
    </row>
    <row r="834" spans="1:2" ht="14.5" x14ac:dyDescent="0.35">
      <c r="A834" s="72"/>
      <c r="B834" s="72"/>
    </row>
    <row r="835" spans="1:2" ht="14.5" x14ac:dyDescent="0.35">
      <c r="A835" s="72"/>
      <c r="B835" s="72"/>
    </row>
    <row r="836" spans="1:2" ht="14.5" x14ac:dyDescent="0.35">
      <c r="A836" s="72"/>
      <c r="B836" s="72"/>
    </row>
    <row r="837" spans="1:2" ht="14.5" x14ac:dyDescent="0.35">
      <c r="A837" s="72"/>
      <c r="B837" s="72"/>
    </row>
    <row r="838" spans="1:2" ht="14.5" x14ac:dyDescent="0.35">
      <c r="A838" s="72"/>
      <c r="B838" s="72"/>
    </row>
    <row r="839" spans="1:2" ht="14.5" x14ac:dyDescent="0.35">
      <c r="A839" s="72"/>
      <c r="B839" s="72"/>
    </row>
    <row r="840" spans="1:2" ht="14.5" x14ac:dyDescent="0.35">
      <c r="A840" s="72"/>
      <c r="B840" s="72"/>
    </row>
    <row r="841" spans="1:2" ht="14.5" x14ac:dyDescent="0.35">
      <c r="A841" s="72"/>
      <c r="B841" s="72"/>
    </row>
    <row r="842" spans="1:2" ht="14.5" x14ac:dyDescent="0.35">
      <c r="A842" s="72"/>
      <c r="B842" s="72"/>
    </row>
    <row r="843" spans="1:2" ht="14.5" x14ac:dyDescent="0.35">
      <c r="A843" s="72"/>
      <c r="B843" s="72"/>
    </row>
    <row r="844" spans="1:2" ht="14.5" x14ac:dyDescent="0.35">
      <c r="A844" s="72"/>
      <c r="B844" s="72"/>
    </row>
    <row r="845" spans="1:2" ht="14.5" x14ac:dyDescent="0.35">
      <c r="A845" s="72"/>
      <c r="B845" s="72"/>
    </row>
    <row r="846" spans="1:2" ht="14.5" x14ac:dyDescent="0.35">
      <c r="A846" s="72"/>
      <c r="B846" s="72"/>
    </row>
    <row r="847" spans="1:2" ht="14.5" x14ac:dyDescent="0.35">
      <c r="A847" s="72"/>
      <c r="B847" s="72"/>
    </row>
    <row r="848" spans="1:2" ht="14.5" x14ac:dyDescent="0.35">
      <c r="A848" s="72"/>
      <c r="B848" s="72"/>
    </row>
    <row r="849" spans="1:2" ht="14.5" x14ac:dyDescent="0.35">
      <c r="A849" s="72"/>
      <c r="B849" s="72"/>
    </row>
    <row r="850" spans="1:2" ht="14.5" x14ac:dyDescent="0.35">
      <c r="A850" s="72"/>
      <c r="B850" s="72"/>
    </row>
    <row r="851" spans="1:2" ht="14.5" x14ac:dyDescent="0.35">
      <c r="A851" s="72"/>
      <c r="B851" s="72"/>
    </row>
    <row r="852" spans="1:2" ht="14.5" x14ac:dyDescent="0.35">
      <c r="A852" s="72"/>
      <c r="B852" s="72"/>
    </row>
    <row r="853" spans="1:2" ht="14.5" x14ac:dyDescent="0.35">
      <c r="A853" s="72"/>
      <c r="B853" s="72"/>
    </row>
    <row r="854" spans="1:2" ht="14.5" x14ac:dyDescent="0.35">
      <c r="A854" s="72"/>
      <c r="B854" s="72"/>
    </row>
    <row r="855" spans="1:2" ht="14.5" x14ac:dyDescent="0.35">
      <c r="A855" s="72"/>
      <c r="B855" s="72"/>
    </row>
    <row r="856" spans="1:2" ht="14.5" x14ac:dyDescent="0.35">
      <c r="A856" s="72"/>
      <c r="B856" s="72"/>
    </row>
    <row r="857" spans="1:2" ht="14.5" x14ac:dyDescent="0.35">
      <c r="A857" s="72"/>
      <c r="B857" s="72"/>
    </row>
    <row r="858" spans="1:2" ht="14.5" x14ac:dyDescent="0.35">
      <c r="A858" s="72"/>
      <c r="B858" s="72"/>
    </row>
    <row r="859" spans="1:2" ht="14.5" x14ac:dyDescent="0.35">
      <c r="A859" s="72"/>
      <c r="B859" s="72"/>
    </row>
    <row r="860" spans="1:2" ht="14.5" x14ac:dyDescent="0.35">
      <c r="A860" s="72"/>
      <c r="B860" s="72"/>
    </row>
    <row r="861" spans="1:2" ht="14.5" x14ac:dyDescent="0.35">
      <c r="A861" s="72"/>
      <c r="B861" s="72"/>
    </row>
    <row r="862" spans="1:2" ht="14.5" x14ac:dyDescent="0.35">
      <c r="A862" s="72"/>
      <c r="B862" s="72"/>
    </row>
    <row r="863" spans="1:2" ht="14.5" x14ac:dyDescent="0.35">
      <c r="A863" s="72"/>
      <c r="B863" s="72"/>
    </row>
    <row r="864" spans="1:2" ht="14.5" x14ac:dyDescent="0.35">
      <c r="A864" s="72"/>
      <c r="B864" s="72"/>
    </row>
    <row r="865" spans="1:2" ht="14.5" x14ac:dyDescent="0.35">
      <c r="A865" s="72"/>
      <c r="B865" s="72"/>
    </row>
    <row r="866" spans="1:2" ht="14.5" x14ac:dyDescent="0.35">
      <c r="A866" s="72"/>
      <c r="B866" s="72"/>
    </row>
    <row r="867" spans="1:2" ht="14.5" x14ac:dyDescent="0.35">
      <c r="A867" s="72"/>
      <c r="B867" s="72"/>
    </row>
    <row r="868" spans="1:2" ht="14.5" x14ac:dyDescent="0.35">
      <c r="A868" s="72"/>
      <c r="B868" s="72"/>
    </row>
    <row r="869" spans="1:2" ht="14.5" x14ac:dyDescent="0.35">
      <c r="A869" s="72"/>
      <c r="B869" s="72"/>
    </row>
    <row r="870" spans="1:2" ht="14.5" x14ac:dyDescent="0.35">
      <c r="A870" s="72"/>
      <c r="B870" s="72"/>
    </row>
    <row r="871" spans="1:2" ht="14.5" x14ac:dyDescent="0.35">
      <c r="A871" s="72"/>
      <c r="B871" s="72"/>
    </row>
    <row r="872" spans="1:2" ht="14.5" x14ac:dyDescent="0.35">
      <c r="A872" s="72"/>
      <c r="B872" s="72"/>
    </row>
    <row r="873" spans="1:2" ht="14.5" x14ac:dyDescent="0.35">
      <c r="A873" s="72"/>
      <c r="B873" s="72"/>
    </row>
    <row r="874" spans="1:2" ht="14.5" x14ac:dyDescent="0.35">
      <c r="A874" s="72"/>
      <c r="B874" s="72"/>
    </row>
    <row r="875" spans="1:2" ht="14.5" x14ac:dyDescent="0.35">
      <c r="A875" s="72"/>
      <c r="B875" s="72"/>
    </row>
    <row r="876" spans="1:2" ht="14.5" x14ac:dyDescent="0.35">
      <c r="A876" s="72"/>
      <c r="B876" s="72"/>
    </row>
    <row r="877" spans="1:2" ht="14.5" x14ac:dyDescent="0.35">
      <c r="A877" s="72"/>
      <c r="B877" s="72"/>
    </row>
    <row r="878" spans="1:2" ht="14.5" x14ac:dyDescent="0.35">
      <c r="A878" s="72"/>
      <c r="B878" s="72"/>
    </row>
    <row r="879" spans="1:2" ht="14.5" x14ac:dyDescent="0.35">
      <c r="A879" s="72"/>
      <c r="B879" s="72"/>
    </row>
    <row r="880" spans="1:2" ht="14.5" x14ac:dyDescent="0.35">
      <c r="A880" s="72"/>
      <c r="B880" s="72"/>
    </row>
    <row r="881" spans="1:2" ht="14.5" x14ac:dyDescent="0.35">
      <c r="A881" s="72"/>
      <c r="B881" s="72"/>
    </row>
    <row r="882" spans="1:2" ht="14.5" x14ac:dyDescent="0.35">
      <c r="A882" s="72"/>
      <c r="B882" s="72"/>
    </row>
    <row r="883" spans="1:2" ht="14.5" x14ac:dyDescent="0.35">
      <c r="A883" s="72"/>
      <c r="B883" s="72"/>
    </row>
    <row r="884" spans="1:2" ht="14.5" x14ac:dyDescent="0.35">
      <c r="A884" s="72"/>
      <c r="B884" s="72"/>
    </row>
    <row r="885" spans="1:2" ht="14.5" x14ac:dyDescent="0.35">
      <c r="A885" s="72"/>
      <c r="B885" s="72"/>
    </row>
    <row r="886" spans="1:2" ht="14.5" x14ac:dyDescent="0.35">
      <c r="A886" s="72"/>
      <c r="B886" s="72"/>
    </row>
    <row r="887" spans="1:2" ht="14.5" x14ac:dyDescent="0.35">
      <c r="A887" s="72"/>
      <c r="B887" s="72"/>
    </row>
    <row r="888" spans="1:2" ht="14.5" x14ac:dyDescent="0.35">
      <c r="A888" s="72"/>
      <c r="B888" s="72"/>
    </row>
    <row r="889" spans="1:2" ht="14.5" x14ac:dyDescent="0.35">
      <c r="A889" s="72"/>
      <c r="B889" s="72"/>
    </row>
    <row r="890" spans="1:2" ht="14.5" x14ac:dyDescent="0.35">
      <c r="A890" s="72"/>
      <c r="B890" s="72"/>
    </row>
    <row r="891" spans="1:2" ht="14.5" x14ac:dyDescent="0.35">
      <c r="A891" s="72"/>
      <c r="B891" s="72"/>
    </row>
    <row r="892" spans="1:2" ht="14.5" x14ac:dyDescent="0.35">
      <c r="A892" s="72"/>
      <c r="B892" s="72"/>
    </row>
    <row r="893" spans="1:2" ht="14.5" x14ac:dyDescent="0.35">
      <c r="A893" s="72"/>
      <c r="B893" s="72"/>
    </row>
    <row r="894" spans="1:2" ht="14.5" x14ac:dyDescent="0.35">
      <c r="A894" s="72"/>
      <c r="B894" s="72"/>
    </row>
    <row r="895" spans="1:2" ht="14.5" x14ac:dyDescent="0.35">
      <c r="A895" s="72"/>
      <c r="B895" s="72"/>
    </row>
    <row r="896" spans="1:2" ht="14.5" x14ac:dyDescent="0.35">
      <c r="A896" s="72"/>
      <c r="B896" s="72"/>
    </row>
    <row r="897" spans="1:2" ht="14.5" x14ac:dyDescent="0.35">
      <c r="A897" s="72"/>
      <c r="B897" s="72"/>
    </row>
    <row r="898" spans="1:2" ht="14.5" x14ac:dyDescent="0.35">
      <c r="A898" s="72"/>
      <c r="B898" s="72"/>
    </row>
    <row r="899" spans="1:2" ht="14.5" x14ac:dyDescent="0.35">
      <c r="A899" s="72"/>
      <c r="B899" s="72"/>
    </row>
    <row r="900" spans="1:2" ht="14.5" x14ac:dyDescent="0.35">
      <c r="A900" s="72"/>
      <c r="B900" s="72"/>
    </row>
    <row r="901" spans="1:2" ht="14.5" x14ac:dyDescent="0.35">
      <c r="A901" s="72"/>
      <c r="B901" s="72"/>
    </row>
    <row r="902" spans="1:2" ht="14.5" x14ac:dyDescent="0.35">
      <c r="A902" s="72"/>
      <c r="B902" s="72"/>
    </row>
    <row r="903" spans="1:2" ht="14.5" x14ac:dyDescent="0.35">
      <c r="A903" s="72"/>
      <c r="B903" s="72"/>
    </row>
    <row r="904" spans="1:2" ht="14.5" x14ac:dyDescent="0.35">
      <c r="A904" s="72"/>
      <c r="B904" s="72"/>
    </row>
    <row r="905" spans="1:2" ht="14.5" x14ac:dyDescent="0.35">
      <c r="A905" s="72"/>
      <c r="B905" s="72"/>
    </row>
    <row r="906" spans="1:2" ht="14.5" x14ac:dyDescent="0.35">
      <c r="A906" s="72"/>
      <c r="B906" s="72"/>
    </row>
    <row r="907" spans="1:2" ht="14.5" x14ac:dyDescent="0.35">
      <c r="A907" s="72"/>
      <c r="B907" s="72"/>
    </row>
    <row r="908" spans="1:2" ht="14.5" x14ac:dyDescent="0.35">
      <c r="A908" s="72"/>
      <c r="B908" s="72"/>
    </row>
    <row r="909" spans="1:2" ht="14.5" x14ac:dyDescent="0.35">
      <c r="A909" s="72"/>
      <c r="B909" s="72"/>
    </row>
    <row r="910" spans="1:2" ht="14.5" x14ac:dyDescent="0.35">
      <c r="A910" s="72"/>
      <c r="B910" s="72"/>
    </row>
    <row r="911" spans="1:2" ht="14.5" x14ac:dyDescent="0.35">
      <c r="A911" s="72"/>
      <c r="B911" s="72"/>
    </row>
    <row r="912" spans="1:2" ht="14.5" x14ac:dyDescent="0.35">
      <c r="A912" s="72"/>
      <c r="B912" s="72"/>
    </row>
    <row r="913" spans="1:2" ht="14.5" x14ac:dyDescent="0.35">
      <c r="A913" s="72"/>
      <c r="B913" s="72"/>
    </row>
    <row r="914" spans="1:2" ht="14.5" x14ac:dyDescent="0.35">
      <c r="A914" s="72"/>
      <c r="B914" s="72"/>
    </row>
    <row r="915" spans="1:2" ht="14.5" x14ac:dyDescent="0.35">
      <c r="A915" s="72"/>
      <c r="B915" s="72"/>
    </row>
    <row r="916" spans="1:2" ht="14.5" x14ac:dyDescent="0.35">
      <c r="A916" s="72"/>
      <c r="B916" s="72"/>
    </row>
    <row r="917" spans="1:2" ht="14.5" x14ac:dyDescent="0.35">
      <c r="A917" s="72"/>
      <c r="B917" s="72"/>
    </row>
    <row r="918" spans="1:2" ht="14.5" x14ac:dyDescent="0.35">
      <c r="A918" s="72"/>
      <c r="B918" s="72"/>
    </row>
    <row r="919" spans="1:2" ht="14.5" x14ac:dyDescent="0.35">
      <c r="A919" s="72"/>
      <c r="B919" s="72"/>
    </row>
    <row r="920" spans="1:2" ht="14.5" x14ac:dyDescent="0.35">
      <c r="A920" s="72"/>
      <c r="B920" s="72"/>
    </row>
    <row r="921" spans="1:2" ht="14.5" x14ac:dyDescent="0.35">
      <c r="A921" s="72"/>
      <c r="B921" s="72"/>
    </row>
    <row r="922" spans="1:2" ht="14.5" x14ac:dyDescent="0.35">
      <c r="A922" s="72"/>
      <c r="B922" s="72"/>
    </row>
    <row r="923" spans="1:2" ht="14.5" x14ac:dyDescent="0.35">
      <c r="A923" s="72"/>
      <c r="B923" s="72"/>
    </row>
    <row r="924" spans="1:2" ht="14.5" x14ac:dyDescent="0.35">
      <c r="A924" s="72"/>
      <c r="B924" s="72"/>
    </row>
    <row r="925" spans="1:2" ht="14.5" x14ac:dyDescent="0.35">
      <c r="A925" s="72"/>
      <c r="B925" s="72"/>
    </row>
    <row r="926" spans="1:2" ht="14.5" x14ac:dyDescent="0.35">
      <c r="A926" s="72"/>
      <c r="B926" s="72"/>
    </row>
    <row r="927" spans="1:2" ht="14.5" x14ac:dyDescent="0.35">
      <c r="A927" s="72"/>
      <c r="B927" s="72"/>
    </row>
    <row r="928" spans="1:2" ht="14.5" x14ac:dyDescent="0.35">
      <c r="A928" s="72"/>
      <c r="B928" s="72"/>
    </row>
    <row r="929" spans="1:2" ht="14.5" x14ac:dyDescent="0.35">
      <c r="A929" s="72"/>
      <c r="B929" s="72"/>
    </row>
    <row r="930" spans="1:2" ht="14.5" x14ac:dyDescent="0.35">
      <c r="A930" s="72"/>
      <c r="B930" s="72"/>
    </row>
    <row r="931" spans="1:2" ht="14.5" x14ac:dyDescent="0.35">
      <c r="A931" s="72"/>
      <c r="B931" s="72"/>
    </row>
    <row r="932" spans="1:2" ht="14.5" x14ac:dyDescent="0.35">
      <c r="A932" s="72"/>
      <c r="B932" s="72"/>
    </row>
    <row r="933" spans="1:2" ht="14.5" x14ac:dyDescent="0.35">
      <c r="A933" s="72"/>
      <c r="B933" s="72"/>
    </row>
    <row r="934" spans="1:2" ht="14.5" x14ac:dyDescent="0.35">
      <c r="A934" s="72"/>
      <c r="B934" s="72"/>
    </row>
    <row r="935" spans="1:2" ht="14.5" x14ac:dyDescent="0.35">
      <c r="A935" s="72"/>
      <c r="B935" s="72"/>
    </row>
    <row r="936" spans="1:2" ht="14.5" x14ac:dyDescent="0.35">
      <c r="A936" s="72"/>
      <c r="B936" s="72"/>
    </row>
    <row r="937" spans="1:2" ht="14.5" x14ac:dyDescent="0.35">
      <c r="A937" s="72"/>
      <c r="B937" s="72"/>
    </row>
    <row r="938" spans="1:2" ht="14.5" x14ac:dyDescent="0.35">
      <c r="A938" s="72"/>
      <c r="B938" s="72"/>
    </row>
    <row r="939" spans="1:2" ht="14.5" x14ac:dyDescent="0.35">
      <c r="A939" s="72"/>
      <c r="B939" s="72"/>
    </row>
    <row r="940" spans="1:2" ht="14.5" x14ac:dyDescent="0.35">
      <c r="A940" s="72"/>
      <c r="B940" s="72"/>
    </row>
    <row r="941" spans="1:2" ht="14.5" x14ac:dyDescent="0.35">
      <c r="A941" s="72"/>
      <c r="B941" s="72"/>
    </row>
    <row r="942" spans="1:2" ht="14.5" x14ac:dyDescent="0.35">
      <c r="A942" s="72"/>
      <c r="B942" s="72"/>
    </row>
    <row r="943" spans="1:2" ht="14.5" x14ac:dyDescent="0.35">
      <c r="A943" s="72"/>
      <c r="B943" s="72"/>
    </row>
    <row r="944" spans="1:2" ht="14.5" x14ac:dyDescent="0.35">
      <c r="A944" s="72"/>
      <c r="B944" s="72"/>
    </row>
    <row r="945" spans="1:2" ht="14.5" x14ac:dyDescent="0.35">
      <c r="A945" s="72"/>
      <c r="B945" s="72"/>
    </row>
    <row r="946" spans="1:2" ht="14.5" x14ac:dyDescent="0.35">
      <c r="A946" s="72"/>
      <c r="B946" s="72"/>
    </row>
    <row r="947" spans="1:2" ht="14.5" x14ac:dyDescent="0.35">
      <c r="A947" s="72"/>
      <c r="B947" s="72"/>
    </row>
    <row r="948" spans="1:2" ht="14.5" x14ac:dyDescent="0.35">
      <c r="A948" s="72"/>
      <c r="B948" s="72"/>
    </row>
    <row r="949" spans="1:2" ht="14.5" x14ac:dyDescent="0.35">
      <c r="A949" s="72"/>
      <c r="B949" s="72"/>
    </row>
    <row r="950" spans="1:2" ht="14.5" x14ac:dyDescent="0.35">
      <c r="A950" s="72"/>
      <c r="B950" s="72"/>
    </row>
    <row r="951" spans="1:2" ht="14.5" x14ac:dyDescent="0.35">
      <c r="A951" s="72"/>
      <c r="B951" s="72"/>
    </row>
    <row r="952" spans="1:2" ht="14.5" x14ac:dyDescent="0.35">
      <c r="A952" s="72"/>
      <c r="B952" s="72"/>
    </row>
    <row r="953" spans="1:2" ht="14.5" x14ac:dyDescent="0.35">
      <c r="A953" s="72"/>
      <c r="B953" s="72"/>
    </row>
    <row r="954" spans="1:2" ht="14.5" x14ac:dyDescent="0.35">
      <c r="A954" s="72"/>
      <c r="B954" s="72"/>
    </row>
    <row r="955" spans="1:2" ht="14.5" x14ac:dyDescent="0.35">
      <c r="A955" s="72"/>
      <c r="B955" s="72"/>
    </row>
    <row r="956" spans="1:2" ht="14.5" x14ac:dyDescent="0.35">
      <c r="A956" s="72"/>
      <c r="B956" s="72"/>
    </row>
    <row r="957" spans="1:2" ht="14.5" x14ac:dyDescent="0.35">
      <c r="A957" s="72"/>
      <c r="B957" s="72"/>
    </row>
    <row r="958" spans="1:2" ht="14.5" x14ac:dyDescent="0.35">
      <c r="A958" s="72"/>
      <c r="B958" s="72"/>
    </row>
    <row r="959" spans="1:2" ht="14.5" x14ac:dyDescent="0.35">
      <c r="A959" s="72"/>
      <c r="B959" s="72"/>
    </row>
    <row r="960" spans="1:2" ht="14.5" x14ac:dyDescent="0.35">
      <c r="A960" s="72"/>
      <c r="B960" s="72"/>
    </row>
    <row r="961" spans="1:2" ht="14.5" x14ac:dyDescent="0.35">
      <c r="A961" s="72"/>
      <c r="B961" s="72"/>
    </row>
    <row r="962" spans="1:2" ht="14.5" x14ac:dyDescent="0.35">
      <c r="A962" s="72"/>
      <c r="B962" s="72"/>
    </row>
    <row r="963" spans="1:2" ht="14.5" x14ac:dyDescent="0.35">
      <c r="A963" s="72"/>
      <c r="B963" s="72"/>
    </row>
    <row r="964" spans="1:2" ht="14.5" x14ac:dyDescent="0.35">
      <c r="A964" s="72"/>
      <c r="B964" s="72"/>
    </row>
    <row r="965" spans="1:2" ht="14.5" x14ac:dyDescent="0.35">
      <c r="A965" s="72"/>
      <c r="B965" s="72"/>
    </row>
    <row r="966" spans="1:2" ht="14.5" x14ac:dyDescent="0.35">
      <c r="A966" s="72"/>
      <c r="B966" s="72"/>
    </row>
    <row r="967" spans="1:2" ht="14.5" x14ac:dyDescent="0.35">
      <c r="A967" s="72"/>
      <c r="B967" s="72"/>
    </row>
    <row r="968" spans="1:2" ht="14.5" x14ac:dyDescent="0.35">
      <c r="A968" s="72"/>
      <c r="B968" s="72"/>
    </row>
    <row r="969" spans="1:2" ht="14.5" x14ac:dyDescent="0.35">
      <c r="A969" s="72"/>
      <c r="B969" s="72"/>
    </row>
    <row r="970" spans="1:2" ht="14.5" x14ac:dyDescent="0.35">
      <c r="A970" s="72"/>
      <c r="B970" s="72"/>
    </row>
    <row r="971" spans="1:2" ht="14.5" x14ac:dyDescent="0.35">
      <c r="A971" s="72"/>
      <c r="B971" s="72"/>
    </row>
    <row r="972" spans="1:2" ht="14.5" x14ac:dyDescent="0.35">
      <c r="A972" s="72"/>
      <c r="B972" s="72"/>
    </row>
    <row r="973" spans="1:2" ht="14.5" x14ac:dyDescent="0.35">
      <c r="A973" s="72"/>
      <c r="B973" s="72"/>
    </row>
    <row r="974" spans="1:2" ht="14.5" x14ac:dyDescent="0.35">
      <c r="A974" s="72"/>
      <c r="B974" s="72"/>
    </row>
    <row r="975" spans="1:2" ht="14.5" x14ac:dyDescent="0.35">
      <c r="A975" s="72"/>
      <c r="B975" s="72"/>
    </row>
    <row r="976" spans="1:2" ht="14.5" x14ac:dyDescent="0.35">
      <c r="A976" s="72"/>
      <c r="B976" s="72"/>
    </row>
    <row r="977" spans="1:2" ht="14.5" x14ac:dyDescent="0.35">
      <c r="A977" s="72"/>
      <c r="B977" s="72"/>
    </row>
    <row r="978" spans="1:2" ht="14.5" x14ac:dyDescent="0.35">
      <c r="A978" s="72"/>
      <c r="B978" s="72"/>
    </row>
    <row r="979" spans="1:2" ht="14.5" x14ac:dyDescent="0.35">
      <c r="A979" s="72"/>
      <c r="B979" s="72"/>
    </row>
    <row r="980" spans="1:2" ht="14.5" x14ac:dyDescent="0.35">
      <c r="A980" s="72"/>
      <c r="B980" s="72"/>
    </row>
    <row r="981" spans="1:2" ht="14.5" x14ac:dyDescent="0.35">
      <c r="A981" s="72"/>
      <c r="B981" s="72"/>
    </row>
    <row r="982" spans="1:2" ht="14.5" x14ac:dyDescent="0.35">
      <c r="A982" s="72"/>
      <c r="B982" s="72"/>
    </row>
    <row r="983" spans="1:2" ht="14.5" x14ac:dyDescent="0.35">
      <c r="A983" s="72"/>
      <c r="B983" s="72"/>
    </row>
    <row r="984" spans="1:2" ht="14.5" x14ac:dyDescent="0.35">
      <c r="A984" s="72"/>
      <c r="B984" s="72"/>
    </row>
    <row r="985" spans="1:2" ht="14.5" x14ac:dyDescent="0.35">
      <c r="A985" s="72"/>
      <c r="B985" s="72"/>
    </row>
    <row r="986" spans="1:2" ht="14.5" x14ac:dyDescent="0.35">
      <c r="A986" s="72"/>
      <c r="B986" s="72"/>
    </row>
    <row r="987" spans="1:2" ht="14.5" x14ac:dyDescent="0.35">
      <c r="A987" s="72"/>
      <c r="B987" s="72"/>
    </row>
    <row r="988" spans="1:2" ht="14.5" x14ac:dyDescent="0.35">
      <c r="A988" s="72"/>
      <c r="B988" s="72"/>
    </row>
    <row r="989" spans="1:2" ht="14.5" x14ac:dyDescent="0.35">
      <c r="A989" s="72"/>
      <c r="B989" s="72"/>
    </row>
    <row r="990" spans="1:2" ht="14.5" x14ac:dyDescent="0.35">
      <c r="A990" s="72"/>
      <c r="B990" s="72"/>
    </row>
    <row r="991" spans="1:2" ht="14.5" x14ac:dyDescent="0.35">
      <c r="A991" s="72"/>
      <c r="B991" s="72"/>
    </row>
    <row r="992" spans="1:2" ht="14.5" x14ac:dyDescent="0.35">
      <c r="A992" s="72"/>
      <c r="B992" s="72"/>
    </row>
    <row r="993" spans="1:2" ht="14.5" x14ac:dyDescent="0.35">
      <c r="A993" s="72"/>
      <c r="B993" s="72"/>
    </row>
    <row r="994" spans="1:2" ht="14.5" x14ac:dyDescent="0.35">
      <c r="A994" s="72"/>
      <c r="B994" s="72"/>
    </row>
    <row r="995" spans="1:2" ht="14.5" x14ac:dyDescent="0.35">
      <c r="A995" s="72"/>
      <c r="B995" s="72"/>
    </row>
    <row r="996" spans="1:2" ht="14.5" x14ac:dyDescent="0.35">
      <c r="A996" s="72"/>
      <c r="B996" s="72"/>
    </row>
    <row r="997" spans="1:2" ht="14.5" x14ac:dyDescent="0.35">
      <c r="A997" s="72"/>
      <c r="B997" s="72"/>
    </row>
    <row r="998" spans="1:2" ht="14.5" x14ac:dyDescent="0.35">
      <c r="A998" s="72"/>
      <c r="B998" s="72"/>
    </row>
    <row r="999" spans="1:2" ht="14.5" x14ac:dyDescent="0.35">
      <c r="A999" s="72"/>
      <c r="B999" s="72"/>
    </row>
    <row r="1000" spans="1:2" ht="14.5" x14ac:dyDescent="0.35">
      <c r="A1000" s="72"/>
      <c r="B1000" s="72"/>
    </row>
    <row r="1001" spans="1:2" ht="14.5" x14ac:dyDescent="0.35">
      <c r="A1001" s="72"/>
      <c r="B1001" s="72"/>
    </row>
    <row r="1002" spans="1:2" ht="14.5" x14ac:dyDescent="0.35">
      <c r="A1002" s="72"/>
      <c r="B1002" s="72"/>
    </row>
    <row r="1003" spans="1:2" ht="14.5" x14ac:dyDescent="0.35">
      <c r="A1003" s="72"/>
      <c r="B1003" s="72"/>
    </row>
    <row r="1004" spans="1:2" ht="14.5" x14ac:dyDescent="0.35">
      <c r="A1004" s="72"/>
      <c r="B1004" s="72"/>
    </row>
  </sheetData>
  <hyperlinks>
    <hyperlink ref="B62" r:id="rId1" xr:uid="{00000000-0004-0000-0300-000000000000}"/>
    <hyperlink ref="B63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1012"/>
  <sheetViews>
    <sheetView topLeftCell="B2" workbookViewId="0">
      <selection activeCell="C19" sqref="C19"/>
    </sheetView>
  </sheetViews>
  <sheetFormatPr defaultColWidth="14.453125" defaultRowHeight="15" customHeight="1" x14ac:dyDescent="0.35"/>
  <cols>
    <col min="1" max="1" width="41.453125" style="53" customWidth="1"/>
    <col min="2" max="2" width="62" style="53" customWidth="1"/>
    <col min="3" max="3" width="78" style="53" customWidth="1"/>
    <col min="4" max="26" width="8.7265625" style="53" customWidth="1"/>
    <col min="27" max="16384" width="14.453125" style="53"/>
  </cols>
  <sheetData>
    <row r="1" spans="1:26" ht="13.5" customHeight="1" x14ac:dyDescent="0.35">
      <c r="A1" s="71" t="s">
        <v>100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99</v>
      </c>
      <c r="B3" s="69" t="s">
        <v>98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23</v>
      </c>
      <c r="B4" s="69" t="s">
        <v>24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23</v>
      </c>
      <c r="B5" s="66" t="s">
        <v>65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23</v>
      </c>
      <c r="B6" s="68" t="s">
        <v>25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23</v>
      </c>
      <c r="B7" s="68" t="s">
        <v>26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23</v>
      </c>
      <c r="B8" s="68" t="s">
        <v>27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23</v>
      </c>
      <c r="B9" s="68" t="s">
        <v>28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23</v>
      </c>
      <c r="B10" s="68" t="s">
        <v>29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23</v>
      </c>
      <c r="B11" s="66" t="s">
        <v>66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23</v>
      </c>
      <c r="B12" s="68" t="s">
        <v>30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23</v>
      </c>
      <c r="B13" s="68" t="s">
        <v>31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23</v>
      </c>
      <c r="B14" s="68" t="s">
        <v>32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23</v>
      </c>
      <c r="B15" s="68" t="s">
        <v>33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23</v>
      </c>
      <c r="B16" s="68" t="s">
        <v>34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23</v>
      </c>
      <c r="B17" s="68" t="s">
        <v>35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23</v>
      </c>
      <c r="B18" s="68" t="s">
        <v>36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23</v>
      </c>
      <c r="B19" s="68" t="s">
        <v>37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23</v>
      </c>
      <c r="B20" s="66" t="s">
        <v>67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23</v>
      </c>
      <c r="B21" s="66" t="s">
        <v>68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39</v>
      </c>
      <c r="B22" s="65" t="s">
        <v>40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39</v>
      </c>
      <c r="B23" s="61" t="s">
        <v>43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4">
      <c r="A24" s="59" t="s">
        <v>39</v>
      </c>
      <c r="B24" s="61" t="s">
        <v>69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4">
      <c r="A25" s="59" t="s">
        <v>39</v>
      </c>
      <c r="B25" s="61" t="s">
        <v>42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4">
      <c r="A26" s="59" t="s">
        <v>39</v>
      </c>
      <c r="B26" s="61" t="s">
        <v>41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4">
      <c r="A27" s="59" t="s">
        <v>39</v>
      </c>
      <c r="B27" s="61" t="s">
        <v>70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4">
      <c r="A28" s="59" t="s">
        <v>39</v>
      </c>
      <c r="B28" s="61" t="s">
        <v>71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4">
      <c r="A29" s="59" t="s">
        <v>39</v>
      </c>
      <c r="B29" s="61" t="s">
        <v>72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4">
      <c r="A30" s="59" t="s">
        <v>39</v>
      </c>
      <c r="B30" s="61" t="s">
        <v>73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4">
      <c r="A31" s="59" t="s">
        <v>39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4">
      <c r="A32" s="59" t="s">
        <v>39</v>
      </c>
      <c r="B32" s="60" t="s">
        <v>44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4">
      <c r="A33" s="59" t="s">
        <v>39</v>
      </c>
      <c r="B33" s="61" t="s">
        <v>74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4">
      <c r="A34" s="59" t="s">
        <v>39</v>
      </c>
      <c r="B34" s="60" t="s">
        <v>45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4">
      <c r="A35" s="59" t="s">
        <v>39</v>
      </c>
      <c r="B35" s="60" t="s">
        <v>46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4">
      <c r="A36" s="59" t="s">
        <v>39</v>
      </c>
      <c r="B36" s="60" t="s">
        <v>47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4">
      <c r="A37" s="59" t="s">
        <v>39</v>
      </c>
      <c r="B37" s="60" t="s">
        <v>48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4">
      <c r="A38" s="59" t="s">
        <v>39</v>
      </c>
      <c r="B38" s="60" t="s">
        <v>75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thickBot="1" x14ac:dyDescent="0.4">
      <c r="A39" s="59" t="s">
        <v>39</v>
      </c>
      <c r="B39" s="61" t="s">
        <v>76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thickBot="1" x14ac:dyDescent="0.4">
      <c r="A40" s="59" t="s">
        <v>39</v>
      </c>
      <c r="B40" s="64" t="s">
        <v>68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4">
      <c r="A41" s="59" t="s">
        <v>50</v>
      </c>
      <c r="B41" s="63" t="s">
        <v>51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4">
      <c r="A42" s="59" t="s">
        <v>50</v>
      </c>
      <c r="B42" s="61" t="s">
        <v>77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4">
      <c r="A43" s="59" t="s">
        <v>50</v>
      </c>
      <c r="B43" s="61" t="s">
        <v>78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4">
      <c r="A44" s="59" t="s">
        <v>50</v>
      </c>
      <c r="B44" s="61" t="s">
        <v>79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4">
      <c r="A45" s="59" t="s">
        <v>50</v>
      </c>
      <c r="B45" s="61" t="s">
        <v>80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4">
      <c r="A46" s="59" t="s">
        <v>50</v>
      </c>
      <c r="B46" s="61" t="s">
        <v>81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4">
      <c r="A47" s="59" t="s">
        <v>50</v>
      </c>
      <c r="B47" s="61" t="s">
        <v>82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4">
      <c r="A48" s="59" t="s">
        <v>50</v>
      </c>
      <c r="B48" s="62" t="s">
        <v>83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4">
      <c r="A49" s="59" t="s">
        <v>50</v>
      </c>
      <c r="B49" s="61" t="s">
        <v>84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4">
      <c r="A50" s="59" t="s">
        <v>50</v>
      </c>
      <c r="B50" s="60" t="s">
        <v>52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4">
      <c r="A51" s="59" t="s">
        <v>50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4">
      <c r="A52" s="59" t="s">
        <v>50</v>
      </c>
      <c r="B52" s="61" t="s">
        <v>85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4">
      <c r="A53" s="59" t="s">
        <v>50</v>
      </c>
      <c r="B53" s="60" t="s">
        <v>49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4">
      <c r="A54" s="59" t="s">
        <v>50</v>
      </c>
      <c r="B54" s="61" t="s">
        <v>86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4">
      <c r="A55" s="59" t="s">
        <v>50</v>
      </c>
      <c r="B55" s="60" t="s">
        <v>53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4">
      <c r="A56" s="59" t="s">
        <v>50</v>
      </c>
      <c r="B56" s="60" t="s">
        <v>54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4">
      <c r="A57" s="59" t="s">
        <v>50</v>
      </c>
      <c r="B57" s="60" t="s">
        <v>55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4">
      <c r="A58" s="59" t="s">
        <v>50</v>
      </c>
      <c r="B58" s="60" t="s">
        <v>56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4">
      <c r="A59" s="59" t="s">
        <v>50</v>
      </c>
      <c r="B59" s="60" t="s">
        <v>57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4">
      <c r="A60" s="59" t="s">
        <v>50</v>
      </c>
      <c r="B60" s="60" t="s">
        <v>58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4">
      <c r="A61" s="59" t="s">
        <v>50</v>
      </c>
      <c r="B61" s="60" t="s">
        <v>59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4">
      <c r="A62" s="59" t="s">
        <v>50</v>
      </c>
      <c r="B62" s="60" t="s">
        <v>60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thickBot="1" x14ac:dyDescent="0.4">
      <c r="A63" s="59" t="s">
        <v>50</v>
      </c>
      <c r="B63" s="60" t="s">
        <v>61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4">
      <c r="A64" s="59" t="s">
        <v>50</v>
      </c>
      <c r="B64" s="58" t="s">
        <v>62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5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5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5">
      <c r="A70" s="54" t="s">
        <v>97</v>
      </c>
      <c r="B70" s="55" t="s">
        <v>96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5">
      <c r="A71" s="54"/>
      <c r="B71" s="55" t="s">
        <v>95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5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5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5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5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5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5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5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5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5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5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5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5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5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5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5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5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5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5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5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5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5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5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5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5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5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5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5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5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5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5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5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5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5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5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5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5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5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5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5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5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5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5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5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5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5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5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5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5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5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5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5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5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5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5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5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5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5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5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5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5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5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5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5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5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5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5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5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5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5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5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5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5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5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5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5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5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5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5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5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5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5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5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5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5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5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5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5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5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5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5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5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5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5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5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5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5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5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5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5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5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5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5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5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5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5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5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5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5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5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5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5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5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5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5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5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5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5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5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5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5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5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5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5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5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5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5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5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5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5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5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5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5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5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5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5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5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5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5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5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5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5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5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5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5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5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5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5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5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5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5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5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5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5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5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5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5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5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5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5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5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5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5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5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5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5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5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5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5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5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5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5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5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5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5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5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5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5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5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5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5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5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5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5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5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5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5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5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5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5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5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5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5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5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5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5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5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5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5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5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5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5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5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5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5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5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5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5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5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5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5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5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5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5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5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5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5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5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5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5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5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5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5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5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5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5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5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5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5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5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5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5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5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5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5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5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5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5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5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5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5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5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5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5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5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5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5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5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5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5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5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5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5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5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5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5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5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5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5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5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5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5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5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5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5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5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5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5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5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5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5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5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5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5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5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5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5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5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5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5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5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5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5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5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5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5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5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5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5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5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5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5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5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5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5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5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5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5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5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5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5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5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5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5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5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5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5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5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5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5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5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5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5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5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5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5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5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5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5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5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5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5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5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5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5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5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5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5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5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5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5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5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5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5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5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5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5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5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5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5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5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5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5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5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5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5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5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5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5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5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5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5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5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5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5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5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5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5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5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5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5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5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5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5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5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5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5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5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5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5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5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5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5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5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5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5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5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5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5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5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5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5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5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5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5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5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5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5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5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5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5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5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5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5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5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5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5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5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5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5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5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5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5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5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5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5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5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5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5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5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5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5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5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5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5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5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5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5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5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5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5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5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5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5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5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5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5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5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5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5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5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5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5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5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5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5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5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5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5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5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5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5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5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5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5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5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5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5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5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5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5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5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5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5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5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5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5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5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5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5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5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5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5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5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5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5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5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5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5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5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5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5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5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5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5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5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5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5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5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5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5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5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5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5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5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5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5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5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5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5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5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5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5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5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5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5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5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5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5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5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5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5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5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5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5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5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5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5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5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5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5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5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5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5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5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5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5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5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5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5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5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5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5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5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5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5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5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5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5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5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5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5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5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5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5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5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5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5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5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5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5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5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5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5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5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5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5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5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5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5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5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5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5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5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5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5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5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5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5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5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5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5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5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5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5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5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5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5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5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5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5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5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5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5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5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5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5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5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5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5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5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5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5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5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5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5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5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5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5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5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5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5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5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5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5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5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5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5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5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5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5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5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5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5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5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5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5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5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5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5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5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5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5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5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5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5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5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5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5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5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5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5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5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5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5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5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5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5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5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5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5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5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5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5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5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5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5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5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5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5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5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5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5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5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5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5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5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5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5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5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5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5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5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5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5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5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5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5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5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5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5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5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5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5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5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5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5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5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5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5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5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5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5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5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5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5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5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5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5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5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5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5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5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5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5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5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5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5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5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5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5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5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5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5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5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5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5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5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5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5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5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5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5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5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5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5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5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5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5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5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5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5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5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5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5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5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5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5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5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5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5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5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5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5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5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5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5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5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5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5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5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5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5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5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5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5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5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5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5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5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5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5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5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5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5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5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5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5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5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5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5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5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5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5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5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5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5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5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5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5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5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5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5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5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5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5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5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5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5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5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5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5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5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5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5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5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5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5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5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5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5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5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5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5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5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5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5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5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5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5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5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5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5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5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5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5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5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5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5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5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5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5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5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5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5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5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5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5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5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5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5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5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5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5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5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5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5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5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5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5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5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5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5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5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5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5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5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5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5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5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5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5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5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5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5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5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5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5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5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5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5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5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5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5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5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5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5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5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5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5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5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5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5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5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5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5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5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5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5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5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5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5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5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5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5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5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5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5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5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5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5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5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5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5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5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5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5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 xr:uid="{00000000-0004-0000-0400-000000000000}"/>
    <hyperlink ref="B71" r:id="rId2" xr:uid="{00000000-0004-0000-0400-000001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2018-04-04T01:42:34Z</dcterms:created>
  <dcterms:modified xsi:type="dcterms:W3CDTF">2018-06-25T07:20:01Z</dcterms:modified>
</cp:coreProperties>
</file>